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aniel Hachtel\Documents\Development\Konfigurator\artmodul-konfigurator\"/>
    </mc:Choice>
  </mc:AlternateContent>
  <xr:revisionPtr revIDLastSave="0" documentId="13_ncr:1_{0FD2D98A-18A4-4F79-8D4C-43B9534C13D8}" xr6:coauthVersionLast="47" xr6:coauthVersionMax="47" xr10:uidLastSave="{00000000-0000-0000-0000-000000000000}"/>
  <bookViews>
    <workbookView xWindow="-28920" yWindow="-75" windowWidth="29040" windowHeight="15720" activeTab="5" xr2:uid="{00000000-000D-0000-FFFF-FFFF00000000}"/>
  </bookViews>
  <sheets>
    <sheet name="Preislisten" sheetId="10" r:id="rId1"/>
    <sheet name="Kalkulation_Platten" sheetId="1" r:id="rId2"/>
    <sheet name="Größenfaktoren" sheetId="6" state="hidden" r:id="rId3"/>
    <sheet name="Preise_Würfel_Profile_Kleinteil" sheetId="9" r:id="rId4"/>
    <sheet name="Erklärung" sheetId="8" r:id="rId5"/>
    <sheet name="Konfigurator_Export" sheetId="11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1" hidden="1">Kalkulation_Platten!$A$4:$AN$610</definedName>
    <definedName name="Analyse">#REF!</definedName>
    <definedName name="ANZ_Breite">[1]Bestellvorlage_neu!$F$24</definedName>
    <definedName name="ANZ_Elemente">[1]Bestellvorlage_neu!$F$27</definedName>
    <definedName name="ANZ_Höhe">[1]Bestellvorlage_neu!$F$25</definedName>
    <definedName name="ANZ_Tiefe">[1]Bestellvorlage_neu!$F$26</definedName>
    <definedName name="Bericht">'[2]Bericht gesamt'!$B$4:$DG$59</definedName>
    <definedName name="_xlnm.Database">[3]Archiv!$C$1286:$F$1358</definedName>
    <definedName name="Einkauf">#REF!</definedName>
    <definedName name="Ertragssicherung">#REF!</definedName>
    <definedName name="EXT">#REF!</definedName>
    <definedName name="F_Doppeltür_PG1" localSheetId="3">#REF!</definedName>
    <definedName name="F_Doppeltür_PG1">#REF!</definedName>
    <definedName name="F_Doppeltür_PG2_3" localSheetId="3">#REF!</definedName>
    <definedName name="F_Doppeltür_PG2_3">#REF!</definedName>
    <definedName name="F_Doppeltür_PG4" localSheetId="3">#REF!</definedName>
    <definedName name="F_Doppeltür_PG4">#REF!</definedName>
    <definedName name="F_Klappe_PG1" localSheetId="3">#REF!</definedName>
    <definedName name="F_Klappe_PG1">#REF!</definedName>
    <definedName name="F_Klappe_PG2_3" localSheetId="3">#REF!</definedName>
    <definedName name="F_Klappe_PG2_3">#REF!</definedName>
    <definedName name="F_Klappe_PG4" localSheetId="3">#REF!</definedName>
    <definedName name="F_Klappe_PG4">#REF!</definedName>
    <definedName name="F_Platten_PG1" localSheetId="3">#REF!</definedName>
    <definedName name="F_Platten_PG1">#REF!</definedName>
    <definedName name="F_Platten_PG2_3" localSheetId="3">#REF!</definedName>
    <definedName name="F_Platten_PG2_3">#REF!</definedName>
    <definedName name="F_Platten_PG4" localSheetId="3">#REF!</definedName>
    <definedName name="F_Platten_PG4">#REF!</definedName>
    <definedName name="F_Schublade_PG1" localSheetId="3">#REF!</definedName>
    <definedName name="F_Schublade_PG1">#REF!</definedName>
    <definedName name="F_Schublade_PG2_3" localSheetId="3">#REF!</definedName>
    <definedName name="F_Schublade_PG2_3">#REF!</definedName>
    <definedName name="F_Schublade_PG4" localSheetId="3">#REF!</definedName>
    <definedName name="F_Schublade_PG4">#REF!</definedName>
    <definedName name="F_Tür_PG1" localSheetId="3">#REF!</definedName>
    <definedName name="F_Tür_PG1">#REF!</definedName>
    <definedName name="F_Tür_PG2_3" localSheetId="3">#REF!</definedName>
    <definedName name="F_Tür_PG2_3">#REF!</definedName>
    <definedName name="F_Tür_PG4" localSheetId="3">#REF!</definedName>
    <definedName name="F_Tür_PG4">#REF!</definedName>
    <definedName name="Freigabe">#REF!</definedName>
    <definedName name="Ideen">#REF!</definedName>
    <definedName name="Innovations__prozeß">#REF!</definedName>
    <definedName name="Komminikation">#REF!</definedName>
    <definedName name="Kommunikation">#REF!</definedName>
    <definedName name="Kompetenz">#REF!</definedName>
    <definedName name="Konfektion">[4]Orga!$U$41:$AF$46</definedName>
    <definedName name="Konstruktion">#REF!</definedName>
    <definedName name="Kreativpotential">#REF!</definedName>
    <definedName name="LPU">#REF!</definedName>
    <definedName name="Ludwig">#REF!</definedName>
    <definedName name="Marketing">#REF!</definedName>
    <definedName name="Organisation">#REF!</definedName>
    <definedName name="Preisniveau">#REF!</definedName>
    <definedName name="Produkt__und_Preissystematik">#REF!</definedName>
    <definedName name="SkriptBeschreibung">#REF!</definedName>
    <definedName name="_xlnm.Criteria">[3]Archiv!$C$1152:$F$1152</definedName>
    <definedName name="Telephonmarketing">#REF!</definedName>
    <definedName name="TEST">#REF!</definedName>
    <definedName name="Tiefe">[1]Bestellvorlage_neu!$C$4</definedName>
    <definedName name="Umsetzung">#REF!</definedName>
    <definedName name="Vertrieb">[4]Orga!$U$48:$AE$56</definedName>
    <definedName name="Vertriebs_steuerung">#REF!</definedName>
    <definedName name="Werkzeugbau">#REF!</definedName>
    <definedName name="WH">#REF!</definedName>
    <definedName name="_xlnm.Extract">[5]Archiv!#REF!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1" l="1"/>
  <c r="R4" i="11"/>
  <c r="R6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2" i="11"/>
  <c r="M2" i="11"/>
  <c r="N2" i="11"/>
  <c r="O2" i="11"/>
  <c r="L3" i="11"/>
  <c r="M3" i="11"/>
  <c r="N3" i="11"/>
  <c r="O3" i="11"/>
  <c r="L4" i="11"/>
  <c r="M4" i="11"/>
  <c r="N4" i="11"/>
  <c r="O4" i="11"/>
  <c r="L5" i="11"/>
  <c r="M5" i="11"/>
  <c r="N5" i="11"/>
  <c r="O5" i="11"/>
  <c r="L6" i="11"/>
  <c r="M6" i="11"/>
  <c r="N6" i="11"/>
  <c r="O6" i="11"/>
  <c r="L7" i="11"/>
  <c r="M7" i="11"/>
  <c r="N7" i="11"/>
  <c r="O7" i="11"/>
  <c r="L8" i="11"/>
  <c r="M8" i="11"/>
  <c r="N8" i="11"/>
  <c r="O8" i="11"/>
  <c r="L9" i="11"/>
  <c r="M9" i="11"/>
  <c r="N9" i="11"/>
  <c r="O9" i="11"/>
  <c r="L10" i="11"/>
  <c r="M10" i="11"/>
  <c r="N10" i="11"/>
  <c r="O10" i="11"/>
  <c r="L11" i="11"/>
  <c r="M11" i="11"/>
  <c r="N11" i="11"/>
  <c r="O11" i="11"/>
  <c r="L12" i="11"/>
  <c r="M12" i="11"/>
  <c r="N12" i="11"/>
  <c r="O12" i="11"/>
  <c r="L13" i="11"/>
  <c r="M13" i="11"/>
  <c r="N13" i="11"/>
  <c r="O13" i="11"/>
  <c r="L14" i="11"/>
  <c r="M14" i="11"/>
  <c r="N14" i="11"/>
  <c r="O14" i="11"/>
  <c r="L15" i="11"/>
  <c r="M15" i="11"/>
  <c r="N15" i="11"/>
  <c r="O15" i="11"/>
  <c r="L16" i="11"/>
  <c r="M16" i="11"/>
  <c r="N16" i="11"/>
  <c r="O16" i="11"/>
  <c r="L17" i="11"/>
  <c r="M17" i="11"/>
  <c r="N17" i="11"/>
  <c r="O17" i="11"/>
  <c r="L18" i="11"/>
  <c r="M18" i="11"/>
  <c r="N18" i="11"/>
  <c r="O18" i="11"/>
  <c r="L19" i="11"/>
  <c r="M19" i="11"/>
  <c r="N19" i="11"/>
  <c r="O19" i="11"/>
  <c r="L20" i="11"/>
  <c r="M20" i="11"/>
  <c r="N20" i="11"/>
  <c r="O20" i="11"/>
  <c r="L21" i="11"/>
  <c r="M21" i="11"/>
  <c r="N21" i="11"/>
  <c r="O21" i="11"/>
  <c r="L22" i="11"/>
  <c r="M22" i="11"/>
  <c r="N22" i="11"/>
  <c r="O22" i="11"/>
  <c r="L23" i="11"/>
  <c r="M23" i="11"/>
  <c r="N23" i="11"/>
  <c r="O23" i="11"/>
  <c r="L24" i="11"/>
  <c r="M24" i="11"/>
  <c r="N24" i="11"/>
  <c r="O24" i="11"/>
  <c r="L25" i="11"/>
  <c r="M25" i="11"/>
  <c r="N25" i="11"/>
  <c r="O25" i="11"/>
  <c r="L26" i="11"/>
  <c r="M26" i="11"/>
  <c r="N26" i="11"/>
  <c r="O26" i="11"/>
  <c r="L27" i="11"/>
  <c r="M27" i="11"/>
  <c r="N27" i="11"/>
  <c r="O27" i="11"/>
  <c r="L28" i="11"/>
  <c r="M28" i="11"/>
  <c r="N28" i="11"/>
  <c r="O28" i="11"/>
  <c r="L29" i="11"/>
  <c r="M29" i="11"/>
  <c r="N29" i="11"/>
  <c r="O29" i="11"/>
  <c r="L30" i="11"/>
  <c r="M30" i="11"/>
  <c r="N30" i="11"/>
  <c r="O30" i="11"/>
  <c r="L31" i="11"/>
  <c r="M31" i="11"/>
  <c r="N31" i="11"/>
  <c r="O31" i="11"/>
  <c r="L32" i="11"/>
  <c r="M32" i="11"/>
  <c r="N32" i="11"/>
  <c r="O32" i="11"/>
  <c r="L33" i="11"/>
  <c r="M33" i="11"/>
  <c r="N33" i="11"/>
  <c r="O33" i="11"/>
  <c r="L34" i="11"/>
  <c r="M34" i="11"/>
  <c r="N34" i="11"/>
  <c r="O34" i="11"/>
  <c r="L35" i="11"/>
  <c r="M35" i="11"/>
  <c r="N35" i="11"/>
  <c r="O35" i="11"/>
  <c r="L36" i="11"/>
  <c r="M36" i="11"/>
  <c r="N36" i="11"/>
  <c r="O36" i="11"/>
  <c r="L37" i="11"/>
  <c r="M37" i="11"/>
  <c r="N37" i="11"/>
  <c r="O37" i="11"/>
  <c r="L38" i="11"/>
  <c r="M38" i="11"/>
  <c r="N38" i="11"/>
  <c r="O38" i="11"/>
  <c r="L39" i="11"/>
  <c r="M39" i="11"/>
  <c r="N39" i="11"/>
  <c r="O39" i="11"/>
  <c r="L40" i="11"/>
  <c r="M40" i="11"/>
  <c r="N40" i="11"/>
  <c r="O40" i="11"/>
  <c r="L41" i="11"/>
  <c r="M41" i="11"/>
  <c r="N41" i="11"/>
  <c r="O41" i="11"/>
  <c r="L42" i="11"/>
  <c r="M42" i="11"/>
  <c r="N42" i="11"/>
  <c r="O42" i="11"/>
  <c r="L43" i="11"/>
  <c r="M43" i="11"/>
  <c r="N43" i="11"/>
  <c r="O43" i="11"/>
  <c r="L44" i="11"/>
  <c r="M44" i="11"/>
  <c r="N44" i="11"/>
  <c r="O44" i="11"/>
  <c r="L45" i="11"/>
  <c r="M45" i="11"/>
  <c r="N45" i="11"/>
  <c r="O45" i="11"/>
  <c r="L46" i="11"/>
  <c r="M46" i="11"/>
  <c r="N46" i="11"/>
  <c r="O46" i="11"/>
  <c r="L47" i="11"/>
  <c r="M47" i="11"/>
  <c r="N47" i="11"/>
  <c r="O47" i="11"/>
  <c r="L48" i="11"/>
  <c r="M48" i="11"/>
  <c r="N48" i="11"/>
  <c r="O48" i="11"/>
  <c r="L49" i="11"/>
  <c r="M49" i="11"/>
  <c r="N49" i="11"/>
  <c r="O49" i="11"/>
  <c r="L50" i="11"/>
  <c r="M50" i="11"/>
  <c r="N50" i="11"/>
  <c r="O50" i="11"/>
  <c r="L51" i="11"/>
  <c r="M51" i="11"/>
  <c r="N51" i="11"/>
  <c r="O51" i="11"/>
  <c r="L52" i="11"/>
  <c r="M52" i="11"/>
  <c r="N52" i="11"/>
  <c r="O52" i="11"/>
  <c r="L53" i="11"/>
  <c r="M53" i="11"/>
  <c r="N53" i="11"/>
  <c r="O53" i="11"/>
  <c r="L54" i="11"/>
  <c r="M54" i="11"/>
  <c r="N54" i="11"/>
  <c r="O54" i="11"/>
  <c r="L55" i="11"/>
  <c r="M55" i="11"/>
  <c r="N55" i="11"/>
  <c r="O55" i="11"/>
  <c r="L56" i="11"/>
  <c r="M56" i="11"/>
  <c r="N56" i="11"/>
  <c r="O56" i="11"/>
  <c r="L57" i="11"/>
  <c r="M57" i="11"/>
  <c r="N57" i="11"/>
  <c r="O57" i="11"/>
  <c r="L58" i="11"/>
  <c r="M58" i="11"/>
  <c r="N58" i="11"/>
  <c r="O58" i="11"/>
  <c r="L59" i="11"/>
  <c r="M59" i="11"/>
  <c r="N59" i="11"/>
  <c r="O59" i="11"/>
  <c r="L60" i="11"/>
  <c r="M60" i="11"/>
  <c r="N60" i="11"/>
  <c r="O60" i="11"/>
  <c r="L61" i="11"/>
  <c r="M61" i="11"/>
  <c r="N61" i="11"/>
  <c r="O61" i="11"/>
  <c r="L62" i="11"/>
  <c r="M62" i="11"/>
  <c r="N62" i="11"/>
  <c r="O62" i="11"/>
  <c r="L63" i="11"/>
  <c r="M63" i="11"/>
  <c r="N63" i="11"/>
  <c r="O63" i="11"/>
  <c r="L64" i="11"/>
  <c r="M64" i="11"/>
  <c r="N64" i="11"/>
  <c r="O64" i="11"/>
  <c r="L65" i="11"/>
  <c r="M65" i="11"/>
  <c r="N65" i="11"/>
  <c r="O65" i="11"/>
  <c r="L66" i="11"/>
  <c r="M66" i="11"/>
  <c r="N66" i="11"/>
  <c r="O66" i="11"/>
  <c r="L67" i="11"/>
  <c r="M67" i="11"/>
  <c r="N67" i="11"/>
  <c r="O67" i="11"/>
  <c r="L68" i="11"/>
  <c r="M68" i="11"/>
  <c r="N68" i="11"/>
  <c r="O68" i="11"/>
  <c r="L69" i="11"/>
  <c r="M69" i="11"/>
  <c r="N69" i="11"/>
  <c r="O69" i="11"/>
  <c r="L70" i="11"/>
  <c r="M70" i="11"/>
  <c r="N70" i="11"/>
  <c r="O70" i="11"/>
  <c r="L71" i="11"/>
  <c r="M71" i="11"/>
  <c r="N71" i="11"/>
  <c r="O71" i="11"/>
  <c r="L72" i="11"/>
  <c r="M72" i="11"/>
  <c r="N72" i="11"/>
  <c r="O72" i="11"/>
  <c r="L73" i="11"/>
  <c r="M73" i="11"/>
  <c r="N73" i="11"/>
  <c r="O73" i="11"/>
  <c r="L74" i="11"/>
  <c r="M74" i="11"/>
  <c r="N74" i="11"/>
  <c r="O74" i="11"/>
  <c r="L75" i="11"/>
  <c r="M75" i="11"/>
  <c r="N75" i="11"/>
  <c r="O75" i="11"/>
  <c r="L76" i="11"/>
  <c r="M76" i="11"/>
  <c r="N76" i="11"/>
  <c r="O76" i="11"/>
  <c r="L77" i="11"/>
  <c r="M77" i="11"/>
  <c r="N77" i="11"/>
  <c r="O77" i="11"/>
  <c r="L78" i="11"/>
  <c r="M78" i="11"/>
  <c r="N78" i="11"/>
  <c r="O78" i="11"/>
  <c r="L79" i="11"/>
  <c r="M79" i="11"/>
  <c r="N79" i="11"/>
  <c r="O79" i="11"/>
  <c r="L80" i="11"/>
  <c r="M80" i="11"/>
  <c r="N80" i="11"/>
  <c r="O80" i="11"/>
  <c r="L81" i="11"/>
  <c r="M81" i="11"/>
  <c r="N81" i="11"/>
  <c r="O81" i="11"/>
  <c r="L82" i="11"/>
  <c r="M82" i="11"/>
  <c r="N82" i="11"/>
  <c r="O82" i="11"/>
  <c r="L83" i="11"/>
  <c r="M83" i="11"/>
  <c r="N83" i="11"/>
  <c r="O83" i="11"/>
  <c r="L84" i="11"/>
  <c r="M84" i="11"/>
  <c r="N84" i="11"/>
  <c r="O84" i="11"/>
  <c r="L85" i="11"/>
  <c r="M85" i="11"/>
  <c r="N85" i="11"/>
  <c r="O85" i="11"/>
  <c r="L86" i="11"/>
  <c r="M86" i="11"/>
  <c r="N86" i="11"/>
  <c r="O86" i="11"/>
  <c r="L87" i="11"/>
  <c r="M87" i="11"/>
  <c r="N87" i="11"/>
  <c r="O87" i="11"/>
  <c r="L88" i="11"/>
  <c r="M88" i="11"/>
  <c r="N88" i="11"/>
  <c r="O88" i="11"/>
  <c r="L89" i="11"/>
  <c r="M89" i="11"/>
  <c r="N89" i="11"/>
  <c r="O89" i="11"/>
  <c r="L90" i="11"/>
  <c r="M90" i="11"/>
  <c r="N90" i="11"/>
  <c r="O90" i="11"/>
  <c r="L91" i="11"/>
  <c r="M91" i="11"/>
  <c r="N91" i="11"/>
  <c r="O91" i="11"/>
  <c r="L92" i="11"/>
  <c r="M92" i="11"/>
  <c r="N92" i="11"/>
  <c r="O92" i="11"/>
  <c r="L93" i="11"/>
  <c r="M93" i="11"/>
  <c r="N93" i="11"/>
  <c r="O93" i="11"/>
  <c r="L94" i="11"/>
  <c r="M94" i="11"/>
  <c r="N94" i="11"/>
  <c r="O94" i="11"/>
  <c r="L95" i="11"/>
  <c r="M95" i="11"/>
  <c r="N95" i="11"/>
  <c r="O95" i="11"/>
  <c r="L96" i="11"/>
  <c r="M96" i="11"/>
  <c r="N96" i="11"/>
  <c r="O96" i="11"/>
  <c r="L97" i="11"/>
  <c r="M97" i="11"/>
  <c r="N97" i="11"/>
  <c r="O97" i="11"/>
  <c r="L98" i="11"/>
  <c r="M98" i="11"/>
  <c r="N98" i="11"/>
  <c r="O98" i="11"/>
  <c r="L99" i="11"/>
  <c r="M99" i="11"/>
  <c r="N99" i="11"/>
  <c r="O99" i="11"/>
  <c r="L100" i="11"/>
  <c r="M100" i="11"/>
  <c r="N100" i="11"/>
  <c r="O100" i="11"/>
  <c r="L101" i="11"/>
  <c r="M101" i="11"/>
  <c r="N101" i="11"/>
  <c r="O101" i="11"/>
  <c r="L102" i="11"/>
  <c r="M102" i="11"/>
  <c r="N102" i="11"/>
  <c r="O102" i="11"/>
  <c r="L103" i="11"/>
  <c r="M103" i="11"/>
  <c r="N103" i="11"/>
  <c r="O103" i="11"/>
  <c r="L104" i="11"/>
  <c r="M104" i="11"/>
  <c r="N104" i="11"/>
  <c r="O104" i="11"/>
  <c r="L105" i="11"/>
  <c r="M105" i="11"/>
  <c r="N105" i="11"/>
  <c r="O105" i="11"/>
  <c r="L106" i="11"/>
  <c r="M106" i="11"/>
  <c r="N106" i="11"/>
  <c r="O106" i="11"/>
  <c r="L107" i="11"/>
  <c r="M107" i="11"/>
  <c r="N107" i="11"/>
  <c r="O107" i="11"/>
  <c r="L108" i="11"/>
  <c r="M108" i="11"/>
  <c r="N108" i="11"/>
  <c r="O108" i="11"/>
  <c r="L109" i="11"/>
  <c r="M109" i="11"/>
  <c r="N109" i="11"/>
  <c r="O109" i="11"/>
  <c r="L110" i="11"/>
  <c r="M110" i="11"/>
  <c r="N110" i="11"/>
  <c r="O110" i="11"/>
  <c r="L111" i="11"/>
  <c r="M111" i="11"/>
  <c r="N111" i="11"/>
  <c r="O111" i="11"/>
  <c r="L112" i="11"/>
  <c r="M112" i="11"/>
  <c r="N112" i="11"/>
  <c r="O112" i="11"/>
  <c r="L113" i="11"/>
  <c r="M113" i="11"/>
  <c r="N113" i="11"/>
  <c r="O113" i="11"/>
  <c r="L114" i="11"/>
  <c r="M114" i="11"/>
  <c r="N114" i="11"/>
  <c r="O114" i="11"/>
  <c r="L115" i="11"/>
  <c r="M115" i="11"/>
  <c r="N115" i="11"/>
  <c r="O115" i="11"/>
  <c r="L116" i="11"/>
  <c r="M116" i="11"/>
  <c r="N116" i="11"/>
  <c r="O116" i="11"/>
  <c r="L117" i="11"/>
  <c r="M117" i="11"/>
  <c r="N117" i="11"/>
  <c r="O117" i="11"/>
  <c r="L118" i="11"/>
  <c r="M118" i="11"/>
  <c r="N118" i="11"/>
  <c r="O118" i="11"/>
  <c r="L119" i="11"/>
  <c r="M119" i="11"/>
  <c r="N119" i="11"/>
  <c r="O119" i="11"/>
  <c r="L120" i="11"/>
  <c r="M120" i="11"/>
  <c r="N120" i="11"/>
  <c r="O120" i="11"/>
  <c r="L121" i="11"/>
  <c r="M121" i="11"/>
  <c r="N121" i="11"/>
  <c r="O121" i="11"/>
  <c r="L122" i="11"/>
  <c r="M122" i="11"/>
  <c r="N122" i="11"/>
  <c r="O122" i="11"/>
  <c r="L123" i="11"/>
  <c r="M123" i="11"/>
  <c r="N123" i="11"/>
  <c r="O123" i="11"/>
  <c r="L124" i="11"/>
  <c r="M124" i="11"/>
  <c r="N124" i="11"/>
  <c r="O124" i="11"/>
  <c r="L125" i="11"/>
  <c r="M125" i="11"/>
  <c r="N125" i="11"/>
  <c r="O125" i="11"/>
  <c r="L126" i="11"/>
  <c r="M126" i="11"/>
  <c r="N126" i="11"/>
  <c r="O126" i="11"/>
  <c r="L127" i="11"/>
  <c r="M127" i="11"/>
  <c r="N127" i="11"/>
  <c r="O127" i="11"/>
  <c r="L128" i="11"/>
  <c r="M128" i="11"/>
  <c r="N128" i="11"/>
  <c r="O128" i="11"/>
  <c r="L129" i="11"/>
  <c r="M129" i="11"/>
  <c r="N129" i="11"/>
  <c r="O129" i="11"/>
  <c r="L130" i="11"/>
  <c r="M130" i="11"/>
  <c r="N130" i="11"/>
  <c r="O130" i="11"/>
  <c r="L131" i="11"/>
  <c r="M131" i="11"/>
  <c r="N131" i="11"/>
  <c r="O131" i="11"/>
  <c r="L132" i="11"/>
  <c r="M132" i="11"/>
  <c r="N132" i="11"/>
  <c r="O132" i="11"/>
  <c r="L133" i="11"/>
  <c r="M133" i="11"/>
  <c r="N133" i="11"/>
  <c r="O133" i="11"/>
  <c r="L134" i="11"/>
  <c r="M134" i="11"/>
  <c r="N134" i="11"/>
  <c r="O134" i="11"/>
  <c r="L135" i="11"/>
  <c r="M135" i="11"/>
  <c r="N135" i="11"/>
  <c r="O135" i="11"/>
  <c r="L136" i="11"/>
  <c r="M136" i="11"/>
  <c r="N136" i="11"/>
  <c r="O136" i="11"/>
  <c r="L137" i="11"/>
  <c r="M137" i="11"/>
  <c r="N137" i="11"/>
  <c r="O137" i="11"/>
  <c r="L138" i="11"/>
  <c r="M138" i="11"/>
  <c r="N138" i="11"/>
  <c r="O138" i="11"/>
  <c r="L139" i="11"/>
  <c r="M139" i="11"/>
  <c r="N139" i="11"/>
  <c r="O139" i="11"/>
  <c r="L140" i="11"/>
  <c r="M140" i="11"/>
  <c r="N140" i="11"/>
  <c r="O140" i="11"/>
  <c r="L141" i="11"/>
  <c r="M141" i="11"/>
  <c r="N141" i="11"/>
  <c r="O141" i="11"/>
  <c r="L142" i="11"/>
  <c r="M142" i="11"/>
  <c r="N142" i="11"/>
  <c r="O142" i="11"/>
  <c r="L143" i="11"/>
  <c r="M143" i="11"/>
  <c r="N143" i="11"/>
  <c r="O143" i="11"/>
  <c r="L144" i="11"/>
  <c r="M144" i="11"/>
  <c r="N144" i="11"/>
  <c r="O144" i="11"/>
  <c r="L145" i="11"/>
  <c r="M145" i="11"/>
  <c r="N145" i="11"/>
  <c r="O145" i="11"/>
  <c r="L146" i="11"/>
  <c r="M146" i="11"/>
  <c r="N146" i="11"/>
  <c r="O146" i="11"/>
  <c r="L147" i="11"/>
  <c r="M147" i="11"/>
  <c r="N147" i="11"/>
  <c r="O147" i="11"/>
  <c r="L148" i="11"/>
  <c r="M148" i="11"/>
  <c r="N148" i="11"/>
  <c r="O148" i="11"/>
  <c r="L149" i="11"/>
  <c r="M149" i="11"/>
  <c r="N149" i="11"/>
  <c r="O149" i="11"/>
  <c r="L150" i="11"/>
  <c r="M150" i="11"/>
  <c r="N150" i="11"/>
  <c r="O150" i="11"/>
  <c r="L151" i="11"/>
  <c r="M151" i="11"/>
  <c r="N151" i="11"/>
  <c r="O151" i="11"/>
  <c r="L152" i="11"/>
  <c r="M152" i="11"/>
  <c r="N152" i="11"/>
  <c r="O152" i="11"/>
  <c r="L153" i="11"/>
  <c r="M153" i="11"/>
  <c r="N153" i="11"/>
  <c r="O153" i="11"/>
  <c r="L154" i="11"/>
  <c r="M154" i="11"/>
  <c r="N154" i="11"/>
  <c r="O154" i="11"/>
  <c r="L155" i="11"/>
  <c r="M155" i="11"/>
  <c r="N155" i="11"/>
  <c r="O155" i="11"/>
  <c r="L156" i="11"/>
  <c r="M156" i="11"/>
  <c r="N156" i="11"/>
  <c r="O156" i="11"/>
  <c r="L157" i="11"/>
  <c r="M157" i="11"/>
  <c r="N157" i="11"/>
  <c r="O157" i="11"/>
  <c r="L158" i="11"/>
  <c r="M158" i="11"/>
  <c r="N158" i="11"/>
  <c r="O158" i="11"/>
  <c r="L159" i="11"/>
  <c r="M159" i="11"/>
  <c r="N159" i="11"/>
  <c r="O159" i="11"/>
  <c r="L160" i="11"/>
  <c r="M160" i="11"/>
  <c r="N160" i="11"/>
  <c r="O160" i="11"/>
  <c r="L161" i="11"/>
  <c r="M161" i="11"/>
  <c r="N161" i="11"/>
  <c r="O161" i="11"/>
  <c r="L162" i="11"/>
  <c r="M162" i="11"/>
  <c r="N162" i="11"/>
  <c r="O162" i="11"/>
  <c r="L163" i="11"/>
  <c r="M163" i="11"/>
  <c r="N163" i="11"/>
  <c r="O163" i="11"/>
  <c r="L164" i="11"/>
  <c r="M164" i="11"/>
  <c r="N164" i="11"/>
  <c r="O164" i="11"/>
  <c r="L165" i="11"/>
  <c r="M165" i="11"/>
  <c r="N165" i="11"/>
  <c r="O165" i="11"/>
  <c r="L166" i="11"/>
  <c r="M166" i="11"/>
  <c r="N166" i="11"/>
  <c r="O166" i="11"/>
  <c r="L167" i="11"/>
  <c r="M167" i="11"/>
  <c r="N167" i="11"/>
  <c r="O167" i="11"/>
  <c r="L168" i="11"/>
  <c r="M168" i="11"/>
  <c r="N168" i="11"/>
  <c r="O168" i="11"/>
  <c r="L169" i="11"/>
  <c r="M169" i="11"/>
  <c r="N169" i="11"/>
  <c r="O169" i="11"/>
  <c r="L170" i="11"/>
  <c r="M170" i="11"/>
  <c r="N170" i="11"/>
  <c r="O170" i="11"/>
  <c r="L171" i="11"/>
  <c r="M171" i="11"/>
  <c r="N171" i="11"/>
  <c r="O171" i="11"/>
  <c r="L172" i="11"/>
  <c r="M172" i="11"/>
  <c r="N172" i="11"/>
  <c r="O172" i="11"/>
  <c r="L173" i="11"/>
  <c r="M173" i="11"/>
  <c r="N173" i="11"/>
  <c r="O173" i="11"/>
  <c r="L174" i="11"/>
  <c r="M174" i="11"/>
  <c r="N174" i="11"/>
  <c r="O174" i="11"/>
  <c r="L175" i="11"/>
  <c r="M175" i="11"/>
  <c r="N175" i="11"/>
  <c r="O175" i="11"/>
  <c r="L176" i="11"/>
  <c r="M176" i="11"/>
  <c r="N176" i="11"/>
  <c r="O176" i="11"/>
  <c r="L177" i="11"/>
  <c r="M177" i="11"/>
  <c r="N177" i="11"/>
  <c r="O177" i="11"/>
  <c r="L178" i="11"/>
  <c r="M178" i="11"/>
  <c r="N178" i="11"/>
  <c r="O178" i="11"/>
  <c r="L179" i="11"/>
  <c r="M179" i="11"/>
  <c r="N179" i="11"/>
  <c r="O179" i="11"/>
  <c r="L180" i="11"/>
  <c r="M180" i="11"/>
  <c r="N180" i="11"/>
  <c r="O180" i="11"/>
  <c r="L181" i="11"/>
  <c r="M181" i="11"/>
  <c r="N181" i="11"/>
  <c r="O181" i="11"/>
  <c r="L182" i="11"/>
  <c r="M182" i="11"/>
  <c r="N182" i="11"/>
  <c r="O182" i="11"/>
  <c r="L183" i="11"/>
  <c r="M183" i="11"/>
  <c r="N183" i="11"/>
  <c r="O183" i="11"/>
  <c r="L184" i="11"/>
  <c r="M184" i="11"/>
  <c r="N184" i="11"/>
  <c r="O184" i="11"/>
  <c r="L185" i="11"/>
  <c r="M185" i="11"/>
  <c r="N185" i="11"/>
  <c r="O185" i="11"/>
  <c r="L186" i="11"/>
  <c r="M186" i="11"/>
  <c r="N186" i="11"/>
  <c r="O186" i="11"/>
  <c r="L187" i="11"/>
  <c r="M187" i="11"/>
  <c r="N187" i="11"/>
  <c r="O187" i="11"/>
  <c r="L188" i="11"/>
  <c r="M188" i="11"/>
  <c r="N188" i="11"/>
  <c r="O188" i="11"/>
  <c r="L189" i="11"/>
  <c r="M189" i="11"/>
  <c r="N189" i="11"/>
  <c r="O189" i="11"/>
  <c r="L190" i="11"/>
  <c r="M190" i="11"/>
  <c r="N190" i="11"/>
  <c r="O190" i="11"/>
  <c r="L191" i="11"/>
  <c r="M191" i="11"/>
  <c r="N191" i="11"/>
  <c r="O191" i="11"/>
  <c r="L192" i="11"/>
  <c r="M192" i="11"/>
  <c r="N192" i="11"/>
  <c r="O192" i="11"/>
  <c r="L193" i="11"/>
  <c r="M193" i="11"/>
  <c r="N193" i="11"/>
  <c r="O193" i="11"/>
  <c r="L194" i="11"/>
  <c r="M194" i="11"/>
  <c r="N194" i="11"/>
  <c r="O194" i="11"/>
  <c r="L195" i="11"/>
  <c r="M195" i="11"/>
  <c r="N195" i="11"/>
  <c r="O195" i="11"/>
  <c r="L196" i="11"/>
  <c r="M196" i="11"/>
  <c r="N196" i="11"/>
  <c r="O196" i="11"/>
  <c r="L197" i="11"/>
  <c r="M197" i="11"/>
  <c r="N197" i="11"/>
  <c r="O197" i="11"/>
  <c r="L198" i="11"/>
  <c r="M198" i="11"/>
  <c r="N198" i="11"/>
  <c r="O198" i="11"/>
  <c r="L199" i="11"/>
  <c r="M199" i="11"/>
  <c r="N199" i="11"/>
  <c r="O199" i="11"/>
  <c r="L200" i="11"/>
  <c r="M200" i="11"/>
  <c r="N200" i="11"/>
  <c r="O200" i="11"/>
  <c r="L201" i="11"/>
  <c r="M201" i="11"/>
  <c r="N201" i="11"/>
  <c r="O201" i="11"/>
  <c r="L202" i="11"/>
  <c r="M202" i="11"/>
  <c r="N202" i="11"/>
  <c r="O202" i="11"/>
  <c r="L203" i="11"/>
  <c r="M203" i="11"/>
  <c r="N203" i="11"/>
  <c r="O203" i="11"/>
  <c r="L204" i="11"/>
  <c r="M204" i="11"/>
  <c r="N204" i="11"/>
  <c r="O204" i="11"/>
  <c r="L205" i="11"/>
  <c r="M205" i="11"/>
  <c r="N205" i="11"/>
  <c r="O205" i="11"/>
  <c r="L206" i="11"/>
  <c r="M206" i="11"/>
  <c r="N206" i="11"/>
  <c r="O206" i="11"/>
  <c r="L207" i="11"/>
  <c r="M207" i="11"/>
  <c r="N207" i="11"/>
  <c r="O207" i="11"/>
  <c r="L208" i="11"/>
  <c r="M208" i="11"/>
  <c r="N208" i="11"/>
  <c r="O208" i="11"/>
  <c r="L209" i="11"/>
  <c r="M209" i="11"/>
  <c r="N209" i="11"/>
  <c r="O209" i="11"/>
  <c r="L210" i="11"/>
  <c r="M210" i="11"/>
  <c r="N210" i="11"/>
  <c r="O210" i="11"/>
  <c r="L211" i="11"/>
  <c r="M211" i="11"/>
  <c r="N211" i="11"/>
  <c r="O211" i="11"/>
  <c r="L212" i="11"/>
  <c r="M212" i="11"/>
  <c r="N212" i="11"/>
  <c r="O212" i="11"/>
  <c r="L213" i="11"/>
  <c r="M213" i="11"/>
  <c r="N213" i="11"/>
  <c r="O213" i="11"/>
  <c r="L214" i="11"/>
  <c r="M214" i="11"/>
  <c r="N214" i="11"/>
  <c r="O214" i="11"/>
  <c r="L215" i="11"/>
  <c r="M215" i="11"/>
  <c r="N215" i="11"/>
  <c r="O215" i="11"/>
  <c r="L216" i="11"/>
  <c r="M216" i="11"/>
  <c r="N216" i="11"/>
  <c r="O216" i="11"/>
  <c r="L217" i="11"/>
  <c r="M217" i="11"/>
  <c r="N217" i="11"/>
  <c r="O217" i="11"/>
  <c r="L218" i="11"/>
  <c r="M218" i="11"/>
  <c r="N218" i="11"/>
  <c r="O218" i="11"/>
  <c r="L219" i="11"/>
  <c r="M219" i="11"/>
  <c r="N219" i="11"/>
  <c r="O219" i="11"/>
  <c r="L220" i="11"/>
  <c r="M220" i="11"/>
  <c r="N220" i="11"/>
  <c r="O220" i="11"/>
  <c r="L221" i="11"/>
  <c r="M221" i="11"/>
  <c r="N221" i="11"/>
  <c r="O221" i="11"/>
  <c r="L222" i="11"/>
  <c r="M222" i="11"/>
  <c r="N222" i="11"/>
  <c r="O222" i="11"/>
  <c r="L223" i="11"/>
  <c r="M223" i="11"/>
  <c r="N223" i="11"/>
  <c r="O223" i="11"/>
  <c r="L224" i="11"/>
  <c r="M224" i="11"/>
  <c r="N224" i="11"/>
  <c r="O224" i="11"/>
  <c r="L225" i="11"/>
  <c r="M225" i="11"/>
  <c r="N225" i="11"/>
  <c r="O225" i="11"/>
  <c r="L226" i="11"/>
  <c r="M226" i="11"/>
  <c r="N226" i="11"/>
  <c r="O226" i="11"/>
  <c r="L227" i="11"/>
  <c r="M227" i="11"/>
  <c r="N227" i="11"/>
  <c r="O227" i="11"/>
  <c r="L228" i="11"/>
  <c r="M228" i="11"/>
  <c r="N228" i="11"/>
  <c r="O228" i="11"/>
  <c r="L229" i="11"/>
  <c r="M229" i="11"/>
  <c r="N229" i="11"/>
  <c r="O229" i="11"/>
  <c r="L230" i="11"/>
  <c r="M230" i="11"/>
  <c r="N230" i="11"/>
  <c r="O230" i="11"/>
  <c r="L231" i="11"/>
  <c r="M231" i="11"/>
  <c r="N231" i="11"/>
  <c r="O231" i="11"/>
  <c r="L232" i="11"/>
  <c r="M232" i="11"/>
  <c r="N232" i="11"/>
  <c r="O232" i="11"/>
  <c r="L233" i="11"/>
  <c r="M233" i="11"/>
  <c r="N233" i="11"/>
  <c r="O233" i="11"/>
  <c r="L234" i="11"/>
  <c r="M234" i="11"/>
  <c r="N234" i="11"/>
  <c r="O234" i="11"/>
  <c r="L235" i="11"/>
  <c r="M235" i="11"/>
  <c r="N235" i="11"/>
  <c r="O235" i="11"/>
  <c r="L236" i="11"/>
  <c r="M236" i="11"/>
  <c r="N236" i="11"/>
  <c r="O236" i="11"/>
  <c r="L237" i="11"/>
  <c r="M237" i="11"/>
  <c r="N237" i="11"/>
  <c r="O237" i="11"/>
  <c r="L238" i="11"/>
  <c r="M238" i="11"/>
  <c r="N238" i="11"/>
  <c r="O238" i="11"/>
  <c r="L239" i="11"/>
  <c r="M239" i="11"/>
  <c r="N239" i="11"/>
  <c r="O239" i="11"/>
  <c r="L240" i="11"/>
  <c r="M240" i="11"/>
  <c r="N240" i="11"/>
  <c r="O240" i="11"/>
  <c r="L241" i="11"/>
  <c r="M241" i="11"/>
  <c r="N241" i="11"/>
  <c r="O241" i="11"/>
  <c r="L242" i="11"/>
  <c r="M242" i="11"/>
  <c r="N242" i="11"/>
  <c r="O242" i="11"/>
  <c r="L243" i="11"/>
  <c r="M243" i="11"/>
  <c r="N243" i="11"/>
  <c r="O243" i="11"/>
  <c r="L244" i="11"/>
  <c r="M244" i="11"/>
  <c r="N244" i="11"/>
  <c r="O244" i="11"/>
  <c r="L245" i="11"/>
  <c r="M245" i="11"/>
  <c r="N245" i="11"/>
  <c r="O245" i="11"/>
  <c r="L246" i="11"/>
  <c r="M246" i="11"/>
  <c r="N246" i="11"/>
  <c r="O246" i="11"/>
  <c r="L247" i="11"/>
  <c r="M247" i="11"/>
  <c r="N247" i="11"/>
  <c r="O247" i="11"/>
  <c r="L248" i="11"/>
  <c r="M248" i="11"/>
  <c r="N248" i="11"/>
  <c r="O248" i="11"/>
  <c r="L249" i="11"/>
  <c r="M249" i="11"/>
  <c r="N249" i="11"/>
  <c r="O249" i="11"/>
  <c r="L250" i="11"/>
  <c r="M250" i="11"/>
  <c r="N250" i="11"/>
  <c r="O250" i="11"/>
  <c r="L251" i="11"/>
  <c r="M251" i="11"/>
  <c r="N251" i="11"/>
  <c r="O251" i="11"/>
  <c r="L252" i="11"/>
  <c r="M252" i="11"/>
  <c r="N252" i="11"/>
  <c r="O252" i="11"/>
  <c r="L253" i="11"/>
  <c r="M253" i="11"/>
  <c r="N253" i="11"/>
  <c r="O253" i="11"/>
  <c r="L254" i="11"/>
  <c r="M254" i="11"/>
  <c r="N254" i="11"/>
  <c r="O254" i="11"/>
  <c r="L255" i="11"/>
  <c r="M255" i="11"/>
  <c r="N255" i="11"/>
  <c r="O255" i="11"/>
  <c r="L256" i="11"/>
  <c r="M256" i="11"/>
  <c r="N256" i="11"/>
  <c r="O256" i="11"/>
  <c r="L257" i="11"/>
  <c r="M257" i="11"/>
  <c r="N257" i="11"/>
  <c r="O257" i="11"/>
  <c r="L258" i="11"/>
  <c r="M258" i="11"/>
  <c r="N258" i="11"/>
  <c r="O258" i="11"/>
  <c r="L259" i="11"/>
  <c r="M259" i="11"/>
  <c r="N259" i="11"/>
  <c r="O259" i="11"/>
  <c r="L260" i="11"/>
  <c r="M260" i="11"/>
  <c r="N260" i="11"/>
  <c r="O260" i="11"/>
  <c r="L261" i="11"/>
  <c r="M261" i="11"/>
  <c r="N261" i="11"/>
  <c r="O261" i="11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63" i="9"/>
  <c r="K442" i="1" l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67" i="1" l="1"/>
  <c r="M567" i="1" s="1"/>
  <c r="J567" i="1"/>
  <c r="I567" i="1"/>
  <c r="B567" i="1"/>
  <c r="N567" i="1" l="1"/>
  <c r="AJ567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4" i="1"/>
  <c r="K483" i="1"/>
  <c r="K482" i="1"/>
  <c r="K481" i="1"/>
  <c r="K480" i="1"/>
  <c r="K479" i="1"/>
  <c r="K478" i="1"/>
  <c r="K477" i="1"/>
  <c r="K476" i="1"/>
  <c r="K475" i="1"/>
  <c r="K473" i="1"/>
  <c r="K472" i="1"/>
  <c r="K471" i="1"/>
  <c r="K470" i="1"/>
  <c r="K469" i="1"/>
  <c r="K468" i="1"/>
  <c r="K467" i="1"/>
  <c r="K466" i="1"/>
  <c r="K465" i="1"/>
  <c r="K464" i="1"/>
  <c r="Q462" i="1" l="1"/>
  <c r="W462" i="1" s="1"/>
  <c r="AM462" i="1" s="1"/>
  <c r="Q461" i="1"/>
  <c r="Q460" i="1"/>
  <c r="Q459" i="1"/>
  <c r="Q458" i="1"/>
  <c r="Q457" i="1"/>
  <c r="AK457" i="1" s="1"/>
  <c r="Q456" i="1"/>
  <c r="Q455" i="1"/>
  <c r="Q454" i="1"/>
  <c r="Q453" i="1"/>
  <c r="AK453" i="1" s="1"/>
  <c r="Q452" i="1"/>
  <c r="W452" i="1" s="1"/>
  <c r="AM452" i="1" s="1"/>
  <c r="Q451" i="1"/>
  <c r="AK451" i="1" s="1"/>
  <c r="Q450" i="1"/>
  <c r="AK450" i="1" s="1"/>
  <c r="Q449" i="1"/>
  <c r="W449" i="1" s="1"/>
  <c r="AM449" i="1" s="1"/>
  <c r="Q448" i="1"/>
  <c r="W448" i="1" s="1"/>
  <c r="AM448" i="1" s="1"/>
  <c r="Q447" i="1"/>
  <c r="Q446" i="1"/>
  <c r="AK446" i="1" s="1"/>
  <c r="Q445" i="1"/>
  <c r="W445" i="1" s="1"/>
  <c r="AM445" i="1" s="1"/>
  <c r="Q444" i="1"/>
  <c r="Q443" i="1"/>
  <c r="AK57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K463" i="1"/>
  <c r="AM463" i="1"/>
  <c r="AJ485" i="1"/>
  <c r="AK485" i="1"/>
  <c r="AM485" i="1"/>
  <c r="AJ512" i="1"/>
  <c r="AK512" i="1"/>
  <c r="AL512" i="1"/>
  <c r="AM512" i="1"/>
  <c r="AN512" i="1"/>
  <c r="AJ536" i="1"/>
  <c r="AK536" i="1"/>
  <c r="AL536" i="1"/>
  <c r="AM536" i="1"/>
  <c r="AN536" i="1"/>
  <c r="AJ568" i="1"/>
  <c r="AK568" i="1"/>
  <c r="AL568" i="1"/>
  <c r="AM568" i="1"/>
  <c r="AN567" i="1"/>
  <c r="AJ590" i="1"/>
  <c r="AK590" i="1"/>
  <c r="AL590" i="1"/>
  <c r="AM590" i="1"/>
  <c r="AN589" i="1"/>
  <c r="AK452" i="1" l="1"/>
  <c r="AK445" i="1"/>
  <c r="AK449" i="1"/>
  <c r="AK448" i="1"/>
  <c r="W450" i="1"/>
  <c r="AM450" i="1" s="1"/>
  <c r="AK462" i="1"/>
  <c r="W451" i="1"/>
  <c r="AM451" i="1" s="1"/>
  <c r="W457" i="1"/>
  <c r="AM457" i="1" s="1"/>
  <c r="AK455" i="1"/>
  <c r="W455" i="1"/>
  <c r="AM455" i="1" s="1"/>
  <c r="AK456" i="1"/>
  <c r="W456" i="1"/>
  <c r="AM456" i="1" s="1"/>
  <c r="AK443" i="1"/>
  <c r="W443" i="1"/>
  <c r="AM443" i="1" s="1"/>
  <c r="AK444" i="1"/>
  <c r="W444" i="1"/>
  <c r="AM444" i="1" s="1"/>
  <c r="AK447" i="1"/>
  <c r="W447" i="1"/>
  <c r="AM447" i="1" s="1"/>
  <c r="W459" i="1"/>
  <c r="AM459" i="1" s="1"/>
  <c r="AK459" i="1"/>
  <c r="W453" i="1"/>
  <c r="AM453" i="1" s="1"/>
  <c r="AK454" i="1"/>
  <c r="W454" i="1"/>
  <c r="AM454" i="1" s="1"/>
  <c r="AK460" i="1"/>
  <c r="W460" i="1"/>
  <c r="AM460" i="1" s="1"/>
  <c r="AK461" i="1"/>
  <c r="W461" i="1"/>
  <c r="AM461" i="1" s="1"/>
  <c r="W446" i="1"/>
  <c r="AM446" i="1" s="1"/>
  <c r="AK458" i="1"/>
  <c r="W458" i="1"/>
  <c r="AM458" i="1" s="1"/>
  <c r="AL57" i="1" l="1"/>
  <c r="Q35" i="1"/>
  <c r="W35" i="1" s="1"/>
  <c r="AC35" i="1" s="1"/>
  <c r="Q36" i="1"/>
  <c r="W36" i="1" s="1"/>
  <c r="AC36" i="1" s="1"/>
  <c r="Q37" i="1"/>
  <c r="W37" i="1" s="1"/>
  <c r="AC37" i="1" s="1"/>
  <c r="Q38" i="1"/>
  <c r="W38" i="1" s="1"/>
  <c r="AC38" i="1" s="1"/>
  <c r="Q39" i="1"/>
  <c r="W39" i="1" s="1"/>
  <c r="AC39" i="1" s="1"/>
  <c r="Q40" i="1"/>
  <c r="W40" i="1" s="1"/>
  <c r="AC40" i="1" s="1"/>
  <c r="Q41" i="1"/>
  <c r="W41" i="1" s="1"/>
  <c r="AC41" i="1" s="1"/>
  <c r="Q42" i="1"/>
  <c r="W42" i="1" s="1"/>
  <c r="AC42" i="1" s="1"/>
  <c r="Q43" i="1"/>
  <c r="W43" i="1" s="1"/>
  <c r="AC43" i="1" s="1"/>
  <c r="Q44" i="1"/>
  <c r="W44" i="1" s="1"/>
  <c r="AC44" i="1" s="1"/>
  <c r="Q45" i="1"/>
  <c r="W45" i="1" s="1"/>
  <c r="AC45" i="1" s="1"/>
  <c r="Q46" i="1"/>
  <c r="W46" i="1" s="1"/>
  <c r="AC46" i="1" s="1"/>
  <c r="Q47" i="1"/>
  <c r="W47" i="1" s="1"/>
  <c r="AC47" i="1" s="1"/>
  <c r="Q48" i="1"/>
  <c r="W48" i="1" s="1"/>
  <c r="AC48" i="1" s="1"/>
  <c r="Q49" i="1"/>
  <c r="W49" i="1" s="1"/>
  <c r="AC49" i="1" s="1"/>
  <c r="Q50" i="1"/>
  <c r="W50" i="1" s="1"/>
  <c r="AC50" i="1" s="1"/>
  <c r="Q51" i="1"/>
  <c r="W51" i="1" s="1"/>
  <c r="AC51" i="1" s="1"/>
  <c r="Q52" i="1"/>
  <c r="W52" i="1" s="1"/>
  <c r="AC52" i="1" s="1"/>
  <c r="Q53" i="1"/>
  <c r="W53" i="1" s="1"/>
  <c r="AC53" i="1" s="1"/>
  <c r="Q54" i="1"/>
  <c r="W54" i="1" s="1"/>
  <c r="AC54" i="1" s="1"/>
  <c r="Q55" i="1"/>
  <c r="W55" i="1" s="1"/>
  <c r="AC55" i="1" s="1"/>
  <c r="Q56" i="1"/>
  <c r="W56" i="1" s="1"/>
  <c r="AC56" i="1" s="1"/>
  <c r="AJ57" i="1"/>
  <c r="AJ76" i="1" l="1"/>
  <c r="Q76" i="1"/>
  <c r="W76" i="1" s="1"/>
  <c r="AC76" i="1" s="1"/>
  <c r="AL76" i="1" s="1"/>
  <c r="AJ74" i="1"/>
  <c r="Q74" i="1"/>
  <c r="W74" i="1" s="1"/>
  <c r="AC74" i="1" s="1"/>
  <c r="AL74" i="1" s="1"/>
  <c r="AJ73" i="1"/>
  <c r="Q73" i="1"/>
  <c r="W73" i="1" s="1"/>
  <c r="AC73" i="1" s="1"/>
  <c r="AL73" i="1" s="1"/>
  <c r="AJ71" i="1"/>
  <c r="Q71" i="1"/>
  <c r="W71" i="1" s="1"/>
  <c r="AC71" i="1" s="1"/>
  <c r="AL71" i="1" s="1"/>
  <c r="AJ81" i="1"/>
  <c r="AJ69" i="1"/>
  <c r="AJ33" i="1"/>
  <c r="Q33" i="1"/>
  <c r="W33" i="1" s="1"/>
  <c r="AC33" i="1" s="1"/>
  <c r="AL33" i="1" s="1"/>
  <c r="AJ21" i="1"/>
  <c r="Q21" i="1"/>
  <c r="AJ9" i="1"/>
  <c r="Q9" i="1"/>
  <c r="W9" i="1" s="1"/>
  <c r="AC9" i="1" s="1"/>
  <c r="AL9" i="1" s="1"/>
  <c r="AJ62" i="1"/>
  <c r="Q62" i="1"/>
  <c r="W62" i="1" s="1"/>
  <c r="AJ60" i="1"/>
  <c r="Q60" i="1"/>
  <c r="W60" i="1" s="1"/>
  <c r="AC60" i="1" s="1"/>
  <c r="AL60" i="1" s="1"/>
  <c r="AJ80" i="1"/>
  <c r="AJ68" i="1"/>
  <c r="Q68" i="1"/>
  <c r="W68" i="1" s="1"/>
  <c r="AJ32" i="1"/>
  <c r="Q32" i="1"/>
  <c r="W32" i="1" s="1"/>
  <c r="AC32" i="1" s="1"/>
  <c r="AL32" i="1" s="1"/>
  <c r="AJ20" i="1"/>
  <c r="Q20" i="1"/>
  <c r="AJ8" i="1"/>
  <c r="Q8" i="1"/>
  <c r="W8" i="1" s="1"/>
  <c r="AC8" i="1" s="1"/>
  <c r="AL8" i="1" s="1"/>
  <c r="AJ75" i="1"/>
  <c r="Q75" i="1"/>
  <c r="W75" i="1" s="1"/>
  <c r="AC75" i="1" s="1"/>
  <c r="AL75" i="1" s="1"/>
  <c r="AJ61" i="1"/>
  <c r="Q61" i="1"/>
  <c r="W61" i="1" s="1"/>
  <c r="AC61" i="1" s="1"/>
  <c r="AL61" i="1" s="1"/>
  <c r="AJ84" i="1"/>
  <c r="AJ79" i="1"/>
  <c r="Q79" i="1"/>
  <c r="W79" i="1" s="1"/>
  <c r="AJ67" i="1"/>
  <c r="Q67" i="1"/>
  <c r="W67" i="1" s="1"/>
  <c r="AC67" i="1" s="1"/>
  <c r="AL67" i="1" s="1"/>
  <c r="AJ31" i="1"/>
  <c r="Q31" i="1"/>
  <c r="W31" i="1" s="1"/>
  <c r="AC31" i="1" s="1"/>
  <c r="AL31" i="1" s="1"/>
  <c r="AJ19" i="1"/>
  <c r="Q19" i="1"/>
  <c r="AJ7" i="1"/>
  <c r="Q7" i="1"/>
  <c r="W7" i="1" s="1"/>
  <c r="AC7" i="1" s="1"/>
  <c r="AL7" i="1" s="1"/>
  <c r="AJ66" i="1"/>
  <c r="Q66" i="1"/>
  <c r="W66" i="1" s="1"/>
  <c r="AC66" i="1" s="1"/>
  <c r="AL66" i="1" s="1"/>
  <c r="AJ30" i="1"/>
  <c r="Q30" i="1"/>
  <c r="W30" i="1" s="1"/>
  <c r="AC30" i="1" s="1"/>
  <c r="AL30" i="1" s="1"/>
  <c r="AJ18" i="1"/>
  <c r="Q18" i="1"/>
  <c r="AJ83" i="1"/>
  <c r="Q83" i="1"/>
  <c r="W83" i="1" s="1"/>
  <c r="AC83" i="1" s="1"/>
  <c r="AL83" i="1" s="1"/>
  <c r="AJ65" i="1"/>
  <c r="Q65" i="1"/>
  <c r="W65" i="1" s="1"/>
  <c r="AC65" i="1" s="1"/>
  <c r="AL65" i="1" s="1"/>
  <c r="AJ29" i="1"/>
  <c r="Q29" i="1"/>
  <c r="W29" i="1" s="1"/>
  <c r="AC29" i="1" s="1"/>
  <c r="AL29" i="1" s="1"/>
  <c r="AJ17" i="1"/>
  <c r="Q17" i="1"/>
  <c r="AJ64" i="1"/>
  <c r="Q64" i="1"/>
  <c r="W64" i="1" s="1"/>
  <c r="AC64" i="1" s="1"/>
  <c r="AL64" i="1" s="1"/>
  <c r="AJ28" i="1"/>
  <c r="Q28" i="1"/>
  <c r="W28" i="1" s="1"/>
  <c r="AC28" i="1" s="1"/>
  <c r="AL28" i="1" s="1"/>
  <c r="AJ16" i="1"/>
  <c r="Q16" i="1"/>
  <c r="W16" i="1" s="1"/>
  <c r="AC16" i="1" s="1"/>
  <c r="AL16" i="1" s="1"/>
  <c r="AJ27" i="1"/>
  <c r="Q27" i="1"/>
  <c r="W27" i="1" s="1"/>
  <c r="AC27" i="1" s="1"/>
  <c r="AL27" i="1" s="1"/>
  <c r="AJ15" i="1"/>
  <c r="Q15" i="1"/>
  <c r="W15" i="1" s="1"/>
  <c r="AC15" i="1" s="1"/>
  <c r="AL15" i="1" s="1"/>
  <c r="AJ26" i="1"/>
  <c r="Q26" i="1"/>
  <c r="W26" i="1" s="1"/>
  <c r="AC26" i="1" s="1"/>
  <c r="AL26" i="1" s="1"/>
  <c r="AJ14" i="1"/>
  <c r="Q14" i="1"/>
  <c r="W14" i="1" s="1"/>
  <c r="AC14" i="1" s="1"/>
  <c r="AL14" i="1" s="1"/>
  <c r="AJ25" i="1"/>
  <c r="Q25" i="1"/>
  <c r="W25" i="1" s="1"/>
  <c r="AC25" i="1" s="1"/>
  <c r="AL25" i="1" s="1"/>
  <c r="AJ13" i="1"/>
  <c r="Q13" i="1"/>
  <c r="W13" i="1" s="1"/>
  <c r="AC13" i="1" s="1"/>
  <c r="AL13" i="1" s="1"/>
  <c r="AJ24" i="1"/>
  <c r="Q24" i="1"/>
  <c r="W24" i="1" s="1"/>
  <c r="AC24" i="1" s="1"/>
  <c r="AL24" i="1" s="1"/>
  <c r="AJ12" i="1"/>
  <c r="Q12" i="1"/>
  <c r="W12" i="1" s="1"/>
  <c r="AC12" i="1" s="1"/>
  <c r="AL12" i="1" s="1"/>
  <c r="AJ77" i="1"/>
  <c r="Q77" i="1"/>
  <c r="W77" i="1" s="1"/>
  <c r="AC77" i="1" s="1"/>
  <c r="AL77" i="1" s="1"/>
  <c r="AJ23" i="1"/>
  <c r="Q23" i="1"/>
  <c r="W23" i="1" s="1"/>
  <c r="AC23" i="1" s="1"/>
  <c r="AL23" i="1" s="1"/>
  <c r="AJ11" i="1"/>
  <c r="Q11" i="1"/>
  <c r="W11" i="1" s="1"/>
  <c r="AC11" i="1" s="1"/>
  <c r="AL11" i="1" s="1"/>
  <c r="AJ78" i="1"/>
  <c r="Q78" i="1"/>
  <c r="W78" i="1" s="1"/>
  <c r="AJ63" i="1"/>
  <c r="AJ72" i="1"/>
  <c r="Q72" i="1"/>
  <c r="W72" i="1" s="1"/>
  <c r="AC72" i="1" s="1"/>
  <c r="AL72" i="1" s="1"/>
  <c r="AJ59" i="1"/>
  <c r="Q59" i="1"/>
  <c r="W59" i="1" s="1"/>
  <c r="AC59" i="1" s="1"/>
  <c r="AL59" i="1" s="1"/>
  <c r="AJ82" i="1"/>
  <c r="Q82" i="1"/>
  <c r="W82" i="1" s="1"/>
  <c r="AC82" i="1" s="1"/>
  <c r="AL82" i="1" s="1"/>
  <c r="AJ70" i="1"/>
  <c r="Q70" i="1"/>
  <c r="W70" i="1" s="1"/>
  <c r="AC70" i="1" s="1"/>
  <c r="AL70" i="1" s="1"/>
  <c r="AJ58" i="1"/>
  <c r="Q58" i="1"/>
  <c r="W58" i="1" s="1"/>
  <c r="AC58" i="1" s="1"/>
  <c r="AL58" i="1" s="1"/>
  <c r="AJ34" i="1"/>
  <c r="Q34" i="1"/>
  <c r="W34" i="1" s="1"/>
  <c r="AC34" i="1" s="1"/>
  <c r="AL34" i="1" s="1"/>
  <c r="AJ22" i="1"/>
  <c r="Q22" i="1"/>
  <c r="W22" i="1" s="1"/>
  <c r="AC22" i="1" s="1"/>
  <c r="AL22" i="1" s="1"/>
  <c r="AJ10" i="1"/>
  <c r="Q10" i="1"/>
  <c r="W10" i="1" s="1"/>
  <c r="AC10" i="1" s="1"/>
  <c r="AL10" i="1" s="1"/>
  <c r="AM23" i="1" l="1"/>
  <c r="AM22" i="1"/>
  <c r="Y23" i="1"/>
  <c r="Y22" i="1"/>
  <c r="AM83" i="1" l="1"/>
  <c r="AM82" i="1"/>
  <c r="AM79" i="1"/>
  <c r="AM78" i="1"/>
  <c r="AM77" i="1"/>
  <c r="AM76" i="1"/>
  <c r="AM75" i="1"/>
  <c r="AM74" i="1"/>
  <c r="AM73" i="1"/>
  <c r="AM72" i="1"/>
  <c r="AM71" i="1"/>
  <c r="AM70" i="1"/>
  <c r="AM68" i="1"/>
  <c r="AM67" i="1"/>
  <c r="AM66" i="1"/>
  <c r="AM65" i="1"/>
  <c r="AM64" i="1"/>
  <c r="AM62" i="1"/>
  <c r="AM61" i="1"/>
  <c r="AM60" i="1"/>
  <c r="AM59" i="1"/>
  <c r="AM58" i="1"/>
  <c r="AM57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AM16" i="1"/>
  <c r="AM15" i="1"/>
  <c r="AM14" i="1"/>
  <c r="AM13" i="1"/>
  <c r="AM12" i="1"/>
  <c r="AM11" i="1"/>
  <c r="AM10" i="1"/>
  <c r="AM9" i="1"/>
  <c r="AM8" i="1"/>
  <c r="AM7" i="1"/>
  <c r="AK83" i="1"/>
  <c r="AK82" i="1"/>
  <c r="AK79" i="1"/>
  <c r="AK78" i="1"/>
  <c r="AK77" i="1"/>
  <c r="AK76" i="1"/>
  <c r="AK75" i="1"/>
  <c r="AK74" i="1"/>
  <c r="AK73" i="1"/>
  <c r="AK72" i="1"/>
  <c r="AK71" i="1"/>
  <c r="AK70" i="1"/>
  <c r="AK68" i="1"/>
  <c r="AK67" i="1"/>
  <c r="AK66" i="1"/>
  <c r="AK65" i="1"/>
  <c r="AK64" i="1"/>
  <c r="AK62" i="1"/>
  <c r="AK61" i="1"/>
  <c r="AK60" i="1"/>
  <c r="AK59" i="1"/>
  <c r="AK58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17" i="1"/>
  <c r="AK15" i="1"/>
  <c r="AK14" i="1"/>
  <c r="AK13" i="1"/>
  <c r="AK12" i="1"/>
  <c r="AK10" i="1"/>
  <c r="AK9" i="1"/>
  <c r="Q611" i="1"/>
  <c r="W611" i="1" s="1"/>
  <c r="AC611" i="1" s="1"/>
  <c r="Q610" i="1"/>
  <c r="W610" i="1" s="1"/>
  <c r="Q609" i="1"/>
  <c r="W609" i="1" s="1"/>
  <c r="Q608" i="1"/>
  <c r="W608" i="1" s="1"/>
  <c r="Q607" i="1"/>
  <c r="W607" i="1" s="1"/>
  <c r="Q606" i="1"/>
  <c r="W606" i="1" s="1"/>
  <c r="Q605" i="1"/>
  <c r="W605" i="1" s="1"/>
  <c r="Q604" i="1"/>
  <c r="W604" i="1" s="1"/>
  <c r="Q603" i="1"/>
  <c r="W603" i="1" s="1"/>
  <c r="Q602" i="1"/>
  <c r="W602" i="1" s="1"/>
  <c r="Q601" i="1"/>
  <c r="W601" i="1" s="1"/>
  <c r="Q600" i="1"/>
  <c r="W600" i="1" s="1"/>
  <c r="Q599" i="1"/>
  <c r="W599" i="1" s="1"/>
  <c r="AJ562" i="1"/>
  <c r="AJ423" i="1" l="1"/>
  <c r="Q423" i="1"/>
  <c r="W423" i="1" s="1"/>
  <c r="AJ351" i="1"/>
  <c r="Q351" i="1"/>
  <c r="AJ255" i="1"/>
  <c r="Q255" i="1"/>
  <c r="AJ195" i="1"/>
  <c r="AJ111" i="1"/>
  <c r="Q111" i="1"/>
  <c r="AJ473" i="1"/>
  <c r="AJ535" i="1"/>
  <c r="Q535" i="1"/>
  <c r="AJ410" i="1"/>
  <c r="Q410" i="1"/>
  <c r="AJ350" i="1"/>
  <c r="Q350" i="1"/>
  <c r="AJ397" i="1"/>
  <c r="Q397" i="1"/>
  <c r="AJ373" i="1"/>
  <c r="AJ432" i="1"/>
  <c r="Q432" i="1"/>
  <c r="AJ396" i="1"/>
  <c r="Q396" i="1"/>
  <c r="AJ336" i="1"/>
  <c r="AJ419" i="1"/>
  <c r="Q419" i="1"/>
  <c r="AJ395" i="1"/>
  <c r="Q395" i="1"/>
  <c r="AJ371" i="1"/>
  <c r="Q371" i="1"/>
  <c r="AJ323" i="1"/>
  <c r="Q323" i="1"/>
  <c r="AJ430" i="1"/>
  <c r="Q430" i="1"/>
  <c r="W430" i="1" s="1"/>
  <c r="AJ406" i="1"/>
  <c r="Q406" i="1"/>
  <c r="AJ382" i="1"/>
  <c r="Q382" i="1"/>
  <c r="AJ358" i="1"/>
  <c r="Q358" i="1"/>
  <c r="AJ334" i="1"/>
  <c r="AJ310" i="1"/>
  <c r="Q310" i="1"/>
  <c r="AJ286" i="1"/>
  <c r="AJ262" i="1"/>
  <c r="Q262" i="1"/>
  <c r="AJ238" i="1"/>
  <c r="Q238" i="1"/>
  <c r="AJ202" i="1"/>
  <c r="Q202" i="1"/>
  <c r="W202" i="1" s="1"/>
  <c r="AJ429" i="1"/>
  <c r="Q429" i="1"/>
  <c r="W429" i="1" s="1"/>
  <c r="AJ405" i="1"/>
  <c r="Q405" i="1"/>
  <c r="AJ381" i="1"/>
  <c r="Q381" i="1"/>
  <c r="AJ357" i="1"/>
  <c r="Q357" i="1"/>
  <c r="AJ333" i="1"/>
  <c r="AJ309" i="1"/>
  <c r="Q309" i="1"/>
  <c r="AJ285" i="1"/>
  <c r="Q285" i="1"/>
  <c r="AJ261" i="1"/>
  <c r="Q261" i="1"/>
  <c r="AJ237" i="1"/>
  <c r="Q237" i="1"/>
  <c r="AJ213" i="1"/>
  <c r="Q213" i="1"/>
  <c r="AJ189" i="1"/>
  <c r="Q189" i="1"/>
  <c r="W189" i="1" s="1"/>
  <c r="AJ165" i="1"/>
  <c r="Q165" i="1"/>
  <c r="AJ141" i="1"/>
  <c r="Q141" i="1"/>
  <c r="AJ117" i="1"/>
  <c r="Q117" i="1"/>
  <c r="AJ93" i="1"/>
  <c r="Q93" i="1"/>
  <c r="AJ479" i="1"/>
  <c r="Q479" i="1"/>
  <c r="W479" i="1" s="1"/>
  <c r="AJ504" i="1"/>
  <c r="Q504" i="1"/>
  <c r="AJ529" i="1"/>
  <c r="Q529" i="1"/>
  <c r="AJ542" i="1"/>
  <c r="Q542" i="1"/>
  <c r="W542" i="1" s="1"/>
  <c r="AJ554" i="1"/>
  <c r="Q554" i="1"/>
  <c r="AJ566" i="1"/>
  <c r="AJ580" i="1"/>
  <c r="Q580" i="1"/>
  <c r="AJ593" i="1"/>
  <c r="Q593" i="1"/>
  <c r="AJ428" i="1"/>
  <c r="Q428" i="1"/>
  <c r="W428" i="1" s="1"/>
  <c r="AJ404" i="1"/>
  <c r="Q404" i="1"/>
  <c r="AJ380" i="1"/>
  <c r="Q380" i="1"/>
  <c r="AJ368" i="1"/>
  <c r="Q368" i="1"/>
  <c r="AJ344" i="1"/>
  <c r="Q344" i="1"/>
  <c r="AJ320" i="1"/>
  <c r="Q320" i="1"/>
  <c r="AJ296" i="1"/>
  <c r="Q296" i="1"/>
  <c r="AJ439" i="1"/>
  <c r="Q439" i="1"/>
  <c r="AJ427" i="1"/>
  <c r="AJ415" i="1"/>
  <c r="Q415" i="1"/>
  <c r="AJ403" i="1"/>
  <c r="Q403" i="1"/>
  <c r="AJ391" i="1"/>
  <c r="Q391" i="1"/>
  <c r="AJ379" i="1"/>
  <c r="Q379" i="1"/>
  <c r="AJ367" i="1"/>
  <c r="Q367" i="1"/>
  <c r="AJ355" i="1"/>
  <c r="Q355" i="1"/>
  <c r="AJ343" i="1"/>
  <c r="Q343" i="1"/>
  <c r="AJ331" i="1"/>
  <c r="AJ319" i="1"/>
  <c r="Q319" i="1"/>
  <c r="AJ307" i="1"/>
  <c r="Q307" i="1"/>
  <c r="AJ295" i="1"/>
  <c r="Q295" i="1"/>
  <c r="AJ283" i="1"/>
  <c r="Q283" i="1"/>
  <c r="AJ271" i="1"/>
  <c r="Q271" i="1"/>
  <c r="AJ259" i="1"/>
  <c r="Q259" i="1"/>
  <c r="AJ247" i="1"/>
  <c r="Q247" i="1"/>
  <c r="AJ235" i="1"/>
  <c r="Q235" i="1"/>
  <c r="AJ223" i="1"/>
  <c r="Q223" i="1"/>
  <c r="AJ211" i="1"/>
  <c r="Q211" i="1"/>
  <c r="AJ199" i="1"/>
  <c r="AJ424" i="1"/>
  <c r="Q424" i="1"/>
  <c r="AJ375" i="1"/>
  <c r="Q375" i="1"/>
  <c r="AJ267" i="1"/>
  <c r="Q267" i="1"/>
  <c r="AJ207" i="1"/>
  <c r="Q207" i="1"/>
  <c r="AJ123" i="1"/>
  <c r="Q123" i="1"/>
  <c r="AJ87" i="1"/>
  <c r="Q87" i="1"/>
  <c r="AJ548" i="1"/>
  <c r="Q548" i="1"/>
  <c r="AJ386" i="1"/>
  <c r="Q386" i="1"/>
  <c r="AJ374" i="1"/>
  <c r="Q374" i="1"/>
  <c r="AJ409" i="1"/>
  <c r="Q409" i="1"/>
  <c r="AJ361" i="1"/>
  <c r="Q361" i="1"/>
  <c r="AJ420" i="1"/>
  <c r="Q420" i="1"/>
  <c r="AJ384" i="1"/>
  <c r="Q384" i="1"/>
  <c r="AJ324" i="1"/>
  <c r="Q324" i="1"/>
  <c r="AJ431" i="1"/>
  <c r="AJ407" i="1"/>
  <c r="Q407" i="1"/>
  <c r="AJ383" i="1"/>
  <c r="Q383" i="1"/>
  <c r="AJ359" i="1"/>
  <c r="Q359" i="1"/>
  <c r="AJ335" i="1"/>
  <c r="AJ311" i="1"/>
  <c r="Q311" i="1"/>
  <c r="AJ442" i="1"/>
  <c r="Q442" i="1"/>
  <c r="AJ418" i="1"/>
  <c r="Q418" i="1"/>
  <c r="W418" i="1" s="1"/>
  <c r="AJ394" i="1"/>
  <c r="Q394" i="1"/>
  <c r="AJ370" i="1"/>
  <c r="Q370" i="1"/>
  <c r="AJ346" i="1"/>
  <c r="Q346" i="1"/>
  <c r="AJ322" i="1"/>
  <c r="Q322" i="1"/>
  <c r="AJ298" i="1"/>
  <c r="Q298" i="1"/>
  <c r="AJ274" i="1"/>
  <c r="Q274" i="1"/>
  <c r="AJ250" i="1"/>
  <c r="Q250" i="1"/>
  <c r="AJ226" i="1"/>
  <c r="Q226" i="1"/>
  <c r="AJ214" i="1"/>
  <c r="Q214" i="1"/>
  <c r="AJ441" i="1"/>
  <c r="Q441" i="1"/>
  <c r="AJ417" i="1"/>
  <c r="Q417" i="1"/>
  <c r="W417" i="1" s="1"/>
  <c r="AJ393" i="1"/>
  <c r="Q393" i="1"/>
  <c r="AJ369" i="1"/>
  <c r="Q369" i="1"/>
  <c r="AJ345" i="1"/>
  <c r="Q345" i="1"/>
  <c r="AJ321" i="1"/>
  <c r="Q321" i="1"/>
  <c r="AJ297" i="1"/>
  <c r="Q297" i="1"/>
  <c r="AJ273" i="1"/>
  <c r="Q273" i="1"/>
  <c r="AJ249" i="1"/>
  <c r="Q249" i="1"/>
  <c r="AJ225" i="1"/>
  <c r="Q225" i="1"/>
  <c r="AJ201" i="1"/>
  <c r="Q201" i="1"/>
  <c r="AJ177" i="1"/>
  <c r="Q177" i="1"/>
  <c r="W177" i="1" s="1"/>
  <c r="AJ153" i="1"/>
  <c r="Q153" i="1"/>
  <c r="AJ129" i="1"/>
  <c r="Q129" i="1"/>
  <c r="AJ105" i="1"/>
  <c r="Q105" i="1"/>
  <c r="AJ467" i="1"/>
  <c r="Q467" i="1"/>
  <c r="W467" i="1" s="1"/>
  <c r="AJ492" i="1"/>
  <c r="Q492" i="1"/>
  <c r="W492" i="1" s="1"/>
  <c r="AJ517" i="1"/>
  <c r="Q517" i="1"/>
  <c r="W517" i="1" s="1"/>
  <c r="AJ440" i="1"/>
  <c r="Q440" i="1"/>
  <c r="AJ416" i="1"/>
  <c r="Q416" i="1"/>
  <c r="W416" i="1" s="1"/>
  <c r="AJ392" i="1"/>
  <c r="Q392" i="1"/>
  <c r="AJ356" i="1"/>
  <c r="Q356" i="1"/>
  <c r="AJ332" i="1"/>
  <c r="AJ308" i="1"/>
  <c r="Q308" i="1"/>
  <c r="AJ284" i="1"/>
  <c r="Q284" i="1"/>
  <c r="AJ438" i="1"/>
  <c r="Q438" i="1"/>
  <c r="AJ426" i="1"/>
  <c r="AJ414" i="1"/>
  <c r="Q414" i="1"/>
  <c r="AJ402" i="1"/>
  <c r="Q402" i="1"/>
  <c r="AJ390" i="1"/>
  <c r="Q390" i="1"/>
  <c r="AJ378" i="1"/>
  <c r="Q378" i="1"/>
  <c r="AJ366" i="1"/>
  <c r="Q366" i="1"/>
  <c r="AJ354" i="1"/>
  <c r="Q354" i="1"/>
  <c r="AJ342" i="1"/>
  <c r="Q342" i="1"/>
  <c r="AJ330" i="1"/>
  <c r="AJ318" i="1"/>
  <c r="Q318" i="1"/>
  <c r="AJ306" i="1"/>
  <c r="Q306" i="1"/>
  <c r="AJ294" i="1"/>
  <c r="AJ282" i="1"/>
  <c r="Q282" i="1"/>
  <c r="AJ270" i="1"/>
  <c r="Q270" i="1"/>
  <c r="AJ258" i="1"/>
  <c r="Q258" i="1"/>
  <c r="AJ246" i="1"/>
  <c r="AJ234" i="1"/>
  <c r="AJ435" i="1"/>
  <c r="Q435" i="1"/>
  <c r="AJ291" i="1"/>
  <c r="Q291" i="1"/>
  <c r="AJ437" i="1"/>
  <c r="Q437" i="1"/>
  <c r="AJ425" i="1"/>
  <c r="Q425" i="1"/>
  <c r="AJ413" i="1"/>
  <c r="Q413" i="1"/>
  <c r="AJ401" i="1"/>
  <c r="Q401" i="1"/>
  <c r="AJ389" i="1"/>
  <c r="Q389" i="1"/>
  <c r="AJ377" i="1"/>
  <c r="Q377" i="1"/>
  <c r="AJ365" i="1"/>
  <c r="Q365" i="1"/>
  <c r="AJ353" i="1"/>
  <c r="Q353" i="1"/>
  <c r="AJ341" i="1"/>
  <c r="Q341" i="1"/>
  <c r="AJ329" i="1"/>
  <c r="AJ317" i="1"/>
  <c r="Q317" i="1"/>
  <c r="AJ305" i="1"/>
  <c r="Q305" i="1"/>
  <c r="AJ293" i="1"/>
  <c r="AJ281" i="1"/>
  <c r="AJ269" i="1"/>
  <c r="Q269" i="1"/>
  <c r="AJ257" i="1"/>
  <c r="Q257" i="1"/>
  <c r="AJ245" i="1"/>
  <c r="AJ436" i="1"/>
  <c r="Q436" i="1"/>
  <c r="AJ412" i="1"/>
  <c r="Q412" i="1"/>
  <c r="AJ400" i="1"/>
  <c r="AJ388" i="1"/>
  <c r="Q388" i="1"/>
  <c r="AJ376" i="1"/>
  <c r="Q376" i="1"/>
  <c r="AJ364" i="1"/>
  <c r="Q364" i="1"/>
  <c r="AJ352" i="1"/>
  <c r="Q352" i="1"/>
  <c r="AJ340" i="1"/>
  <c r="Q340" i="1"/>
  <c r="AJ328" i="1"/>
  <c r="Q328" i="1"/>
  <c r="AJ316" i="1"/>
  <c r="Q316" i="1"/>
  <c r="AJ304" i="1"/>
  <c r="Q304" i="1"/>
  <c r="AJ292" i="1"/>
  <c r="Q292" i="1"/>
  <c r="AJ280" i="1"/>
  <c r="Q280" i="1"/>
  <c r="AJ279" i="1"/>
  <c r="Q279" i="1"/>
  <c r="AJ339" i="1"/>
  <c r="Q339" i="1"/>
  <c r="AJ159" i="1"/>
  <c r="Q159" i="1"/>
  <c r="AJ510" i="1"/>
  <c r="Q510" i="1"/>
  <c r="AJ362" i="1"/>
  <c r="Q362" i="1"/>
  <c r="AJ338" i="1"/>
  <c r="AJ326" i="1"/>
  <c r="Q326" i="1"/>
  <c r="AJ314" i="1"/>
  <c r="Q314" i="1"/>
  <c r="AJ303" i="1"/>
  <c r="Q303" i="1"/>
  <c r="AJ135" i="1"/>
  <c r="AJ574" i="1"/>
  <c r="Q574" i="1"/>
  <c r="AJ385" i="1"/>
  <c r="Q385" i="1"/>
  <c r="AJ337" i="1"/>
  <c r="AJ325" i="1"/>
  <c r="Q325" i="1"/>
  <c r="AJ313" i="1"/>
  <c r="Q313" i="1"/>
  <c r="AJ363" i="1"/>
  <c r="Q363" i="1"/>
  <c r="AJ183" i="1"/>
  <c r="Q183" i="1"/>
  <c r="W183" i="1" s="1"/>
  <c r="AJ498" i="1"/>
  <c r="Q498" i="1"/>
  <c r="W498" i="1" s="1"/>
  <c r="AJ422" i="1"/>
  <c r="Q422" i="1"/>
  <c r="W422" i="1" s="1"/>
  <c r="AJ433" i="1"/>
  <c r="Q433" i="1"/>
  <c r="AJ408" i="1"/>
  <c r="Q408" i="1"/>
  <c r="AJ312" i="1"/>
  <c r="Q312" i="1"/>
  <c r="AJ327" i="1"/>
  <c r="Q327" i="1"/>
  <c r="AJ171" i="1"/>
  <c r="Q171" i="1"/>
  <c r="W171" i="1" s="1"/>
  <c r="AJ560" i="1"/>
  <c r="AJ421" i="1"/>
  <c r="Q421" i="1"/>
  <c r="W421" i="1" s="1"/>
  <c r="AJ347" i="1"/>
  <c r="Q347" i="1"/>
  <c r="AJ387" i="1"/>
  <c r="Q387" i="1"/>
  <c r="AJ243" i="1"/>
  <c r="Q243" i="1"/>
  <c r="AJ486" i="1"/>
  <c r="Q486" i="1"/>
  <c r="W486" i="1" s="1"/>
  <c r="AJ434" i="1"/>
  <c r="Q434" i="1"/>
  <c r="AJ348" i="1"/>
  <c r="Q348" i="1"/>
  <c r="AJ399" i="1"/>
  <c r="Q399" i="1"/>
  <c r="AJ219" i="1"/>
  <c r="Q219" i="1"/>
  <c r="AJ586" i="1"/>
  <c r="Q586" i="1"/>
  <c r="AJ360" i="1"/>
  <c r="Q360" i="1"/>
  <c r="AJ411" i="1"/>
  <c r="Q411" i="1"/>
  <c r="AJ315" i="1"/>
  <c r="Q315" i="1"/>
  <c r="AJ231" i="1"/>
  <c r="Q231" i="1"/>
  <c r="AJ147" i="1"/>
  <c r="Q147" i="1"/>
  <c r="AJ99" i="1"/>
  <c r="Q99" i="1"/>
  <c r="AJ523" i="1"/>
  <c r="AJ398" i="1"/>
  <c r="Q398" i="1"/>
  <c r="AJ349" i="1"/>
  <c r="Q349" i="1"/>
  <c r="AJ372" i="1"/>
  <c r="AJ301" i="1"/>
  <c r="Q301" i="1"/>
  <c r="AJ289" i="1"/>
  <c r="Q289" i="1"/>
  <c r="AJ277" i="1"/>
  <c r="Q277" i="1"/>
  <c r="AJ265" i="1"/>
  <c r="Q265" i="1"/>
  <c r="AJ253" i="1"/>
  <c r="Q253" i="1"/>
  <c r="AJ241" i="1"/>
  <c r="Q241" i="1"/>
  <c r="AJ229" i="1"/>
  <c r="Q229" i="1"/>
  <c r="AJ217" i="1"/>
  <c r="Q217" i="1"/>
  <c r="AJ205" i="1"/>
  <c r="Q205" i="1"/>
  <c r="AJ193" i="1"/>
  <c r="AJ181" i="1"/>
  <c r="Q181" i="1"/>
  <c r="W181" i="1" s="1"/>
  <c r="AJ169" i="1"/>
  <c r="Q169" i="1"/>
  <c r="W169" i="1" s="1"/>
  <c r="AJ157" i="1"/>
  <c r="Q157" i="1"/>
  <c r="AJ145" i="1"/>
  <c r="Q145" i="1"/>
  <c r="AJ133" i="1"/>
  <c r="Q133" i="1"/>
  <c r="AJ121" i="1"/>
  <c r="Q121" i="1"/>
  <c r="AJ109" i="1"/>
  <c r="Q109" i="1"/>
  <c r="AJ97" i="1"/>
  <c r="Q97" i="1"/>
  <c r="AJ85" i="1"/>
  <c r="Q85" i="1"/>
  <c r="AJ475" i="1"/>
  <c r="Q475" i="1"/>
  <c r="W475" i="1" s="1"/>
  <c r="AJ488" i="1"/>
  <c r="Q488" i="1"/>
  <c r="W488" i="1" s="1"/>
  <c r="AJ500" i="1"/>
  <c r="Q500" i="1"/>
  <c r="W500" i="1" s="1"/>
  <c r="AJ513" i="1"/>
  <c r="Q513" i="1"/>
  <c r="W513" i="1" s="1"/>
  <c r="AJ525" i="1"/>
  <c r="Q525" i="1"/>
  <c r="AJ538" i="1"/>
  <c r="Q538" i="1"/>
  <c r="W538" i="1" s="1"/>
  <c r="AJ550" i="1"/>
  <c r="Q550" i="1"/>
  <c r="AJ576" i="1"/>
  <c r="Q576" i="1"/>
  <c r="AJ588" i="1"/>
  <c r="Q588" i="1"/>
  <c r="AJ300" i="1"/>
  <c r="Q300" i="1"/>
  <c r="AJ288" i="1"/>
  <c r="Q288" i="1"/>
  <c r="AJ276" i="1"/>
  <c r="Q276" i="1"/>
  <c r="AJ264" i="1"/>
  <c r="Q264" i="1"/>
  <c r="AJ252" i="1"/>
  <c r="Q252" i="1"/>
  <c r="AJ240" i="1"/>
  <c r="Q240" i="1"/>
  <c r="AJ228" i="1"/>
  <c r="AJ216" i="1"/>
  <c r="Q216" i="1"/>
  <c r="AJ204" i="1"/>
  <c r="Q204" i="1"/>
  <c r="W204" i="1" s="1"/>
  <c r="AJ192" i="1"/>
  <c r="Q192" i="1"/>
  <c r="W192" i="1" s="1"/>
  <c r="AJ180" i="1"/>
  <c r="Q180" i="1"/>
  <c r="W180" i="1" s="1"/>
  <c r="AJ168" i="1"/>
  <c r="Q168" i="1"/>
  <c r="W168" i="1" s="1"/>
  <c r="AJ156" i="1"/>
  <c r="Q156" i="1"/>
  <c r="AJ144" i="1"/>
  <c r="Q144" i="1"/>
  <c r="AJ132" i="1"/>
  <c r="Q132" i="1"/>
  <c r="AJ120" i="1"/>
  <c r="Q120" i="1"/>
  <c r="AJ108" i="1"/>
  <c r="Q108" i="1"/>
  <c r="AJ96" i="1"/>
  <c r="Q96" i="1"/>
  <c r="AJ464" i="1"/>
  <c r="Q464" i="1"/>
  <c r="W464" i="1" s="1"/>
  <c r="AJ476" i="1"/>
  <c r="Q476" i="1"/>
  <c r="W476" i="1" s="1"/>
  <c r="AJ489" i="1"/>
  <c r="Q489" i="1"/>
  <c r="W489" i="1" s="1"/>
  <c r="AJ501" i="1"/>
  <c r="Q501" i="1"/>
  <c r="AK501" i="1" s="1"/>
  <c r="AJ514" i="1"/>
  <c r="AJ526" i="1"/>
  <c r="Q526" i="1"/>
  <c r="AJ539" i="1"/>
  <c r="Q539" i="1"/>
  <c r="W539" i="1" s="1"/>
  <c r="AJ551" i="1"/>
  <c r="Q551" i="1"/>
  <c r="AJ563" i="1"/>
  <c r="AJ577" i="1"/>
  <c r="Q577" i="1"/>
  <c r="AJ589" i="1"/>
  <c r="Q589" i="1"/>
  <c r="AJ299" i="1"/>
  <c r="Q299" i="1"/>
  <c r="AJ287" i="1"/>
  <c r="Q287" i="1"/>
  <c r="AJ275" i="1"/>
  <c r="Q275" i="1"/>
  <c r="AJ263" i="1"/>
  <c r="Q263" i="1"/>
  <c r="AJ251" i="1"/>
  <c r="Q251" i="1"/>
  <c r="AJ239" i="1"/>
  <c r="Q239" i="1"/>
  <c r="AJ227" i="1"/>
  <c r="Q227" i="1"/>
  <c r="AJ215" i="1"/>
  <c r="Q215" i="1"/>
  <c r="AJ203" i="1"/>
  <c r="Q203" i="1"/>
  <c r="W203" i="1" s="1"/>
  <c r="AJ191" i="1"/>
  <c r="Q191" i="1"/>
  <c r="W191" i="1" s="1"/>
  <c r="AJ179" i="1"/>
  <c r="Q179" i="1"/>
  <c r="W179" i="1" s="1"/>
  <c r="AJ167" i="1"/>
  <c r="Q167" i="1"/>
  <c r="AJ155" i="1"/>
  <c r="Q155" i="1"/>
  <c r="AJ143" i="1"/>
  <c r="Q143" i="1"/>
  <c r="AJ131" i="1"/>
  <c r="Q131" i="1"/>
  <c r="AJ119" i="1"/>
  <c r="AJ107" i="1"/>
  <c r="Q107" i="1"/>
  <c r="AJ95" i="1"/>
  <c r="Q95" i="1"/>
  <c r="AJ465" i="1"/>
  <c r="Q465" i="1"/>
  <c r="W465" i="1" s="1"/>
  <c r="AJ477" i="1"/>
  <c r="Q477" i="1"/>
  <c r="W477" i="1" s="1"/>
  <c r="AJ490" i="1"/>
  <c r="AJ502" i="1"/>
  <c r="Q502" i="1"/>
  <c r="AJ515" i="1"/>
  <c r="Q515" i="1"/>
  <c r="W515" i="1" s="1"/>
  <c r="AJ527" i="1"/>
  <c r="Q527" i="1"/>
  <c r="AJ540" i="1"/>
  <c r="Q540" i="1"/>
  <c r="W540" i="1" s="1"/>
  <c r="AJ552" i="1"/>
  <c r="Q552" i="1"/>
  <c r="AJ564" i="1"/>
  <c r="AJ578" i="1"/>
  <c r="Q578" i="1"/>
  <c r="AJ591" i="1"/>
  <c r="Q591" i="1"/>
  <c r="AJ190" i="1"/>
  <c r="Q190" i="1"/>
  <c r="W190" i="1" s="1"/>
  <c r="AJ178" i="1"/>
  <c r="Q178" i="1"/>
  <c r="W178" i="1" s="1"/>
  <c r="AJ166" i="1"/>
  <c r="Q166" i="1"/>
  <c r="AJ154" i="1"/>
  <c r="Q154" i="1"/>
  <c r="AJ142" i="1"/>
  <c r="Q142" i="1"/>
  <c r="AJ130" i="1"/>
  <c r="Q130" i="1"/>
  <c r="AJ118" i="1"/>
  <c r="Q118" i="1"/>
  <c r="AJ106" i="1"/>
  <c r="Q106" i="1"/>
  <c r="AJ94" i="1"/>
  <c r="Q94" i="1"/>
  <c r="AJ466" i="1"/>
  <c r="Q466" i="1"/>
  <c r="W466" i="1" s="1"/>
  <c r="AJ478" i="1"/>
  <c r="Q478" i="1"/>
  <c r="W478" i="1" s="1"/>
  <c r="AJ491" i="1"/>
  <c r="Q491" i="1"/>
  <c r="W491" i="1" s="1"/>
  <c r="AJ503" i="1"/>
  <c r="Q503" i="1"/>
  <c r="AJ516" i="1"/>
  <c r="Q516" i="1"/>
  <c r="AJ528" i="1"/>
  <c r="Q528" i="1"/>
  <c r="AJ541" i="1"/>
  <c r="Q541" i="1"/>
  <c r="W541" i="1" s="1"/>
  <c r="AJ553" i="1"/>
  <c r="Q553" i="1"/>
  <c r="AJ565" i="1"/>
  <c r="AJ579" i="1"/>
  <c r="Q579" i="1"/>
  <c r="AJ592" i="1"/>
  <c r="Q592" i="1"/>
  <c r="AJ272" i="1"/>
  <c r="Q272" i="1"/>
  <c r="AJ260" i="1"/>
  <c r="Q260" i="1"/>
  <c r="AJ248" i="1"/>
  <c r="Q248" i="1"/>
  <c r="AJ236" i="1"/>
  <c r="Q236" i="1"/>
  <c r="AJ224" i="1"/>
  <c r="Q224" i="1"/>
  <c r="AJ212" i="1"/>
  <c r="Q212" i="1"/>
  <c r="AJ200" i="1"/>
  <c r="AJ188" i="1"/>
  <c r="Q188" i="1"/>
  <c r="W188" i="1" s="1"/>
  <c r="AJ176" i="1"/>
  <c r="Q176" i="1"/>
  <c r="W176" i="1" s="1"/>
  <c r="AJ164" i="1"/>
  <c r="Q164" i="1"/>
  <c r="AJ152" i="1"/>
  <c r="Q152" i="1"/>
  <c r="AJ140" i="1"/>
  <c r="Q140" i="1"/>
  <c r="AJ128" i="1"/>
  <c r="Q128" i="1"/>
  <c r="AJ116" i="1"/>
  <c r="Q116" i="1"/>
  <c r="AJ104" i="1"/>
  <c r="Q104" i="1"/>
  <c r="AJ92" i="1"/>
  <c r="Q92" i="1"/>
  <c r="AJ468" i="1"/>
  <c r="Q468" i="1"/>
  <c r="W468" i="1" s="1"/>
  <c r="AJ480" i="1"/>
  <c r="Q480" i="1"/>
  <c r="W480" i="1" s="1"/>
  <c r="AJ493" i="1"/>
  <c r="Q493" i="1"/>
  <c r="W493" i="1" s="1"/>
  <c r="AJ505" i="1"/>
  <c r="Q505" i="1"/>
  <c r="AJ518" i="1"/>
  <c r="AJ530" i="1"/>
  <c r="Q530" i="1"/>
  <c r="AJ543" i="1"/>
  <c r="Q543" i="1"/>
  <c r="W543" i="1" s="1"/>
  <c r="AJ555" i="1"/>
  <c r="Q555" i="1"/>
  <c r="AJ569" i="1"/>
  <c r="Q569" i="1"/>
  <c r="AJ581" i="1"/>
  <c r="Q581" i="1"/>
  <c r="AJ594" i="1"/>
  <c r="Q594" i="1"/>
  <c r="AJ187" i="1"/>
  <c r="Q187" i="1"/>
  <c r="W187" i="1" s="1"/>
  <c r="AJ175" i="1"/>
  <c r="Q175" i="1"/>
  <c r="AJ163" i="1"/>
  <c r="Q163" i="1"/>
  <c r="AJ151" i="1"/>
  <c r="Q151" i="1"/>
  <c r="AJ139" i="1"/>
  <c r="Q139" i="1"/>
  <c r="AJ127" i="1"/>
  <c r="Q127" i="1"/>
  <c r="AJ115" i="1"/>
  <c r="Q115" i="1"/>
  <c r="AJ103" i="1"/>
  <c r="Q103" i="1"/>
  <c r="AJ91" i="1"/>
  <c r="Q91" i="1"/>
  <c r="AJ469" i="1"/>
  <c r="Q469" i="1"/>
  <c r="W469" i="1" s="1"/>
  <c r="AJ481" i="1"/>
  <c r="Q481" i="1"/>
  <c r="W481" i="1" s="1"/>
  <c r="AJ494" i="1"/>
  <c r="Q494" i="1"/>
  <c r="W494" i="1" s="1"/>
  <c r="AJ506" i="1"/>
  <c r="Q506" i="1"/>
  <c r="AJ519" i="1"/>
  <c r="Q519" i="1"/>
  <c r="W519" i="1" s="1"/>
  <c r="AJ531" i="1"/>
  <c r="Q531" i="1"/>
  <c r="AJ544" i="1"/>
  <c r="Q544" i="1"/>
  <c r="W544" i="1" s="1"/>
  <c r="AJ556" i="1"/>
  <c r="Q556" i="1"/>
  <c r="AJ570" i="1"/>
  <c r="Q570" i="1"/>
  <c r="AJ582" i="1"/>
  <c r="Q582" i="1"/>
  <c r="AJ595" i="1"/>
  <c r="Q595" i="1"/>
  <c r="AJ222" i="1"/>
  <c r="Q222" i="1"/>
  <c r="AJ210" i="1"/>
  <c r="Q210" i="1"/>
  <c r="AJ198" i="1"/>
  <c r="Q198" i="1"/>
  <c r="AJ186" i="1"/>
  <c r="Q186" i="1"/>
  <c r="W186" i="1" s="1"/>
  <c r="AJ174" i="1"/>
  <c r="Q174" i="1"/>
  <c r="W174" i="1" s="1"/>
  <c r="AJ162" i="1"/>
  <c r="Q162" i="1"/>
  <c r="AJ150" i="1"/>
  <c r="Q150" i="1"/>
  <c r="AJ138" i="1"/>
  <c r="Q138" i="1"/>
  <c r="AJ126" i="1"/>
  <c r="Q126" i="1"/>
  <c r="AJ114" i="1"/>
  <c r="Q114" i="1"/>
  <c r="AJ102" i="1"/>
  <c r="Q102" i="1"/>
  <c r="AJ90" i="1"/>
  <c r="Q90" i="1"/>
  <c r="AJ470" i="1"/>
  <c r="Q470" i="1"/>
  <c r="W470" i="1" s="1"/>
  <c r="AJ482" i="1"/>
  <c r="Q482" i="1"/>
  <c r="W482" i="1" s="1"/>
  <c r="AJ495" i="1"/>
  <c r="AJ507" i="1"/>
  <c r="Q507" i="1"/>
  <c r="AJ520" i="1"/>
  <c r="Q520" i="1"/>
  <c r="W520" i="1" s="1"/>
  <c r="AJ532" i="1"/>
  <c r="Q532" i="1"/>
  <c r="AJ545" i="1"/>
  <c r="AJ557" i="1"/>
  <c r="Q557" i="1"/>
  <c r="AJ571" i="1"/>
  <c r="Q571" i="1"/>
  <c r="AJ583" i="1"/>
  <c r="Q583" i="1"/>
  <c r="AJ596" i="1"/>
  <c r="Q596" i="1"/>
  <c r="AJ233" i="1"/>
  <c r="Q233" i="1"/>
  <c r="AJ221" i="1"/>
  <c r="Q221" i="1"/>
  <c r="W221" i="1" s="1"/>
  <c r="AJ209" i="1"/>
  <c r="Q209" i="1"/>
  <c r="AJ197" i="1"/>
  <c r="AJ185" i="1"/>
  <c r="Q185" i="1"/>
  <c r="W185" i="1" s="1"/>
  <c r="AJ173" i="1"/>
  <c r="Q173" i="1"/>
  <c r="W173" i="1" s="1"/>
  <c r="AJ161" i="1"/>
  <c r="Q161" i="1"/>
  <c r="AJ149" i="1"/>
  <c r="Q149" i="1"/>
  <c r="AJ137" i="1"/>
  <c r="Q137" i="1"/>
  <c r="AJ125" i="1"/>
  <c r="Q125" i="1"/>
  <c r="AJ113" i="1"/>
  <c r="Q113" i="1"/>
  <c r="AJ101" i="1"/>
  <c r="Q101" i="1"/>
  <c r="AJ89" i="1"/>
  <c r="Q89" i="1"/>
  <c r="AJ471" i="1"/>
  <c r="Q471" i="1"/>
  <c r="W471" i="1" s="1"/>
  <c r="AJ483" i="1"/>
  <c r="Q483" i="1"/>
  <c r="W483" i="1" s="1"/>
  <c r="AJ496" i="1"/>
  <c r="AJ508" i="1"/>
  <c r="Q508" i="1"/>
  <c r="AJ521" i="1"/>
  <c r="Q521" i="1"/>
  <c r="W521" i="1" s="1"/>
  <c r="AJ533" i="1"/>
  <c r="Q533" i="1"/>
  <c r="AJ546" i="1"/>
  <c r="Q546" i="1"/>
  <c r="AJ558" i="1"/>
  <c r="AJ572" i="1"/>
  <c r="Q572" i="1"/>
  <c r="AJ584" i="1"/>
  <c r="Q584" i="1"/>
  <c r="AJ597" i="1"/>
  <c r="Q597" i="1"/>
  <c r="AJ268" i="1"/>
  <c r="Q268" i="1"/>
  <c r="AJ256" i="1"/>
  <c r="Q256" i="1"/>
  <c r="AJ244" i="1"/>
  <c r="Q244" i="1"/>
  <c r="AJ232" i="1"/>
  <c r="Q232" i="1"/>
  <c r="AJ220" i="1"/>
  <c r="Q220" i="1"/>
  <c r="W220" i="1" s="1"/>
  <c r="AJ208" i="1"/>
  <c r="Q208" i="1"/>
  <c r="AJ196" i="1"/>
  <c r="AJ184" i="1"/>
  <c r="Q184" i="1"/>
  <c r="W184" i="1" s="1"/>
  <c r="AJ172" i="1"/>
  <c r="Q172" i="1"/>
  <c r="W172" i="1" s="1"/>
  <c r="AJ160" i="1"/>
  <c r="Q160" i="1"/>
  <c r="AJ148" i="1"/>
  <c r="Q148" i="1"/>
  <c r="AJ136" i="1"/>
  <c r="AJ124" i="1"/>
  <c r="AJ112" i="1"/>
  <c r="Q112" i="1"/>
  <c r="AJ100" i="1"/>
  <c r="Q100" i="1"/>
  <c r="AJ88" i="1"/>
  <c r="Q88" i="1"/>
  <c r="AJ472" i="1"/>
  <c r="AJ484" i="1"/>
  <c r="Q484" i="1"/>
  <c r="W484" i="1" s="1"/>
  <c r="AJ497" i="1"/>
  <c r="Q497" i="1"/>
  <c r="W497" i="1" s="1"/>
  <c r="AJ509" i="1"/>
  <c r="Q509" i="1"/>
  <c r="AJ522" i="1"/>
  <c r="Q522" i="1"/>
  <c r="W522" i="1" s="1"/>
  <c r="AJ534" i="1"/>
  <c r="Q534" i="1"/>
  <c r="AJ547" i="1"/>
  <c r="Q547" i="1"/>
  <c r="AJ559" i="1"/>
  <c r="AJ573" i="1"/>
  <c r="Q573" i="1"/>
  <c r="AJ585" i="1"/>
  <c r="Q585" i="1"/>
  <c r="AJ598" i="1"/>
  <c r="Q598" i="1"/>
  <c r="AJ302" i="1"/>
  <c r="Q302" i="1"/>
  <c r="AJ290" i="1"/>
  <c r="Q290" i="1"/>
  <c r="AJ278" i="1"/>
  <c r="Q278" i="1"/>
  <c r="AJ266" i="1"/>
  <c r="Q266" i="1"/>
  <c r="AJ254" i="1"/>
  <c r="Q254" i="1"/>
  <c r="AJ242" i="1"/>
  <c r="Q242" i="1"/>
  <c r="AJ230" i="1"/>
  <c r="Q230" i="1"/>
  <c r="AJ218" i="1"/>
  <c r="Q218" i="1"/>
  <c r="AJ206" i="1"/>
  <c r="Q206" i="1"/>
  <c r="AJ194" i="1"/>
  <c r="AJ182" i="1"/>
  <c r="Q182" i="1"/>
  <c r="W182" i="1" s="1"/>
  <c r="AJ170" i="1"/>
  <c r="Q170" i="1"/>
  <c r="W170" i="1" s="1"/>
  <c r="AJ158" i="1"/>
  <c r="Q158" i="1"/>
  <c r="AJ146" i="1"/>
  <c r="Q146" i="1"/>
  <c r="AJ134" i="1"/>
  <c r="Q134" i="1"/>
  <c r="AJ122" i="1"/>
  <c r="Q122" i="1"/>
  <c r="AJ110" i="1"/>
  <c r="Q110" i="1"/>
  <c r="AJ98" i="1"/>
  <c r="Q98" i="1"/>
  <c r="AJ86" i="1"/>
  <c r="Q86" i="1"/>
  <c r="AJ474" i="1"/>
  <c r="AJ487" i="1"/>
  <c r="Q487" i="1"/>
  <c r="W487" i="1" s="1"/>
  <c r="AJ499" i="1"/>
  <c r="Q499" i="1"/>
  <c r="W499" i="1" s="1"/>
  <c r="AJ511" i="1"/>
  <c r="Q511" i="1"/>
  <c r="AJ524" i="1"/>
  <c r="Q524" i="1"/>
  <c r="AJ537" i="1"/>
  <c r="Q537" i="1"/>
  <c r="W537" i="1" s="1"/>
  <c r="AJ549" i="1"/>
  <c r="Q549" i="1"/>
  <c r="AJ561" i="1"/>
  <c r="AJ575" i="1"/>
  <c r="Q575" i="1"/>
  <c r="AJ587" i="1"/>
  <c r="Q587" i="1"/>
  <c r="Y24" i="1"/>
  <c r="AM24" i="1"/>
  <c r="Y25" i="1"/>
  <c r="AM25" i="1"/>
  <c r="AK20" i="1"/>
  <c r="AK430" i="1"/>
  <c r="AK11" i="1"/>
  <c r="Y26" i="1"/>
  <c r="AM26" i="1"/>
  <c r="Y27" i="1"/>
  <c r="AM27" i="1"/>
  <c r="AK8" i="1"/>
  <c r="Y28" i="1"/>
  <c r="AM28" i="1"/>
  <c r="Y29" i="1"/>
  <c r="AM29" i="1"/>
  <c r="AK492" i="1"/>
  <c r="AK517" i="1"/>
  <c r="Y30" i="1"/>
  <c r="AM30" i="1"/>
  <c r="AK16" i="1"/>
  <c r="Y31" i="1"/>
  <c r="AM31" i="1"/>
  <c r="Y32" i="1"/>
  <c r="AM32" i="1"/>
  <c r="AK18" i="1"/>
  <c r="Y33" i="1"/>
  <c r="AM33" i="1"/>
  <c r="AK7" i="1"/>
  <c r="AK19" i="1"/>
  <c r="Y34" i="1"/>
  <c r="AM34" i="1"/>
  <c r="J590" i="1"/>
  <c r="L590" i="1"/>
  <c r="K590" i="1" s="1"/>
  <c r="M590" i="1"/>
  <c r="N590" i="1"/>
  <c r="O590" i="1"/>
  <c r="P590" i="1"/>
  <c r="R590" i="1"/>
  <c r="S590" i="1"/>
  <c r="T590" i="1"/>
  <c r="U590" i="1"/>
  <c r="V590" i="1"/>
  <c r="X590" i="1"/>
  <c r="Y590" i="1"/>
  <c r="Z590" i="1"/>
  <c r="AA590" i="1"/>
  <c r="AB590" i="1"/>
  <c r="AD590" i="1"/>
  <c r="AE590" i="1"/>
  <c r="AF590" i="1"/>
  <c r="AG590" i="1"/>
  <c r="AI590" i="1"/>
  <c r="J568" i="1"/>
  <c r="L568" i="1"/>
  <c r="K568" i="1" s="1"/>
  <c r="M568" i="1"/>
  <c r="N568" i="1"/>
  <c r="O568" i="1"/>
  <c r="P568" i="1"/>
  <c r="R568" i="1"/>
  <c r="S568" i="1"/>
  <c r="T568" i="1"/>
  <c r="U568" i="1"/>
  <c r="V568" i="1"/>
  <c r="X568" i="1"/>
  <c r="Y568" i="1"/>
  <c r="Z568" i="1"/>
  <c r="AA568" i="1"/>
  <c r="AB568" i="1"/>
  <c r="AD568" i="1"/>
  <c r="AE568" i="1"/>
  <c r="AF568" i="1"/>
  <c r="AG568" i="1"/>
  <c r="AI568" i="1"/>
  <c r="L536" i="1"/>
  <c r="K536" i="1" s="1"/>
  <c r="M536" i="1"/>
  <c r="N536" i="1"/>
  <c r="O536" i="1"/>
  <c r="P536" i="1"/>
  <c r="R536" i="1"/>
  <c r="S536" i="1"/>
  <c r="T536" i="1"/>
  <c r="U536" i="1"/>
  <c r="V536" i="1"/>
  <c r="X536" i="1"/>
  <c r="Y536" i="1"/>
  <c r="Z536" i="1"/>
  <c r="AA536" i="1"/>
  <c r="AB536" i="1"/>
  <c r="AD536" i="1"/>
  <c r="AE536" i="1"/>
  <c r="AF536" i="1"/>
  <c r="AG536" i="1"/>
  <c r="AI536" i="1"/>
  <c r="L512" i="1"/>
  <c r="K512" i="1" s="1"/>
  <c r="M512" i="1"/>
  <c r="N512" i="1"/>
  <c r="O512" i="1"/>
  <c r="P512" i="1"/>
  <c r="R512" i="1"/>
  <c r="S512" i="1"/>
  <c r="T512" i="1"/>
  <c r="U512" i="1"/>
  <c r="V512" i="1"/>
  <c r="X512" i="1"/>
  <c r="Y512" i="1"/>
  <c r="Z512" i="1"/>
  <c r="AA512" i="1"/>
  <c r="AB512" i="1"/>
  <c r="AD512" i="1"/>
  <c r="AE512" i="1"/>
  <c r="AF512" i="1"/>
  <c r="AG512" i="1"/>
  <c r="AI512" i="1"/>
  <c r="L485" i="1"/>
  <c r="M485" i="1"/>
  <c r="N485" i="1"/>
  <c r="O485" i="1"/>
  <c r="P485" i="1"/>
  <c r="K463" i="1"/>
  <c r="L463" i="1"/>
  <c r="M463" i="1"/>
  <c r="N463" i="1"/>
  <c r="O463" i="1"/>
  <c r="AK422" i="1" l="1"/>
  <c r="AK418" i="1"/>
  <c r="AK169" i="1"/>
  <c r="AK179" i="1"/>
  <c r="AK421" i="1"/>
  <c r="AK521" i="1"/>
  <c r="K485" i="1"/>
  <c r="Q485" i="1" s="1"/>
  <c r="W485" i="1" s="1"/>
  <c r="AC485" i="1" s="1"/>
  <c r="AL485" i="1" s="1"/>
  <c r="AK417" i="1"/>
  <c r="AK416" i="1"/>
  <c r="AK203" i="1"/>
  <c r="AK423" i="1"/>
  <c r="AK181" i="1"/>
  <c r="AK171" i="1"/>
  <c r="AK178" i="1"/>
  <c r="AK168" i="1"/>
  <c r="AK192" i="1"/>
  <c r="AK177" i="1"/>
  <c r="AK428" i="1"/>
  <c r="AK500" i="1"/>
  <c r="AK221" i="1"/>
  <c r="AK180" i="1"/>
  <c r="AK220" i="1"/>
  <c r="AK190" i="1"/>
  <c r="AK542" i="1"/>
  <c r="AK541" i="1"/>
  <c r="AK494" i="1"/>
  <c r="AK486" i="1"/>
  <c r="AK488" i="1"/>
  <c r="AK498" i="1"/>
  <c r="AK491" i="1"/>
  <c r="AK468" i="1"/>
  <c r="AK470" i="1"/>
  <c r="AK464" i="1"/>
  <c r="AK467" i="1"/>
  <c r="AK189" i="1"/>
  <c r="AK465" i="1"/>
  <c r="AK184" i="1"/>
  <c r="AK471" i="1"/>
  <c r="AK543" i="1"/>
  <c r="AK202" i="1"/>
  <c r="AK182" i="1"/>
  <c r="AK522" i="1"/>
  <c r="AK174" i="1"/>
  <c r="AK429" i="1"/>
  <c r="AK540" i="1"/>
  <c r="AK187" i="1"/>
  <c r="AK170" i="1"/>
  <c r="AK519" i="1"/>
  <c r="AK539" i="1"/>
  <c r="AK183" i="1"/>
  <c r="AK499" i="1"/>
  <c r="AK487" i="1"/>
  <c r="Q568" i="1"/>
  <c r="W568" i="1" s="1"/>
  <c r="AC568" i="1" s="1"/>
  <c r="AK515" i="1"/>
  <c r="AM537" i="1"/>
  <c r="W534" i="1"/>
  <c r="AK534" i="1"/>
  <c r="W572" i="1"/>
  <c r="AK572" i="1"/>
  <c r="AK185" i="1"/>
  <c r="AM522" i="1"/>
  <c r="AK483" i="1"/>
  <c r="AK482" i="1"/>
  <c r="AM469" i="1"/>
  <c r="W528" i="1"/>
  <c r="AK528" i="1"/>
  <c r="AK520" i="1"/>
  <c r="AK173" i="1"/>
  <c r="AK497" i="1"/>
  <c r="AK466" i="1"/>
  <c r="AK489" i="1"/>
  <c r="AK204" i="1"/>
  <c r="AK191" i="1"/>
  <c r="W587" i="1"/>
  <c r="AK587" i="1"/>
  <c r="W511" i="1"/>
  <c r="AK511" i="1"/>
  <c r="W110" i="1"/>
  <c r="AK110" i="1"/>
  <c r="AC182" i="1"/>
  <c r="AL182" i="1" s="1"/>
  <c r="AM182" i="1"/>
  <c r="W254" i="1"/>
  <c r="AK254" i="1"/>
  <c r="W585" i="1"/>
  <c r="AK585" i="1"/>
  <c r="W509" i="1"/>
  <c r="AK509" i="1"/>
  <c r="W112" i="1"/>
  <c r="AK112" i="1"/>
  <c r="AC184" i="1"/>
  <c r="AL184" i="1" s="1"/>
  <c r="AM184" i="1"/>
  <c r="W256" i="1"/>
  <c r="AK256" i="1"/>
  <c r="W546" i="1"/>
  <c r="AK546" i="1"/>
  <c r="AM471" i="1"/>
  <c r="W149" i="1"/>
  <c r="AK149" i="1"/>
  <c r="AC221" i="1"/>
  <c r="AL221" i="1" s="1"/>
  <c r="AM221" i="1"/>
  <c r="AM470" i="1"/>
  <c r="W150" i="1"/>
  <c r="AK150" i="1"/>
  <c r="W222" i="1"/>
  <c r="AK222" i="1"/>
  <c r="W531" i="1"/>
  <c r="AK531" i="1"/>
  <c r="W91" i="1"/>
  <c r="AK91" i="1"/>
  <c r="W163" i="1"/>
  <c r="AK163" i="1"/>
  <c r="W555" i="1"/>
  <c r="AK555" i="1"/>
  <c r="AK480" i="1"/>
  <c r="W140" i="1"/>
  <c r="AK140" i="1"/>
  <c r="W212" i="1"/>
  <c r="AK212" i="1"/>
  <c r="W592" i="1"/>
  <c r="AK592" i="1"/>
  <c r="W516" i="1"/>
  <c r="AK516" i="1"/>
  <c r="W106" i="1"/>
  <c r="AK106" i="1"/>
  <c r="AC178" i="1"/>
  <c r="AL178" i="1" s="1"/>
  <c r="AM178" i="1"/>
  <c r="AC540" i="1"/>
  <c r="AL540" i="1" s="1"/>
  <c r="AM540" i="1"/>
  <c r="AM465" i="1"/>
  <c r="W155" i="1"/>
  <c r="AK155" i="1"/>
  <c r="W227" i="1"/>
  <c r="AK227" i="1"/>
  <c r="W299" i="1"/>
  <c r="AK299" i="1"/>
  <c r="W526" i="1"/>
  <c r="AK526" i="1"/>
  <c r="W96" i="1"/>
  <c r="AK96" i="1"/>
  <c r="AC168" i="1"/>
  <c r="AL168" i="1" s="1"/>
  <c r="AM168" i="1"/>
  <c r="W240" i="1"/>
  <c r="AK240" i="1"/>
  <c r="W588" i="1"/>
  <c r="AK588" i="1"/>
  <c r="AM500" i="1"/>
  <c r="W121" i="1"/>
  <c r="AK121" i="1"/>
  <c r="W265" i="1"/>
  <c r="AK265" i="1"/>
  <c r="W398" i="1"/>
  <c r="AK398" i="1"/>
  <c r="W411" i="1"/>
  <c r="AK411" i="1"/>
  <c r="W434" i="1"/>
  <c r="AK434" i="1"/>
  <c r="AC422" i="1"/>
  <c r="AL422" i="1" s="1"/>
  <c r="AM422" i="1"/>
  <c r="W326" i="1"/>
  <c r="AK326" i="1"/>
  <c r="W279" i="1"/>
  <c r="AK279" i="1"/>
  <c r="W340" i="1"/>
  <c r="AK340" i="1"/>
  <c r="W412" i="1"/>
  <c r="AK412" i="1"/>
  <c r="W365" i="1"/>
  <c r="AK365" i="1"/>
  <c r="W437" i="1"/>
  <c r="AK437" i="1"/>
  <c r="W270" i="1"/>
  <c r="AK270" i="1"/>
  <c r="W342" i="1"/>
  <c r="AK342" i="1"/>
  <c r="W414" i="1"/>
  <c r="AK414" i="1"/>
  <c r="W356" i="1"/>
  <c r="AK356" i="1"/>
  <c r="AM467" i="1"/>
  <c r="W225" i="1"/>
  <c r="AK225" i="1"/>
  <c r="W369" i="1"/>
  <c r="AK369" i="1"/>
  <c r="W250" i="1"/>
  <c r="AK250" i="1"/>
  <c r="W394" i="1"/>
  <c r="AK394" i="1"/>
  <c r="W383" i="1"/>
  <c r="AK383" i="1"/>
  <c r="W361" i="1"/>
  <c r="AK361" i="1"/>
  <c r="W123" i="1"/>
  <c r="AK123" i="1"/>
  <c r="W211" i="1"/>
  <c r="AK211" i="1"/>
  <c r="W283" i="1"/>
  <c r="AK283" i="1"/>
  <c r="W355" i="1"/>
  <c r="AK355" i="1"/>
  <c r="W380" i="1"/>
  <c r="AK380" i="1"/>
  <c r="W554" i="1"/>
  <c r="AK554" i="1"/>
  <c r="W117" i="1"/>
  <c r="AK117" i="1"/>
  <c r="W261" i="1"/>
  <c r="AK261" i="1"/>
  <c r="W405" i="1"/>
  <c r="AK405" i="1"/>
  <c r="W310" i="1"/>
  <c r="AK310" i="1"/>
  <c r="W323" i="1"/>
  <c r="AK323" i="1"/>
  <c r="W432" i="1"/>
  <c r="AK432" i="1"/>
  <c r="W302" i="1"/>
  <c r="AK302" i="1"/>
  <c r="W571" i="1"/>
  <c r="AK571" i="1"/>
  <c r="W242" i="1"/>
  <c r="AK242" i="1"/>
  <c r="W100" i="1"/>
  <c r="AK100" i="1"/>
  <c r="W557" i="1"/>
  <c r="AK557" i="1"/>
  <c r="AC544" i="1"/>
  <c r="AL544" i="1" s="1"/>
  <c r="AM544" i="1"/>
  <c r="W94" i="1"/>
  <c r="AK94" i="1"/>
  <c r="W230" i="1"/>
  <c r="AK230" i="1"/>
  <c r="AB4" i="1"/>
  <c r="AC170" i="1"/>
  <c r="AL170" i="1" s="1"/>
  <c r="AM170" i="1"/>
  <c r="AC172" i="1"/>
  <c r="AL172" i="1" s="1"/>
  <c r="AM172" i="1"/>
  <c r="W209" i="1"/>
  <c r="AK209" i="1"/>
  <c r="W210" i="1"/>
  <c r="AK210" i="1"/>
  <c r="W166" i="1"/>
  <c r="AK166" i="1"/>
  <c r="Q536" i="1"/>
  <c r="W536" i="1" s="1"/>
  <c r="AC536" i="1" s="1"/>
  <c r="AK188" i="1"/>
  <c r="AK186" i="1"/>
  <c r="AK493" i="1"/>
  <c r="AK172" i="1"/>
  <c r="AK538" i="1"/>
  <c r="AK537" i="1"/>
  <c r="W575" i="1"/>
  <c r="AK575" i="1"/>
  <c r="AM499" i="1"/>
  <c r="W122" i="1"/>
  <c r="AK122" i="1"/>
  <c r="W266" i="1"/>
  <c r="AK266" i="1"/>
  <c r="W573" i="1"/>
  <c r="AK573" i="1"/>
  <c r="AM497" i="1"/>
  <c r="W268" i="1"/>
  <c r="AK268" i="1"/>
  <c r="W533" i="1"/>
  <c r="AK533" i="1"/>
  <c r="W89" i="1"/>
  <c r="AK89" i="1"/>
  <c r="W161" i="1"/>
  <c r="AK161" i="1"/>
  <c r="W233" i="1"/>
  <c r="AK233" i="1"/>
  <c r="W532" i="1"/>
  <c r="AK532" i="1"/>
  <c r="W90" i="1"/>
  <c r="AK90" i="1"/>
  <c r="W162" i="1"/>
  <c r="AK162" i="1"/>
  <c r="W595" i="1"/>
  <c r="AK595" i="1"/>
  <c r="AC519" i="1"/>
  <c r="AL519" i="1" s="1"/>
  <c r="AM519" i="1"/>
  <c r="W103" i="1"/>
  <c r="AK103" i="1"/>
  <c r="W175" i="1"/>
  <c r="AK175" i="1"/>
  <c r="AC543" i="1"/>
  <c r="AL543" i="1" s="1"/>
  <c r="AM543" i="1"/>
  <c r="AM468" i="1"/>
  <c r="W152" i="1"/>
  <c r="AK152" i="1"/>
  <c r="W224" i="1"/>
  <c r="AK224" i="1"/>
  <c r="W579" i="1"/>
  <c r="AK579" i="1"/>
  <c r="W503" i="1"/>
  <c r="AK503" i="1"/>
  <c r="W118" i="1"/>
  <c r="AK118" i="1"/>
  <c r="AM190" i="1"/>
  <c r="W527" i="1"/>
  <c r="AK527" i="1"/>
  <c r="W95" i="1"/>
  <c r="AK95" i="1"/>
  <c r="W167" i="1"/>
  <c r="AK167" i="1"/>
  <c r="W239" i="1"/>
  <c r="AK239" i="1"/>
  <c r="W589" i="1"/>
  <c r="AK589" i="1"/>
  <c r="W108" i="1"/>
  <c r="AK108" i="1"/>
  <c r="AC180" i="1"/>
  <c r="AL180" i="1" s="1"/>
  <c r="AM180" i="1"/>
  <c r="W252" i="1"/>
  <c r="AK252" i="1"/>
  <c r="W576" i="1"/>
  <c r="AK576" i="1"/>
  <c r="AC488" i="1"/>
  <c r="AL488" i="1" s="1"/>
  <c r="AM488" i="1"/>
  <c r="W133" i="1"/>
  <c r="AK133" i="1"/>
  <c r="W205" i="1"/>
  <c r="AK205" i="1"/>
  <c r="W277" i="1"/>
  <c r="AK277" i="1"/>
  <c r="W360" i="1"/>
  <c r="AK360" i="1"/>
  <c r="AC486" i="1"/>
  <c r="AL486" i="1" s="1"/>
  <c r="AM486" i="1"/>
  <c r="AC171" i="1"/>
  <c r="AL171" i="1" s="1"/>
  <c r="AM171" i="1"/>
  <c r="AM498" i="1"/>
  <c r="W385" i="1"/>
  <c r="AK385" i="1"/>
  <c r="W280" i="1"/>
  <c r="AK280" i="1"/>
  <c r="W352" i="1"/>
  <c r="AK352" i="1"/>
  <c r="W436" i="1"/>
  <c r="AK436" i="1"/>
  <c r="W305" i="1"/>
  <c r="AK305" i="1"/>
  <c r="W377" i="1"/>
  <c r="AK377" i="1"/>
  <c r="W291" i="1"/>
  <c r="AK291" i="1"/>
  <c r="W282" i="1"/>
  <c r="AK282" i="1"/>
  <c r="W354" i="1"/>
  <c r="AK354" i="1"/>
  <c r="W392" i="1"/>
  <c r="AK392" i="1"/>
  <c r="W105" i="1"/>
  <c r="AK105" i="1"/>
  <c r="W249" i="1"/>
  <c r="AK249" i="1"/>
  <c r="W393" i="1"/>
  <c r="AK393" i="1"/>
  <c r="W274" i="1"/>
  <c r="AK274" i="1"/>
  <c r="AC418" i="1"/>
  <c r="AL418" i="1" s="1"/>
  <c r="AM418" i="1"/>
  <c r="W407" i="1"/>
  <c r="AK407" i="1"/>
  <c r="W409" i="1"/>
  <c r="AK409" i="1"/>
  <c r="W207" i="1"/>
  <c r="AK207" i="1"/>
  <c r="W223" i="1"/>
  <c r="AK223" i="1"/>
  <c r="W295" i="1"/>
  <c r="AK295" i="1"/>
  <c r="W367" i="1"/>
  <c r="AK367" i="1"/>
  <c r="W439" i="1"/>
  <c r="AK439" i="1"/>
  <c r="W404" i="1"/>
  <c r="AK404" i="1"/>
  <c r="AC542" i="1"/>
  <c r="AL542" i="1" s="1"/>
  <c r="AM542" i="1"/>
  <c r="W141" i="1"/>
  <c r="AK141" i="1"/>
  <c r="W285" i="1"/>
  <c r="AK285" i="1"/>
  <c r="AC429" i="1"/>
  <c r="AL429" i="1" s="1"/>
  <c r="AM429" i="1"/>
  <c r="W371" i="1"/>
  <c r="AK371" i="1"/>
  <c r="W111" i="1"/>
  <c r="AK111" i="1"/>
  <c r="Q590" i="1"/>
  <c r="W590" i="1" s="1"/>
  <c r="AC590" i="1" s="1"/>
  <c r="AK176" i="1"/>
  <c r="AK544" i="1"/>
  <c r="AK469" i="1"/>
  <c r="AK513" i="1"/>
  <c r="AC487" i="1"/>
  <c r="AL487" i="1" s="1"/>
  <c r="AM487" i="1"/>
  <c r="W134" i="1"/>
  <c r="AK134" i="1"/>
  <c r="W206" i="1"/>
  <c r="AK206" i="1"/>
  <c r="W278" i="1"/>
  <c r="AK278" i="1"/>
  <c r="AK484" i="1"/>
  <c r="W208" i="1"/>
  <c r="AK208" i="1"/>
  <c r="W597" i="1"/>
  <c r="AK597" i="1"/>
  <c r="AM521" i="1"/>
  <c r="W101" i="1"/>
  <c r="AK101" i="1"/>
  <c r="AC173" i="1"/>
  <c r="AL173" i="1" s="1"/>
  <c r="AM173" i="1"/>
  <c r="W596" i="1"/>
  <c r="AK596" i="1"/>
  <c r="AC520" i="1"/>
  <c r="AL520" i="1" s="1"/>
  <c r="AM520" i="1"/>
  <c r="W102" i="1"/>
  <c r="AK102" i="1"/>
  <c r="AC174" i="1"/>
  <c r="AL174" i="1" s="1"/>
  <c r="AM174" i="1"/>
  <c r="W582" i="1"/>
  <c r="AK582" i="1"/>
  <c r="W506" i="1"/>
  <c r="AK506" i="1"/>
  <c r="W115" i="1"/>
  <c r="AK115" i="1"/>
  <c r="AC187" i="1"/>
  <c r="AL187" i="1" s="1"/>
  <c r="AM187" i="1"/>
  <c r="W530" i="1"/>
  <c r="AK530" i="1"/>
  <c r="W92" i="1"/>
  <c r="AK92" i="1"/>
  <c r="W164" i="1"/>
  <c r="AK164" i="1"/>
  <c r="W236" i="1"/>
  <c r="AK236" i="1"/>
  <c r="AC491" i="1"/>
  <c r="AL491" i="1" s="1"/>
  <c r="AM491" i="1"/>
  <c r="W130" i="1"/>
  <c r="AK130" i="1"/>
  <c r="W591" i="1"/>
  <c r="AK591" i="1"/>
  <c r="AC515" i="1"/>
  <c r="AM515" i="1"/>
  <c r="W107" i="1"/>
  <c r="AK107" i="1"/>
  <c r="AC179" i="1"/>
  <c r="AL179" i="1" s="1"/>
  <c r="AM179" i="1"/>
  <c r="W251" i="1"/>
  <c r="AK251" i="1"/>
  <c r="W577" i="1"/>
  <c r="AK577" i="1"/>
  <c r="T501" i="1"/>
  <c r="W501" i="1"/>
  <c r="S501" i="1"/>
  <c r="W120" i="1"/>
  <c r="AK120" i="1"/>
  <c r="AM192" i="1"/>
  <c r="W264" i="1"/>
  <c r="AK264" i="1"/>
  <c r="W550" i="1"/>
  <c r="AK550" i="1"/>
  <c r="AK475" i="1"/>
  <c r="W145" i="1"/>
  <c r="AK145" i="1"/>
  <c r="W217" i="1"/>
  <c r="AK217" i="1"/>
  <c r="W289" i="1"/>
  <c r="AK289" i="1"/>
  <c r="W99" i="1"/>
  <c r="AK99" i="1"/>
  <c r="W586" i="1"/>
  <c r="AK586" i="1"/>
  <c r="W243" i="1"/>
  <c r="AK243" i="1"/>
  <c r="W327" i="1"/>
  <c r="AK327" i="1"/>
  <c r="AC183" i="1"/>
  <c r="AL183" i="1" s="1"/>
  <c r="AM183" i="1"/>
  <c r="W574" i="1"/>
  <c r="AK574" i="1"/>
  <c r="W362" i="1"/>
  <c r="AK362" i="1"/>
  <c r="W292" i="1"/>
  <c r="AK292" i="1"/>
  <c r="W364" i="1"/>
  <c r="AK364" i="1"/>
  <c r="W317" i="1"/>
  <c r="AK317" i="1"/>
  <c r="W389" i="1"/>
  <c r="AK389" i="1"/>
  <c r="W435" i="1"/>
  <c r="AK435" i="1"/>
  <c r="W366" i="1"/>
  <c r="AK366" i="1"/>
  <c r="W438" i="1"/>
  <c r="AK438" i="1"/>
  <c r="AC416" i="1"/>
  <c r="AL416" i="1" s="1"/>
  <c r="AM416" i="1"/>
  <c r="W129" i="1"/>
  <c r="AK129" i="1"/>
  <c r="W273" i="1"/>
  <c r="AK273" i="1"/>
  <c r="AC417" i="1"/>
  <c r="AL417" i="1" s="1"/>
  <c r="AM417" i="1"/>
  <c r="W298" i="1"/>
  <c r="AK298" i="1"/>
  <c r="W442" i="1"/>
  <c r="AK442" i="1"/>
  <c r="W374" i="1"/>
  <c r="AK374" i="1"/>
  <c r="W267" i="1"/>
  <c r="AK267" i="1"/>
  <c r="W235" i="1"/>
  <c r="AK235" i="1"/>
  <c r="W307" i="1"/>
  <c r="AK307" i="1"/>
  <c r="W379" i="1"/>
  <c r="AK379" i="1"/>
  <c r="W296" i="1"/>
  <c r="AK296" i="1"/>
  <c r="AC428" i="1"/>
  <c r="AL428" i="1" s="1"/>
  <c r="AM428" i="1"/>
  <c r="W529" i="1"/>
  <c r="AK529" i="1"/>
  <c r="W165" i="1"/>
  <c r="AK165" i="1"/>
  <c r="W309" i="1"/>
  <c r="AK309" i="1"/>
  <c r="AC202" i="1"/>
  <c r="AL202" i="1" s="1"/>
  <c r="AM202" i="1"/>
  <c r="W358" i="1"/>
  <c r="AK358" i="1"/>
  <c r="W395" i="1"/>
  <c r="AK395" i="1"/>
  <c r="W397" i="1"/>
  <c r="AK397" i="1"/>
  <c r="W549" i="1"/>
  <c r="AK549" i="1"/>
  <c r="W146" i="1"/>
  <c r="AK146" i="1"/>
  <c r="W290" i="1"/>
  <c r="AK290" i="1"/>
  <c r="W148" i="1"/>
  <c r="AK148" i="1"/>
  <c r="AC220" i="1"/>
  <c r="AL220" i="1" s="1"/>
  <c r="AM220" i="1"/>
  <c r="W584" i="1"/>
  <c r="AK584" i="1"/>
  <c r="W113" i="1"/>
  <c r="AK113" i="1"/>
  <c r="AC185" i="1"/>
  <c r="AL185" i="1" s="1"/>
  <c r="AM185" i="1"/>
  <c r="W583" i="1"/>
  <c r="AK583" i="1"/>
  <c r="W507" i="1"/>
  <c r="AK507" i="1"/>
  <c r="AK114" i="1"/>
  <c r="AC186" i="1"/>
  <c r="AL186" i="1" s="1"/>
  <c r="AM186" i="1"/>
  <c r="W570" i="1"/>
  <c r="AK570" i="1"/>
  <c r="AM494" i="1"/>
  <c r="W127" i="1"/>
  <c r="AK127" i="1"/>
  <c r="W594" i="1"/>
  <c r="AK594" i="1"/>
  <c r="W104" i="1"/>
  <c r="AK104" i="1"/>
  <c r="AC176" i="1"/>
  <c r="AL176" i="1" s="1"/>
  <c r="AM176" i="1"/>
  <c r="W248" i="1"/>
  <c r="AK248" i="1"/>
  <c r="W553" i="1"/>
  <c r="AK553" i="1"/>
  <c r="AK478" i="1"/>
  <c r="W142" i="1"/>
  <c r="AK142" i="1"/>
  <c r="W578" i="1"/>
  <c r="AK578" i="1"/>
  <c r="W502" i="1"/>
  <c r="AK502" i="1"/>
  <c r="AM191" i="1"/>
  <c r="W263" i="1"/>
  <c r="AK263" i="1"/>
  <c r="AC489" i="1"/>
  <c r="AL489" i="1" s="1"/>
  <c r="AM489" i="1"/>
  <c r="W132" i="1"/>
  <c r="AK132" i="1"/>
  <c r="AC204" i="1"/>
  <c r="AL204" i="1" s="1"/>
  <c r="AM204" i="1"/>
  <c r="W276" i="1"/>
  <c r="AK276" i="1"/>
  <c r="AC538" i="1"/>
  <c r="AL538" i="1" s="1"/>
  <c r="AM538" i="1"/>
  <c r="W85" i="1"/>
  <c r="AK85" i="1"/>
  <c r="W157" i="1"/>
  <c r="AK157" i="1"/>
  <c r="W229" i="1"/>
  <c r="AK229" i="1"/>
  <c r="W301" i="1"/>
  <c r="AK301" i="1"/>
  <c r="W147" i="1"/>
  <c r="AK147" i="1"/>
  <c r="W219" i="1"/>
  <c r="AK219" i="1"/>
  <c r="W387" i="1"/>
  <c r="AK387" i="1"/>
  <c r="W312" i="1"/>
  <c r="AK312" i="1"/>
  <c r="W363" i="1"/>
  <c r="AK363" i="1"/>
  <c r="W510" i="1"/>
  <c r="AK510" i="1"/>
  <c r="W304" i="1"/>
  <c r="AK304" i="1"/>
  <c r="W376" i="1"/>
  <c r="AK376" i="1"/>
  <c r="W257" i="1"/>
  <c r="AK257" i="1"/>
  <c r="W401" i="1"/>
  <c r="AK401" i="1"/>
  <c r="W306" i="1"/>
  <c r="AK306" i="1"/>
  <c r="W378" i="1"/>
  <c r="AK378" i="1"/>
  <c r="W284" i="1"/>
  <c r="AK284" i="1"/>
  <c r="W440" i="1"/>
  <c r="AK440" i="1"/>
  <c r="W153" i="1"/>
  <c r="AK153" i="1"/>
  <c r="W297" i="1"/>
  <c r="AK297" i="1"/>
  <c r="W441" i="1"/>
  <c r="AK441" i="1"/>
  <c r="W322" i="1"/>
  <c r="AK322" i="1"/>
  <c r="W311" i="1"/>
  <c r="AK311" i="1"/>
  <c r="W324" i="1"/>
  <c r="AK324" i="1"/>
  <c r="W386" i="1"/>
  <c r="AK386" i="1"/>
  <c r="W375" i="1"/>
  <c r="AK375" i="1"/>
  <c r="W247" i="1"/>
  <c r="AK247" i="1"/>
  <c r="W319" i="1"/>
  <c r="AK319" i="1"/>
  <c r="W391" i="1"/>
  <c r="AK391" i="1"/>
  <c r="W320" i="1"/>
  <c r="AK320" i="1"/>
  <c r="W593" i="1"/>
  <c r="AK593" i="1"/>
  <c r="W504" i="1"/>
  <c r="AK504" i="1"/>
  <c r="AM189" i="1"/>
  <c r="W238" i="1"/>
  <c r="AK238" i="1"/>
  <c r="W382" i="1"/>
  <c r="AK382" i="1"/>
  <c r="W419" i="1"/>
  <c r="AK419" i="1"/>
  <c r="W350" i="1"/>
  <c r="AK350" i="1"/>
  <c r="W255" i="1"/>
  <c r="AK255" i="1"/>
  <c r="W218" i="1"/>
  <c r="AK218" i="1"/>
  <c r="W547" i="1"/>
  <c r="AK547" i="1"/>
  <c r="W508" i="1"/>
  <c r="AK508" i="1"/>
  <c r="W86" i="1"/>
  <c r="AK86" i="1"/>
  <c r="W160" i="1"/>
  <c r="AK160" i="1"/>
  <c r="W232" i="1"/>
  <c r="AK232" i="1"/>
  <c r="W126" i="1"/>
  <c r="AK126" i="1"/>
  <c r="W198" i="1"/>
  <c r="AK198" i="1"/>
  <c r="W556" i="1"/>
  <c r="AK556" i="1"/>
  <c r="AK481" i="1"/>
  <c r="W139" i="1"/>
  <c r="AK139" i="1"/>
  <c r="W581" i="1"/>
  <c r="AK581" i="1"/>
  <c r="W505" i="1"/>
  <c r="AK505" i="1"/>
  <c r="W116" i="1"/>
  <c r="AK116" i="1"/>
  <c r="AM188" i="1"/>
  <c r="W260" i="1"/>
  <c r="AK260" i="1"/>
  <c r="AC541" i="1"/>
  <c r="AL541" i="1" s="1"/>
  <c r="AM541" i="1"/>
  <c r="AM466" i="1"/>
  <c r="W154" i="1"/>
  <c r="AK154" i="1"/>
  <c r="W131" i="1"/>
  <c r="AK131" i="1"/>
  <c r="AC203" i="1"/>
  <c r="AL203" i="1" s="1"/>
  <c r="AM203" i="1"/>
  <c r="W275" i="1"/>
  <c r="AK275" i="1"/>
  <c r="W551" i="1"/>
  <c r="AK551" i="1"/>
  <c r="AK476" i="1"/>
  <c r="W144" i="1"/>
  <c r="AK144" i="1"/>
  <c r="W216" i="1"/>
  <c r="AK216" i="1"/>
  <c r="W288" i="1"/>
  <c r="AK288" i="1"/>
  <c r="W525" i="1"/>
  <c r="AK525" i="1"/>
  <c r="W97" i="1"/>
  <c r="AK97" i="1"/>
  <c r="AC169" i="1"/>
  <c r="AL169" i="1" s="1"/>
  <c r="AM169" i="1"/>
  <c r="W241" i="1"/>
  <c r="AK241" i="1"/>
  <c r="W231" i="1"/>
  <c r="AK231" i="1"/>
  <c r="W399" i="1"/>
  <c r="AK399" i="1"/>
  <c r="W347" i="1"/>
  <c r="AK347" i="1"/>
  <c r="W408" i="1"/>
  <c r="AK408" i="1"/>
  <c r="W313" i="1"/>
  <c r="AK313" i="1"/>
  <c r="W303" i="1"/>
  <c r="AK303" i="1"/>
  <c r="W159" i="1"/>
  <c r="AK159" i="1"/>
  <c r="W316" i="1"/>
  <c r="AK316" i="1"/>
  <c r="W388" i="1"/>
  <c r="AK388" i="1"/>
  <c r="W269" i="1"/>
  <c r="AK269" i="1"/>
  <c r="W341" i="1"/>
  <c r="AK341" i="1"/>
  <c r="W413" i="1"/>
  <c r="AK413" i="1"/>
  <c r="W318" i="1"/>
  <c r="AK318" i="1"/>
  <c r="W390" i="1"/>
  <c r="AK390" i="1"/>
  <c r="W308" i="1"/>
  <c r="AK308" i="1"/>
  <c r="AC517" i="1"/>
  <c r="AL517" i="1" s="1"/>
  <c r="AM517" i="1"/>
  <c r="AC177" i="1"/>
  <c r="AL177" i="1" s="1"/>
  <c r="AM177" i="1"/>
  <c r="W321" i="1"/>
  <c r="AK321" i="1"/>
  <c r="W214" i="1"/>
  <c r="AK214" i="1"/>
  <c r="W346" i="1"/>
  <c r="AK346" i="1"/>
  <c r="W384" i="1"/>
  <c r="AK384" i="1"/>
  <c r="W548" i="1"/>
  <c r="AK548" i="1"/>
  <c r="W424" i="1"/>
  <c r="AK424" i="1"/>
  <c r="W259" i="1"/>
  <c r="AK259" i="1"/>
  <c r="W403" i="1"/>
  <c r="AK403" i="1"/>
  <c r="W344" i="1"/>
  <c r="AK344" i="1"/>
  <c r="W580" i="1"/>
  <c r="AK580" i="1"/>
  <c r="AK479" i="1"/>
  <c r="W213" i="1"/>
  <c r="AK213" i="1"/>
  <c r="W357" i="1"/>
  <c r="AK357" i="1"/>
  <c r="W262" i="1"/>
  <c r="AK262" i="1"/>
  <c r="W406" i="1"/>
  <c r="AK406" i="1"/>
  <c r="W410" i="1"/>
  <c r="AK410" i="1"/>
  <c r="W351" i="1"/>
  <c r="AK351" i="1"/>
  <c r="V4" i="1"/>
  <c r="Q512" i="1"/>
  <c r="W512" i="1" s="1"/>
  <c r="AC512" i="1" s="1"/>
  <c r="W88" i="1"/>
  <c r="AK88" i="1"/>
  <c r="W524" i="1"/>
  <c r="AK524" i="1"/>
  <c r="W244" i="1"/>
  <c r="AK244" i="1"/>
  <c r="W138" i="1"/>
  <c r="AK138" i="1"/>
  <c r="W151" i="1"/>
  <c r="AK151" i="1"/>
  <c r="AC493" i="1"/>
  <c r="AL493" i="1" s="1"/>
  <c r="AM493" i="1"/>
  <c r="W128" i="1"/>
  <c r="AK128" i="1"/>
  <c r="W272" i="1"/>
  <c r="AK272" i="1"/>
  <c r="W552" i="1"/>
  <c r="AK552" i="1"/>
  <c r="AK477" i="1"/>
  <c r="W143" i="1"/>
  <c r="AK143" i="1"/>
  <c r="W215" i="1"/>
  <c r="AK215" i="1"/>
  <c r="W287" i="1"/>
  <c r="AK287" i="1"/>
  <c r="AC539" i="1"/>
  <c r="AL539" i="1" s="1"/>
  <c r="AM539" i="1"/>
  <c r="AM464" i="1"/>
  <c r="W156" i="1"/>
  <c r="AK156" i="1"/>
  <c r="W300" i="1"/>
  <c r="AK300" i="1"/>
  <c r="AC513" i="1"/>
  <c r="AL513" i="1" s="1"/>
  <c r="AM513" i="1"/>
  <c r="W109" i="1"/>
  <c r="AK109" i="1"/>
  <c r="AC181" i="1"/>
  <c r="AL181" i="1" s="1"/>
  <c r="AM181" i="1"/>
  <c r="W253" i="1"/>
  <c r="AK253" i="1"/>
  <c r="W349" i="1"/>
  <c r="AK349" i="1"/>
  <c r="W315" i="1"/>
  <c r="AK315" i="1"/>
  <c r="W348" i="1"/>
  <c r="AK348" i="1"/>
  <c r="AC421" i="1"/>
  <c r="AL421" i="1" s="1"/>
  <c r="AM421" i="1"/>
  <c r="W433" i="1"/>
  <c r="AK433" i="1"/>
  <c r="W325" i="1"/>
  <c r="AK325" i="1"/>
  <c r="W314" i="1"/>
  <c r="AK314" i="1"/>
  <c r="W339" i="1"/>
  <c r="AK339" i="1"/>
  <c r="W328" i="1"/>
  <c r="AK328" i="1"/>
  <c r="W353" i="1"/>
  <c r="AK353" i="1"/>
  <c r="W425" i="1"/>
  <c r="AK425" i="1"/>
  <c r="W258" i="1"/>
  <c r="AK258" i="1"/>
  <c r="W402" i="1"/>
  <c r="AK402" i="1"/>
  <c r="AC492" i="1"/>
  <c r="AL492" i="1" s="1"/>
  <c r="AM492" i="1"/>
  <c r="W201" i="1"/>
  <c r="AK201" i="1"/>
  <c r="W345" i="1"/>
  <c r="AK345" i="1"/>
  <c r="W226" i="1"/>
  <c r="AK226" i="1"/>
  <c r="W370" i="1"/>
  <c r="AK370" i="1"/>
  <c r="W359" i="1"/>
  <c r="AK359" i="1"/>
  <c r="W420" i="1"/>
  <c r="AK420" i="1"/>
  <c r="W87" i="1"/>
  <c r="AK87" i="1"/>
  <c r="W271" i="1"/>
  <c r="AK271" i="1"/>
  <c r="W343" i="1"/>
  <c r="AK343" i="1"/>
  <c r="W415" i="1"/>
  <c r="AK415" i="1"/>
  <c r="W368" i="1"/>
  <c r="AK368" i="1"/>
  <c r="W93" i="1"/>
  <c r="AK93" i="1"/>
  <c r="W237" i="1"/>
  <c r="AK237" i="1"/>
  <c r="W381" i="1"/>
  <c r="AK381" i="1"/>
  <c r="AC430" i="1"/>
  <c r="AL430" i="1" s="1"/>
  <c r="AM430" i="1"/>
  <c r="W396" i="1"/>
  <c r="AK396" i="1"/>
  <c r="W535" i="1"/>
  <c r="AK535" i="1"/>
  <c r="AC423" i="1"/>
  <c r="AL423" i="1" s="1"/>
  <c r="AM423" i="1"/>
  <c r="AH4" i="1"/>
  <c r="AC610" i="1" s="1"/>
  <c r="W158" i="1"/>
  <c r="AK158" i="1"/>
  <c r="W125" i="1"/>
  <c r="AK125" i="1"/>
  <c r="W98" i="1"/>
  <c r="AK98" i="1"/>
  <c r="W598" i="1"/>
  <c r="AK598" i="1"/>
  <c r="W137" i="1"/>
  <c r="AK137" i="1"/>
  <c r="W569" i="1"/>
  <c r="AK569" i="1"/>
  <c r="E78" i="9"/>
  <c r="G78" i="9" s="1"/>
  <c r="E77" i="9"/>
  <c r="G77" i="9" s="1"/>
  <c r="E76" i="9"/>
  <c r="G76" i="9" s="1"/>
  <c r="E75" i="9"/>
  <c r="G75" i="9" s="1"/>
  <c r="E74" i="9"/>
  <c r="G74" i="9" s="1"/>
  <c r="E73" i="9"/>
  <c r="G73" i="9" s="1"/>
  <c r="E72" i="9"/>
  <c r="G72" i="9" s="1"/>
  <c r="E71" i="9"/>
  <c r="G71" i="9" s="1"/>
  <c r="E70" i="9"/>
  <c r="G70" i="9" s="1"/>
  <c r="E69" i="9"/>
  <c r="G69" i="9" s="1"/>
  <c r="E68" i="9"/>
  <c r="G68" i="9" s="1"/>
  <c r="E67" i="9"/>
  <c r="G67" i="9" s="1"/>
  <c r="E66" i="9"/>
  <c r="G66" i="9" s="1"/>
  <c r="E65" i="9"/>
  <c r="G65" i="9" s="1"/>
  <c r="E64" i="9"/>
  <c r="G64" i="9" s="1"/>
  <c r="E63" i="9"/>
  <c r="G63" i="9" s="1"/>
  <c r="Q474" i="1" l="1"/>
  <c r="Q545" i="1"/>
  <c r="Q463" i="1"/>
  <c r="W463" i="1" s="1"/>
  <c r="AC463" i="1" s="1"/>
  <c r="AL463" i="1" s="1"/>
  <c r="Q567" i="1"/>
  <c r="AC605" i="1"/>
  <c r="AC606" i="1"/>
  <c r="AC607" i="1"/>
  <c r="AC608" i="1"/>
  <c r="AC609" i="1"/>
  <c r="AC604" i="1"/>
  <c r="AC603" i="1"/>
  <c r="AC601" i="1"/>
  <c r="AC602" i="1"/>
  <c r="AC599" i="1"/>
  <c r="AC600" i="1"/>
  <c r="AC451" i="1"/>
  <c r="AL451" i="1" s="1"/>
  <c r="AC446" i="1"/>
  <c r="AL446" i="1" s="1"/>
  <c r="AC455" i="1"/>
  <c r="AL455" i="1" s="1"/>
  <c r="AC458" i="1"/>
  <c r="AL458" i="1" s="1"/>
  <c r="AC450" i="1"/>
  <c r="AL450" i="1" s="1"/>
  <c r="AC448" i="1"/>
  <c r="AL448" i="1" s="1"/>
  <c r="AC449" i="1"/>
  <c r="AL449" i="1" s="1"/>
  <c r="AC461" i="1"/>
  <c r="AL461" i="1" s="1"/>
  <c r="AC445" i="1"/>
  <c r="AL445" i="1" s="1"/>
  <c r="AC457" i="1"/>
  <c r="AL457" i="1" s="1"/>
  <c r="AC452" i="1"/>
  <c r="AL452" i="1" s="1"/>
  <c r="AC447" i="1"/>
  <c r="AL447" i="1" s="1"/>
  <c r="AC462" i="1"/>
  <c r="AL462" i="1" s="1"/>
  <c r="AC459" i="1"/>
  <c r="AL459" i="1" s="1"/>
  <c r="AC460" i="1"/>
  <c r="AL460" i="1" s="1"/>
  <c r="AC454" i="1"/>
  <c r="AL454" i="1" s="1"/>
  <c r="AC444" i="1"/>
  <c r="AL444" i="1" s="1"/>
  <c r="AC443" i="1"/>
  <c r="AL443" i="1" s="1"/>
  <c r="AC456" i="1"/>
  <c r="AL456" i="1" s="1"/>
  <c r="AC453" i="1"/>
  <c r="AL453" i="1" s="1"/>
  <c r="AC78" i="1"/>
  <c r="AL78" i="1" s="1"/>
  <c r="AC62" i="1"/>
  <c r="AL62" i="1" s="1"/>
  <c r="AC79" i="1"/>
  <c r="AL79" i="1" s="1"/>
  <c r="AC68" i="1"/>
  <c r="AL68" i="1" s="1"/>
  <c r="AC153" i="1"/>
  <c r="AL153" i="1" s="1"/>
  <c r="AM153" i="1"/>
  <c r="AC440" i="1"/>
  <c r="AL440" i="1" s="1"/>
  <c r="AM440" i="1"/>
  <c r="AC107" i="1"/>
  <c r="AL107" i="1" s="1"/>
  <c r="AM107" i="1"/>
  <c r="AC151" i="1"/>
  <c r="AL151" i="1" s="1"/>
  <c r="AM151" i="1"/>
  <c r="AC466" i="1"/>
  <c r="AL466" i="1" s="1"/>
  <c r="AC284" i="1"/>
  <c r="AL284" i="1" s="1"/>
  <c r="AM284" i="1"/>
  <c r="AC598" i="1"/>
  <c r="AL598" i="1" s="1"/>
  <c r="AM598" i="1"/>
  <c r="AC156" i="1"/>
  <c r="AL156" i="1" s="1"/>
  <c r="AM156" i="1"/>
  <c r="AC139" i="1"/>
  <c r="AL139" i="1" s="1"/>
  <c r="AM139" i="1"/>
  <c r="AC129" i="1"/>
  <c r="AL129" i="1" s="1"/>
  <c r="AM129" i="1"/>
  <c r="AC98" i="1"/>
  <c r="AL98" i="1" s="1"/>
  <c r="AM98" i="1"/>
  <c r="AC396" i="1"/>
  <c r="AL396" i="1" s="1"/>
  <c r="AM396" i="1"/>
  <c r="AC415" i="1"/>
  <c r="AL415" i="1" s="1"/>
  <c r="AM415" i="1"/>
  <c r="AC370" i="1"/>
  <c r="AL370" i="1" s="1"/>
  <c r="AM370" i="1"/>
  <c r="AC258" i="1"/>
  <c r="AL258" i="1" s="1"/>
  <c r="AM258" i="1"/>
  <c r="AC325" i="1"/>
  <c r="AL325" i="1" s="1"/>
  <c r="AM325" i="1"/>
  <c r="AC253" i="1"/>
  <c r="AL253" i="1" s="1"/>
  <c r="AM253" i="1"/>
  <c r="AC464" i="1"/>
  <c r="AL464" i="1" s="1"/>
  <c r="AC552" i="1"/>
  <c r="AL552" i="1" s="1"/>
  <c r="AM552" i="1"/>
  <c r="AC244" i="1"/>
  <c r="AL244" i="1" s="1"/>
  <c r="AM244" i="1"/>
  <c r="AC410" i="1"/>
  <c r="AL410" i="1" s="1"/>
  <c r="AM410" i="1"/>
  <c r="AC580" i="1"/>
  <c r="AL580" i="1" s="1"/>
  <c r="AM580" i="1"/>
  <c r="AC384" i="1"/>
  <c r="AL384" i="1" s="1"/>
  <c r="AM384" i="1"/>
  <c r="AC308" i="1"/>
  <c r="AL308" i="1" s="1"/>
  <c r="AM308" i="1"/>
  <c r="AC388" i="1"/>
  <c r="AL388" i="1" s="1"/>
  <c r="AM388" i="1"/>
  <c r="AC347" i="1"/>
  <c r="AL347" i="1" s="1"/>
  <c r="AM347" i="1"/>
  <c r="AC525" i="1"/>
  <c r="AL525" i="1" s="1"/>
  <c r="AM525" i="1"/>
  <c r="AC275" i="1"/>
  <c r="AL275" i="1" s="1"/>
  <c r="AM275" i="1"/>
  <c r="AC260" i="1"/>
  <c r="AL260" i="1" s="1"/>
  <c r="AM260" i="1"/>
  <c r="AC481" i="1"/>
  <c r="AL481" i="1" s="1"/>
  <c r="AM481" i="1"/>
  <c r="AC86" i="1"/>
  <c r="AL86" i="1" s="1"/>
  <c r="AM86" i="1"/>
  <c r="AC395" i="1"/>
  <c r="AL395" i="1" s="1"/>
  <c r="AM395" i="1"/>
  <c r="AC374" i="1"/>
  <c r="AL374" i="1" s="1"/>
  <c r="AM374" i="1"/>
  <c r="AC364" i="1"/>
  <c r="AL364" i="1" s="1"/>
  <c r="AM364" i="1"/>
  <c r="AC243" i="1"/>
  <c r="AL243" i="1" s="1"/>
  <c r="AM243" i="1"/>
  <c r="AC475" i="1"/>
  <c r="AL475" i="1" s="1"/>
  <c r="AM475" i="1"/>
  <c r="AC571" i="1"/>
  <c r="AL571" i="1" s="1"/>
  <c r="AM571" i="1"/>
  <c r="AC381" i="1"/>
  <c r="AL381" i="1" s="1"/>
  <c r="AM381" i="1"/>
  <c r="AC593" i="1"/>
  <c r="AL593" i="1" s="1"/>
  <c r="AM593" i="1"/>
  <c r="AC320" i="1"/>
  <c r="AL320" i="1" s="1"/>
  <c r="AM320" i="1"/>
  <c r="AC191" i="1"/>
  <c r="AL191" i="1" s="1"/>
  <c r="AC164" i="1"/>
  <c r="AL164" i="1" s="1"/>
  <c r="AM164" i="1"/>
  <c r="AC93" i="1"/>
  <c r="AL93" i="1" s="1"/>
  <c r="AM93" i="1"/>
  <c r="AC143" i="1"/>
  <c r="AL143" i="1" s="1"/>
  <c r="AM143" i="1"/>
  <c r="AC391" i="1"/>
  <c r="AL391" i="1" s="1"/>
  <c r="AM391" i="1"/>
  <c r="AL515" i="1"/>
  <c r="AC535" i="1"/>
  <c r="AL535" i="1" s="1"/>
  <c r="AM535" i="1"/>
  <c r="AC402" i="1"/>
  <c r="AL402" i="1" s="1"/>
  <c r="AM402" i="1"/>
  <c r="AC349" i="1"/>
  <c r="AL349" i="1" s="1"/>
  <c r="AM349" i="1"/>
  <c r="AC477" i="1"/>
  <c r="AL477" i="1" s="1"/>
  <c r="AM477" i="1"/>
  <c r="AC351" i="1"/>
  <c r="AL351" i="1" s="1"/>
  <c r="AM351" i="1"/>
  <c r="AC548" i="1"/>
  <c r="AL548" i="1" s="1"/>
  <c r="AM548" i="1"/>
  <c r="AC408" i="1"/>
  <c r="AL408" i="1" s="1"/>
  <c r="AM408" i="1"/>
  <c r="AC145" i="1"/>
  <c r="AL145" i="1" s="1"/>
  <c r="AM145" i="1"/>
  <c r="AC189" i="1"/>
  <c r="AL189" i="1" s="1"/>
  <c r="AC247" i="1"/>
  <c r="AL247" i="1" s="1"/>
  <c r="AM247" i="1"/>
  <c r="AC441" i="1"/>
  <c r="AL441" i="1" s="1"/>
  <c r="AM441" i="1"/>
  <c r="AC306" i="1"/>
  <c r="AL306" i="1" s="1"/>
  <c r="AM306" i="1"/>
  <c r="AC363" i="1"/>
  <c r="AL363" i="1" s="1"/>
  <c r="AM363" i="1"/>
  <c r="AC229" i="1"/>
  <c r="AL229" i="1" s="1"/>
  <c r="AM229" i="1"/>
  <c r="AC132" i="1"/>
  <c r="AL132" i="1" s="1"/>
  <c r="AM132" i="1"/>
  <c r="AC142" i="1"/>
  <c r="AL142" i="1" s="1"/>
  <c r="AM142" i="1"/>
  <c r="AC594" i="1"/>
  <c r="AL594" i="1" s="1"/>
  <c r="AM594" i="1"/>
  <c r="AC507" i="1"/>
  <c r="AL507" i="1" s="1"/>
  <c r="AM507" i="1"/>
  <c r="AC148" i="1"/>
  <c r="AL148" i="1" s="1"/>
  <c r="AM148" i="1"/>
  <c r="AC577" i="1"/>
  <c r="AL577" i="1" s="1"/>
  <c r="AM577" i="1"/>
  <c r="AC130" i="1"/>
  <c r="AL130" i="1" s="1"/>
  <c r="AM130" i="1"/>
  <c r="AC208" i="1"/>
  <c r="AL208" i="1" s="1"/>
  <c r="AM208" i="1"/>
  <c r="AC285" i="1"/>
  <c r="AL285" i="1" s="1"/>
  <c r="AM285" i="1"/>
  <c r="AC295" i="1"/>
  <c r="AL295" i="1" s="1"/>
  <c r="AM295" i="1"/>
  <c r="AC274" i="1"/>
  <c r="AL274" i="1" s="1"/>
  <c r="AM274" i="1"/>
  <c r="AC282" i="1"/>
  <c r="AL282" i="1" s="1"/>
  <c r="AM282" i="1"/>
  <c r="AC280" i="1"/>
  <c r="AL280" i="1" s="1"/>
  <c r="AM280" i="1"/>
  <c r="AC277" i="1"/>
  <c r="AL277" i="1" s="1"/>
  <c r="AM277" i="1"/>
  <c r="AC527" i="1"/>
  <c r="AL527" i="1" s="1"/>
  <c r="AM527" i="1"/>
  <c r="AC152" i="1"/>
  <c r="AL152" i="1" s="1"/>
  <c r="AM152" i="1"/>
  <c r="AC595" i="1"/>
  <c r="AL595" i="1" s="1"/>
  <c r="AM595" i="1"/>
  <c r="AC89" i="1"/>
  <c r="AL89" i="1" s="1"/>
  <c r="AM89" i="1"/>
  <c r="AC122" i="1"/>
  <c r="AL122" i="1" s="1"/>
  <c r="AM122" i="1"/>
  <c r="AC261" i="1"/>
  <c r="AL261" i="1" s="1"/>
  <c r="AM261" i="1"/>
  <c r="AC211" i="1"/>
  <c r="AL211" i="1" s="1"/>
  <c r="AM211" i="1"/>
  <c r="AC369" i="1"/>
  <c r="AL369" i="1" s="1"/>
  <c r="AM369" i="1"/>
  <c r="AC270" i="1"/>
  <c r="AL270" i="1" s="1"/>
  <c r="AM270" i="1"/>
  <c r="AC326" i="1"/>
  <c r="AL326" i="1" s="1"/>
  <c r="AM326" i="1"/>
  <c r="AC121" i="1"/>
  <c r="AL121" i="1" s="1"/>
  <c r="AM121" i="1"/>
  <c r="AC526" i="1"/>
  <c r="AL526" i="1" s="1"/>
  <c r="AM526" i="1"/>
  <c r="AC480" i="1"/>
  <c r="AL480" i="1" s="1"/>
  <c r="AM480" i="1"/>
  <c r="AC150" i="1"/>
  <c r="AL150" i="1" s="1"/>
  <c r="AM150" i="1"/>
  <c r="AC546" i="1"/>
  <c r="AL546" i="1" s="1"/>
  <c r="AM546" i="1"/>
  <c r="AC254" i="1"/>
  <c r="AL254" i="1" s="1"/>
  <c r="AM254" i="1"/>
  <c r="AC483" i="1"/>
  <c r="AL483" i="1" s="1"/>
  <c r="AM483" i="1"/>
  <c r="AC271" i="1"/>
  <c r="AL271" i="1" s="1"/>
  <c r="AM271" i="1"/>
  <c r="AC350" i="1"/>
  <c r="AL350" i="1" s="1"/>
  <c r="AM350" i="1"/>
  <c r="AC387" i="1"/>
  <c r="AL387" i="1" s="1"/>
  <c r="AM387" i="1"/>
  <c r="AC570" i="1"/>
  <c r="AL570" i="1" s="1"/>
  <c r="AM570" i="1"/>
  <c r="Q562" i="1"/>
  <c r="Q84" i="1"/>
  <c r="Q81" i="1"/>
  <c r="Q63" i="1"/>
  <c r="Q69" i="1"/>
  <c r="Q80" i="1"/>
  <c r="Q286" i="1"/>
  <c r="Q566" i="1"/>
  <c r="Q199" i="1"/>
  <c r="Q332" i="1"/>
  <c r="Q330" i="1"/>
  <c r="Q281" i="1"/>
  <c r="Q400" i="1"/>
  <c r="Q228" i="1"/>
  <c r="Q200" i="1"/>
  <c r="Q197" i="1"/>
  <c r="Q336" i="1"/>
  <c r="Q331" i="1"/>
  <c r="Q335" i="1"/>
  <c r="Q246" i="1"/>
  <c r="Q372" i="1"/>
  <c r="Q490" i="1"/>
  <c r="Q564" i="1"/>
  <c r="Q495" i="1"/>
  <c r="Q472" i="1"/>
  <c r="W472" i="1" s="1"/>
  <c r="Q333" i="1"/>
  <c r="Q234" i="1"/>
  <c r="Q329" i="1"/>
  <c r="Q135" i="1"/>
  <c r="Q563" i="1"/>
  <c r="Q119" i="1"/>
  <c r="Q518" i="1"/>
  <c r="Q195" i="1"/>
  <c r="Q431" i="1"/>
  <c r="Q294" i="1"/>
  <c r="Q245" i="1"/>
  <c r="Q565" i="1"/>
  <c r="Q136" i="1"/>
  <c r="Q559" i="1"/>
  <c r="Q561" i="1"/>
  <c r="Q373" i="1"/>
  <c r="Q334" i="1"/>
  <c r="Q426" i="1"/>
  <c r="Q338" i="1"/>
  <c r="Q523" i="1"/>
  <c r="Q514" i="1"/>
  <c r="Q196" i="1"/>
  <c r="Q124" i="1"/>
  <c r="Q194" i="1"/>
  <c r="Q496" i="1"/>
  <c r="Q558" i="1"/>
  <c r="Q473" i="1"/>
  <c r="W473" i="1" s="1"/>
  <c r="Q427" i="1"/>
  <c r="Q293" i="1"/>
  <c r="Q337" i="1"/>
  <c r="Q560" i="1"/>
  <c r="Q193" i="1"/>
  <c r="AC581" i="1"/>
  <c r="AL581" i="1" s="1"/>
  <c r="AM581" i="1"/>
  <c r="AC547" i="1"/>
  <c r="AL547" i="1" s="1"/>
  <c r="AM547" i="1"/>
  <c r="AC147" i="1"/>
  <c r="AL147" i="1" s="1"/>
  <c r="AM147" i="1"/>
  <c r="AC502" i="1"/>
  <c r="AL502" i="1" s="1"/>
  <c r="AM502" i="1"/>
  <c r="AC584" i="1"/>
  <c r="AL584" i="1" s="1"/>
  <c r="AM584" i="1"/>
  <c r="AC125" i="1"/>
  <c r="AL125" i="1" s="1"/>
  <c r="AM125" i="1"/>
  <c r="AC343" i="1"/>
  <c r="AL343" i="1" s="1"/>
  <c r="AM343" i="1"/>
  <c r="AC226" i="1"/>
  <c r="AL226" i="1" s="1"/>
  <c r="AM226" i="1"/>
  <c r="AC425" i="1"/>
  <c r="AL425" i="1" s="1"/>
  <c r="AM425" i="1"/>
  <c r="AC433" i="1"/>
  <c r="AL433" i="1" s="1"/>
  <c r="AM433" i="1"/>
  <c r="AC272" i="1"/>
  <c r="AL272" i="1" s="1"/>
  <c r="AM272" i="1"/>
  <c r="AC524" i="1"/>
  <c r="AL524" i="1" s="1"/>
  <c r="AM524" i="1"/>
  <c r="AC406" i="1"/>
  <c r="AL406" i="1" s="1"/>
  <c r="AM406" i="1"/>
  <c r="AC344" i="1"/>
  <c r="AL344" i="1" s="1"/>
  <c r="AM344" i="1"/>
  <c r="AC346" i="1"/>
  <c r="AL346" i="1" s="1"/>
  <c r="AM346" i="1"/>
  <c r="AC390" i="1"/>
  <c r="AL390" i="1" s="1"/>
  <c r="AM390" i="1"/>
  <c r="AC316" i="1"/>
  <c r="AL316" i="1" s="1"/>
  <c r="AM316" i="1"/>
  <c r="AC399" i="1"/>
  <c r="AL399" i="1" s="1"/>
  <c r="AM399" i="1"/>
  <c r="AC288" i="1"/>
  <c r="AL288" i="1" s="1"/>
  <c r="AM288" i="1"/>
  <c r="AC188" i="1"/>
  <c r="AL188" i="1" s="1"/>
  <c r="AC556" i="1"/>
  <c r="AL556" i="1" s="1"/>
  <c r="AM556" i="1"/>
  <c r="AC358" i="1"/>
  <c r="AL358" i="1" s="1"/>
  <c r="AM358" i="1"/>
  <c r="AC296" i="1"/>
  <c r="AL296" i="1" s="1"/>
  <c r="AM296" i="1"/>
  <c r="AC442" i="1"/>
  <c r="AL442" i="1" s="1"/>
  <c r="AM442" i="1"/>
  <c r="AC438" i="1"/>
  <c r="AL438" i="1" s="1"/>
  <c r="AM438" i="1"/>
  <c r="AC292" i="1"/>
  <c r="AL292" i="1" s="1"/>
  <c r="AM292" i="1"/>
  <c r="AC586" i="1"/>
  <c r="AL586" i="1" s="1"/>
  <c r="AM586" i="1"/>
  <c r="AC550" i="1"/>
  <c r="AL550" i="1" s="1"/>
  <c r="AM550" i="1"/>
  <c r="W19" i="1"/>
  <c r="W21" i="1"/>
  <c r="W18" i="1"/>
  <c r="W17" i="1"/>
  <c r="W20" i="1"/>
  <c r="AC94" i="1"/>
  <c r="AL94" i="1" s="1"/>
  <c r="AM94" i="1"/>
  <c r="AC302" i="1"/>
  <c r="AL302" i="1" s="1"/>
  <c r="AM302" i="1"/>
  <c r="AC255" i="1"/>
  <c r="AL255" i="1" s="1"/>
  <c r="AM255" i="1"/>
  <c r="AC504" i="1"/>
  <c r="AL504" i="1" s="1"/>
  <c r="AM504" i="1"/>
  <c r="AC375" i="1"/>
  <c r="AL375" i="1" s="1"/>
  <c r="AM375" i="1"/>
  <c r="AC297" i="1"/>
  <c r="AL297" i="1" s="1"/>
  <c r="AM297" i="1"/>
  <c r="AC401" i="1"/>
  <c r="AL401" i="1" s="1"/>
  <c r="AM401" i="1"/>
  <c r="AC312" i="1"/>
  <c r="AL312" i="1" s="1"/>
  <c r="AM312" i="1"/>
  <c r="AC157" i="1"/>
  <c r="AL157" i="1" s="1"/>
  <c r="AM157" i="1"/>
  <c r="AC478" i="1"/>
  <c r="AL478" i="1" s="1"/>
  <c r="AM478" i="1"/>
  <c r="AC127" i="1"/>
  <c r="AL127" i="1" s="1"/>
  <c r="AM127" i="1"/>
  <c r="AC583" i="1"/>
  <c r="AL583" i="1" s="1"/>
  <c r="AM583" i="1"/>
  <c r="AC290" i="1"/>
  <c r="AL290" i="1" s="1"/>
  <c r="AM290" i="1"/>
  <c r="AC251" i="1"/>
  <c r="AL251" i="1" s="1"/>
  <c r="AM251" i="1"/>
  <c r="AC115" i="1"/>
  <c r="AL115" i="1" s="1"/>
  <c r="AM115" i="1"/>
  <c r="AC596" i="1"/>
  <c r="AL596" i="1" s="1"/>
  <c r="AM596" i="1"/>
  <c r="AC484" i="1"/>
  <c r="AL484" i="1" s="1"/>
  <c r="AM484" i="1"/>
  <c r="AC141" i="1"/>
  <c r="AL141" i="1" s="1"/>
  <c r="AM141" i="1"/>
  <c r="AC223" i="1"/>
  <c r="AL223" i="1" s="1"/>
  <c r="AM223" i="1"/>
  <c r="AC393" i="1"/>
  <c r="AL393" i="1" s="1"/>
  <c r="AM393" i="1"/>
  <c r="AC291" i="1"/>
  <c r="AL291" i="1" s="1"/>
  <c r="AM291" i="1"/>
  <c r="AC385" i="1"/>
  <c r="AL385" i="1" s="1"/>
  <c r="AM385" i="1"/>
  <c r="AC205" i="1"/>
  <c r="AL205" i="1" s="1"/>
  <c r="AM205" i="1"/>
  <c r="AC108" i="1"/>
  <c r="AL108" i="1" s="1"/>
  <c r="AM108" i="1"/>
  <c r="AC190" i="1"/>
  <c r="AL190" i="1" s="1"/>
  <c r="AC468" i="1"/>
  <c r="AL468" i="1" s="1"/>
  <c r="AC162" i="1"/>
  <c r="AL162" i="1" s="1"/>
  <c r="AM162" i="1"/>
  <c r="AC533" i="1"/>
  <c r="AL533" i="1" s="1"/>
  <c r="AM533" i="1"/>
  <c r="AC499" i="1"/>
  <c r="AL499" i="1" s="1"/>
  <c r="AC117" i="1"/>
  <c r="AL117" i="1" s="1"/>
  <c r="AM117" i="1"/>
  <c r="AC123" i="1"/>
  <c r="AL123" i="1" s="1"/>
  <c r="AM123" i="1"/>
  <c r="AC225" i="1"/>
  <c r="AL225" i="1" s="1"/>
  <c r="AM225" i="1"/>
  <c r="AC437" i="1"/>
  <c r="AL437" i="1" s="1"/>
  <c r="AM437" i="1"/>
  <c r="AC500" i="1"/>
  <c r="AL500" i="1" s="1"/>
  <c r="AC299" i="1"/>
  <c r="AL299" i="1" s="1"/>
  <c r="AM299" i="1"/>
  <c r="AC106" i="1"/>
  <c r="AL106" i="1" s="1"/>
  <c r="AM106" i="1"/>
  <c r="AC555" i="1"/>
  <c r="AL555" i="1" s="1"/>
  <c r="AM555" i="1"/>
  <c r="AC470" i="1"/>
  <c r="AL470" i="1" s="1"/>
  <c r="AC256" i="1"/>
  <c r="AL256" i="1" s="1"/>
  <c r="AM256" i="1"/>
  <c r="AC522" i="1"/>
  <c r="AL522" i="1" s="1"/>
  <c r="AC158" i="1"/>
  <c r="AL158" i="1" s="1"/>
  <c r="AM158" i="1"/>
  <c r="AC345" i="1"/>
  <c r="AL345" i="1" s="1"/>
  <c r="AM345" i="1"/>
  <c r="AC353" i="1"/>
  <c r="AL353" i="1" s="1"/>
  <c r="AM353" i="1"/>
  <c r="AC109" i="1"/>
  <c r="AL109" i="1" s="1"/>
  <c r="AM109" i="1"/>
  <c r="AC287" i="1"/>
  <c r="AL287" i="1" s="1"/>
  <c r="AM287" i="1"/>
  <c r="AC128" i="1"/>
  <c r="AL128" i="1" s="1"/>
  <c r="AM128" i="1"/>
  <c r="AC262" i="1"/>
  <c r="AL262" i="1" s="1"/>
  <c r="AM262" i="1"/>
  <c r="AC403" i="1"/>
  <c r="AL403" i="1" s="1"/>
  <c r="AM403" i="1"/>
  <c r="AC214" i="1"/>
  <c r="AL214" i="1" s="1"/>
  <c r="AM214" i="1"/>
  <c r="AC318" i="1"/>
  <c r="AL318" i="1" s="1"/>
  <c r="AM318" i="1"/>
  <c r="AC159" i="1"/>
  <c r="AL159" i="1" s="1"/>
  <c r="AM159" i="1"/>
  <c r="AC231" i="1"/>
  <c r="AL231" i="1" s="1"/>
  <c r="AM231" i="1"/>
  <c r="AC216" i="1"/>
  <c r="AL216" i="1" s="1"/>
  <c r="AM216" i="1"/>
  <c r="AC131" i="1"/>
  <c r="AL131" i="1" s="1"/>
  <c r="AM131" i="1"/>
  <c r="AC116" i="1"/>
  <c r="AL116" i="1" s="1"/>
  <c r="AM116" i="1"/>
  <c r="AC198" i="1"/>
  <c r="AL198" i="1" s="1"/>
  <c r="AM198" i="1"/>
  <c r="AC379" i="1"/>
  <c r="AL379" i="1" s="1"/>
  <c r="AM379" i="1"/>
  <c r="AC298" i="1"/>
  <c r="AL298" i="1" s="1"/>
  <c r="AM298" i="1"/>
  <c r="AC366" i="1"/>
  <c r="AL366" i="1" s="1"/>
  <c r="AM366" i="1"/>
  <c r="AC362" i="1"/>
  <c r="AL362" i="1" s="1"/>
  <c r="AM362" i="1"/>
  <c r="AC99" i="1"/>
  <c r="AL99" i="1" s="1"/>
  <c r="AM99" i="1"/>
  <c r="AC264" i="1"/>
  <c r="AL264" i="1" s="1"/>
  <c r="AM264" i="1"/>
  <c r="AC166" i="1"/>
  <c r="AL166" i="1" s="1"/>
  <c r="AM166" i="1"/>
  <c r="AC386" i="1"/>
  <c r="AL386" i="1" s="1"/>
  <c r="AM386" i="1"/>
  <c r="AC85" i="1"/>
  <c r="AL85" i="1" s="1"/>
  <c r="AM85" i="1"/>
  <c r="AC553" i="1"/>
  <c r="AL553" i="1" s="1"/>
  <c r="AM553" i="1"/>
  <c r="AC236" i="1"/>
  <c r="AL236" i="1" s="1"/>
  <c r="AM236" i="1"/>
  <c r="AC506" i="1"/>
  <c r="AL506" i="1" s="1"/>
  <c r="AM506" i="1"/>
  <c r="AC278" i="1"/>
  <c r="AL278" i="1" s="1"/>
  <c r="AM278" i="1"/>
  <c r="AC207" i="1"/>
  <c r="AL207" i="1" s="1"/>
  <c r="AM207" i="1"/>
  <c r="AC249" i="1"/>
  <c r="AL249" i="1" s="1"/>
  <c r="AM249" i="1"/>
  <c r="AC377" i="1"/>
  <c r="AL377" i="1" s="1"/>
  <c r="AM377" i="1"/>
  <c r="AC498" i="1"/>
  <c r="AL498" i="1" s="1"/>
  <c r="AC133" i="1"/>
  <c r="AL133" i="1" s="1"/>
  <c r="AM133" i="1"/>
  <c r="AC589" i="1"/>
  <c r="AL589" i="1" s="1"/>
  <c r="AM589" i="1"/>
  <c r="AC118" i="1"/>
  <c r="AL118" i="1" s="1"/>
  <c r="AM118" i="1"/>
  <c r="AC90" i="1"/>
  <c r="AL90" i="1" s="1"/>
  <c r="AM90" i="1"/>
  <c r="AC268" i="1"/>
  <c r="AL268" i="1" s="1"/>
  <c r="AM268" i="1"/>
  <c r="AC575" i="1"/>
  <c r="AL575" i="1" s="1"/>
  <c r="AM575" i="1"/>
  <c r="AC230" i="1"/>
  <c r="AL230" i="1" s="1"/>
  <c r="AM230" i="1"/>
  <c r="AC432" i="1"/>
  <c r="AL432" i="1" s="1"/>
  <c r="AM432" i="1"/>
  <c r="AC554" i="1"/>
  <c r="AL554" i="1" s="1"/>
  <c r="AM554" i="1"/>
  <c r="AC361" i="1"/>
  <c r="AL361" i="1" s="1"/>
  <c r="AM361" i="1"/>
  <c r="AC467" i="1"/>
  <c r="AL467" i="1" s="1"/>
  <c r="AC365" i="1"/>
  <c r="AL365" i="1" s="1"/>
  <c r="AM365" i="1"/>
  <c r="AC434" i="1"/>
  <c r="AL434" i="1" s="1"/>
  <c r="AM434" i="1"/>
  <c r="AC588" i="1"/>
  <c r="AL588" i="1" s="1"/>
  <c r="AM588" i="1"/>
  <c r="AC227" i="1"/>
  <c r="AL227" i="1" s="1"/>
  <c r="AM227" i="1"/>
  <c r="AC516" i="1"/>
  <c r="AL516" i="1" s="1"/>
  <c r="AM516" i="1"/>
  <c r="AC163" i="1"/>
  <c r="AL163" i="1" s="1"/>
  <c r="AM163" i="1"/>
  <c r="AC110" i="1"/>
  <c r="AL110" i="1" s="1"/>
  <c r="AM110" i="1"/>
  <c r="AC263" i="1"/>
  <c r="AL263" i="1" s="1"/>
  <c r="AM263" i="1"/>
  <c r="AC569" i="1"/>
  <c r="AL569" i="1" s="1"/>
  <c r="AM569" i="1"/>
  <c r="AC237" i="1"/>
  <c r="AL237" i="1" s="1"/>
  <c r="AM237" i="1"/>
  <c r="AC87" i="1"/>
  <c r="AL87" i="1" s="1"/>
  <c r="AM87" i="1"/>
  <c r="AC201" i="1"/>
  <c r="AL201" i="1" s="1"/>
  <c r="AM201" i="1"/>
  <c r="AC328" i="1"/>
  <c r="AL328" i="1" s="1"/>
  <c r="AM328" i="1"/>
  <c r="AC348" i="1"/>
  <c r="AL348" i="1" s="1"/>
  <c r="AM348" i="1"/>
  <c r="AC215" i="1"/>
  <c r="AL215" i="1" s="1"/>
  <c r="AM215" i="1"/>
  <c r="AC88" i="1"/>
  <c r="AL88" i="1" s="1"/>
  <c r="AM88" i="1"/>
  <c r="AC357" i="1"/>
  <c r="AL357" i="1" s="1"/>
  <c r="AM357" i="1"/>
  <c r="AC259" i="1"/>
  <c r="AL259" i="1" s="1"/>
  <c r="AM259" i="1"/>
  <c r="AC321" i="1"/>
  <c r="AL321" i="1" s="1"/>
  <c r="AM321" i="1"/>
  <c r="AC413" i="1"/>
  <c r="AL413" i="1" s="1"/>
  <c r="AM413" i="1"/>
  <c r="AC303" i="1"/>
  <c r="AL303" i="1" s="1"/>
  <c r="AM303" i="1"/>
  <c r="AC241" i="1"/>
  <c r="AL241" i="1" s="1"/>
  <c r="AM241" i="1"/>
  <c r="AC144" i="1"/>
  <c r="AL144" i="1" s="1"/>
  <c r="AM144" i="1"/>
  <c r="AC154" i="1"/>
  <c r="AL154" i="1" s="1"/>
  <c r="AM154" i="1"/>
  <c r="AC505" i="1"/>
  <c r="AL505" i="1" s="1"/>
  <c r="AM505" i="1"/>
  <c r="AC126" i="1"/>
  <c r="AL126" i="1" s="1"/>
  <c r="AM126" i="1"/>
  <c r="AC309" i="1"/>
  <c r="AL309" i="1" s="1"/>
  <c r="AM309" i="1"/>
  <c r="AC307" i="1"/>
  <c r="AL307" i="1" s="1"/>
  <c r="AM307" i="1"/>
  <c r="AC435" i="1"/>
  <c r="AL435" i="1" s="1"/>
  <c r="AM435" i="1"/>
  <c r="AC574" i="1"/>
  <c r="AL574" i="1" s="1"/>
  <c r="AM574" i="1"/>
  <c r="AC289" i="1"/>
  <c r="AL289" i="1" s="1"/>
  <c r="AM289" i="1"/>
  <c r="AC192" i="1"/>
  <c r="AL192" i="1" s="1"/>
  <c r="AC210" i="1"/>
  <c r="AL210" i="1" s="1"/>
  <c r="AM210" i="1"/>
  <c r="AC557" i="1"/>
  <c r="AL557" i="1" s="1"/>
  <c r="AM557" i="1"/>
  <c r="AC376" i="1"/>
  <c r="AL376" i="1" s="1"/>
  <c r="AM376" i="1"/>
  <c r="AC113" i="1"/>
  <c r="AL113" i="1" s="1"/>
  <c r="AM113" i="1"/>
  <c r="AC549" i="1"/>
  <c r="AL549" i="1" s="1"/>
  <c r="AM549" i="1"/>
  <c r="AC101" i="1"/>
  <c r="AL101" i="1" s="1"/>
  <c r="AM101" i="1"/>
  <c r="AC206" i="1"/>
  <c r="AL206" i="1" s="1"/>
  <c r="AM206" i="1"/>
  <c r="AC111" i="1"/>
  <c r="AL111" i="1" s="1"/>
  <c r="AM111" i="1"/>
  <c r="AC404" i="1"/>
  <c r="AL404" i="1" s="1"/>
  <c r="AM404" i="1"/>
  <c r="AC409" i="1"/>
  <c r="AL409" i="1" s="1"/>
  <c r="AM409" i="1"/>
  <c r="AC105" i="1"/>
  <c r="AL105" i="1" s="1"/>
  <c r="AM105" i="1"/>
  <c r="AC305" i="1"/>
  <c r="AL305" i="1" s="1"/>
  <c r="AM305" i="1"/>
  <c r="AC239" i="1"/>
  <c r="AL239" i="1" s="1"/>
  <c r="AM239" i="1"/>
  <c r="AC503" i="1"/>
  <c r="AL503" i="1" s="1"/>
  <c r="AM503" i="1"/>
  <c r="AC175" i="1"/>
  <c r="AL175" i="1" s="1"/>
  <c r="AM175" i="1"/>
  <c r="AC532" i="1"/>
  <c r="AL532" i="1" s="1"/>
  <c r="AM532" i="1"/>
  <c r="AC497" i="1"/>
  <c r="AL497" i="1" s="1"/>
  <c r="AC323" i="1"/>
  <c r="AL323" i="1" s="1"/>
  <c r="AM323" i="1"/>
  <c r="AC380" i="1"/>
  <c r="AL380" i="1" s="1"/>
  <c r="AM380" i="1"/>
  <c r="AC383" i="1"/>
  <c r="AL383" i="1" s="1"/>
  <c r="AM383" i="1"/>
  <c r="AC356" i="1"/>
  <c r="AL356" i="1" s="1"/>
  <c r="AM356" i="1"/>
  <c r="AC412" i="1"/>
  <c r="AL412" i="1" s="1"/>
  <c r="AM412" i="1"/>
  <c r="AC411" i="1"/>
  <c r="AL411" i="1" s="1"/>
  <c r="AM411" i="1"/>
  <c r="AC240" i="1"/>
  <c r="AL240" i="1" s="1"/>
  <c r="AM240" i="1"/>
  <c r="AC155" i="1"/>
  <c r="AL155" i="1" s="1"/>
  <c r="AM155" i="1"/>
  <c r="AC592" i="1"/>
  <c r="AL592" i="1" s="1"/>
  <c r="AM592" i="1"/>
  <c r="AC91" i="1"/>
  <c r="AL91" i="1" s="1"/>
  <c r="AM91" i="1"/>
  <c r="AC112" i="1"/>
  <c r="AL112" i="1" s="1"/>
  <c r="AM112" i="1"/>
  <c r="AC511" i="1"/>
  <c r="AL511" i="1" s="1"/>
  <c r="AM511" i="1"/>
  <c r="AC528" i="1"/>
  <c r="AL528" i="1" s="1"/>
  <c r="AM528" i="1"/>
  <c r="AC572" i="1"/>
  <c r="AL572" i="1" s="1"/>
  <c r="AM572" i="1"/>
  <c r="AC494" i="1"/>
  <c r="AL494" i="1" s="1"/>
  <c r="AC419" i="1"/>
  <c r="AL419" i="1" s="1"/>
  <c r="AM419" i="1"/>
  <c r="AC300" i="1"/>
  <c r="AL300" i="1" s="1"/>
  <c r="AM300" i="1"/>
  <c r="AC424" i="1"/>
  <c r="AL424" i="1" s="1"/>
  <c r="AM424" i="1"/>
  <c r="AC313" i="1"/>
  <c r="AL313" i="1" s="1"/>
  <c r="AM313" i="1"/>
  <c r="AC232" i="1"/>
  <c r="AL232" i="1" s="1"/>
  <c r="AM232" i="1"/>
  <c r="AC165" i="1"/>
  <c r="AL165" i="1" s="1"/>
  <c r="AM165" i="1"/>
  <c r="AC235" i="1"/>
  <c r="AL235" i="1" s="1"/>
  <c r="AM235" i="1"/>
  <c r="AC273" i="1"/>
  <c r="AL273" i="1" s="1"/>
  <c r="AM273" i="1"/>
  <c r="AC389" i="1"/>
  <c r="AL389" i="1" s="1"/>
  <c r="AM389" i="1"/>
  <c r="AC217" i="1"/>
  <c r="AL217" i="1" s="1"/>
  <c r="AM217" i="1"/>
  <c r="AC120" i="1"/>
  <c r="AL120" i="1" s="1"/>
  <c r="AM120" i="1"/>
  <c r="AC209" i="1"/>
  <c r="AL209" i="1" s="1"/>
  <c r="AM209" i="1"/>
  <c r="AC100" i="1"/>
  <c r="AL100" i="1" s="1"/>
  <c r="AM100" i="1"/>
  <c r="AC146" i="1"/>
  <c r="AL146" i="1" s="1"/>
  <c r="AM146" i="1"/>
  <c r="AC219" i="1"/>
  <c r="AL219" i="1" s="1"/>
  <c r="AM219" i="1"/>
  <c r="AC137" i="1"/>
  <c r="AL137" i="1" s="1"/>
  <c r="AM137" i="1"/>
  <c r="AC339" i="1"/>
  <c r="AL339" i="1" s="1"/>
  <c r="AM339" i="1"/>
  <c r="AC341" i="1"/>
  <c r="AL341" i="1" s="1"/>
  <c r="AM341" i="1"/>
  <c r="AC304" i="1"/>
  <c r="AL304" i="1" s="1"/>
  <c r="AM304" i="1"/>
  <c r="AC521" i="1"/>
  <c r="AL521" i="1" s="1"/>
  <c r="AC134" i="1"/>
  <c r="AL134" i="1" s="1"/>
  <c r="AM134" i="1"/>
  <c r="AC371" i="1"/>
  <c r="AL371" i="1" s="1"/>
  <c r="AM371" i="1"/>
  <c r="AC439" i="1"/>
  <c r="AL439" i="1" s="1"/>
  <c r="AM439" i="1"/>
  <c r="AC407" i="1"/>
  <c r="AL407" i="1" s="1"/>
  <c r="AM407" i="1"/>
  <c r="AC392" i="1"/>
  <c r="AL392" i="1" s="1"/>
  <c r="AM392" i="1"/>
  <c r="AC436" i="1"/>
  <c r="AL436" i="1" s="1"/>
  <c r="AM436" i="1"/>
  <c r="AC576" i="1"/>
  <c r="AL576" i="1" s="1"/>
  <c r="AM576" i="1"/>
  <c r="AC167" i="1"/>
  <c r="AL167" i="1" s="1"/>
  <c r="AM167" i="1"/>
  <c r="AC579" i="1"/>
  <c r="AL579" i="1" s="1"/>
  <c r="AM579" i="1"/>
  <c r="AC103" i="1"/>
  <c r="AL103" i="1" s="1"/>
  <c r="AM103" i="1"/>
  <c r="AC233" i="1"/>
  <c r="AL233" i="1" s="1"/>
  <c r="AM233" i="1"/>
  <c r="AC573" i="1"/>
  <c r="AL573" i="1" s="1"/>
  <c r="AM573" i="1"/>
  <c r="AC310" i="1"/>
  <c r="AL310" i="1" s="1"/>
  <c r="AM310" i="1"/>
  <c r="AC355" i="1"/>
  <c r="AL355" i="1" s="1"/>
  <c r="AM355" i="1"/>
  <c r="AC394" i="1"/>
  <c r="AL394" i="1" s="1"/>
  <c r="AM394" i="1"/>
  <c r="AC414" i="1"/>
  <c r="AL414" i="1" s="1"/>
  <c r="AM414" i="1"/>
  <c r="AC340" i="1"/>
  <c r="AL340" i="1" s="1"/>
  <c r="AM340" i="1"/>
  <c r="AC398" i="1"/>
  <c r="AL398" i="1" s="1"/>
  <c r="AM398" i="1"/>
  <c r="AC465" i="1"/>
  <c r="AL465" i="1" s="1"/>
  <c r="AC212" i="1"/>
  <c r="AL212" i="1" s="1"/>
  <c r="AM212" i="1"/>
  <c r="AC531" i="1"/>
  <c r="AL531" i="1" s="1"/>
  <c r="AM531" i="1"/>
  <c r="AC149" i="1"/>
  <c r="AL149" i="1" s="1"/>
  <c r="AM149" i="1"/>
  <c r="AC509" i="1"/>
  <c r="AL509" i="1" s="1"/>
  <c r="AM509" i="1"/>
  <c r="AC587" i="1"/>
  <c r="AL587" i="1" s="1"/>
  <c r="AM587" i="1"/>
  <c r="AC469" i="1"/>
  <c r="AL469" i="1" s="1"/>
  <c r="AC534" i="1"/>
  <c r="AL534" i="1" s="1"/>
  <c r="AM534" i="1"/>
  <c r="AC508" i="1"/>
  <c r="AL508" i="1" s="1"/>
  <c r="AM508" i="1"/>
  <c r="AC382" i="1"/>
  <c r="AL382" i="1" s="1"/>
  <c r="AM382" i="1"/>
  <c r="AC368" i="1"/>
  <c r="AL368" i="1" s="1"/>
  <c r="AM368" i="1"/>
  <c r="AC269" i="1"/>
  <c r="AL269" i="1" s="1"/>
  <c r="AM269" i="1"/>
  <c r="AC267" i="1"/>
  <c r="AL267" i="1" s="1"/>
  <c r="AM267" i="1"/>
  <c r="AC327" i="1"/>
  <c r="AL327" i="1" s="1"/>
  <c r="AM327" i="1"/>
  <c r="AC501" i="1"/>
  <c r="AL501" i="1" s="1"/>
  <c r="AM501" i="1"/>
  <c r="AC242" i="1"/>
  <c r="AL242" i="1" s="1"/>
  <c r="AM242" i="1"/>
  <c r="AC257" i="1"/>
  <c r="AL257" i="1" s="1"/>
  <c r="AM257" i="1"/>
  <c r="AC324" i="1"/>
  <c r="AL324" i="1" s="1"/>
  <c r="AM324" i="1"/>
  <c r="AC248" i="1"/>
  <c r="AL248" i="1" s="1"/>
  <c r="AM248" i="1"/>
  <c r="AC582" i="1"/>
  <c r="AL582" i="1" s="1"/>
  <c r="AM582" i="1"/>
  <c r="AC420" i="1"/>
  <c r="AL420" i="1" s="1"/>
  <c r="AM420" i="1"/>
  <c r="AC315" i="1"/>
  <c r="AL315" i="1" s="1"/>
  <c r="AM315" i="1"/>
  <c r="AC213" i="1"/>
  <c r="AL213" i="1" s="1"/>
  <c r="AM213" i="1"/>
  <c r="AC476" i="1"/>
  <c r="AL476" i="1" s="1"/>
  <c r="AM476" i="1"/>
  <c r="AC311" i="1"/>
  <c r="AL311" i="1" s="1"/>
  <c r="AM311" i="1"/>
  <c r="AC276" i="1"/>
  <c r="AL276" i="1" s="1"/>
  <c r="AM276" i="1"/>
  <c r="AC92" i="1"/>
  <c r="AL92" i="1" s="1"/>
  <c r="AM92" i="1"/>
  <c r="AC359" i="1"/>
  <c r="AL359" i="1" s="1"/>
  <c r="AM359" i="1"/>
  <c r="AC314" i="1"/>
  <c r="AL314" i="1" s="1"/>
  <c r="AM314" i="1"/>
  <c r="AC138" i="1"/>
  <c r="AL138" i="1" s="1"/>
  <c r="AM138" i="1"/>
  <c r="AC479" i="1"/>
  <c r="AL479" i="1" s="1"/>
  <c r="AM479" i="1"/>
  <c r="AC97" i="1"/>
  <c r="AL97" i="1" s="1"/>
  <c r="AM97" i="1"/>
  <c r="AC551" i="1"/>
  <c r="AL551" i="1" s="1"/>
  <c r="AM551" i="1"/>
  <c r="AC160" i="1"/>
  <c r="AL160" i="1" s="1"/>
  <c r="AM160" i="1"/>
  <c r="AC397" i="1"/>
  <c r="AL397" i="1" s="1"/>
  <c r="AM397" i="1"/>
  <c r="AC529" i="1"/>
  <c r="AL529" i="1" s="1"/>
  <c r="AM529" i="1"/>
  <c r="AC317" i="1"/>
  <c r="AL317" i="1" s="1"/>
  <c r="AM317" i="1"/>
  <c r="AC218" i="1"/>
  <c r="AL218" i="1" s="1"/>
  <c r="AM218" i="1"/>
  <c r="AC238" i="1"/>
  <c r="AL238" i="1" s="1"/>
  <c r="AM238" i="1"/>
  <c r="AC319" i="1"/>
  <c r="AL319" i="1" s="1"/>
  <c r="AM319" i="1"/>
  <c r="AC322" i="1"/>
  <c r="AL322" i="1" s="1"/>
  <c r="AM322" i="1"/>
  <c r="AC378" i="1"/>
  <c r="AL378" i="1" s="1"/>
  <c r="AM378" i="1"/>
  <c r="AC510" i="1"/>
  <c r="AL510" i="1" s="1"/>
  <c r="AM510" i="1"/>
  <c r="AC301" i="1"/>
  <c r="AL301" i="1" s="1"/>
  <c r="AM301" i="1"/>
  <c r="AC578" i="1"/>
  <c r="AL578" i="1" s="1"/>
  <c r="AM578" i="1"/>
  <c r="AC104" i="1"/>
  <c r="AL104" i="1" s="1"/>
  <c r="AM104" i="1"/>
  <c r="AC114" i="1"/>
  <c r="AL114" i="1" s="1"/>
  <c r="AM114" i="1"/>
  <c r="AC591" i="1"/>
  <c r="AL591" i="1" s="1"/>
  <c r="AM591" i="1"/>
  <c r="AC530" i="1"/>
  <c r="AL530" i="1" s="1"/>
  <c r="AM530" i="1"/>
  <c r="AC102" i="1"/>
  <c r="AL102" i="1" s="1"/>
  <c r="AM102" i="1"/>
  <c r="AC597" i="1"/>
  <c r="AL597" i="1" s="1"/>
  <c r="AM597" i="1"/>
  <c r="AC367" i="1"/>
  <c r="AL367" i="1" s="1"/>
  <c r="AM367" i="1"/>
  <c r="AC354" i="1"/>
  <c r="AL354" i="1" s="1"/>
  <c r="AM354" i="1"/>
  <c r="AC352" i="1"/>
  <c r="AL352" i="1" s="1"/>
  <c r="AM352" i="1"/>
  <c r="AC360" i="1"/>
  <c r="AL360" i="1" s="1"/>
  <c r="AM360" i="1"/>
  <c r="AC252" i="1"/>
  <c r="AL252" i="1" s="1"/>
  <c r="AM252" i="1"/>
  <c r="AC95" i="1"/>
  <c r="AL95" i="1" s="1"/>
  <c r="AM95" i="1"/>
  <c r="AC224" i="1"/>
  <c r="AL224" i="1" s="1"/>
  <c r="AM224" i="1"/>
  <c r="AC161" i="1"/>
  <c r="AL161" i="1" s="1"/>
  <c r="AM161" i="1"/>
  <c r="AC266" i="1"/>
  <c r="AL266" i="1" s="1"/>
  <c r="AM266" i="1"/>
  <c r="AC405" i="1"/>
  <c r="AL405" i="1" s="1"/>
  <c r="AM405" i="1"/>
  <c r="AC283" i="1"/>
  <c r="AL283" i="1" s="1"/>
  <c r="AM283" i="1"/>
  <c r="AC250" i="1"/>
  <c r="AL250" i="1" s="1"/>
  <c r="AM250" i="1"/>
  <c r="AC342" i="1"/>
  <c r="AL342" i="1" s="1"/>
  <c r="AM342" i="1"/>
  <c r="AC279" i="1"/>
  <c r="AL279" i="1" s="1"/>
  <c r="AM279" i="1"/>
  <c r="AC265" i="1"/>
  <c r="AL265" i="1" s="1"/>
  <c r="AM265" i="1"/>
  <c r="AC96" i="1"/>
  <c r="AL96" i="1" s="1"/>
  <c r="AM96" i="1"/>
  <c r="AC140" i="1"/>
  <c r="AL140" i="1" s="1"/>
  <c r="AM140" i="1"/>
  <c r="AC222" i="1"/>
  <c r="AL222" i="1" s="1"/>
  <c r="AM222" i="1"/>
  <c r="AC471" i="1"/>
  <c r="AL471" i="1" s="1"/>
  <c r="AC585" i="1"/>
  <c r="AL585" i="1" s="1"/>
  <c r="AM585" i="1"/>
  <c r="AC482" i="1"/>
  <c r="AL482" i="1" s="1"/>
  <c r="AM482" i="1"/>
  <c r="AC537" i="1"/>
  <c r="AL537" i="1" s="1"/>
  <c r="B339" i="1"/>
  <c r="W545" i="1" l="1"/>
  <c r="AK545" i="1"/>
  <c r="W474" i="1"/>
  <c r="AK474" i="1"/>
  <c r="AK567" i="1"/>
  <c r="T567" i="1"/>
  <c r="W567" i="1"/>
  <c r="S567" i="1"/>
  <c r="W518" i="1"/>
  <c r="AK518" i="1"/>
  <c r="W331" i="1"/>
  <c r="AK331" i="1"/>
  <c r="AK473" i="1"/>
  <c r="W561" i="1"/>
  <c r="AK561" i="1"/>
  <c r="W329" i="1"/>
  <c r="AK329" i="1"/>
  <c r="W197" i="1"/>
  <c r="AK197" i="1"/>
  <c r="W63" i="1"/>
  <c r="AK63" i="1"/>
  <c r="W246" i="1"/>
  <c r="AK246" i="1"/>
  <c r="W337" i="1"/>
  <c r="AK337" i="1"/>
  <c r="W558" i="1"/>
  <c r="AK558" i="1"/>
  <c r="W559" i="1"/>
  <c r="AK559" i="1"/>
  <c r="W234" i="1"/>
  <c r="AK234" i="1"/>
  <c r="W200" i="1"/>
  <c r="AK200" i="1"/>
  <c r="W81" i="1"/>
  <c r="AK81" i="1"/>
  <c r="AC17" i="1"/>
  <c r="AM17" i="1"/>
  <c r="W338" i="1"/>
  <c r="AK338" i="1"/>
  <c r="AC18" i="1"/>
  <c r="Y18" i="1"/>
  <c r="AM18" i="1"/>
  <c r="W286" i="1"/>
  <c r="AK286" i="1"/>
  <c r="W334" i="1"/>
  <c r="AK334" i="1"/>
  <c r="W80" i="1"/>
  <c r="AK80" i="1"/>
  <c r="W496" i="1"/>
  <c r="AK496" i="1"/>
  <c r="W136" i="1"/>
  <c r="AK136" i="1"/>
  <c r="W333" i="1"/>
  <c r="AK333" i="1"/>
  <c r="W228" i="1"/>
  <c r="AK228" i="1"/>
  <c r="W84" i="1"/>
  <c r="AK84" i="1"/>
  <c r="W194" i="1"/>
  <c r="AK194" i="1"/>
  <c r="W565" i="1"/>
  <c r="AK565" i="1"/>
  <c r="AK472" i="1"/>
  <c r="W400" i="1"/>
  <c r="AK400" i="1"/>
  <c r="W562" i="1"/>
  <c r="AK562" i="1"/>
  <c r="W124" i="1"/>
  <c r="AK124" i="1"/>
  <c r="W245" i="1"/>
  <c r="AK245" i="1"/>
  <c r="W495" i="1"/>
  <c r="AK495" i="1"/>
  <c r="W281" i="1"/>
  <c r="AK281" i="1"/>
  <c r="W196" i="1"/>
  <c r="AK196" i="1"/>
  <c r="W294" i="1"/>
  <c r="AK294" i="1"/>
  <c r="W564" i="1"/>
  <c r="AK564" i="1"/>
  <c r="W330" i="1"/>
  <c r="AK330" i="1"/>
  <c r="W514" i="1"/>
  <c r="AK514" i="1"/>
  <c r="W431" i="1"/>
  <c r="AK431" i="1"/>
  <c r="W490" i="1"/>
  <c r="AK490" i="1"/>
  <c r="W332" i="1"/>
  <c r="AK332" i="1"/>
  <c r="AC20" i="1"/>
  <c r="Y20" i="1"/>
  <c r="AM20" i="1"/>
  <c r="W193" i="1"/>
  <c r="AK193" i="1"/>
  <c r="W523" i="1"/>
  <c r="AK523" i="1"/>
  <c r="W195" i="1"/>
  <c r="AK195" i="1"/>
  <c r="W372" i="1"/>
  <c r="AK372" i="1"/>
  <c r="W199" i="1"/>
  <c r="AK199" i="1"/>
  <c r="W566" i="1"/>
  <c r="AK566" i="1"/>
  <c r="W560" i="1"/>
  <c r="AK560" i="1"/>
  <c r="W335" i="1"/>
  <c r="AK335" i="1"/>
  <c r="W426" i="1"/>
  <c r="AK426" i="1"/>
  <c r="W119" i="1"/>
  <c r="AK119" i="1"/>
  <c r="AC21" i="1"/>
  <c r="Y21" i="1"/>
  <c r="AM21" i="1"/>
  <c r="W293" i="1"/>
  <c r="AK293" i="1"/>
  <c r="W563" i="1"/>
  <c r="AK563" i="1"/>
  <c r="AC19" i="1"/>
  <c r="Y19" i="1"/>
  <c r="AM19" i="1"/>
  <c r="W427" i="1"/>
  <c r="AK427" i="1"/>
  <c r="W373" i="1"/>
  <c r="AK373" i="1"/>
  <c r="W135" i="1"/>
  <c r="AK135" i="1"/>
  <c r="W336" i="1"/>
  <c r="AK336" i="1"/>
  <c r="W69" i="1"/>
  <c r="AK69" i="1"/>
  <c r="F138" i="10"/>
  <c r="E138" i="10"/>
  <c r="F137" i="10"/>
  <c r="E137" i="10"/>
  <c r="F136" i="10"/>
  <c r="E136" i="10"/>
  <c r="F120" i="10"/>
  <c r="E120" i="10"/>
  <c r="F119" i="10"/>
  <c r="E119" i="10"/>
  <c r="F118" i="10"/>
  <c r="E118" i="10"/>
  <c r="F75" i="10"/>
  <c r="F74" i="10"/>
  <c r="F73" i="10"/>
  <c r="F72" i="10"/>
  <c r="F71" i="10"/>
  <c r="F44" i="10"/>
  <c r="F43" i="10"/>
  <c r="F32" i="10"/>
  <c r="F26" i="10"/>
  <c r="AH70" i="6"/>
  <c r="AD70" i="6"/>
  <c r="AC70" i="6"/>
  <c r="AB70" i="6"/>
  <c r="AA70" i="6"/>
  <c r="Z70" i="6"/>
  <c r="Y70" i="6"/>
  <c r="X70" i="6"/>
  <c r="W70" i="6"/>
  <c r="V70" i="6"/>
  <c r="U70" i="6"/>
  <c r="T70" i="6"/>
  <c r="AH69" i="6"/>
  <c r="AD69" i="6"/>
  <c r="AC69" i="6"/>
  <c r="AB69" i="6"/>
  <c r="AA69" i="6"/>
  <c r="Z69" i="6"/>
  <c r="Y69" i="6"/>
  <c r="X69" i="6"/>
  <c r="W69" i="6"/>
  <c r="V69" i="6"/>
  <c r="U69" i="6"/>
  <c r="T69" i="6"/>
  <c r="AH68" i="6"/>
  <c r="AD68" i="6"/>
  <c r="AC68" i="6"/>
  <c r="AB68" i="6"/>
  <c r="AA68" i="6"/>
  <c r="Z68" i="6"/>
  <c r="Y68" i="6"/>
  <c r="X68" i="6"/>
  <c r="W68" i="6"/>
  <c r="V68" i="6"/>
  <c r="U68" i="6"/>
  <c r="T68" i="6"/>
  <c r="AH67" i="6"/>
  <c r="AD67" i="6"/>
  <c r="AC67" i="6"/>
  <c r="AB67" i="6"/>
  <c r="AA67" i="6"/>
  <c r="Z67" i="6"/>
  <c r="Y67" i="6"/>
  <c r="X67" i="6"/>
  <c r="W67" i="6"/>
  <c r="V67" i="6"/>
  <c r="U67" i="6"/>
  <c r="T67" i="6"/>
  <c r="AH66" i="6"/>
  <c r="AD66" i="6"/>
  <c r="AC66" i="6"/>
  <c r="AB66" i="6"/>
  <c r="AA66" i="6"/>
  <c r="Z66" i="6"/>
  <c r="Y66" i="6"/>
  <c r="X66" i="6"/>
  <c r="W66" i="6"/>
  <c r="V66" i="6"/>
  <c r="U66" i="6"/>
  <c r="T66" i="6"/>
  <c r="AH65" i="6"/>
  <c r="AD65" i="6"/>
  <c r="AC65" i="6"/>
  <c r="AB65" i="6"/>
  <c r="AA65" i="6"/>
  <c r="Z65" i="6"/>
  <c r="Y65" i="6"/>
  <c r="X65" i="6"/>
  <c r="W65" i="6"/>
  <c r="V65" i="6"/>
  <c r="U65" i="6"/>
  <c r="T65" i="6"/>
  <c r="AH64" i="6"/>
  <c r="AD64" i="6"/>
  <c r="AC64" i="6"/>
  <c r="AB64" i="6"/>
  <c r="AA64" i="6"/>
  <c r="Z64" i="6"/>
  <c r="Y64" i="6"/>
  <c r="X64" i="6"/>
  <c r="W64" i="6"/>
  <c r="V64" i="6"/>
  <c r="U64" i="6"/>
  <c r="T64" i="6"/>
  <c r="AH63" i="6"/>
  <c r="AD63" i="6"/>
  <c r="AC63" i="6"/>
  <c r="AB63" i="6"/>
  <c r="AA63" i="6"/>
  <c r="Z63" i="6"/>
  <c r="Y63" i="6"/>
  <c r="X63" i="6"/>
  <c r="W63" i="6"/>
  <c r="V63" i="6"/>
  <c r="U63" i="6"/>
  <c r="T63" i="6"/>
  <c r="AH62" i="6"/>
  <c r="AD62" i="6"/>
  <c r="AC62" i="6"/>
  <c r="AB62" i="6"/>
  <c r="AA62" i="6"/>
  <c r="Z62" i="6"/>
  <c r="Y62" i="6"/>
  <c r="X62" i="6"/>
  <c r="W62" i="6"/>
  <c r="V62" i="6"/>
  <c r="U62" i="6"/>
  <c r="T62" i="6"/>
  <c r="AH61" i="6"/>
  <c r="AD61" i="6"/>
  <c r="AC61" i="6"/>
  <c r="AB61" i="6"/>
  <c r="AA61" i="6"/>
  <c r="Z61" i="6"/>
  <c r="Y61" i="6"/>
  <c r="X61" i="6"/>
  <c r="W61" i="6"/>
  <c r="V61" i="6"/>
  <c r="U61" i="6"/>
  <c r="T61" i="6"/>
  <c r="AD60" i="6"/>
  <c r="AC60" i="6"/>
  <c r="AB60" i="6"/>
  <c r="AA60" i="6"/>
  <c r="Z60" i="6"/>
  <c r="Y60" i="6"/>
  <c r="X60" i="6"/>
  <c r="W60" i="6"/>
  <c r="V60" i="6"/>
  <c r="U60" i="6"/>
  <c r="T60" i="6"/>
  <c r="AH56" i="6"/>
  <c r="AD56" i="6"/>
  <c r="AC56" i="6"/>
  <c r="AB56" i="6"/>
  <c r="AA56" i="6"/>
  <c r="Z56" i="6"/>
  <c r="Y56" i="6"/>
  <c r="X56" i="6"/>
  <c r="W56" i="6"/>
  <c r="V56" i="6"/>
  <c r="U56" i="6"/>
  <c r="T56" i="6"/>
  <c r="AH55" i="6"/>
  <c r="AD55" i="6"/>
  <c r="AC55" i="6"/>
  <c r="AB55" i="6"/>
  <c r="AA55" i="6"/>
  <c r="Z55" i="6"/>
  <c r="Y55" i="6"/>
  <c r="X55" i="6"/>
  <c r="W55" i="6"/>
  <c r="V55" i="6"/>
  <c r="U55" i="6"/>
  <c r="T55" i="6"/>
  <c r="AH54" i="6"/>
  <c r="AD54" i="6"/>
  <c r="AC54" i="6"/>
  <c r="AB54" i="6"/>
  <c r="AA54" i="6"/>
  <c r="Z54" i="6"/>
  <c r="Y54" i="6"/>
  <c r="X54" i="6"/>
  <c r="W54" i="6"/>
  <c r="V54" i="6"/>
  <c r="U54" i="6"/>
  <c r="T54" i="6"/>
  <c r="AH53" i="6"/>
  <c r="AD53" i="6"/>
  <c r="AC53" i="6"/>
  <c r="AB53" i="6"/>
  <c r="AA53" i="6"/>
  <c r="Z53" i="6"/>
  <c r="Y53" i="6"/>
  <c r="X53" i="6"/>
  <c r="W53" i="6"/>
  <c r="V53" i="6"/>
  <c r="U53" i="6"/>
  <c r="T53" i="6"/>
  <c r="AH52" i="6"/>
  <c r="AD52" i="6"/>
  <c r="AC52" i="6"/>
  <c r="AB52" i="6"/>
  <c r="AA52" i="6"/>
  <c r="Z52" i="6"/>
  <c r="Y52" i="6"/>
  <c r="X52" i="6"/>
  <c r="W52" i="6"/>
  <c r="V52" i="6"/>
  <c r="U52" i="6"/>
  <c r="T52" i="6"/>
  <c r="AH51" i="6"/>
  <c r="AD51" i="6"/>
  <c r="AC51" i="6"/>
  <c r="AB51" i="6"/>
  <c r="AA51" i="6"/>
  <c r="Z51" i="6"/>
  <c r="Y51" i="6"/>
  <c r="X51" i="6"/>
  <c r="W51" i="6"/>
  <c r="V51" i="6"/>
  <c r="U51" i="6"/>
  <c r="T51" i="6"/>
  <c r="AH50" i="6"/>
  <c r="AD50" i="6"/>
  <c r="AC50" i="6"/>
  <c r="AB50" i="6"/>
  <c r="AA50" i="6"/>
  <c r="Z50" i="6"/>
  <c r="Y50" i="6"/>
  <c r="X50" i="6"/>
  <c r="W50" i="6"/>
  <c r="V50" i="6"/>
  <c r="U50" i="6"/>
  <c r="T50" i="6"/>
  <c r="AH49" i="6"/>
  <c r="AD49" i="6"/>
  <c r="AC49" i="6"/>
  <c r="AB49" i="6"/>
  <c r="AA49" i="6"/>
  <c r="Z49" i="6"/>
  <c r="Y49" i="6"/>
  <c r="X49" i="6"/>
  <c r="W49" i="6"/>
  <c r="V49" i="6"/>
  <c r="U49" i="6"/>
  <c r="T49" i="6"/>
  <c r="AH48" i="6"/>
  <c r="AD48" i="6"/>
  <c r="AC48" i="6"/>
  <c r="AB48" i="6"/>
  <c r="AA48" i="6"/>
  <c r="Z48" i="6"/>
  <c r="Y48" i="6"/>
  <c r="X48" i="6"/>
  <c r="W48" i="6"/>
  <c r="V48" i="6"/>
  <c r="U48" i="6"/>
  <c r="T48" i="6"/>
  <c r="AH47" i="6"/>
  <c r="AD47" i="6"/>
  <c r="AC47" i="6"/>
  <c r="AB47" i="6"/>
  <c r="AA47" i="6"/>
  <c r="Z47" i="6"/>
  <c r="Y47" i="6"/>
  <c r="X47" i="6"/>
  <c r="W47" i="6"/>
  <c r="V47" i="6"/>
  <c r="U47" i="6"/>
  <c r="T47" i="6"/>
  <c r="AD46" i="6"/>
  <c r="AC46" i="6"/>
  <c r="AB46" i="6"/>
  <c r="AA46" i="6"/>
  <c r="Z46" i="6"/>
  <c r="Y46" i="6"/>
  <c r="X46" i="6"/>
  <c r="W46" i="6"/>
  <c r="V46" i="6"/>
  <c r="U46" i="6"/>
  <c r="T46" i="6"/>
  <c r="AH42" i="6"/>
  <c r="AD42" i="6"/>
  <c r="AC42" i="6"/>
  <c r="AB42" i="6"/>
  <c r="AA42" i="6"/>
  <c r="Z42" i="6"/>
  <c r="Y42" i="6"/>
  <c r="X42" i="6"/>
  <c r="W42" i="6"/>
  <c r="V42" i="6"/>
  <c r="U42" i="6"/>
  <c r="T42" i="6"/>
  <c r="AH41" i="6"/>
  <c r="AD41" i="6"/>
  <c r="AC41" i="6"/>
  <c r="AB41" i="6"/>
  <c r="AA41" i="6"/>
  <c r="Z41" i="6"/>
  <c r="Y41" i="6"/>
  <c r="X41" i="6"/>
  <c r="W41" i="6"/>
  <c r="V41" i="6"/>
  <c r="U41" i="6"/>
  <c r="T41" i="6"/>
  <c r="AH40" i="6"/>
  <c r="AD40" i="6"/>
  <c r="AC40" i="6"/>
  <c r="AB40" i="6"/>
  <c r="AA40" i="6"/>
  <c r="Z40" i="6"/>
  <c r="Y40" i="6"/>
  <c r="X40" i="6"/>
  <c r="W40" i="6"/>
  <c r="V40" i="6"/>
  <c r="U40" i="6"/>
  <c r="T40" i="6"/>
  <c r="AH39" i="6"/>
  <c r="AD39" i="6"/>
  <c r="AC39" i="6"/>
  <c r="AB39" i="6"/>
  <c r="AA39" i="6"/>
  <c r="Z39" i="6"/>
  <c r="Y39" i="6"/>
  <c r="X39" i="6"/>
  <c r="W39" i="6"/>
  <c r="V39" i="6"/>
  <c r="U39" i="6"/>
  <c r="T39" i="6"/>
  <c r="AH38" i="6"/>
  <c r="AD38" i="6"/>
  <c r="AC38" i="6"/>
  <c r="AB38" i="6"/>
  <c r="AA38" i="6"/>
  <c r="Z38" i="6"/>
  <c r="Y38" i="6"/>
  <c r="X38" i="6"/>
  <c r="W38" i="6"/>
  <c r="V38" i="6"/>
  <c r="U38" i="6"/>
  <c r="T38" i="6"/>
  <c r="AH37" i="6"/>
  <c r="AD37" i="6"/>
  <c r="AC37" i="6"/>
  <c r="AB37" i="6"/>
  <c r="AA37" i="6"/>
  <c r="Z37" i="6"/>
  <c r="Y37" i="6"/>
  <c r="X37" i="6"/>
  <c r="W37" i="6"/>
  <c r="V37" i="6"/>
  <c r="U37" i="6"/>
  <c r="T37" i="6"/>
  <c r="AH36" i="6"/>
  <c r="AD36" i="6"/>
  <c r="AC36" i="6"/>
  <c r="AB36" i="6"/>
  <c r="AA36" i="6"/>
  <c r="Z36" i="6"/>
  <c r="Y36" i="6"/>
  <c r="X36" i="6"/>
  <c r="W36" i="6"/>
  <c r="V36" i="6"/>
  <c r="U36" i="6"/>
  <c r="T36" i="6"/>
  <c r="AH35" i="6"/>
  <c r="AD35" i="6"/>
  <c r="AC35" i="6"/>
  <c r="AB35" i="6"/>
  <c r="AA35" i="6"/>
  <c r="Z35" i="6"/>
  <c r="Y35" i="6"/>
  <c r="X35" i="6"/>
  <c r="W35" i="6"/>
  <c r="V35" i="6"/>
  <c r="U35" i="6"/>
  <c r="T35" i="6"/>
  <c r="AH34" i="6"/>
  <c r="AD34" i="6"/>
  <c r="AC34" i="6"/>
  <c r="AB34" i="6"/>
  <c r="AA34" i="6"/>
  <c r="Z34" i="6"/>
  <c r="Y34" i="6"/>
  <c r="X34" i="6"/>
  <c r="W34" i="6"/>
  <c r="V34" i="6"/>
  <c r="U34" i="6"/>
  <c r="T34" i="6"/>
  <c r="AH33" i="6"/>
  <c r="AD33" i="6"/>
  <c r="AC33" i="6"/>
  <c r="AB33" i="6"/>
  <c r="AA33" i="6"/>
  <c r="Z33" i="6"/>
  <c r="Y33" i="6"/>
  <c r="X33" i="6"/>
  <c r="W33" i="6"/>
  <c r="V33" i="6"/>
  <c r="U33" i="6"/>
  <c r="T33" i="6"/>
  <c r="AD32" i="6"/>
  <c r="AC32" i="6"/>
  <c r="AB32" i="6"/>
  <c r="AA32" i="6"/>
  <c r="Z32" i="6"/>
  <c r="Y32" i="6"/>
  <c r="X32" i="6"/>
  <c r="W32" i="6"/>
  <c r="V32" i="6"/>
  <c r="U32" i="6"/>
  <c r="T32" i="6"/>
  <c r="AH28" i="6"/>
  <c r="AD28" i="6"/>
  <c r="AC28" i="6"/>
  <c r="AB28" i="6"/>
  <c r="AA28" i="6"/>
  <c r="Z28" i="6"/>
  <c r="Y28" i="6"/>
  <c r="X28" i="6"/>
  <c r="W28" i="6"/>
  <c r="V28" i="6"/>
  <c r="U28" i="6"/>
  <c r="T28" i="6"/>
  <c r="AH27" i="6"/>
  <c r="AD27" i="6"/>
  <c r="AC27" i="6"/>
  <c r="AB27" i="6"/>
  <c r="AA27" i="6"/>
  <c r="Z27" i="6"/>
  <c r="Y27" i="6"/>
  <c r="X27" i="6"/>
  <c r="W27" i="6"/>
  <c r="V27" i="6"/>
  <c r="U27" i="6"/>
  <c r="T27" i="6"/>
  <c r="AH26" i="6"/>
  <c r="AD26" i="6"/>
  <c r="AC26" i="6"/>
  <c r="AB26" i="6"/>
  <c r="AA26" i="6"/>
  <c r="Z26" i="6"/>
  <c r="Y26" i="6"/>
  <c r="X26" i="6"/>
  <c r="W26" i="6"/>
  <c r="V26" i="6"/>
  <c r="U26" i="6"/>
  <c r="T26" i="6"/>
  <c r="AH25" i="6"/>
  <c r="AD25" i="6"/>
  <c r="AC25" i="6"/>
  <c r="AB25" i="6"/>
  <c r="AA25" i="6"/>
  <c r="Z25" i="6"/>
  <c r="Y25" i="6"/>
  <c r="X25" i="6"/>
  <c r="W25" i="6"/>
  <c r="V25" i="6"/>
  <c r="U25" i="6"/>
  <c r="T25" i="6"/>
  <c r="AH24" i="6"/>
  <c r="AD24" i="6"/>
  <c r="AC24" i="6"/>
  <c r="AB24" i="6"/>
  <c r="AA24" i="6"/>
  <c r="Z24" i="6"/>
  <c r="Y24" i="6"/>
  <c r="X24" i="6"/>
  <c r="W24" i="6"/>
  <c r="V24" i="6"/>
  <c r="U24" i="6"/>
  <c r="T24" i="6"/>
  <c r="AH23" i="6"/>
  <c r="AD23" i="6"/>
  <c r="AC23" i="6"/>
  <c r="AB23" i="6"/>
  <c r="AA23" i="6"/>
  <c r="Z23" i="6"/>
  <c r="Y23" i="6"/>
  <c r="X23" i="6"/>
  <c r="W23" i="6"/>
  <c r="V23" i="6"/>
  <c r="U23" i="6"/>
  <c r="T23" i="6"/>
  <c r="AH22" i="6"/>
  <c r="AD22" i="6"/>
  <c r="AC22" i="6"/>
  <c r="AB22" i="6"/>
  <c r="AA22" i="6"/>
  <c r="Z22" i="6"/>
  <c r="Y22" i="6"/>
  <c r="X22" i="6"/>
  <c r="W22" i="6"/>
  <c r="V22" i="6"/>
  <c r="U22" i="6"/>
  <c r="T22" i="6"/>
  <c r="AH21" i="6"/>
  <c r="AD21" i="6"/>
  <c r="AC21" i="6"/>
  <c r="AB21" i="6"/>
  <c r="AA21" i="6"/>
  <c r="Z21" i="6"/>
  <c r="Y21" i="6"/>
  <c r="X21" i="6"/>
  <c r="W21" i="6"/>
  <c r="V21" i="6"/>
  <c r="U21" i="6"/>
  <c r="T21" i="6"/>
  <c r="AH20" i="6"/>
  <c r="AD20" i="6"/>
  <c r="AC20" i="6"/>
  <c r="AB20" i="6"/>
  <c r="AA20" i="6"/>
  <c r="Z20" i="6"/>
  <c r="Y20" i="6"/>
  <c r="X20" i="6"/>
  <c r="W20" i="6"/>
  <c r="V20" i="6"/>
  <c r="U20" i="6"/>
  <c r="T20" i="6"/>
  <c r="AH19" i="6"/>
  <c r="AD19" i="6"/>
  <c r="AC19" i="6"/>
  <c r="AB19" i="6"/>
  <c r="AA19" i="6"/>
  <c r="Z19" i="6"/>
  <c r="Y19" i="6"/>
  <c r="X19" i="6"/>
  <c r="W19" i="6"/>
  <c r="V19" i="6"/>
  <c r="U19" i="6"/>
  <c r="T19" i="6"/>
  <c r="AD18" i="6"/>
  <c r="AC18" i="6"/>
  <c r="AB18" i="6"/>
  <c r="AA18" i="6"/>
  <c r="Z18" i="6"/>
  <c r="Y18" i="6"/>
  <c r="X18" i="6"/>
  <c r="W18" i="6"/>
  <c r="V18" i="6"/>
  <c r="U18" i="6"/>
  <c r="T18" i="6"/>
  <c r="AH14" i="6"/>
  <c r="AD14" i="6"/>
  <c r="AC14" i="6"/>
  <c r="AB14" i="6"/>
  <c r="AA14" i="6"/>
  <c r="Z14" i="6"/>
  <c r="Y14" i="6"/>
  <c r="X14" i="6"/>
  <c r="W14" i="6"/>
  <c r="V14" i="6"/>
  <c r="U14" i="6"/>
  <c r="T14" i="6"/>
  <c r="AH13" i="6"/>
  <c r="AD13" i="6"/>
  <c r="AC13" i="6"/>
  <c r="AB13" i="6"/>
  <c r="AA13" i="6"/>
  <c r="Z13" i="6"/>
  <c r="Y13" i="6"/>
  <c r="X13" i="6"/>
  <c r="W13" i="6"/>
  <c r="V13" i="6"/>
  <c r="U13" i="6"/>
  <c r="T13" i="6"/>
  <c r="AH12" i="6"/>
  <c r="AD12" i="6"/>
  <c r="AC12" i="6"/>
  <c r="AB12" i="6"/>
  <c r="AA12" i="6"/>
  <c r="Z12" i="6"/>
  <c r="Y12" i="6"/>
  <c r="X12" i="6"/>
  <c r="W12" i="6"/>
  <c r="V12" i="6"/>
  <c r="U12" i="6"/>
  <c r="T12" i="6"/>
  <c r="AH11" i="6"/>
  <c r="AD11" i="6"/>
  <c r="AC11" i="6"/>
  <c r="AB11" i="6"/>
  <c r="AA11" i="6"/>
  <c r="Z11" i="6"/>
  <c r="Y11" i="6"/>
  <c r="X11" i="6"/>
  <c r="W11" i="6"/>
  <c r="V11" i="6"/>
  <c r="U11" i="6"/>
  <c r="T11" i="6"/>
  <c r="AH10" i="6"/>
  <c r="AD10" i="6"/>
  <c r="AC10" i="6"/>
  <c r="AB10" i="6"/>
  <c r="AA10" i="6"/>
  <c r="Z10" i="6"/>
  <c r="Y10" i="6"/>
  <c r="X10" i="6"/>
  <c r="W10" i="6"/>
  <c r="V10" i="6"/>
  <c r="U10" i="6"/>
  <c r="T10" i="6"/>
  <c r="AH9" i="6"/>
  <c r="AD9" i="6"/>
  <c r="AC9" i="6"/>
  <c r="AB9" i="6"/>
  <c r="AA9" i="6"/>
  <c r="Z9" i="6"/>
  <c r="Y9" i="6"/>
  <c r="X9" i="6"/>
  <c r="W9" i="6"/>
  <c r="V9" i="6"/>
  <c r="U9" i="6"/>
  <c r="T9" i="6"/>
  <c r="AH8" i="6"/>
  <c r="AD8" i="6"/>
  <c r="AC8" i="6"/>
  <c r="AB8" i="6"/>
  <c r="AA8" i="6"/>
  <c r="Z8" i="6"/>
  <c r="Y8" i="6"/>
  <c r="X8" i="6"/>
  <c r="W8" i="6"/>
  <c r="V8" i="6"/>
  <c r="U8" i="6"/>
  <c r="T8" i="6"/>
  <c r="AH7" i="6"/>
  <c r="AD7" i="6"/>
  <c r="AC7" i="6"/>
  <c r="AB7" i="6"/>
  <c r="AA7" i="6"/>
  <c r="Z7" i="6"/>
  <c r="Y7" i="6"/>
  <c r="X7" i="6"/>
  <c r="W7" i="6"/>
  <c r="V7" i="6"/>
  <c r="U7" i="6"/>
  <c r="T7" i="6"/>
  <c r="AH6" i="6"/>
  <c r="AD6" i="6"/>
  <c r="AC6" i="6"/>
  <c r="AB6" i="6"/>
  <c r="AA6" i="6"/>
  <c r="Z6" i="6"/>
  <c r="Y6" i="6"/>
  <c r="X6" i="6"/>
  <c r="W6" i="6"/>
  <c r="V6" i="6"/>
  <c r="U6" i="6"/>
  <c r="T6" i="6"/>
  <c r="AH5" i="6"/>
  <c r="AD5" i="6"/>
  <c r="AC5" i="6"/>
  <c r="AB5" i="6"/>
  <c r="AA5" i="6"/>
  <c r="Z5" i="6"/>
  <c r="Y5" i="6"/>
  <c r="X5" i="6"/>
  <c r="W5" i="6"/>
  <c r="V5" i="6"/>
  <c r="U5" i="6"/>
  <c r="T5" i="6"/>
  <c r="AD4" i="6"/>
  <c r="AC4" i="6"/>
  <c r="AB4" i="6"/>
  <c r="AA4" i="6"/>
  <c r="Z4" i="6"/>
  <c r="Y4" i="6"/>
  <c r="X4" i="6"/>
  <c r="W4" i="6"/>
  <c r="V4" i="6"/>
  <c r="U4" i="6"/>
  <c r="T4" i="6"/>
  <c r="AM474" i="1" l="1"/>
  <c r="AC474" i="1"/>
  <c r="AL474" i="1" s="1"/>
  <c r="AM545" i="1"/>
  <c r="AC545" i="1"/>
  <c r="AL545" i="1" s="1"/>
  <c r="Z567" i="1"/>
  <c r="Y567" i="1"/>
  <c r="AM567" i="1"/>
  <c r="AC567" i="1"/>
  <c r="AC331" i="1"/>
  <c r="AL331" i="1" s="1"/>
  <c r="AM331" i="1"/>
  <c r="AC194" i="1"/>
  <c r="AL194" i="1" s="1"/>
  <c r="AM194" i="1"/>
  <c r="AC496" i="1"/>
  <c r="AL496" i="1" s="1"/>
  <c r="AM496" i="1"/>
  <c r="AC372" i="1"/>
  <c r="AL372" i="1" s="1"/>
  <c r="AM372" i="1"/>
  <c r="AC69" i="1"/>
  <c r="AL69" i="1" s="1"/>
  <c r="AM69" i="1"/>
  <c r="AC330" i="1"/>
  <c r="AL330" i="1" s="1"/>
  <c r="AM330" i="1"/>
  <c r="AC495" i="1"/>
  <c r="AL495" i="1" s="1"/>
  <c r="AM495" i="1"/>
  <c r="AC234" i="1"/>
  <c r="AL234" i="1" s="1"/>
  <c r="AM234" i="1"/>
  <c r="AC563" i="1"/>
  <c r="AL563" i="1" s="1"/>
  <c r="AM563" i="1"/>
  <c r="AC195" i="1"/>
  <c r="AL195" i="1" s="1"/>
  <c r="AM195" i="1"/>
  <c r="AC135" i="1"/>
  <c r="AL135" i="1" s="1"/>
  <c r="AM135" i="1"/>
  <c r="AC566" i="1"/>
  <c r="AL566" i="1" s="1"/>
  <c r="AM566" i="1"/>
  <c r="AC431" i="1"/>
  <c r="AL431" i="1" s="1"/>
  <c r="AM431" i="1"/>
  <c r="AM562" i="1"/>
  <c r="AC562" i="1"/>
  <c r="AL562" i="1" s="1"/>
  <c r="AC329" i="1"/>
  <c r="AL329" i="1" s="1"/>
  <c r="AM329" i="1"/>
  <c r="AC564" i="1"/>
  <c r="AL564" i="1" s="1"/>
  <c r="AM564" i="1"/>
  <c r="AC245" i="1"/>
  <c r="AL245" i="1" s="1"/>
  <c r="AM245" i="1"/>
  <c r="AC136" i="1"/>
  <c r="AL136" i="1" s="1"/>
  <c r="AM136" i="1"/>
  <c r="AC559" i="1"/>
  <c r="AL559" i="1" s="1"/>
  <c r="AM559" i="1"/>
  <c r="AC373" i="1"/>
  <c r="AL373" i="1" s="1"/>
  <c r="AM373" i="1"/>
  <c r="AC193" i="1"/>
  <c r="AL193" i="1" s="1"/>
  <c r="AM193" i="1"/>
  <c r="AC196" i="1"/>
  <c r="AL196" i="1" s="1"/>
  <c r="AM196" i="1"/>
  <c r="AC80" i="1"/>
  <c r="AL80" i="1" s="1"/>
  <c r="AM80" i="1"/>
  <c r="AC427" i="1"/>
  <c r="AL427" i="1" s="1"/>
  <c r="AM427" i="1"/>
  <c r="AC119" i="1"/>
  <c r="AL119" i="1" s="1"/>
  <c r="AM119" i="1"/>
  <c r="AC199" i="1"/>
  <c r="AL199" i="1" s="1"/>
  <c r="AM199" i="1"/>
  <c r="AC400" i="1"/>
  <c r="AL400" i="1" s="1"/>
  <c r="AM400" i="1"/>
  <c r="AC84" i="1"/>
  <c r="AL84" i="1" s="1"/>
  <c r="AM84" i="1"/>
  <c r="AC81" i="1"/>
  <c r="AL81" i="1" s="1"/>
  <c r="AM81" i="1"/>
  <c r="AC561" i="1"/>
  <c r="AL561" i="1" s="1"/>
  <c r="AM561" i="1"/>
  <c r="AC514" i="1"/>
  <c r="AL514" i="1" s="1"/>
  <c r="AM514" i="1"/>
  <c r="AC281" i="1"/>
  <c r="AL281" i="1" s="1"/>
  <c r="AM281" i="1"/>
  <c r="AC334" i="1"/>
  <c r="AL334" i="1" s="1"/>
  <c r="AM334" i="1"/>
  <c r="AC337" i="1"/>
  <c r="AL337" i="1" s="1"/>
  <c r="AM337" i="1"/>
  <c r="AC472" i="1"/>
  <c r="AL472" i="1" s="1"/>
  <c r="AM472" i="1"/>
  <c r="AC286" i="1"/>
  <c r="AL286" i="1" s="1"/>
  <c r="AM286" i="1"/>
  <c r="AC246" i="1"/>
  <c r="AL246" i="1" s="1"/>
  <c r="AM246" i="1"/>
  <c r="AC473" i="1"/>
  <c r="AL473" i="1" s="1"/>
  <c r="AM473" i="1"/>
  <c r="AC426" i="1"/>
  <c r="AL426" i="1" s="1"/>
  <c r="AM426" i="1"/>
  <c r="AC228" i="1"/>
  <c r="AL228" i="1" s="1"/>
  <c r="AM228" i="1"/>
  <c r="AC200" i="1"/>
  <c r="AL200" i="1" s="1"/>
  <c r="AM200" i="1"/>
  <c r="AC332" i="1"/>
  <c r="AL332" i="1" s="1"/>
  <c r="AM332" i="1"/>
  <c r="AC333" i="1"/>
  <c r="AL333" i="1" s="1"/>
  <c r="AM333" i="1"/>
  <c r="AC336" i="1"/>
  <c r="AL336" i="1" s="1"/>
  <c r="AM336" i="1"/>
  <c r="AC335" i="1"/>
  <c r="AL335" i="1" s="1"/>
  <c r="AM335" i="1"/>
  <c r="AC63" i="1"/>
  <c r="AL63" i="1" s="1"/>
  <c r="AM63" i="1"/>
  <c r="AC565" i="1"/>
  <c r="AL565" i="1" s="1"/>
  <c r="AM565" i="1"/>
  <c r="AC293" i="1"/>
  <c r="AL293" i="1" s="1"/>
  <c r="AM293" i="1"/>
  <c r="AC560" i="1"/>
  <c r="AL560" i="1" s="1"/>
  <c r="AM560" i="1"/>
  <c r="AC490" i="1"/>
  <c r="AL490" i="1" s="1"/>
  <c r="AM490" i="1"/>
  <c r="AC523" i="1"/>
  <c r="AL523" i="1" s="1"/>
  <c r="AM523" i="1"/>
  <c r="AC294" i="1"/>
  <c r="AL294" i="1" s="1"/>
  <c r="AM294" i="1"/>
  <c r="AC124" i="1"/>
  <c r="AL124" i="1" s="1"/>
  <c r="AM124" i="1"/>
  <c r="AC338" i="1"/>
  <c r="AL338" i="1" s="1"/>
  <c r="AM338" i="1"/>
  <c r="AC558" i="1"/>
  <c r="AL558" i="1" s="1"/>
  <c r="AM558" i="1"/>
  <c r="AC197" i="1"/>
  <c r="AL197" i="1" s="1"/>
  <c r="AM197" i="1"/>
  <c r="AC518" i="1"/>
  <c r="AL518" i="1" s="1"/>
  <c r="AM518" i="1"/>
  <c r="T19" i="10"/>
  <c r="U19" i="10"/>
  <c r="V19" i="10"/>
  <c r="T20" i="10"/>
  <c r="U20" i="10"/>
  <c r="V20" i="10"/>
  <c r="T46" i="10"/>
  <c r="U46" i="10"/>
  <c r="V46" i="10"/>
  <c r="T47" i="10"/>
  <c r="U47" i="10"/>
  <c r="V47" i="10"/>
  <c r="T76" i="10"/>
  <c r="U76" i="10"/>
  <c r="V76" i="10"/>
  <c r="T77" i="10"/>
  <c r="U77" i="10"/>
  <c r="V77" i="10"/>
  <c r="T91" i="10"/>
  <c r="U91" i="10"/>
  <c r="V91" i="10"/>
  <c r="T92" i="10"/>
  <c r="U92" i="10"/>
  <c r="V92" i="10"/>
  <c r="T103" i="10"/>
  <c r="U103" i="10"/>
  <c r="V103" i="10"/>
  <c r="T104" i="10"/>
  <c r="U104" i="10"/>
  <c r="V104" i="10"/>
  <c r="T121" i="10"/>
  <c r="U121" i="10"/>
  <c r="V121" i="10"/>
  <c r="T122" i="10"/>
  <c r="U122" i="10"/>
  <c r="V122" i="10"/>
  <c r="T139" i="10"/>
  <c r="U139" i="10"/>
  <c r="V139" i="10"/>
  <c r="T140" i="10"/>
  <c r="U140" i="10"/>
  <c r="V140" i="10"/>
  <c r="AF567" i="1" l="1"/>
  <c r="AE567" i="1"/>
  <c r="AL567" i="1"/>
  <c r="I204" i="1"/>
  <c r="J204" i="1"/>
  <c r="C4" i="6" l="1"/>
  <c r="Q56" i="6" l="1"/>
  <c r="M56" i="6"/>
  <c r="L56" i="6"/>
  <c r="K56" i="6"/>
  <c r="J56" i="6"/>
  <c r="I56" i="6"/>
  <c r="H56" i="6"/>
  <c r="G56" i="6"/>
  <c r="F56" i="6"/>
  <c r="E56" i="6"/>
  <c r="D56" i="6"/>
  <c r="C56" i="6"/>
  <c r="Q55" i="6"/>
  <c r="M55" i="6"/>
  <c r="L55" i="6"/>
  <c r="K55" i="6"/>
  <c r="J55" i="6"/>
  <c r="I55" i="6"/>
  <c r="H55" i="6"/>
  <c r="G55" i="6"/>
  <c r="F55" i="6"/>
  <c r="E55" i="6"/>
  <c r="D55" i="6"/>
  <c r="C55" i="6"/>
  <c r="Q54" i="6"/>
  <c r="M54" i="6"/>
  <c r="L54" i="6"/>
  <c r="K54" i="6"/>
  <c r="J54" i="6"/>
  <c r="I54" i="6"/>
  <c r="H54" i="6"/>
  <c r="G54" i="6"/>
  <c r="F54" i="6"/>
  <c r="E54" i="6"/>
  <c r="D54" i="6"/>
  <c r="C54" i="6"/>
  <c r="Q53" i="6"/>
  <c r="M53" i="6"/>
  <c r="L53" i="6"/>
  <c r="K53" i="6"/>
  <c r="J53" i="6"/>
  <c r="I53" i="6"/>
  <c r="H53" i="6"/>
  <c r="G53" i="6"/>
  <c r="F53" i="6"/>
  <c r="E53" i="6"/>
  <c r="D53" i="6"/>
  <c r="C53" i="6"/>
  <c r="Q52" i="6"/>
  <c r="M52" i="6"/>
  <c r="L52" i="6"/>
  <c r="K52" i="6"/>
  <c r="J52" i="6"/>
  <c r="I52" i="6"/>
  <c r="H52" i="6"/>
  <c r="G52" i="6"/>
  <c r="F52" i="6"/>
  <c r="E52" i="6"/>
  <c r="D52" i="6"/>
  <c r="C52" i="6"/>
  <c r="Q51" i="6"/>
  <c r="M51" i="6"/>
  <c r="L51" i="6"/>
  <c r="K51" i="6"/>
  <c r="J51" i="6"/>
  <c r="I51" i="6"/>
  <c r="H51" i="6"/>
  <c r="G51" i="6"/>
  <c r="F51" i="6"/>
  <c r="E51" i="6"/>
  <c r="D51" i="6"/>
  <c r="C51" i="6"/>
  <c r="Q50" i="6"/>
  <c r="M50" i="6"/>
  <c r="L50" i="6"/>
  <c r="K50" i="6"/>
  <c r="J50" i="6"/>
  <c r="I50" i="6"/>
  <c r="H50" i="6"/>
  <c r="G50" i="6"/>
  <c r="F50" i="6"/>
  <c r="E50" i="6"/>
  <c r="D50" i="6"/>
  <c r="C50" i="6"/>
  <c r="Q49" i="6"/>
  <c r="M49" i="6"/>
  <c r="L49" i="6"/>
  <c r="K49" i="6"/>
  <c r="J49" i="6"/>
  <c r="I49" i="6"/>
  <c r="H49" i="6"/>
  <c r="G49" i="6"/>
  <c r="F49" i="6"/>
  <c r="E49" i="6"/>
  <c r="D49" i="6"/>
  <c r="C49" i="6"/>
  <c r="Q48" i="6"/>
  <c r="M48" i="6"/>
  <c r="L48" i="6"/>
  <c r="K48" i="6"/>
  <c r="J48" i="6"/>
  <c r="I48" i="6"/>
  <c r="H48" i="6"/>
  <c r="G48" i="6"/>
  <c r="F48" i="6"/>
  <c r="E48" i="6"/>
  <c r="D48" i="6"/>
  <c r="C48" i="6"/>
  <c r="Q47" i="6"/>
  <c r="M47" i="6"/>
  <c r="L47" i="6"/>
  <c r="K47" i="6"/>
  <c r="J47" i="6"/>
  <c r="I47" i="6"/>
  <c r="H47" i="6"/>
  <c r="G47" i="6"/>
  <c r="F47" i="6"/>
  <c r="E47" i="6"/>
  <c r="D47" i="6"/>
  <c r="C47" i="6"/>
  <c r="M46" i="6"/>
  <c r="L46" i="6"/>
  <c r="K46" i="6"/>
  <c r="J46" i="6"/>
  <c r="I46" i="6"/>
  <c r="H46" i="6"/>
  <c r="G46" i="6"/>
  <c r="F46" i="6"/>
  <c r="E46" i="6"/>
  <c r="D46" i="6"/>
  <c r="C46" i="6"/>
  <c r="Q70" i="6"/>
  <c r="Q69" i="6"/>
  <c r="Q68" i="6"/>
  <c r="Q67" i="6"/>
  <c r="Q66" i="6"/>
  <c r="Q65" i="6"/>
  <c r="Q64" i="6"/>
  <c r="Q63" i="6"/>
  <c r="Q62" i="6"/>
  <c r="Q61" i="6"/>
  <c r="Q42" i="6"/>
  <c r="Q41" i="6"/>
  <c r="Q40" i="6"/>
  <c r="Q39" i="6"/>
  <c r="Q38" i="6"/>
  <c r="Q37" i="6"/>
  <c r="Q36" i="6"/>
  <c r="Q35" i="6"/>
  <c r="Q34" i="6"/>
  <c r="Q33" i="6"/>
  <c r="Q28" i="6"/>
  <c r="Q27" i="6"/>
  <c r="Q26" i="6"/>
  <c r="Q25" i="6"/>
  <c r="Q24" i="6"/>
  <c r="Q23" i="6"/>
  <c r="Q22" i="6"/>
  <c r="Q21" i="6"/>
  <c r="Q20" i="6"/>
  <c r="Q19" i="6"/>
  <c r="Q14" i="6"/>
  <c r="Q13" i="6"/>
  <c r="Q12" i="6"/>
  <c r="Q11" i="6"/>
  <c r="Q10" i="6"/>
  <c r="Q9" i="6"/>
  <c r="Q8" i="6"/>
  <c r="Q7" i="6"/>
  <c r="Q6" i="6"/>
  <c r="Q5" i="6"/>
  <c r="M70" i="6"/>
  <c r="L70" i="6"/>
  <c r="K70" i="6"/>
  <c r="J70" i="6"/>
  <c r="I70" i="6"/>
  <c r="H70" i="6"/>
  <c r="G70" i="6"/>
  <c r="F70" i="6"/>
  <c r="E70" i="6"/>
  <c r="D70" i="6"/>
  <c r="C70" i="6"/>
  <c r="M69" i="6"/>
  <c r="L69" i="6"/>
  <c r="K69" i="6"/>
  <c r="J69" i="6"/>
  <c r="I69" i="6"/>
  <c r="H69" i="6"/>
  <c r="G69" i="6"/>
  <c r="F69" i="6"/>
  <c r="E69" i="6"/>
  <c r="D69" i="6"/>
  <c r="C69" i="6"/>
  <c r="M68" i="6"/>
  <c r="L68" i="6"/>
  <c r="K68" i="6"/>
  <c r="J68" i="6"/>
  <c r="I68" i="6"/>
  <c r="H68" i="6"/>
  <c r="G68" i="6"/>
  <c r="F68" i="6"/>
  <c r="E68" i="6"/>
  <c r="D68" i="6"/>
  <c r="C68" i="6"/>
  <c r="M67" i="6"/>
  <c r="L67" i="6"/>
  <c r="K67" i="6"/>
  <c r="J67" i="6"/>
  <c r="I67" i="6"/>
  <c r="H67" i="6"/>
  <c r="G67" i="6"/>
  <c r="F67" i="6"/>
  <c r="E67" i="6"/>
  <c r="D67" i="6"/>
  <c r="C67" i="6"/>
  <c r="M66" i="6"/>
  <c r="L66" i="6"/>
  <c r="K66" i="6"/>
  <c r="J66" i="6"/>
  <c r="I66" i="6"/>
  <c r="H66" i="6"/>
  <c r="G66" i="6"/>
  <c r="F66" i="6"/>
  <c r="E66" i="6"/>
  <c r="D66" i="6"/>
  <c r="C66" i="6"/>
  <c r="M65" i="6"/>
  <c r="L65" i="6"/>
  <c r="K65" i="6"/>
  <c r="J65" i="6"/>
  <c r="I65" i="6"/>
  <c r="H65" i="6"/>
  <c r="G65" i="6"/>
  <c r="F65" i="6"/>
  <c r="E65" i="6"/>
  <c r="D65" i="6"/>
  <c r="C65" i="6"/>
  <c r="M64" i="6"/>
  <c r="L64" i="6"/>
  <c r="K64" i="6"/>
  <c r="J64" i="6"/>
  <c r="I64" i="6"/>
  <c r="H64" i="6"/>
  <c r="G64" i="6"/>
  <c r="F64" i="6"/>
  <c r="E64" i="6"/>
  <c r="D64" i="6"/>
  <c r="C64" i="6"/>
  <c r="M63" i="6"/>
  <c r="L63" i="6"/>
  <c r="K63" i="6"/>
  <c r="J63" i="6"/>
  <c r="I63" i="6"/>
  <c r="H63" i="6"/>
  <c r="G63" i="6"/>
  <c r="F63" i="6"/>
  <c r="E63" i="6"/>
  <c r="D63" i="6"/>
  <c r="C63" i="6"/>
  <c r="M62" i="6"/>
  <c r="L62" i="6"/>
  <c r="K62" i="6"/>
  <c r="J62" i="6"/>
  <c r="I62" i="6"/>
  <c r="H62" i="6"/>
  <c r="G62" i="6"/>
  <c r="F62" i="6"/>
  <c r="E62" i="6"/>
  <c r="D62" i="6"/>
  <c r="C62" i="6"/>
  <c r="M61" i="6"/>
  <c r="L61" i="6"/>
  <c r="K61" i="6"/>
  <c r="J61" i="6"/>
  <c r="I61" i="6"/>
  <c r="H61" i="6"/>
  <c r="G61" i="6"/>
  <c r="F61" i="6"/>
  <c r="E61" i="6"/>
  <c r="D61" i="6"/>
  <c r="C61" i="6"/>
  <c r="M60" i="6"/>
  <c r="L60" i="6"/>
  <c r="K60" i="6"/>
  <c r="J60" i="6"/>
  <c r="I60" i="6"/>
  <c r="H60" i="6"/>
  <c r="G60" i="6"/>
  <c r="F60" i="6"/>
  <c r="E60" i="6"/>
  <c r="D60" i="6"/>
  <c r="C60" i="6"/>
  <c r="M42" i="6"/>
  <c r="L42" i="6"/>
  <c r="K42" i="6"/>
  <c r="J42" i="6"/>
  <c r="I42" i="6"/>
  <c r="H42" i="6"/>
  <c r="G42" i="6"/>
  <c r="F42" i="6"/>
  <c r="E42" i="6"/>
  <c r="D42" i="6"/>
  <c r="C42" i="6"/>
  <c r="M41" i="6"/>
  <c r="L41" i="6"/>
  <c r="K41" i="6"/>
  <c r="J41" i="6"/>
  <c r="I41" i="6"/>
  <c r="H41" i="6"/>
  <c r="G41" i="6"/>
  <c r="F41" i="6"/>
  <c r="E41" i="6"/>
  <c r="D41" i="6"/>
  <c r="C41" i="6"/>
  <c r="M40" i="6"/>
  <c r="L40" i="6"/>
  <c r="K40" i="6"/>
  <c r="J40" i="6"/>
  <c r="I40" i="6"/>
  <c r="H40" i="6"/>
  <c r="G40" i="6"/>
  <c r="F40" i="6"/>
  <c r="E40" i="6"/>
  <c r="D40" i="6"/>
  <c r="C40" i="6"/>
  <c r="M39" i="6"/>
  <c r="L39" i="6"/>
  <c r="K39" i="6"/>
  <c r="J39" i="6"/>
  <c r="I39" i="6"/>
  <c r="H39" i="6"/>
  <c r="G39" i="6"/>
  <c r="F39" i="6"/>
  <c r="E39" i="6"/>
  <c r="D39" i="6"/>
  <c r="C39" i="6"/>
  <c r="M38" i="6"/>
  <c r="L38" i="6"/>
  <c r="K38" i="6"/>
  <c r="J38" i="6"/>
  <c r="I38" i="6"/>
  <c r="H38" i="6"/>
  <c r="G38" i="6"/>
  <c r="F38" i="6"/>
  <c r="E38" i="6"/>
  <c r="D38" i="6"/>
  <c r="C38" i="6"/>
  <c r="M37" i="6"/>
  <c r="L37" i="6"/>
  <c r="K37" i="6"/>
  <c r="J37" i="6"/>
  <c r="I37" i="6"/>
  <c r="H37" i="6"/>
  <c r="G37" i="6"/>
  <c r="F37" i="6"/>
  <c r="E37" i="6"/>
  <c r="D37" i="6"/>
  <c r="C37" i="6"/>
  <c r="M36" i="6"/>
  <c r="L36" i="6"/>
  <c r="K36" i="6"/>
  <c r="J36" i="6"/>
  <c r="I36" i="6"/>
  <c r="H36" i="6"/>
  <c r="G36" i="6"/>
  <c r="F36" i="6"/>
  <c r="E36" i="6"/>
  <c r="D36" i="6"/>
  <c r="C36" i="6"/>
  <c r="M35" i="6"/>
  <c r="L35" i="6"/>
  <c r="K35" i="6"/>
  <c r="J35" i="6"/>
  <c r="I35" i="6"/>
  <c r="H35" i="6"/>
  <c r="G35" i="6"/>
  <c r="F35" i="6"/>
  <c r="E35" i="6"/>
  <c r="D35" i="6"/>
  <c r="C35" i="6"/>
  <c r="M34" i="6"/>
  <c r="L34" i="6"/>
  <c r="K34" i="6"/>
  <c r="J34" i="6"/>
  <c r="I34" i="6"/>
  <c r="H34" i="6"/>
  <c r="G34" i="6"/>
  <c r="F34" i="6"/>
  <c r="E34" i="6"/>
  <c r="D34" i="6"/>
  <c r="C34" i="6"/>
  <c r="M33" i="6"/>
  <c r="L33" i="6"/>
  <c r="K33" i="6"/>
  <c r="J33" i="6"/>
  <c r="I33" i="6"/>
  <c r="H33" i="6"/>
  <c r="G33" i="6"/>
  <c r="F33" i="6"/>
  <c r="E33" i="6"/>
  <c r="D33" i="6"/>
  <c r="C33" i="6"/>
  <c r="M32" i="6"/>
  <c r="L32" i="6"/>
  <c r="K32" i="6"/>
  <c r="J32" i="6"/>
  <c r="I32" i="6"/>
  <c r="H32" i="6"/>
  <c r="G32" i="6"/>
  <c r="F32" i="6"/>
  <c r="E32" i="6"/>
  <c r="D32" i="6"/>
  <c r="C32" i="6"/>
  <c r="M28" i="6"/>
  <c r="L28" i="6"/>
  <c r="K28" i="6"/>
  <c r="J28" i="6"/>
  <c r="I28" i="6"/>
  <c r="H28" i="6"/>
  <c r="G28" i="6"/>
  <c r="F28" i="6"/>
  <c r="E28" i="6"/>
  <c r="D28" i="6"/>
  <c r="C28" i="6"/>
  <c r="M27" i="6"/>
  <c r="L27" i="6"/>
  <c r="K27" i="6"/>
  <c r="J27" i="6"/>
  <c r="I27" i="6"/>
  <c r="H27" i="6"/>
  <c r="G27" i="6"/>
  <c r="F27" i="6"/>
  <c r="E27" i="6"/>
  <c r="D27" i="6"/>
  <c r="C27" i="6"/>
  <c r="M26" i="6"/>
  <c r="L26" i="6"/>
  <c r="K26" i="6"/>
  <c r="J26" i="6"/>
  <c r="I26" i="6"/>
  <c r="H26" i="6"/>
  <c r="G26" i="6"/>
  <c r="F26" i="6"/>
  <c r="E26" i="6"/>
  <c r="D26" i="6"/>
  <c r="C26" i="6"/>
  <c r="M25" i="6"/>
  <c r="L25" i="6"/>
  <c r="K25" i="6"/>
  <c r="J25" i="6"/>
  <c r="I25" i="6"/>
  <c r="H25" i="6"/>
  <c r="G25" i="6"/>
  <c r="F25" i="6"/>
  <c r="E25" i="6"/>
  <c r="D25" i="6"/>
  <c r="C25" i="6"/>
  <c r="M24" i="6"/>
  <c r="L24" i="6"/>
  <c r="K24" i="6"/>
  <c r="J24" i="6"/>
  <c r="I24" i="6"/>
  <c r="H24" i="6"/>
  <c r="G24" i="6"/>
  <c r="F24" i="6"/>
  <c r="E24" i="6"/>
  <c r="D24" i="6"/>
  <c r="C24" i="6"/>
  <c r="M23" i="6"/>
  <c r="L23" i="6"/>
  <c r="K23" i="6"/>
  <c r="J23" i="6"/>
  <c r="I23" i="6"/>
  <c r="H23" i="6"/>
  <c r="G23" i="6"/>
  <c r="F23" i="6"/>
  <c r="E23" i="6"/>
  <c r="D23" i="6"/>
  <c r="C23" i="6"/>
  <c r="M22" i="6"/>
  <c r="L22" i="6"/>
  <c r="K22" i="6"/>
  <c r="J22" i="6"/>
  <c r="I22" i="6"/>
  <c r="H22" i="6"/>
  <c r="G22" i="6"/>
  <c r="F22" i="6"/>
  <c r="E22" i="6"/>
  <c r="D22" i="6"/>
  <c r="C22" i="6"/>
  <c r="M21" i="6"/>
  <c r="L21" i="6"/>
  <c r="K21" i="6"/>
  <c r="J21" i="6"/>
  <c r="I21" i="6"/>
  <c r="H21" i="6"/>
  <c r="G21" i="6"/>
  <c r="F21" i="6"/>
  <c r="E21" i="6"/>
  <c r="D21" i="6"/>
  <c r="C21" i="6"/>
  <c r="M20" i="6"/>
  <c r="L20" i="6"/>
  <c r="K20" i="6"/>
  <c r="J20" i="6"/>
  <c r="I20" i="6"/>
  <c r="H20" i="6"/>
  <c r="G20" i="6"/>
  <c r="F20" i="6"/>
  <c r="E20" i="6"/>
  <c r="D20" i="6"/>
  <c r="C20" i="6"/>
  <c r="M19" i="6"/>
  <c r="L19" i="6"/>
  <c r="K19" i="6"/>
  <c r="J19" i="6"/>
  <c r="I19" i="6"/>
  <c r="H19" i="6"/>
  <c r="G19" i="6"/>
  <c r="F19" i="6"/>
  <c r="E19" i="6"/>
  <c r="D19" i="6"/>
  <c r="C19" i="6"/>
  <c r="M18" i="6"/>
  <c r="L18" i="6"/>
  <c r="K18" i="6"/>
  <c r="J18" i="6"/>
  <c r="I18" i="6"/>
  <c r="H18" i="6"/>
  <c r="G18" i="6"/>
  <c r="F18" i="6"/>
  <c r="E18" i="6"/>
  <c r="D18" i="6"/>
  <c r="C18" i="6"/>
  <c r="M14" i="6"/>
  <c r="L14" i="6"/>
  <c r="K14" i="6"/>
  <c r="J14" i="6"/>
  <c r="I14" i="6"/>
  <c r="H14" i="6"/>
  <c r="G14" i="6"/>
  <c r="F14" i="6"/>
  <c r="E14" i="6"/>
  <c r="D14" i="6"/>
  <c r="C14" i="6"/>
  <c r="M13" i="6"/>
  <c r="L13" i="6"/>
  <c r="K13" i="6"/>
  <c r="J13" i="6"/>
  <c r="I13" i="6"/>
  <c r="H13" i="6"/>
  <c r="G13" i="6"/>
  <c r="F13" i="6"/>
  <c r="E13" i="6"/>
  <c r="D13" i="6"/>
  <c r="C13" i="6"/>
  <c r="M12" i="6"/>
  <c r="L12" i="6"/>
  <c r="K12" i="6"/>
  <c r="J12" i="6"/>
  <c r="I12" i="6"/>
  <c r="H12" i="6"/>
  <c r="G12" i="6"/>
  <c r="F12" i="6"/>
  <c r="E12" i="6"/>
  <c r="D12" i="6"/>
  <c r="C12" i="6"/>
  <c r="M11" i="6"/>
  <c r="L11" i="6"/>
  <c r="K11" i="6"/>
  <c r="J11" i="6"/>
  <c r="I11" i="6"/>
  <c r="H11" i="6"/>
  <c r="G11" i="6"/>
  <c r="F11" i="6"/>
  <c r="E11" i="6"/>
  <c r="D11" i="6"/>
  <c r="C11" i="6"/>
  <c r="M10" i="6"/>
  <c r="L10" i="6"/>
  <c r="K10" i="6"/>
  <c r="J10" i="6"/>
  <c r="I10" i="6"/>
  <c r="H10" i="6"/>
  <c r="G10" i="6"/>
  <c r="F10" i="6"/>
  <c r="E10" i="6"/>
  <c r="D10" i="6"/>
  <c r="C10" i="6"/>
  <c r="M9" i="6"/>
  <c r="L9" i="6"/>
  <c r="K9" i="6"/>
  <c r="J9" i="6"/>
  <c r="I9" i="6"/>
  <c r="H9" i="6"/>
  <c r="G9" i="6"/>
  <c r="F9" i="6"/>
  <c r="E9" i="6"/>
  <c r="D9" i="6"/>
  <c r="C9" i="6"/>
  <c r="M8" i="6"/>
  <c r="L8" i="6"/>
  <c r="K8" i="6"/>
  <c r="J8" i="6"/>
  <c r="I8" i="6"/>
  <c r="H8" i="6"/>
  <c r="G8" i="6"/>
  <c r="F8" i="6"/>
  <c r="E8" i="6"/>
  <c r="D8" i="6"/>
  <c r="C8" i="6"/>
  <c r="M7" i="6"/>
  <c r="L7" i="6"/>
  <c r="K7" i="6"/>
  <c r="J7" i="6"/>
  <c r="I7" i="6"/>
  <c r="H7" i="6"/>
  <c r="G7" i="6"/>
  <c r="F7" i="6"/>
  <c r="E7" i="6"/>
  <c r="D7" i="6"/>
  <c r="C7" i="6"/>
  <c r="M6" i="6"/>
  <c r="L6" i="6"/>
  <c r="K6" i="6"/>
  <c r="J6" i="6"/>
  <c r="I6" i="6"/>
  <c r="H6" i="6"/>
  <c r="G6" i="6"/>
  <c r="F6" i="6"/>
  <c r="E6" i="6"/>
  <c r="D6" i="6"/>
  <c r="C6" i="6"/>
  <c r="M5" i="6"/>
  <c r="L5" i="6"/>
  <c r="K5" i="6"/>
  <c r="J5" i="6"/>
  <c r="I5" i="6"/>
  <c r="H5" i="6"/>
  <c r="G5" i="6"/>
  <c r="F5" i="6"/>
  <c r="E5" i="6"/>
  <c r="D5" i="6"/>
  <c r="C5" i="6"/>
  <c r="M4" i="6"/>
  <c r="L4" i="6"/>
  <c r="K4" i="6"/>
  <c r="J4" i="6"/>
  <c r="I4" i="6"/>
  <c r="H4" i="6"/>
  <c r="G4" i="6"/>
  <c r="F4" i="6"/>
  <c r="E4" i="6"/>
  <c r="D4" i="6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5" i="10"/>
  <c r="H6" i="10"/>
  <c r="H7" i="10"/>
  <c r="H8" i="10"/>
  <c r="H9" i="10"/>
  <c r="H10" i="10"/>
  <c r="H11" i="10"/>
  <c r="H12" i="10"/>
  <c r="H13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110" i="10" l="1"/>
  <c r="H96" i="10"/>
  <c r="H142" i="10"/>
  <c r="H124" i="10"/>
  <c r="H123" i="10"/>
  <c r="H108" i="10"/>
  <c r="H94" i="10"/>
  <c r="H137" i="10"/>
  <c r="H119" i="10"/>
  <c r="H107" i="10"/>
  <c r="H93" i="10"/>
  <c r="H133" i="10"/>
  <c r="H118" i="10"/>
  <c r="H136" i="10"/>
  <c r="H106" i="10"/>
  <c r="H132" i="10"/>
  <c r="H105" i="10"/>
  <c r="H131" i="10"/>
  <c r="H134" i="10"/>
  <c r="H116" i="10"/>
  <c r="H101" i="10"/>
  <c r="H148" i="10"/>
  <c r="H130" i="10"/>
  <c r="H102" i="10"/>
  <c r="H129" i="10"/>
  <c r="H114" i="10"/>
  <c r="H145" i="10"/>
  <c r="H127" i="10"/>
  <c r="H112" i="10"/>
  <c r="H98" i="10"/>
  <c r="H144" i="10"/>
  <c r="H126" i="10"/>
  <c r="H111" i="10"/>
  <c r="H97" i="10"/>
  <c r="H143" i="10"/>
  <c r="H125" i="10"/>
  <c r="H109" i="10"/>
  <c r="H95" i="10"/>
  <c r="H141" i="10"/>
  <c r="H120" i="10"/>
  <c r="H138" i="10"/>
  <c r="H117" i="10"/>
  <c r="H135" i="10"/>
  <c r="H115" i="10"/>
  <c r="H147" i="10"/>
  <c r="H100" i="10"/>
  <c r="H146" i="10"/>
  <c r="H128" i="10"/>
  <c r="H113" i="10"/>
  <c r="H99" i="10"/>
  <c r="D4" i="10"/>
  <c r="L4" i="10"/>
  <c r="D5" i="10"/>
  <c r="L5" i="10"/>
  <c r="D6" i="10"/>
  <c r="L6" i="10"/>
  <c r="D7" i="10"/>
  <c r="L7" i="10"/>
  <c r="D8" i="10"/>
  <c r="L8" i="10"/>
  <c r="D9" i="10"/>
  <c r="D10" i="10"/>
  <c r="L10" i="10"/>
  <c r="D11" i="10"/>
  <c r="L11" i="10"/>
  <c r="D12" i="10"/>
  <c r="L12" i="10"/>
  <c r="D13" i="10"/>
  <c r="L13" i="10"/>
  <c r="D14" i="10"/>
  <c r="L14" i="10"/>
  <c r="D15" i="10"/>
  <c r="L15" i="10"/>
  <c r="D16" i="10"/>
  <c r="L16" i="10"/>
  <c r="D17" i="10"/>
  <c r="L17" i="10"/>
  <c r="D18" i="10"/>
  <c r="L18" i="10"/>
  <c r="D21" i="10"/>
  <c r="L21" i="10"/>
  <c r="D22" i="10"/>
  <c r="L22" i="10"/>
  <c r="D23" i="10"/>
  <c r="L23" i="10"/>
  <c r="D24" i="10"/>
  <c r="L24" i="10"/>
  <c r="D25" i="10"/>
  <c r="L25" i="10"/>
  <c r="D26" i="10"/>
  <c r="L26" i="10"/>
  <c r="D27" i="10"/>
  <c r="L27" i="10"/>
  <c r="D28" i="10"/>
  <c r="L28" i="10"/>
  <c r="D29" i="10"/>
  <c r="L29" i="10"/>
  <c r="D30" i="10"/>
  <c r="L30" i="10"/>
  <c r="D31" i="10"/>
  <c r="L31" i="10"/>
  <c r="D32" i="10"/>
  <c r="L32" i="10"/>
  <c r="D33" i="10"/>
  <c r="L33" i="10"/>
  <c r="D34" i="10"/>
  <c r="L34" i="10"/>
  <c r="D35" i="10"/>
  <c r="L35" i="10"/>
  <c r="D36" i="10"/>
  <c r="L36" i="10"/>
  <c r="D37" i="10"/>
  <c r="L37" i="10"/>
  <c r="D38" i="10"/>
  <c r="L38" i="10"/>
  <c r="D39" i="10"/>
  <c r="L39" i="10"/>
  <c r="D40" i="10"/>
  <c r="L40" i="10"/>
  <c r="D41" i="10"/>
  <c r="L41" i="10"/>
  <c r="D42" i="10"/>
  <c r="L42" i="10"/>
  <c r="D43" i="10"/>
  <c r="L43" i="10"/>
  <c r="D44" i="10"/>
  <c r="L44" i="10"/>
  <c r="D45" i="10"/>
  <c r="L45" i="10"/>
  <c r="D48" i="10"/>
  <c r="L48" i="10"/>
  <c r="D49" i="10"/>
  <c r="L49" i="10"/>
  <c r="D50" i="10"/>
  <c r="L50" i="10"/>
  <c r="D51" i="10"/>
  <c r="L51" i="10"/>
  <c r="D52" i="10"/>
  <c r="L52" i="10"/>
  <c r="D53" i="10"/>
  <c r="L53" i="10"/>
  <c r="D54" i="10"/>
  <c r="L54" i="10"/>
  <c r="D55" i="10"/>
  <c r="L55" i="10"/>
  <c r="D56" i="10"/>
  <c r="L56" i="10"/>
  <c r="D57" i="10"/>
  <c r="L57" i="10"/>
  <c r="D58" i="10"/>
  <c r="L58" i="10"/>
  <c r="D59" i="10"/>
  <c r="L59" i="10"/>
  <c r="D60" i="10"/>
  <c r="L60" i="10"/>
  <c r="D61" i="10"/>
  <c r="L61" i="10"/>
  <c r="D62" i="10"/>
  <c r="L62" i="10"/>
  <c r="D63" i="10"/>
  <c r="L63" i="10"/>
  <c r="D64" i="10"/>
  <c r="L64" i="10"/>
  <c r="D65" i="10"/>
  <c r="L65" i="10"/>
  <c r="D66" i="10"/>
  <c r="L66" i="10"/>
  <c r="D67" i="10"/>
  <c r="L67" i="10"/>
  <c r="D68" i="10"/>
  <c r="L68" i="10"/>
  <c r="D69" i="10"/>
  <c r="L69" i="10"/>
  <c r="D70" i="10"/>
  <c r="L70" i="10"/>
  <c r="D71" i="10"/>
  <c r="L71" i="10"/>
  <c r="D72" i="10"/>
  <c r="L72" i="10"/>
  <c r="D73" i="10"/>
  <c r="L73" i="10"/>
  <c r="D74" i="10"/>
  <c r="L74" i="10"/>
  <c r="D75" i="10"/>
  <c r="L75" i="10"/>
  <c r="D78" i="10"/>
  <c r="L78" i="10"/>
  <c r="D79" i="10"/>
  <c r="L79" i="10"/>
  <c r="D80" i="10"/>
  <c r="L80" i="10"/>
  <c r="D81" i="10"/>
  <c r="L81" i="10"/>
  <c r="D82" i="10"/>
  <c r="L82" i="10"/>
  <c r="D83" i="10"/>
  <c r="L83" i="10"/>
  <c r="D84" i="10"/>
  <c r="L84" i="10"/>
  <c r="D85" i="10"/>
  <c r="L85" i="10"/>
  <c r="D86" i="10"/>
  <c r="L86" i="10"/>
  <c r="D87" i="10"/>
  <c r="L87" i="10"/>
  <c r="D88" i="10"/>
  <c r="L88" i="10"/>
  <c r="D89" i="10"/>
  <c r="L89" i="10"/>
  <c r="D90" i="10"/>
  <c r="L90" i="10"/>
  <c r="D93" i="10"/>
  <c r="L93" i="10"/>
  <c r="D94" i="10"/>
  <c r="L94" i="10"/>
  <c r="D95" i="10"/>
  <c r="L95" i="10"/>
  <c r="D96" i="10"/>
  <c r="L96" i="10"/>
  <c r="D97" i="10"/>
  <c r="L97" i="10"/>
  <c r="D98" i="10"/>
  <c r="L98" i="10"/>
  <c r="D99" i="10"/>
  <c r="L99" i="10"/>
  <c r="D100" i="10"/>
  <c r="L100" i="10"/>
  <c r="D101" i="10"/>
  <c r="L101" i="10"/>
  <c r="D102" i="10"/>
  <c r="L102" i="10"/>
  <c r="D105" i="10"/>
  <c r="L105" i="10"/>
  <c r="D106" i="10"/>
  <c r="L106" i="10"/>
  <c r="D107" i="10"/>
  <c r="L107" i="10"/>
  <c r="D108" i="10"/>
  <c r="L108" i="10"/>
  <c r="D109" i="10"/>
  <c r="L109" i="10"/>
  <c r="D110" i="10"/>
  <c r="L110" i="10"/>
  <c r="D111" i="10"/>
  <c r="L111" i="10"/>
  <c r="D112" i="10"/>
  <c r="L112" i="10"/>
  <c r="D113" i="10"/>
  <c r="L113" i="10"/>
  <c r="D114" i="10"/>
  <c r="L114" i="10"/>
  <c r="D115" i="10"/>
  <c r="L115" i="10"/>
  <c r="D116" i="10"/>
  <c r="L116" i="10"/>
  <c r="D117" i="10"/>
  <c r="L117" i="10"/>
  <c r="D118" i="10"/>
  <c r="M118" i="10"/>
  <c r="L118" i="10"/>
  <c r="D119" i="10"/>
  <c r="M119" i="10"/>
  <c r="L119" i="10"/>
  <c r="D120" i="10"/>
  <c r="M120" i="10"/>
  <c r="L120" i="10"/>
  <c r="D123" i="10"/>
  <c r="L123" i="10"/>
  <c r="D124" i="10"/>
  <c r="L124" i="10"/>
  <c r="D125" i="10"/>
  <c r="L125" i="10"/>
  <c r="D126" i="10"/>
  <c r="L126" i="10"/>
  <c r="D127" i="10"/>
  <c r="L127" i="10"/>
  <c r="D128" i="10"/>
  <c r="L128" i="10"/>
  <c r="D129" i="10"/>
  <c r="L129" i="10"/>
  <c r="D130" i="10"/>
  <c r="L130" i="10"/>
  <c r="D131" i="10"/>
  <c r="L131" i="10"/>
  <c r="D132" i="10"/>
  <c r="L132" i="10"/>
  <c r="D133" i="10"/>
  <c r="L133" i="10"/>
  <c r="D134" i="10"/>
  <c r="L134" i="10"/>
  <c r="D135" i="10"/>
  <c r="L135" i="10"/>
  <c r="D136" i="10"/>
  <c r="M136" i="10"/>
  <c r="L136" i="10"/>
  <c r="D137" i="10"/>
  <c r="M137" i="10"/>
  <c r="L137" i="10"/>
  <c r="D138" i="10"/>
  <c r="M138" i="10"/>
  <c r="L138" i="10"/>
  <c r="D141" i="10"/>
  <c r="L141" i="10"/>
  <c r="D142" i="10"/>
  <c r="L142" i="10"/>
  <c r="D143" i="10"/>
  <c r="L143" i="10"/>
  <c r="D144" i="10"/>
  <c r="L144" i="10"/>
  <c r="D145" i="10"/>
  <c r="L145" i="10"/>
  <c r="D146" i="10"/>
  <c r="L146" i="10"/>
  <c r="D147" i="10"/>
  <c r="L147" i="10"/>
  <c r="D148" i="10"/>
  <c r="L148" i="10"/>
  <c r="P138" i="10" l="1"/>
  <c r="P136" i="10"/>
  <c r="P118" i="10"/>
  <c r="P120" i="10"/>
  <c r="P137" i="10"/>
  <c r="P119" i="10"/>
  <c r="N43" i="10"/>
  <c r="N137" i="10"/>
  <c r="T137" i="10"/>
  <c r="N71" i="10"/>
  <c r="N26" i="10"/>
  <c r="N72" i="10"/>
  <c r="N75" i="10"/>
  <c r="N118" i="10"/>
  <c r="T118" i="10"/>
  <c r="N120" i="10"/>
  <c r="T120" i="10"/>
  <c r="N73" i="10"/>
  <c r="N136" i="10"/>
  <c r="T136" i="10"/>
  <c r="N119" i="10"/>
  <c r="T119" i="10"/>
  <c r="N74" i="10"/>
  <c r="N44" i="10"/>
  <c r="N138" i="10"/>
  <c r="T138" i="10"/>
  <c r="N32" i="10"/>
  <c r="E4" i="9"/>
  <c r="E5" i="9"/>
  <c r="E6" i="9"/>
  <c r="E7" i="9"/>
  <c r="E8" i="9"/>
  <c r="E9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108" i="9"/>
  <c r="I537" i="1" l="1"/>
  <c r="J611" i="1" l="1"/>
  <c r="I611" i="1"/>
  <c r="J610" i="1"/>
  <c r="I610" i="1"/>
  <c r="J609" i="1"/>
  <c r="I609" i="1"/>
  <c r="J608" i="1"/>
  <c r="I608" i="1"/>
  <c r="J607" i="1"/>
  <c r="I607" i="1"/>
  <c r="J606" i="1"/>
  <c r="I606" i="1"/>
  <c r="J605" i="1"/>
  <c r="I605" i="1"/>
  <c r="J604" i="1"/>
  <c r="I604" i="1"/>
  <c r="J603" i="1"/>
  <c r="I603" i="1"/>
  <c r="J602" i="1"/>
  <c r="I602" i="1"/>
  <c r="J601" i="1"/>
  <c r="I601" i="1"/>
  <c r="J600" i="1"/>
  <c r="I600" i="1"/>
  <c r="J599" i="1"/>
  <c r="I599" i="1"/>
  <c r="J598" i="1"/>
  <c r="I598" i="1"/>
  <c r="J597" i="1"/>
  <c r="I597" i="1"/>
  <c r="J596" i="1"/>
  <c r="I596" i="1"/>
  <c r="J595" i="1"/>
  <c r="I595" i="1"/>
  <c r="J594" i="1"/>
  <c r="I594" i="1"/>
  <c r="J593" i="1"/>
  <c r="I593" i="1"/>
  <c r="J592" i="1"/>
  <c r="I592" i="1"/>
  <c r="J591" i="1"/>
  <c r="I591" i="1"/>
  <c r="J589" i="1"/>
  <c r="I589" i="1"/>
  <c r="J588" i="1"/>
  <c r="I588" i="1"/>
  <c r="J587" i="1"/>
  <c r="I587" i="1"/>
  <c r="J586" i="1"/>
  <c r="I586" i="1"/>
  <c r="J585" i="1"/>
  <c r="I585" i="1"/>
  <c r="J584" i="1"/>
  <c r="I584" i="1"/>
  <c r="J583" i="1"/>
  <c r="I583" i="1"/>
  <c r="J582" i="1"/>
  <c r="I582" i="1"/>
  <c r="J581" i="1"/>
  <c r="I581" i="1"/>
  <c r="J580" i="1"/>
  <c r="I580" i="1"/>
  <c r="J579" i="1"/>
  <c r="I579" i="1"/>
  <c r="J578" i="1"/>
  <c r="I578" i="1"/>
  <c r="J577" i="1"/>
  <c r="I577" i="1"/>
  <c r="J576" i="1"/>
  <c r="I576" i="1"/>
  <c r="J575" i="1"/>
  <c r="I575" i="1"/>
  <c r="J574" i="1"/>
  <c r="I574" i="1"/>
  <c r="J573" i="1"/>
  <c r="I573" i="1"/>
  <c r="J572" i="1"/>
  <c r="I572" i="1"/>
  <c r="J571" i="1"/>
  <c r="I571" i="1"/>
  <c r="J570" i="1"/>
  <c r="I570" i="1"/>
  <c r="J569" i="1"/>
  <c r="I569" i="1"/>
  <c r="J559" i="1"/>
  <c r="J564" i="1"/>
  <c r="J566" i="1"/>
  <c r="J565" i="1"/>
  <c r="J560" i="1"/>
  <c r="J561" i="1"/>
  <c r="J562" i="1"/>
  <c r="J563" i="1"/>
  <c r="I559" i="1"/>
  <c r="I564" i="1"/>
  <c r="I566" i="1"/>
  <c r="I565" i="1"/>
  <c r="I560" i="1"/>
  <c r="I561" i="1"/>
  <c r="I562" i="1"/>
  <c r="I563" i="1"/>
  <c r="J558" i="1"/>
  <c r="I558" i="1"/>
  <c r="I590" i="1" l="1"/>
  <c r="I56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J557" i="1" l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I536" i="1"/>
  <c r="J535" i="1"/>
  <c r="I535" i="1"/>
  <c r="J534" i="1"/>
  <c r="I534" i="1"/>
  <c r="J533" i="1"/>
  <c r="I533" i="1"/>
  <c r="J532" i="1"/>
  <c r="I532" i="1"/>
  <c r="J531" i="1"/>
  <c r="I531" i="1"/>
  <c r="J530" i="1"/>
  <c r="I530" i="1"/>
  <c r="J529" i="1"/>
  <c r="I529" i="1"/>
  <c r="J528" i="1"/>
  <c r="I528" i="1"/>
  <c r="J527" i="1"/>
  <c r="I527" i="1"/>
  <c r="J526" i="1"/>
  <c r="I526" i="1"/>
  <c r="J525" i="1"/>
  <c r="I525" i="1"/>
  <c r="J524" i="1"/>
  <c r="I524" i="1"/>
  <c r="J523" i="1"/>
  <c r="I523" i="1"/>
  <c r="J522" i="1"/>
  <c r="I522" i="1"/>
  <c r="J521" i="1"/>
  <c r="I521" i="1"/>
  <c r="J520" i="1"/>
  <c r="I520" i="1"/>
  <c r="J519" i="1"/>
  <c r="I519" i="1"/>
  <c r="J518" i="1"/>
  <c r="I518" i="1"/>
  <c r="J517" i="1"/>
  <c r="I517" i="1"/>
  <c r="J516" i="1"/>
  <c r="I516" i="1"/>
  <c r="J515" i="1"/>
  <c r="I515" i="1"/>
  <c r="J514" i="1"/>
  <c r="I514" i="1"/>
  <c r="J513" i="1"/>
  <c r="I513" i="1"/>
  <c r="J512" i="1"/>
  <c r="I512" i="1"/>
  <c r="J511" i="1"/>
  <c r="I511" i="1"/>
  <c r="J510" i="1"/>
  <c r="I510" i="1"/>
  <c r="J509" i="1"/>
  <c r="I509" i="1"/>
  <c r="J508" i="1"/>
  <c r="I508" i="1"/>
  <c r="J507" i="1"/>
  <c r="I507" i="1"/>
  <c r="J506" i="1"/>
  <c r="I506" i="1"/>
  <c r="J505" i="1"/>
  <c r="I505" i="1"/>
  <c r="J504" i="1"/>
  <c r="I504" i="1"/>
  <c r="J503" i="1"/>
  <c r="I503" i="1"/>
  <c r="J502" i="1"/>
  <c r="I502" i="1"/>
  <c r="J501" i="1"/>
  <c r="I501" i="1"/>
  <c r="J500" i="1"/>
  <c r="I500" i="1"/>
  <c r="J499" i="1"/>
  <c r="I499" i="1"/>
  <c r="J498" i="1"/>
  <c r="I498" i="1"/>
  <c r="J497" i="1"/>
  <c r="I497" i="1"/>
  <c r="J496" i="1"/>
  <c r="I496" i="1"/>
  <c r="J495" i="1"/>
  <c r="I495" i="1"/>
  <c r="J494" i="1"/>
  <c r="I494" i="1"/>
  <c r="J493" i="1"/>
  <c r="I493" i="1"/>
  <c r="J492" i="1"/>
  <c r="I492" i="1"/>
  <c r="J491" i="1"/>
  <c r="I491" i="1"/>
  <c r="J490" i="1"/>
  <c r="I490" i="1"/>
  <c r="J489" i="1"/>
  <c r="I489" i="1"/>
  <c r="J488" i="1"/>
  <c r="I488" i="1"/>
  <c r="J487" i="1"/>
  <c r="I487" i="1"/>
  <c r="J486" i="1"/>
  <c r="I486" i="1"/>
  <c r="J485" i="1"/>
  <c r="I485" i="1"/>
  <c r="J484" i="1"/>
  <c r="I484" i="1"/>
  <c r="J483" i="1"/>
  <c r="I483" i="1"/>
  <c r="J482" i="1"/>
  <c r="I482" i="1"/>
  <c r="J481" i="1"/>
  <c r="I481" i="1"/>
  <c r="J480" i="1"/>
  <c r="I480" i="1"/>
  <c r="J479" i="1"/>
  <c r="I479" i="1"/>
  <c r="J478" i="1"/>
  <c r="I478" i="1"/>
  <c r="J477" i="1"/>
  <c r="I477" i="1"/>
  <c r="J476" i="1"/>
  <c r="I476" i="1"/>
  <c r="J475" i="1"/>
  <c r="I475" i="1"/>
  <c r="J474" i="1"/>
  <c r="I474" i="1"/>
  <c r="J473" i="1"/>
  <c r="I473" i="1"/>
  <c r="J472" i="1"/>
  <c r="I472" i="1"/>
  <c r="J471" i="1"/>
  <c r="I471" i="1"/>
  <c r="J470" i="1"/>
  <c r="I470" i="1"/>
  <c r="J469" i="1"/>
  <c r="I469" i="1"/>
  <c r="J468" i="1"/>
  <c r="I468" i="1"/>
  <c r="J467" i="1"/>
  <c r="I467" i="1"/>
  <c r="J466" i="1"/>
  <c r="I466" i="1"/>
  <c r="J465" i="1"/>
  <c r="I465" i="1"/>
  <c r="J464" i="1"/>
  <c r="I464" i="1"/>
  <c r="J462" i="1"/>
  <c r="I462" i="1"/>
  <c r="J461" i="1"/>
  <c r="I461" i="1"/>
  <c r="J460" i="1"/>
  <c r="I460" i="1"/>
  <c r="J459" i="1"/>
  <c r="I459" i="1"/>
  <c r="J458" i="1"/>
  <c r="I458" i="1"/>
  <c r="J457" i="1"/>
  <c r="I457" i="1"/>
  <c r="J456" i="1"/>
  <c r="I456" i="1"/>
  <c r="J455" i="1"/>
  <c r="I455" i="1"/>
  <c r="J454" i="1"/>
  <c r="I454" i="1"/>
  <c r="J453" i="1"/>
  <c r="I453" i="1"/>
  <c r="J452" i="1"/>
  <c r="I452" i="1"/>
  <c r="J451" i="1"/>
  <c r="I451" i="1"/>
  <c r="J450" i="1"/>
  <c r="I450" i="1"/>
  <c r="J449" i="1"/>
  <c r="I449" i="1"/>
  <c r="J448" i="1"/>
  <c r="I448" i="1"/>
  <c r="J447" i="1"/>
  <c r="I447" i="1"/>
  <c r="J446" i="1"/>
  <c r="I446" i="1"/>
  <c r="J445" i="1"/>
  <c r="I445" i="1"/>
  <c r="J444" i="1"/>
  <c r="I444" i="1"/>
  <c r="J443" i="1"/>
  <c r="I443" i="1"/>
  <c r="J442" i="1"/>
  <c r="I442" i="1"/>
  <c r="J441" i="1"/>
  <c r="I441" i="1"/>
  <c r="J440" i="1"/>
  <c r="I440" i="1"/>
  <c r="J439" i="1"/>
  <c r="I439" i="1"/>
  <c r="J438" i="1"/>
  <c r="I438" i="1"/>
  <c r="J437" i="1"/>
  <c r="I437" i="1"/>
  <c r="J436" i="1"/>
  <c r="I436" i="1"/>
  <c r="J435" i="1"/>
  <c r="I435" i="1"/>
  <c r="J434" i="1"/>
  <c r="I434" i="1"/>
  <c r="J433" i="1"/>
  <c r="I433" i="1"/>
  <c r="J432" i="1"/>
  <c r="I432" i="1"/>
  <c r="J431" i="1"/>
  <c r="I431" i="1"/>
  <c r="J430" i="1"/>
  <c r="I430" i="1"/>
  <c r="J429" i="1"/>
  <c r="I429" i="1"/>
  <c r="J428" i="1"/>
  <c r="I428" i="1"/>
  <c r="J427" i="1"/>
  <c r="I427" i="1"/>
  <c r="J426" i="1"/>
  <c r="I426" i="1"/>
  <c r="J425" i="1"/>
  <c r="I425" i="1"/>
  <c r="J424" i="1"/>
  <c r="I424" i="1"/>
  <c r="J423" i="1"/>
  <c r="I423" i="1"/>
  <c r="J422" i="1"/>
  <c r="I422" i="1"/>
  <c r="J421" i="1"/>
  <c r="I421" i="1"/>
  <c r="J420" i="1"/>
  <c r="I420" i="1"/>
  <c r="J419" i="1"/>
  <c r="I419" i="1"/>
  <c r="J418" i="1"/>
  <c r="I418" i="1"/>
  <c r="J417" i="1"/>
  <c r="I417" i="1"/>
  <c r="J416" i="1"/>
  <c r="I416" i="1"/>
  <c r="J415" i="1"/>
  <c r="I415" i="1"/>
  <c r="J414" i="1"/>
  <c r="I414" i="1"/>
  <c r="J413" i="1"/>
  <c r="I413" i="1"/>
  <c r="J412" i="1"/>
  <c r="I412" i="1"/>
  <c r="J411" i="1"/>
  <c r="I411" i="1"/>
  <c r="J410" i="1"/>
  <c r="I410" i="1"/>
  <c r="J409" i="1"/>
  <c r="I409" i="1"/>
  <c r="J408" i="1"/>
  <c r="I408" i="1"/>
  <c r="J407" i="1"/>
  <c r="I407" i="1"/>
  <c r="J406" i="1"/>
  <c r="I406" i="1"/>
  <c r="J405" i="1"/>
  <c r="I405" i="1"/>
  <c r="J404" i="1"/>
  <c r="I404" i="1"/>
  <c r="J403" i="1"/>
  <c r="I403" i="1"/>
  <c r="J402" i="1"/>
  <c r="I402" i="1"/>
  <c r="J401" i="1"/>
  <c r="I401" i="1"/>
  <c r="J400" i="1"/>
  <c r="I400" i="1"/>
  <c r="J399" i="1"/>
  <c r="I399" i="1"/>
  <c r="J398" i="1"/>
  <c r="I398" i="1"/>
  <c r="J397" i="1"/>
  <c r="I397" i="1"/>
  <c r="J396" i="1"/>
  <c r="I396" i="1"/>
  <c r="J395" i="1"/>
  <c r="I395" i="1"/>
  <c r="J394" i="1"/>
  <c r="I394" i="1"/>
  <c r="J393" i="1"/>
  <c r="I393" i="1"/>
  <c r="J392" i="1"/>
  <c r="I392" i="1"/>
  <c r="J391" i="1"/>
  <c r="I391" i="1"/>
  <c r="J390" i="1"/>
  <c r="I390" i="1"/>
  <c r="J389" i="1"/>
  <c r="I389" i="1"/>
  <c r="J388" i="1"/>
  <c r="I388" i="1"/>
  <c r="J387" i="1"/>
  <c r="I387" i="1"/>
  <c r="J386" i="1"/>
  <c r="I386" i="1"/>
  <c r="J385" i="1"/>
  <c r="I385" i="1"/>
  <c r="J384" i="1"/>
  <c r="I384" i="1"/>
  <c r="J383" i="1"/>
  <c r="I383" i="1"/>
  <c r="J382" i="1"/>
  <c r="I382" i="1"/>
  <c r="J381" i="1"/>
  <c r="I381" i="1"/>
  <c r="J380" i="1"/>
  <c r="I380" i="1"/>
  <c r="J379" i="1"/>
  <c r="I379" i="1"/>
  <c r="J378" i="1"/>
  <c r="I378" i="1"/>
  <c r="J377" i="1"/>
  <c r="I377" i="1"/>
  <c r="J376" i="1"/>
  <c r="I376" i="1"/>
  <c r="J375" i="1"/>
  <c r="I375" i="1"/>
  <c r="J374" i="1"/>
  <c r="I374" i="1"/>
  <c r="J373" i="1"/>
  <c r="I373" i="1"/>
  <c r="J372" i="1"/>
  <c r="I372" i="1"/>
  <c r="J371" i="1"/>
  <c r="I371" i="1"/>
  <c r="J370" i="1"/>
  <c r="I370" i="1"/>
  <c r="J369" i="1"/>
  <c r="I369" i="1"/>
  <c r="J368" i="1"/>
  <c r="I368" i="1"/>
  <c r="J367" i="1"/>
  <c r="I367" i="1"/>
  <c r="J366" i="1"/>
  <c r="I366" i="1"/>
  <c r="J365" i="1"/>
  <c r="I365" i="1"/>
  <c r="J364" i="1"/>
  <c r="I364" i="1"/>
  <c r="J363" i="1"/>
  <c r="I363" i="1"/>
  <c r="J362" i="1"/>
  <c r="I362" i="1"/>
  <c r="J361" i="1"/>
  <c r="I361" i="1"/>
  <c r="J360" i="1"/>
  <c r="I360" i="1"/>
  <c r="J359" i="1"/>
  <c r="I359" i="1"/>
  <c r="J358" i="1"/>
  <c r="I358" i="1"/>
  <c r="J357" i="1"/>
  <c r="I357" i="1"/>
  <c r="J356" i="1"/>
  <c r="I356" i="1"/>
  <c r="J355" i="1"/>
  <c r="I355" i="1"/>
  <c r="J354" i="1"/>
  <c r="I354" i="1"/>
  <c r="J353" i="1"/>
  <c r="I353" i="1"/>
  <c r="J352" i="1"/>
  <c r="I352" i="1"/>
  <c r="J351" i="1"/>
  <c r="I351" i="1"/>
  <c r="J350" i="1"/>
  <c r="I350" i="1"/>
  <c r="J349" i="1"/>
  <c r="I349" i="1"/>
  <c r="J348" i="1"/>
  <c r="I348" i="1"/>
  <c r="J347" i="1"/>
  <c r="I347" i="1"/>
  <c r="J346" i="1"/>
  <c r="I346" i="1"/>
  <c r="J345" i="1"/>
  <c r="I345" i="1"/>
  <c r="J344" i="1"/>
  <c r="I344" i="1"/>
  <c r="J343" i="1"/>
  <c r="I343" i="1"/>
  <c r="J342" i="1"/>
  <c r="I342" i="1"/>
  <c r="J341" i="1"/>
  <c r="I341" i="1"/>
  <c r="J340" i="1"/>
  <c r="I340" i="1"/>
  <c r="J339" i="1"/>
  <c r="I339" i="1"/>
  <c r="J338" i="1"/>
  <c r="I338" i="1"/>
  <c r="J337" i="1"/>
  <c r="I337" i="1"/>
  <c r="J336" i="1"/>
  <c r="I336" i="1"/>
  <c r="J335" i="1"/>
  <c r="I335" i="1"/>
  <c r="J334" i="1"/>
  <c r="I334" i="1"/>
  <c r="J333" i="1"/>
  <c r="I333" i="1"/>
  <c r="J332" i="1"/>
  <c r="I332" i="1"/>
  <c r="J331" i="1"/>
  <c r="I331" i="1"/>
  <c r="J330" i="1"/>
  <c r="I330" i="1"/>
  <c r="J329" i="1"/>
  <c r="I329" i="1"/>
  <c r="J328" i="1"/>
  <c r="I328" i="1"/>
  <c r="J327" i="1"/>
  <c r="I327" i="1"/>
  <c r="J326" i="1"/>
  <c r="I326" i="1"/>
  <c r="J325" i="1"/>
  <c r="I325" i="1"/>
  <c r="J324" i="1"/>
  <c r="I324" i="1"/>
  <c r="J323" i="1"/>
  <c r="I323" i="1"/>
  <c r="J322" i="1"/>
  <c r="I322" i="1"/>
  <c r="J321" i="1"/>
  <c r="I321" i="1"/>
  <c r="J320" i="1"/>
  <c r="I320" i="1"/>
  <c r="J319" i="1"/>
  <c r="I319" i="1"/>
  <c r="J318" i="1"/>
  <c r="I318" i="1"/>
  <c r="J317" i="1"/>
  <c r="I317" i="1"/>
  <c r="J316" i="1"/>
  <c r="I316" i="1"/>
  <c r="J315" i="1"/>
  <c r="I315" i="1"/>
  <c r="J314" i="1"/>
  <c r="I314" i="1"/>
  <c r="J313" i="1"/>
  <c r="I313" i="1"/>
  <c r="J312" i="1"/>
  <c r="I312" i="1"/>
  <c r="J311" i="1"/>
  <c r="I311" i="1"/>
  <c r="J310" i="1"/>
  <c r="I310" i="1"/>
  <c r="J309" i="1"/>
  <c r="I309" i="1"/>
  <c r="J308" i="1"/>
  <c r="I308" i="1"/>
  <c r="J307" i="1"/>
  <c r="I307" i="1"/>
  <c r="J306" i="1"/>
  <c r="I306" i="1"/>
  <c r="J305" i="1"/>
  <c r="I305" i="1"/>
  <c r="J304" i="1"/>
  <c r="I304" i="1"/>
  <c r="J303" i="1"/>
  <c r="I303" i="1"/>
  <c r="J302" i="1"/>
  <c r="I302" i="1"/>
  <c r="J301" i="1"/>
  <c r="I301" i="1"/>
  <c r="J300" i="1"/>
  <c r="I300" i="1"/>
  <c r="J299" i="1"/>
  <c r="I299" i="1"/>
  <c r="J298" i="1"/>
  <c r="I298" i="1"/>
  <c r="J297" i="1"/>
  <c r="I297" i="1"/>
  <c r="J296" i="1"/>
  <c r="I296" i="1"/>
  <c r="J295" i="1"/>
  <c r="I295" i="1"/>
  <c r="J294" i="1"/>
  <c r="I294" i="1"/>
  <c r="J293" i="1"/>
  <c r="I293" i="1"/>
  <c r="J292" i="1"/>
  <c r="I292" i="1"/>
  <c r="J291" i="1"/>
  <c r="I291" i="1"/>
  <c r="J290" i="1"/>
  <c r="I290" i="1"/>
  <c r="J289" i="1"/>
  <c r="I289" i="1"/>
  <c r="J288" i="1"/>
  <c r="I288" i="1"/>
  <c r="J287" i="1"/>
  <c r="I287" i="1"/>
  <c r="J286" i="1"/>
  <c r="I286" i="1"/>
  <c r="J285" i="1"/>
  <c r="I285" i="1"/>
  <c r="J284" i="1"/>
  <c r="I284" i="1"/>
  <c r="J283" i="1"/>
  <c r="I283" i="1"/>
  <c r="J282" i="1"/>
  <c r="I282" i="1"/>
  <c r="J281" i="1"/>
  <c r="I281" i="1"/>
  <c r="J280" i="1"/>
  <c r="I280" i="1"/>
  <c r="J279" i="1"/>
  <c r="I279" i="1"/>
  <c r="J278" i="1"/>
  <c r="I278" i="1"/>
  <c r="J277" i="1"/>
  <c r="I277" i="1"/>
  <c r="J276" i="1"/>
  <c r="I276" i="1"/>
  <c r="J275" i="1"/>
  <c r="I275" i="1"/>
  <c r="J274" i="1"/>
  <c r="I274" i="1"/>
  <c r="J273" i="1"/>
  <c r="I273" i="1"/>
  <c r="J272" i="1"/>
  <c r="I272" i="1"/>
  <c r="J271" i="1"/>
  <c r="I271" i="1"/>
  <c r="J270" i="1"/>
  <c r="I270" i="1"/>
  <c r="J269" i="1"/>
  <c r="I269" i="1"/>
  <c r="J268" i="1"/>
  <c r="I268" i="1"/>
  <c r="J267" i="1"/>
  <c r="I267" i="1"/>
  <c r="J266" i="1"/>
  <c r="I266" i="1"/>
  <c r="J265" i="1"/>
  <c r="I265" i="1"/>
  <c r="J264" i="1"/>
  <c r="I264" i="1"/>
  <c r="J263" i="1"/>
  <c r="I263" i="1"/>
  <c r="J262" i="1"/>
  <c r="I262" i="1"/>
  <c r="J261" i="1"/>
  <c r="I261" i="1"/>
  <c r="J260" i="1"/>
  <c r="I260" i="1"/>
  <c r="J259" i="1"/>
  <c r="I259" i="1"/>
  <c r="J258" i="1"/>
  <c r="I258" i="1"/>
  <c r="J257" i="1"/>
  <c r="I257" i="1"/>
  <c r="J256" i="1"/>
  <c r="I256" i="1"/>
  <c r="J255" i="1"/>
  <c r="I255" i="1"/>
  <c r="J254" i="1"/>
  <c r="I254" i="1"/>
  <c r="J253" i="1"/>
  <c r="I253" i="1"/>
  <c r="J252" i="1"/>
  <c r="I252" i="1"/>
  <c r="J251" i="1"/>
  <c r="I251" i="1"/>
  <c r="J250" i="1"/>
  <c r="I250" i="1"/>
  <c r="J249" i="1"/>
  <c r="I249" i="1"/>
  <c r="J248" i="1"/>
  <c r="I248" i="1"/>
  <c r="J247" i="1"/>
  <c r="I247" i="1"/>
  <c r="J246" i="1"/>
  <c r="I246" i="1"/>
  <c r="J245" i="1"/>
  <c r="I245" i="1"/>
  <c r="J244" i="1"/>
  <c r="I244" i="1"/>
  <c r="J243" i="1"/>
  <c r="I243" i="1"/>
  <c r="J242" i="1"/>
  <c r="I242" i="1"/>
  <c r="J241" i="1"/>
  <c r="I241" i="1"/>
  <c r="J240" i="1"/>
  <c r="I240" i="1"/>
  <c r="J239" i="1"/>
  <c r="I239" i="1"/>
  <c r="J238" i="1"/>
  <c r="I238" i="1"/>
  <c r="J237" i="1"/>
  <c r="I237" i="1"/>
  <c r="J236" i="1"/>
  <c r="I236" i="1"/>
  <c r="J235" i="1"/>
  <c r="I235" i="1"/>
  <c r="J234" i="1"/>
  <c r="I234" i="1"/>
  <c r="J233" i="1"/>
  <c r="I233" i="1"/>
  <c r="J232" i="1"/>
  <c r="I232" i="1"/>
  <c r="J231" i="1"/>
  <c r="I231" i="1"/>
  <c r="J230" i="1"/>
  <c r="I230" i="1"/>
  <c r="J229" i="1"/>
  <c r="I229" i="1"/>
  <c r="J228" i="1"/>
  <c r="I228" i="1"/>
  <c r="J227" i="1"/>
  <c r="I227" i="1"/>
  <c r="J226" i="1"/>
  <c r="I226" i="1"/>
  <c r="J225" i="1"/>
  <c r="I225" i="1"/>
  <c r="J224" i="1"/>
  <c r="I224" i="1"/>
  <c r="J223" i="1"/>
  <c r="I223" i="1"/>
  <c r="J222" i="1"/>
  <c r="I222" i="1"/>
  <c r="J221" i="1"/>
  <c r="I221" i="1"/>
  <c r="J220" i="1"/>
  <c r="I220" i="1"/>
  <c r="J219" i="1"/>
  <c r="I219" i="1"/>
  <c r="J218" i="1"/>
  <c r="I218" i="1"/>
  <c r="J217" i="1"/>
  <c r="I217" i="1"/>
  <c r="J216" i="1"/>
  <c r="I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183" i="1"/>
  <c r="I183" i="1"/>
  <c r="J182" i="1"/>
  <c r="I182" i="1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I157" i="1"/>
  <c r="J156" i="1"/>
  <c r="I156" i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I5" i="1" l="1"/>
  <c r="G115" i="10"/>
  <c r="V115" i="10" s="1"/>
  <c r="G99" i="10"/>
  <c r="V99" i="10" s="1"/>
  <c r="G128" i="10"/>
  <c r="V128" i="10" s="1"/>
  <c r="G113" i="10"/>
  <c r="V113" i="10" s="1"/>
  <c r="G107" i="10"/>
  <c r="V107" i="10" s="1"/>
  <c r="G96" i="10"/>
  <c r="V96" i="10" s="1"/>
  <c r="G125" i="10"/>
  <c r="V125" i="10" s="1"/>
  <c r="G131" i="10"/>
  <c r="V131" i="10" s="1"/>
  <c r="G95" i="10"/>
  <c r="V95" i="10" s="1"/>
  <c r="K5" i="1"/>
  <c r="G94" i="10"/>
  <c r="V94" i="10" s="1"/>
  <c r="G100" i="10"/>
  <c r="V100" i="10" s="1"/>
  <c r="G108" i="10"/>
  <c r="V108" i="10" s="1"/>
  <c r="G123" i="10"/>
  <c r="V123" i="10" s="1"/>
  <c r="G129" i="10"/>
  <c r="V129" i="10" s="1"/>
  <c r="G130" i="10"/>
  <c r="V130" i="10" s="1"/>
  <c r="G109" i="10"/>
  <c r="V109" i="10" s="1"/>
  <c r="G114" i="10"/>
  <c r="V114" i="10" s="1"/>
  <c r="G111" i="10"/>
  <c r="V111" i="10" s="1"/>
  <c r="G117" i="10"/>
  <c r="V117" i="10" s="1"/>
  <c r="G126" i="10"/>
  <c r="V126" i="10" s="1"/>
  <c r="G132" i="10"/>
  <c r="V132" i="10" s="1"/>
  <c r="G134" i="10"/>
  <c r="V134" i="10" s="1"/>
  <c r="G116" i="10"/>
  <c r="V116" i="10" s="1"/>
  <c r="G145" i="10"/>
  <c r="V145" i="10" s="1"/>
  <c r="G146" i="10"/>
  <c r="V146" i="10" s="1"/>
  <c r="G137" i="10"/>
  <c r="G119" i="10"/>
  <c r="G14" i="10"/>
  <c r="G147" i="10"/>
  <c r="V147" i="10" s="1"/>
  <c r="G148" i="10"/>
  <c r="V148" i="10" s="1"/>
  <c r="G120" i="10"/>
  <c r="O120" i="10" s="1"/>
  <c r="G138" i="10"/>
  <c r="O138" i="10" s="1"/>
  <c r="G143" i="10"/>
  <c r="V143" i="10" s="1"/>
  <c r="G127" i="10"/>
  <c r="V127" i="10" s="1"/>
  <c r="G133" i="10"/>
  <c r="V133" i="10" s="1"/>
  <c r="F95" i="10"/>
  <c r="E143" i="10"/>
  <c r="E101" i="10"/>
  <c r="E110" i="10"/>
  <c r="E144" i="10"/>
  <c r="E16" i="10"/>
  <c r="E97" i="10"/>
  <c r="E105" i="10"/>
  <c r="F143" i="10"/>
  <c r="F108" i="10"/>
  <c r="E98" i="10"/>
  <c r="E106" i="10"/>
  <c r="E112" i="10"/>
  <c r="F94" i="10"/>
  <c r="F111" i="10"/>
  <c r="E93" i="10"/>
  <c r="F114" i="10"/>
  <c r="E141" i="10"/>
  <c r="F45" i="10"/>
  <c r="F99" i="10"/>
  <c r="E142" i="10"/>
  <c r="F100" i="10"/>
  <c r="F123" i="10"/>
  <c r="E102" i="10"/>
  <c r="F129" i="10"/>
  <c r="F133" i="10"/>
  <c r="E99" i="10"/>
  <c r="F109" i="10"/>
  <c r="F115" i="10"/>
  <c r="F130" i="10"/>
  <c r="E94" i="10"/>
  <c r="E100" i="10"/>
  <c r="E108" i="10"/>
  <c r="E114" i="10"/>
  <c r="E123" i="10"/>
  <c r="F126" i="10"/>
  <c r="F132" i="10"/>
  <c r="F127" i="10"/>
  <c r="E111" i="10"/>
  <c r="F107" i="10"/>
  <c r="F113" i="10"/>
  <c r="F128" i="10"/>
  <c r="F148" i="10"/>
  <c r="F145" i="10"/>
  <c r="F146" i="10"/>
  <c r="F147" i="10"/>
  <c r="F96" i="10"/>
  <c r="F125" i="10"/>
  <c r="F131" i="10"/>
  <c r="Q6" i="1" l="1"/>
  <c r="W6" i="1" s="1"/>
  <c r="G4" i="10" s="1"/>
  <c r="O115" i="10"/>
  <c r="O99" i="10"/>
  <c r="O128" i="10"/>
  <c r="O131" i="10"/>
  <c r="O95" i="10"/>
  <c r="O125" i="10"/>
  <c r="O113" i="10"/>
  <c r="O96" i="10"/>
  <c r="O107" i="10"/>
  <c r="AJ6" i="1"/>
  <c r="E4" i="10"/>
  <c r="E124" i="10"/>
  <c r="M124" i="10" s="1"/>
  <c r="N514" i="1"/>
  <c r="O94" i="10"/>
  <c r="O130" i="10"/>
  <c r="O123" i="10"/>
  <c r="O108" i="10"/>
  <c r="O100" i="10"/>
  <c r="O129" i="10"/>
  <c r="O114" i="10"/>
  <c r="G135" i="10"/>
  <c r="V135" i="10" s="1"/>
  <c r="O109" i="10"/>
  <c r="O126" i="10"/>
  <c r="O148" i="10"/>
  <c r="O116" i="10"/>
  <c r="O143" i="10"/>
  <c r="O111" i="10"/>
  <c r="O132" i="10"/>
  <c r="O134" i="10"/>
  <c r="V119" i="10"/>
  <c r="U119" i="10"/>
  <c r="O133" i="10"/>
  <c r="O145" i="10"/>
  <c r="F117" i="10"/>
  <c r="F135" i="10"/>
  <c r="V120" i="10"/>
  <c r="U120" i="10"/>
  <c r="O117" i="10"/>
  <c r="V137" i="10"/>
  <c r="U137" i="10"/>
  <c r="V138" i="10"/>
  <c r="U138" i="10"/>
  <c r="F134" i="10"/>
  <c r="F116" i="10"/>
  <c r="O119" i="10"/>
  <c r="O146" i="10"/>
  <c r="O137" i="10"/>
  <c r="O147" i="10"/>
  <c r="G118" i="10"/>
  <c r="G136" i="10"/>
  <c r="O127" i="10"/>
  <c r="N133" i="10"/>
  <c r="U133" i="10"/>
  <c r="N94" i="10"/>
  <c r="U94" i="10"/>
  <c r="N111" i="10"/>
  <c r="U111" i="10"/>
  <c r="N107" i="10"/>
  <c r="U107" i="10"/>
  <c r="N129" i="10"/>
  <c r="U129" i="10"/>
  <c r="N128" i="10"/>
  <c r="U128" i="10"/>
  <c r="N146" i="10"/>
  <c r="U146" i="10"/>
  <c r="N132" i="10"/>
  <c r="U132" i="10"/>
  <c r="N99" i="10"/>
  <c r="U99" i="10"/>
  <c r="N126" i="10"/>
  <c r="U126" i="10"/>
  <c r="N45" i="10"/>
  <c r="N113" i="10"/>
  <c r="U113" i="10"/>
  <c r="N96" i="10"/>
  <c r="U96" i="10"/>
  <c r="N131" i="10"/>
  <c r="U131" i="10"/>
  <c r="N130" i="10"/>
  <c r="U130" i="10"/>
  <c r="N95" i="10"/>
  <c r="U95" i="10"/>
  <c r="N145" i="10"/>
  <c r="U145" i="10"/>
  <c r="N114" i="10"/>
  <c r="U114" i="10"/>
  <c r="N125" i="10"/>
  <c r="U125" i="10"/>
  <c r="N127" i="10"/>
  <c r="U127" i="10"/>
  <c r="N108" i="10"/>
  <c r="U108" i="10"/>
  <c r="N148" i="10"/>
  <c r="U148" i="10"/>
  <c r="N115" i="10"/>
  <c r="U115" i="10"/>
  <c r="N123" i="10"/>
  <c r="U123" i="10"/>
  <c r="N147" i="10"/>
  <c r="U147" i="10"/>
  <c r="N109" i="10"/>
  <c r="U109" i="10"/>
  <c r="N100" i="10"/>
  <c r="U100" i="10"/>
  <c r="N143" i="10"/>
  <c r="U143" i="10"/>
  <c r="M144" i="10"/>
  <c r="M142" i="10"/>
  <c r="M143" i="10"/>
  <c r="M141" i="10"/>
  <c r="AL17" i="1"/>
  <c r="M98" i="10"/>
  <c r="M102" i="10"/>
  <c r="M123" i="10"/>
  <c r="M93" i="10"/>
  <c r="M99" i="10"/>
  <c r="M100" i="10"/>
  <c r="M97" i="10"/>
  <c r="M94" i="10"/>
  <c r="M101" i="10"/>
  <c r="M114" i="10"/>
  <c r="M108" i="10"/>
  <c r="M105" i="10"/>
  <c r="M110" i="10"/>
  <c r="M112" i="10"/>
  <c r="M111" i="10"/>
  <c r="M106" i="10"/>
  <c r="M514" i="1"/>
  <c r="F124" i="10"/>
  <c r="F141" i="10"/>
  <c r="G98" i="10"/>
  <c r="F98" i="10"/>
  <c r="G102" i="10"/>
  <c r="F102" i="10"/>
  <c r="G93" i="10"/>
  <c r="F93" i="10"/>
  <c r="F144" i="10"/>
  <c r="F142" i="10"/>
  <c r="G105" i="10"/>
  <c r="F105" i="10"/>
  <c r="G110" i="10"/>
  <c r="F110" i="10"/>
  <c r="G112" i="10"/>
  <c r="F112" i="10"/>
  <c r="G97" i="10"/>
  <c r="F97" i="10"/>
  <c r="G101" i="10"/>
  <c r="F101" i="10"/>
  <c r="G106" i="10"/>
  <c r="F106" i="10"/>
  <c r="AK6" i="1" l="1"/>
  <c r="AC6" i="1"/>
  <c r="AM6" i="1"/>
  <c r="O135" i="10"/>
  <c r="V93" i="10"/>
  <c r="O93" i="10"/>
  <c r="V110" i="10"/>
  <c r="O110" i="10"/>
  <c r="V98" i="10"/>
  <c r="O98" i="10"/>
  <c r="G142" i="10"/>
  <c r="V142" i="10" s="1"/>
  <c r="P124" i="10"/>
  <c r="G124" i="10"/>
  <c r="V101" i="10"/>
  <c r="O101" i="10"/>
  <c r="G144" i="10"/>
  <c r="V144" i="10" s="1"/>
  <c r="V112" i="10"/>
  <c r="O112" i="10"/>
  <c r="H14" i="10"/>
  <c r="V14" i="10" s="1"/>
  <c r="AB16" i="1"/>
  <c r="V136" i="10"/>
  <c r="U136" i="10"/>
  <c r="O136" i="10"/>
  <c r="U118" i="10"/>
  <c r="V118" i="10"/>
  <c r="O118" i="10"/>
  <c r="V102" i="10"/>
  <c r="O102" i="10"/>
  <c r="V105" i="10"/>
  <c r="O105" i="10"/>
  <c r="G141" i="10"/>
  <c r="V141" i="10" s="1"/>
  <c r="V106" i="10"/>
  <c r="O106" i="10"/>
  <c r="V97" i="10"/>
  <c r="O97" i="10"/>
  <c r="O14" i="10"/>
  <c r="T143" i="10"/>
  <c r="T123" i="10"/>
  <c r="N116" i="10"/>
  <c r="U116" i="10"/>
  <c r="N134" i="10"/>
  <c r="U134" i="10"/>
  <c r="N97" i="10"/>
  <c r="T97" i="10"/>
  <c r="U97" i="10"/>
  <c r="N93" i="10"/>
  <c r="T93" i="10"/>
  <c r="U93" i="10"/>
  <c r="N117" i="10"/>
  <c r="U117" i="10"/>
  <c r="N112" i="10"/>
  <c r="T112" i="10"/>
  <c r="U112" i="10"/>
  <c r="N135" i="10"/>
  <c r="U135" i="10"/>
  <c r="T100" i="10"/>
  <c r="T111" i="10"/>
  <c r="N110" i="10"/>
  <c r="T110" i="10"/>
  <c r="U110" i="10"/>
  <c r="N98" i="10"/>
  <c r="T98" i="10"/>
  <c r="U98" i="10"/>
  <c r="T114" i="10"/>
  <c r="T94" i="10"/>
  <c r="N144" i="10"/>
  <c r="T144" i="10"/>
  <c r="N105" i="10"/>
  <c r="T105" i="10"/>
  <c r="U105" i="10"/>
  <c r="N141" i="10"/>
  <c r="T141" i="10"/>
  <c r="N142" i="10"/>
  <c r="T142" i="10"/>
  <c r="N124" i="10"/>
  <c r="T124" i="10"/>
  <c r="T108" i="10"/>
  <c r="T99" i="10"/>
  <c r="N106" i="10"/>
  <c r="T106" i="10"/>
  <c r="U106" i="10"/>
  <c r="AL18" i="1"/>
  <c r="H15" i="10"/>
  <c r="T473" i="1"/>
  <c r="T472" i="1"/>
  <c r="AL6" i="1" l="1"/>
  <c r="H4" i="10"/>
  <c r="V4" i="10" s="1"/>
  <c r="AB6" i="1"/>
  <c r="O144" i="10"/>
  <c r="U144" i="10"/>
  <c r="O142" i="10"/>
  <c r="U142" i="10"/>
  <c r="O141" i="10"/>
  <c r="V124" i="10"/>
  <c r="O124" i="10"/>
  <c r="U124" i="10"/>
  <c r="U141" i="10"/>
  <c r="N101" i="10"/>
  <c r="T101" i="10"/>
  <c r="U101" i="10"/>
  <c r="N102" i="10"/>
  <c r="T102" i="10"/>
  <c r="U102" i="10"/>
  <c r="AF17" i="1"/>
  <c r="AE17" i="1"/>
  <c r="AL19" i="1"/>
  <c r="H16" i="10"/>
  <c r="AF18" i="1" l="1"/>
  <c r="AE18" i="1"/>
  <c r="AL20" i="1"/>
  <c r="H17" i="10"/>
  <c r="AF19" i="1" l="1"/>
  <c r="AE19" i="1"/>
  <c r="AL21" i="1"/>
  <c r="H18" i="10"/>
  <c r="M442" i="1"/>
  <c r="AE20" i="1" l="1"/>
  <c r="AF20" i="1"/>
  <c r="AE21" i="1" l="1"/>
  <c r="AF21" i="1"/>
  <c r="F16" i="10"/>
  <c r="N16" i="10" l="1"/>
  <c r="F4" i="10"/>
  <c r="F5" i="10" l="1"/>
  <c r="E5" i="10"/>
  <c r="N5" i="10" l="1"/>
  <c r="N4" i="10"/>
  <c r="U4" i="10"/>
  <c r="F6" i="10" l="1"/>
  <c r="E6" i="10"/>
  <c r="N6" i="10" l="1"/>
  <c r="F7" i="10"/>
  <c r="E7" i="10"/>
  <c r="F8" i="10"/>
  <c r="E8" i="10"/>
  <c r="N7" i="10" l="1"/>
  <c r="N8" i="10"/>
  <c r="F9" i="10"/>
  <c r="E9" i="10"/>
  <c r="N9" i="10" l="1"/>
  <c r="F10" i="10"/>
  <c r="E10" i="10"/>
  <c r="N10" i="10" l="1"/>
  <c r="F11" i="10"/>
  <c r="E11" i="10"/>
  <c r="N11" i="10" l="1"/>
  <c r="F12" i="10"/>
  <c r="E12" i="10"/>
  <c r="N12" i="10" l="1"/>
  <c r="F13" i="10"/>
  <c r="E13" i="10"/>
  <c r="N13" i="10" l="1"/>
  <c r="F14" i="10"/>
  <c r="E14" i="10"/>
  <c r="N14" i="10" l="1"/>
  <c r="U14" i="10"/>
  <c r="F15" i="10"/>
  <c r="E15" i="10"/>
  <c r="N15" i="10" l="1"/>
  <c r="F17" i="10"/>
  <c r="E17" i="10"/>
  <c r="N17" i="10" l="1"/>
  <c r="F18" i="10"/>
  <c r="E18" i="10"/>
  <c r="N18" i="10" l="1"/>
  <c r="F21" i="10" l="1"/>
  <c r="N21" i="10" l="1"/>
  <c r="F22" i="10"/>
  <c r="E21" i="10" l="1"/>
  <c r="M21" i="10" s="1"/>
  <c r="N22" i="10"/>
  <c r="F23" i="10"/>
  <c r="E22" i="10" l="1"/>
  <c r="M22" i="10" s="1"/>
  <c r="T21" i="10"/>
  <c r="N23" i="10"/>
  <c r="F24" i="10"/>
  <c r="T22" i="10" l="1"/>
  <c r="E23" i="10"/>
  <c r="M23" i="10" s="1"/>
  <c r="N24" i="10"/>
  <c r="F25" i="10"/>
  <c r="E24" i="10" l="1"/>
  <c r="M24" i="10" s="1"/>
  <c r="T23" i="10"/>
  <c r="N25" i="10"/>
  <c r="E25" i="10" l="1"/>
  <c r="M25" i="10" s="1"/>
  <c r="T24" i="10"/>
  <c r="F27" i="10"/>
  <c r="E26" i="10"/>
  <c r="T25" i="10" l="1"/>
  <c r="M26" i="10"/>
  <c r="T26" i="10"/>
  <c r="N27" i="10"/>
  <c r="F28" i="10"/>
  <c r="E27" i="10" l="1"/>
  <c r="M27" i="10" s="1"/>
  <c r="N28" i="10"/>
  <c r="F29" i="10"/>
  <c r="E28" i="10"/>
  <c r="T27" i="10" l="1"/>
  <c r="N29" i="10"/>
  <c r="F30" i="10"/>
  <c r="E29" i="10"/>
  <c r="M28" i="10" l="1"/>
  <c r="T28" i="10"/>
  <c r="N30" i="10"/>
  <c r="F31" i="10"/>
  <c r="E30" i="10"/>
  <c r="N31" i="10" l="1"/>
  <c r="M29" i="10"/>
  <c r="T29" i="10"/>
  <c r="E31" i="10" l="1"/>
  <c r="M31" i="10" s="1"/>
  <c r="M30" i="10"/>
  <c r="T30" i="10"/>
  <c r="F33" i="10"/>
  <c r="E32" i="10"/>
  <c r="T31" i="10" l="1"/>
  <c r="M32" i="10"/>
  <c r="T32" i="10"/>
  <c r="N33" i="10"/>
  <c r="F34" i="10"/>
  <c r="E33" i="10" l="1"/>
  <c r="M33" i="10" s="1"/>
  <c r="N34" i="10"/>
  <c r="F35" i="10"/>
  <c r="T33" i="10" l="1"/>
  <c r="E34" i="10"/>
  <c r="M34" i="10" s="1"/>
  <c r="N35" i="10"/>
  <c r="F36" i="10"/>
  <c r="E35" i="10" l="1"/>
  <c r="M35" i="10" s="1"/>
  <c r="T34" i="10"/>
  <c r="N36" i="10"/>
  <c r="F37" i="10"/>
  <c r="T35" i="10" l="1"/>
  <c r="E36" i="10"/>
  <c r="M36" i="10" s="1"/>
  <c r="N37" i="10"/>
  <c r="F38" i="10"/>
  <c r="E37" i="10" l="1"/>
  <c r="M37" i="10" s="1"/>
  <c r="T36" i="10"/>
  <c r="N38" i="10"/>
  <c r="F39" i="10"/>
  <c r="E38" i="10" l="1"/>
  <c r="M38" i="10" s="1"/>
  <c r="T37" i="10"/>
  <c r="N39" i="10"/>
  <c r="F40" i="10"/>
  <c r="T38" i="10" l="1"/>
  <c r="E39" i="10"/>
  <c r="M39" i="10" s="1"/>
  <c r="N40" i="10"/>
  <c r="F41" i="10"/>
  <c r="E40" i="10" l="1"/>
  <c r="M40" i="10" s="1"/>
  <c r="T39" i="10"/>
  <c r="N41" i="10"/>
  <c r="F42" i="10"/>
  <c r="T40" i="10" l="1"/>
  <c r="E41" i="10"/>
  <c r="M41" i="10" s="1"/>
  <c r="N42" i="10"/>
  <c r="E44" i="10"/>
  <c r="T41" i="10" l="1"/>
  <c r="E42" i="10"/>
  <c r="M42" i="10" s="1"/>
  <c r="M44" i="10"/>
  <c r="T44" i="10"/>
  <c r="E43" i="10"/>
  <c r="T42" i="10" l="1"/>
  <c r="M43" i="10"/>
  <c r="T43" i="10"/>
  <c r="E45" i="10"/>
  <c r="M45" i="10" l="1"/>
  <c r="T45" i="10"/>
  <c r="B537" i="1" l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202" i="1"/>
  <c r="B201" i="1"/>
  <c r="B199" i="1"/>
  <c r="AF611" i="1" l="1"/>
  <c r="AE611" i="1"/>
  <c r="B611" i="1"/>
  <c r="AF610" i="1"/>
  <c r="AE610" i="1"/>
  <c r="B610" i="1"/>
  <c r="AF609" i="1"/>
  <c r="AE609" i="1"/>
  <c r="B609" i="1"/>
  <c r="AF608" i="1"/>
  <c r="AE608" i="1"/>
  <c r="B608" i="1"/>
  <c r="AF607" i="1"/>
  <c r="AE607" i="1"/>
  <c r="B607" i="1"/>
  <c r="AF606" i="1"/>
  <c r="AE606" i="1"/>
  <c r="B606" i="1"/>
  <c r="AF605" i="1"/>
  <c r="AE605" i="1"/>
  <c r="B605" i="1"/>
  <c r="AF604" i="1"/>
  <c r="AE604" i="1"/>
  <c r="B604" i="1"/>
  <c r="AF603" i="1"/>
  <c r="AE603" i="1"/>
  <c r="B603" i="1"/>
  <c r="AF602" i="1"/>
  <c r="AE602" i="1"/>
  <c r="B602" i="1"/>
  <c r="AF601" i="1"/>
  <c r="AE601" i="1"/>
  <c r="B601" i="1"/>
  <c r="AF600" i="1"/>
  <c r="AE600" i="1"/>
  <c r="B600" i="1"/>
  <c r="AF599" i="1"/>
  <c r="AE599" i="1"/>
  <c r="B599" i="1"/>
  <c r="B598" i="1"/>
  <c r="B597" i="1"/>
  <c r="B596" i="1"/>
  <c r="B595" i="1"/>
  <c r="B594" i="1"/>
  <c r="B593" i="1"/>
  <c r="B592" i="1"/>
  <c r="B591" i="1"/>
  <c r="AF589" i="1"/>
  <c r="AE589" i="1"/>
  <c r="B589" i="1"/>
  <c r="AF588" i="1"/>
  <c r="AE588" i="1"/>
  <c r="B588" i="1"/>
  <c r="AF587" i="1"/>
  <c r="AE587" i="1"/>
  <c r="B587" i="1"/>
  <c r="AF586" i="1"/>
  <c r="AE586" i="1"/>
  <c r="B586" i="1"/>
  <c r="AF585" i="1"/>
  <c r="AE585" i="1"/>
  <c r="B585" i="1"/>
  <c r="AF584" i="1"/>
  <c r="AE584" i="1"/>
  <c r="B584" i="1"/>
  <c r="AF583" i="1"/>
  <c r="AE583" i="1"/>
  <c r="B583" i="1"/>
  <c r="AF582" i="1"/>
  <c r="AE582" i="1"/>
  <c r="B582" i="1"/>
  <c r="AF581" i="1"/>
  <c r="AE581" i="1"/>
  <c r="B581" i="1"/>
  <c r="AF580" i="1"/>
  <c r="AE580" i="1"/>
  <c r="B580" i="1"/>
  <c r="AF579" i="1"/>
  <c r="AE579" i="1"/>
  <c r="B579" i="1"/>
  <c r="AF578" i="1"/>
  <c r="AE578" i="1"/>
  <c r="B578" i="1"/>
  <c r="AF577" i="1"/>
  <c r="AE577" i="1"/>
  <c r="B577" i="1"/>
  <c r="B576" i="1"/>
  <c r="B575" i="1"/>
  <c r="B574" i="1"/>
  <c r="B573" i="1"/>
  <c r="B572" i="1"/>
  <c r="B571" i="1"/>
  <c r="B570" i="1"/>
  <c r="B569" i="1"/>
  <c r="AF557" i="1"/>
  <c r="AE557" i="1"/>
  <c r="AF556" i="1"/>
  <c r="AE556" i="1"/>
  <c r="AF555" i="1"/>
  <c r="AE555" i="1"/>
  <c r="AF554" i="1"/>
  <c r="AE554" i="1"/>
  <c r="AF553" i="1"/>
  <c r="AE553" i="1"/>
  <c r="AF552" i="1"/>
  <c r="AE552" i="1"/>
  <c r="AF551" i="1"/>
  <c r="AE551" i="1"/>
  <c r="AF550" i="1"/>
  <c r="AE550" i="1"/>
  <c r="AF549" i="1"/>
  <c r="AE549" i="1"/>
  <c r="AF548" i="1"/>
  <c r="AE548" i="1"/>
  <c r="AF547" i="1"/>
  <c r="AE547" i="1"/>
  <c r="AF546" i="1"/>
  <c r="AE546" i="1"/>
  <c r="AF545" i="1"/>
  <c r="AE545" i="1"/>
  <c r="AF534" i="1"/>
  <c r="AE534" i="1"/>
  <c r="B534" i="1"/>
  <c r="AF533" i="1"/>
  <c r="AE533" i="1"/>
  <c r="B533" i="1"/>
  <c r="AF532" i="1"/>
  <c r="AE532" i="1"/>
  <c r="B532" i="1"/>
  <c r="AF531" i="1"/>
  <c r="AE531" i="1"/>
  <c r="B531" i="1"/>
  <c r="AF530" i="1"/>
  <c r="AE530" i="1"/>
  <c r="B530" i="1"/>
  <c r="AF529" i="1"/>
  <c r="AE529" i="1"/>
  <c r="B529" i="1"/>
  <c r="AF528" i="1"/>
  <c r="AE528" i="1"/>
  <c r="B528" i="1"/>
  <c r="AF527" i="1"/>
  <c r="AE527" i="1"/>
  <c r="B527" i="1"/>
  <c r="AF526" i="1"/>
  <c r="AE526" i="1"/>
  <c r="B526" i="1"/>
  <c r="AF525" i="1"/>
  <c r="AE525" i="1"/>
  <c r="B525" i="1"/>
  <c r="AF524" i="1"/>
  <c r="AE524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AF511" i="1"/>
  <c r="AE511" i="1"/>
  <c r="B511" i="1"/>
  <c r="AF510" i="1"/>
  <c r="AE510" i="1"/>
  <c r="B510" i="1"/>
  <c r="AF509" i="1"/>
  <c r="AE509" i="1"/>
  <c r="B509" i="1"/>
  <c r="AF508" i="1"/>
  <c r="AE508" i="1"/>
  <c r="B508" i="1"/>
  <c r="AF507" i="1"/>
  <c r="AE507" i="1"/>
  <c r="B507" i="1"/>
  <c r="AF506" i="1"/>
  <c r="AE506" i="1"/>
  <c r="B506" i="1"/>
  <c r="AF505" i="1"/>
  <c r="AE505" i="1"/>
  <c r="B505" i="1"/>
  <c r="AF504" i="1"/>
  <c r="AE504" i="1"/>
  <c r="B504" i="1"/>
  <c r="AF503" i="1"/>
  <c r="AE503" i="1"/>
  <c r="B503" i="1"/>
  <c r="AF502" i="1"/>
  <c r="AE502" i="1"/>
  <c r="B502" i="1"/>
  <c r="AF501" i="1"/>
  <c r="AE501" i="1"/>
  <c r="B501" i="1"/>
  <c r="AF500" i="1"/>
  <c r="AE500" i="1"/>
  <c r="B500" i="1"/>
  <c r="AF499" i="1"/>
  <c r="AE499" i="1"/>
  <c r="B499" i="1"/>
  <c r="AF498" i="1"/>
  <c r="AE498" i="1"/>
  <c r="B498" i="1"/>
  <c r="AF497" i="1"/>
  <c r="AE497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T485" i="1"/>
  <c r="B484" i="1"/>
  <c r="B483" i="1"/>
  <c r="B482" i="1"/>
  <c r="B481" i="1"/>
  <c r="B480" i="1"/>
  <c r="B479" i="1"/>
  <c r="B478" i="1"/>
  <c r="B477" i="1"/>
  <c r="B476" i="1"/>
  <c r="B475" i="1"/>
  <c r="AF473" i="1"/>
  <c r="AE473" i="1"/>
  <c r="B472" i="1"/>
  <c r="B473" i="1"/>
  <c r="B471" i="1"/>
  <c r="B470" i="1"/>
  <c r="B469" i="1"/>
  <c r="B468" i="1"/>
  <c r="B467" i="1"/>
  <c r="B466" i="1"/>
  <c r="B465" i="1"/>
  <c r="B464" i="1"/>
  <c r="T463" i="1"/>
  <c r="B565" i="1"/>
  <c r="B566" i="1"/>
  <c r="B564" i="1"/>
  <c r="B221" i="1"/>
  <c r="B113" i="1"/>
  <c r="B112" i="1"/>
  <c r="B450" i="1"/>
  <c r="B449" i="1"/>
  <c r="B448" i="1"/>
  <c r="B447" i="1"/>
  <c r="B535" i="1"/>
  <c r="B166" i="1"/>
  <c r="B220" i="1"/>
  <c r="B563" i="1"/>
  <c r="B562" i="1"/>
  <c r="B446" i="1"/>
  <c r="B445" i="1"/>
  <c r="B111" i="1"/>
  <c r="B110" i="1"/>
  <c r="B219" i="1"/>
  <c r="B109" i="1"/>
  <c r="B561" i="1"/>
  <c r="B560" i="1"/>
  <c r="B444" i="1"/>
  <c r="B443" i="1"/>
  <c r="B414" i="1"/>
  <c r="B275" i="1"/>
  <c r="B274" i="1"/>
  <c r="B21" i="1"/>
  <c r="B559" i="1"/>
  <c r="B558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8" i="1"/>
  <c r="B337" i="1"/>
  <c r="B336" i="1"/>
  <c r="B335" i="1"/>
  <c r="B334" i="1"/>
  <c r="B333" i="1"/>
  <c r="B332" i="1"/>
  <c r="B331" i="1"/>
  <c r="B330" i="1"/>
  <c r="B329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0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P101" i="10" l="1"/>
  <c r="AE6" i="1" l="1"/>
  <c r="O4" i="10"/>
  <c r="AF117" i="1"/>
  <c r="AE117" i="1"/>
  <c r="AF157" i="1"/>
  <c r="AE157" i="1"/>
  <c r="AE198" i="1"/>
  <c r="AF198" i="1"/>
  <c r="AF249" i="1"/>
  <c r="AE249" i="1"/>
  <c r="AF283" i="1"/>
  <c r="AE283" i="1"/>
  <c r="AF331" i="1"/>
  <c r="AE331" i="1"/>
  <c r="AF363" i="1"/>
  <c r="AE363" i="1"/>
  <c r="AF403" i="1"/>
  <c r="AE403" i="1"/>
  <c r="AF561" i="1"/>
  <c r="AE561" i="1"/>
  <c r="AF142" i="1"/>
  <c r="AE142" i="1"/>
  <c r="AF183" i="1"/>
  <c r="AE183" i="1"/>
  <c r="AE215" i="1"/>
  <c r="AF215" i="1"/>
  <c r="AF266" i="1"/>
  <c r="AE266" i="1"/>
  <c r="AF308" i="1"/>
  <c r="AE308" i="1"/>
  <c r="AF356" i="1"/>
  <c r="AE356" i="1"/>
  <c r="AE404" i="1"/>
  <c r="AF404" i="1"/>
  <c r="AF596" i="1"/>
  <c r="AE596" i="1"/>
  <c r="AF116" i="1"/>
  <c r="AE116" i="1"/>
  <c r="AF124" i="1"/>
  <c r="AE124" i="1"/>
  <c r="AF132" i="1"/>
  <c r="AE132" i="1"/>
  <c r="AF140" i="1"/>
  <c r="AE140" i="1"/>
  <c r="AF148" i="1"/>
  <c r="AE148" i="1"/>
  <c r="AF156" i="1"/>
  <c r="AE156" i="1"/>
  <c r="AF164" i="1"/>
  <c r="AE164" i="1"/>
  <c r="AF173" i="1"/>
  <c r="AE173" i="1"/>
  <c r="G51" i="10" s="1"/>
  <c r="AF181" i="1"/>
  <c r="AE181" i="1"/>
  <c r="AF189" i="1"/>
  <c r="AE189" i="1"/>
  <c r="AF197" i="1"/>
  <c r="AE197" i="1"/>
  <c r="AF205" i="1"/>
  <c r="AE205" i="1"/>
  <c r="AF213" i="1"/>
  <c r="AE213" i="1"/>
  <c r="AE224" i="1"/>
  <c r="AF224" i="1"/>
  <c r="AE232" i="1"/>
  <c r="AF232" i="1"/>
  <c r="AF240" i="1"/>
  <c r="AE240" i="1"/>
  <c r="AF248" i="1"/>
  <c r="AE248" i="1"/>
  <c r="AF256" i="1"/>
  <c r="AE256" i="1"/>
  <c r="AF264" i="1"/>
  <c r="AE264" i="1"/>
  <c r="AF272" i="1"/>
  <c r="AE272" i="1"/>
  <c r="AF282" i="1"/>
  <c r="AE282" i="1"/>
  <c r="AF290" i="1"/>
  <c r="AE290" i="1"/>
  <c r="AF298" i="1"/>
  <c r="AE298" i="1"/>
  <c r="AF306" i="1"/>
  <c r="AE306" i="1"/>
  <c r="AF314" i="1"/>
  <c r="AE314" i="1"/>
  <c r="AF322" i="1"/>
  <c r="AE322" i="1"/>
  <c r="AF330" i="1"/>
  <c r="AE330" i="1"/>
  <c r="AF338" i="1"/>
  <c r="AE338" i="1"/>
  <c r="AF346" i="1"/>
  <c r="AE346" i="1"/>
  <c r="AF354" i="1"/>
  <c r="AE354" i="1"/>
  <c r="AF362" i="1"/>
  <c r="AE362" i="1"/>
  <c r="AF370" i="1"/>
  <c r="AE370" i="1"/>
  <c r="AF378" i="1"/>
  <c r="AE378" i="1"/>
  <c r="AF386" i="1"/>
  <c r="AE386" i="1"/>
  <c r="AE394" i="1"/>
  <c r="AF394" i="1"/>
  <c r="AE402" i="1"/>
  <c r="AF402" i="1"/>
  <c r="AE410" i="1"/>
  <c r="AF410" i="1"/>
  <c r="AF419" i="1"/>
  <c r="AE419" i="1"/>
  <c r="AF427" i="1"/>
  <c r="AE427" i="1"/>
  <c r="AF435" i="1"/>
  <c r="AE435" i="1"/>
  <c r="AF558" i="1"/>
  <c r="AE558" i="1"/>
  <c r="AF560" i="1"/>
  <c r="AE560" i="1"/>
  <c r="AF562" i="1"/>
  <c r="AE562" i="1"/>
  <c r="AF450" i="1"/>
  <c r="AE450" i="1"/>
  <c r="AF542" i="1"/>
  <c r="AE542" i="1"/>
  <c r="AF573" i="1"/>
  <c r="AE573" i="1"/>
  <c r="AF594" i="1"/>
  <c r="AE594" i="1"/>
  <c r="AF141" i="1"/>
  <c r="AE141" i="1"/>
  <c r="AF190" i="1"/>
  <c r="AE190" i="1"/>
  <c r="AF241" i="1"/>
  <c r="AE241" i="1"/>
  <c r="AF273" i="1"/>
  <c r="AE273" i="1"/>
  <c r="AF307" i="1"/>
  <c r="AE307" i="1"/>
  <c r="AF355" i="1"/>
  <c r="AE355" i="1"/>
  <c r="AF420" i="1"/>
  <c r="AE420" i="1"/>
  <c r="AF563" i="1"/>
  <c r="AE563" i="1"/>
  <c r="AF543" i="1"/>
  <c r="AE543" i="1"/>
  <c r="AF150" i="1"/>
  <c r="AE150" i="1"/>
  <c r="AF199" i="1"/>
  <c r="AE199" i="1"/>
  <c r="AF242" i="1"/>
  <c r="AE242" i="1"/>
  <c r="AF276" i="1"/>
  <c r="AF316" i="1"/>
  <c r="AE316" i="1"/>
  <c r="AF364" i="1"/>
  <c r="AE364" i="1"/>
  <c r="AE412" i="1"/>
  <c r="AF412" i="1"/>
  <c r="AF119" i="1"/>
  <c r="AE119" i="1"/>
  <c r="AF127" i="1"/>
  <c r="AE127" i="1"/>
  <c r="AF135" i="1"/>
  <c r="AE135" i="1"/>
  <c r="AE143" i="1"/>
  <c r="AF143" i="1"/>
  <c r="AF151" i="1"/>
  <c r="AE151" i="1"/>
  <c r="AF159" i="1"/>
  <c r="AE159" i="1"/>
  <c r="AF168" i="1"/>
  <c r="AE168" i="1"/>
  <c r="AF176" i="1"/>
  <c r="AE176" i="1"/>
  <c r="AF184" i="1"/>
  <c r="AE184" i="1"/>
  <c r="AF192" i="1"/>
  <c r="AE192" i="1"/>
  <c r="AE200" i="1"/>
  <c r="AF200" i="1"/>
  <c r="AF208" i="1"/>
  <c r="AE208" i="1"/>
  <c r="AF216" i="1"/>
  <c r="AE216" i="1"/>
  <c r="AF227" i="1"/>
  <c r="AE227" i="1"/>
  <c r="AF235" i="1"/>
  <c r="AE235" i="1"/>
  <c r="AF243" i="1"/>
  <c r="AE243" i="1"/>
  <c r="AF251" i="1"/>
  <c r="AE251" i="1"/>
  <c r="AF259" i="1"/>
  <c r="AE259" i="1"/>
  <c r="AF267" i="1"/>
  <c r="AE267" i="1"/>
  <c r="AF277" i="1"/>
  <c r="AE277" i="1"/>
  <c r="AF285" i="1"/>
  <c r="AE285" i="1"/>
  <c r="AF293" i="1"/>
  <c r="AE293" i="1"/>
  <c r="AF301" i="1"/>
  <c r="AE301" i="1"/>
  <c r="AF309" i="1"/>
  <c r="AE309" i="1"/>
  <c r="AF317" i="1"/>
  <c r="AE317" i="1"/>
  <c r="AF325" i="1"/>
  <c r="AE325" i="1"/>
  <c r="AF333" i="1"/>
  <c r="AE333" i="1"/>
  <c r="AF341" i="1"/>
  <c r="AE341" i="1"/>
  <c r="AF349" i="1"/>
  <c r="AE349" i="1"/>
  <c r="AF357" i="1"/>
  <c r="AE357" i="1"/>
  <c r="AF365" i="1"/>
  <c r="AE365" i="1"/>
  <c r="AF373" i="1"/>
  <c r="AE373" i="1"/>
  <c r="AF381" i="1"/>
  <c r="AE381" i="1"/>
  <c r="AF389" i="1"/>
  <c r="AE389" i="1"/>
  <c r="AF397" i="1"/>
  <c r="AE397" i="1"/>
  <c r="AF405" i="1"/>
  <c r="AE405" i="1"/>
  <c r="AF413" i="1"/>
  <c r="AE413" i="1"/>
  <c r="AF422" i="1"/>
  <c r="AE422" i="1"/>
  <c r="AF430" i="1"/>
  <c r="AE430" i="1"/>
  <c r="AF438" i="1"/>
  <c r="AE438" i="1"/>
  <c r="AF274" i="1"/>
  <c r="AE274" i="1"/>
  <c r="AF219" i="1"/>
  <c r="AE219" i="1"/>
  <c r="AF166" i="1"/>
  <c r="AE166" i="1"/>
  <c r="AF221" i="1"/>
  <c r="AE221" i="1"/>
  <c r="AF537" i="1"/>
  <c r="AE537" i="1"/>
  <c r="AF576" i="1"/>
  <c r="AE576" i="1"/>
  <c r="AF597" i="1"/>
  <c r="AE597" i="1"/>
  <c r="AE133" i="1"/>
  <c r="AF133" i="1"/>
  <c r="AE182" i="1"/>
  <c r="AF182" i="1"/>
  <c r="AF225" i="1"/>
  <c r="AE225" i="1"/>
  <c r="AF291" i="1"/>
  <c r="AE291" i="1"/>
  <c r="AF347" i="1"/>
  <c r="AE347" i="1"/>
  <c r="AF387" i="1"/>
  <c r="AF436" i="1"/>
  <c r="AE436" i="1"/>
  <c r="AE574" i="1"/>
  <c r="AF574" i="1"/>
  <c r="AF126" i="1"/>
  <c r="AE126" i="1"/>
  <c r="AF158" i="1"/>
  <c r="AE158" i="1"/>
  <c r="AE234" i="1"/>
  <c r="AF234" i="1"/>
  <c r="AF292" i="1"/>
  <c r="AE292" i="1"/>
  <c r="AF332" i="1"/>
  <c r="AE332" i="1"/>
  <c r="AE388" i="1"/>
  <c r="AF388" i="1"/>
  <c r="AF109" i="1"/>
  <c r="AE109" i="1"/>
  <c r="AF120" i="1"/>
  <c r="AE120" i="1"/>
  <c r="AE128" i="1"/>
  <c r="AF128" i="1"/>
  <c r="AF136" i="1"/>
  <c r="AE136" i="1"/>
  <c r="AF144" i="1"/>
  <c r="AE144" i="1"/>
  <c r="AF152" i="1"/>
  <c r="AE152" i="1"/>
  <c r="AF160" i="1"/>
  <c r="AE160" i="1"/>
  <c r="AF169" i="1"/>
  <c r="AE169" i="1"/>
  <c r="AF177" i="1"/>
  <c r="AE177" i="1"/>
  <c r="AF185" i="1"/>
  <c r="AE185" i="1"/>
  <c r="AF193" i="1"/>
  <c r="AE193" i="1"/>
  <c r="AF201" i="1"/>
  <c r="AE201" i="1"/>
  <c r="AF209" i="1"/>
  <c r="AE209" i="1"/>
  <c r="AF217" i="1"/>
  <c r="AE217" i="1"/>
  <c r="AE228" i="1"/>
  <c r="AF228" i="1"/>
  <c r="AF236" i="1"/>
  <c r="AE236" i="1"/>
  <c r="AF244" i="1"/>
  <c r="AE244" i="1"/>
  <c r="AF252" i="1"/>
  <c r="AE252" i="1"/>
  <c r="AF260" i="1"/>
  <c r="AE260" i="1"/>
  <c r="AF268" i="1"/>
  <c r="AE268" i="1"/>
  <c r="AF278" i="1"/>
  <c r="AE278" i="1"/>
  <c r="AF286" i="1"/>
  <c r="AE286" i="1"/>
  <c r="AF294" i="1"/>
  <c r="AE294" i="1"/>
  <c r="AF302" i="1"/>
  <c r="AE302" i="1"/>
  <c r="AF310" i="1"/>
  <c r="AE310" i="1"/>
  <c r="AF318" i="1"/>
  <c r="AE318" i="1"/>
  <c r="AF326" i="1"/>
  <c r="AE326" i="1"/>
  <c r="AF334" i="1"/>
  <c r="AE334" i="1"/>
  <c r="AF342" i="1"/>
  <c r="AE342" i="1"/>
  <c r="AF350" i="1"/>
  <c r="AE350" i="1"/>
  <c r="AF358" i="1"/>
  <c r="AE358" i="1"/>
  <c r="AF366" i="1"/>
  <c r="AE366" i="1"/>
  <c r="AF374" i="1"/>
  <c r="AE374" i="1"/>
  <c r="AF382" i="1"/>
  <c r="AE382" i="1"/>
  <c r="AE390" i="1"/>
  <c r="AF390" i="1"/>
  <c r="AE398" i="1"/>
  <c r="AF398" i="1"/>
  <c r="AE406" i="1"/>
  <c r="AF406" i="1"/>
  <c r="AF415" i="1"/>
  <c r="AF423" i="1"/>
  <c r="AE423" i="1"/>
  <c r="AF431" i="1"/>
  <c r="AE431" i="1"/>
  <c r="AF439" i="1"/>
  <c r="AE439" i="1"/>
  <c r="AF275" i="1"/>
  <c r="AE275" i="1"/>
  <c r="AF110" i="1"/>
  <c r="AE110" i="1"/>
  <c r="AF535" i="1"/>
  <c r="AE535" i="1"/>
  <c r="AF564" i="1"/>
  <c r="AE564" i="1"/>
  <c r="AF538" i="1"/>
  <c r="AE538" i="1"/>
  <c r="AF569" i="1"/>
  <c r="AE569" i="1"/>
  <c r="AF598" i="1"/>
  <c r="AE598" i="1"/>
  <c r="AF125" i="1"/>
  <c r="AE125" i="1"/>
  <c r="AE165" i="1"/>
  <c r="AF165" i="1"/>
  <c r="AF206" i="1"/>
  <c r="AE206" i="1"/>
  <c r="AF257" i="1"/>
  <c r="AE257" i="1"/>
  <c r="AF299" i="1"/>
  <c r="AE299" i="1"/>
  <c r="AF339" i="1"/>
  <c r="AE339" i="1"/>
  <c r="AF379" i="1"/>
  <c r="AE379" i="1"/>
  <c r="AF428" i="1"/>
  <c r="AE428" i="1"/>
  <c r="AF134" i="1"/>
  <c r="AE134" i="1"/>
  <c r="AF175" i="1"/>
  <c r="AE175" i="1"/>
  <c r="AF207" i="1"/>
  <c r="AE207" i="1"/>
  <c r="AF250" i="1"/>
  <c r="AE250" i="1"/>
  <c r="AF300" i="1"/>
  <c r="AE300" i="1"/>
  <c r="AF340" i="1"/>
  <c r="AE340" i="1"/>
  <c r="AF380" i="1"/>
  <c r="AE380" i="1"/>
  <c r="AF429" i="1"/>
  <c r="AE429" i="1"/>
  <c r="AF113" i="1"/>
  <c r="AE113" i="1"/>
  <c r="AF544" i="1"/>
  <c r="AE544" i="1"/>
  <c r="AF121" i="1"/>
  <c r="AE121" i="1"/>
  <c r="AF129" i="1"/>
  <c r="AE129" i="1"/>
  <c r="AF137" i="1"/>
  <c r="AE137" i="1"/>
  <c r="AE145" i="1"/>
  <c r="AF145" i="1"/>
  <c r="AF153" i="1"/>
  <c r="AE153" i="1"/>
  <c r="AE161" i="1"/>
  <c r="AF161" i="1"/>
  <c r="AF170" i="1"/>
  <c r="AE170" i="1"/>
  <c r="AF178" i="1"/>
  <c r="AE178" i="1"/>
  <c r="AE186" i="1"/>
  <c r="AF186" i="1"/>
  <c r="AF194" i="1"/>
  <c r="AE194" i="1"/>
  <c r="AF202" i="1"/>
  <c r="AE202" i="1"/>
  <c r="AF210" i="1"/>
  <c r="AE210" i="1"/>
  <c r="AF218" i="1"/>
  <c r="AE218" i="1"/>
  <c r="AF229" i="1"/>
  <c r="AE229" i="1"/>
  <c r="AF237" i="1"/>
  <c r="AE237" i="1"/>
  <c r="AF245" i="1"/>
  <c r="AE245" i="1"/>
  <c r="AF253" i="1"/>
  <c r="AE253" i="1"/>
  <c r="AF261" i="1"/>
  <c r="AE261" i="1"/>
  <c r="AF269" i="1"/>
  <c r="AE269" i="1"/>
  <c r="AF279" i="1"/>
  <c r="AE279" i="1"/>
  <c r="AF287" i="1"/>
  <c r="AE287" i="1"/>
  <c r="AF295" i="1"/>
  <c r="AE295" i="1"/>
  <c r="AF303" i="1"/>
  <c r="AE303" i="1"/>
  <c r="AF311" i="1"/>
  <c r="AE311" i="1"/>
  <c r="AF319" i="1"/>
  <c r="AE319" i="1"/>
  <c r="AF327" i="1"/>
  <c r="AE327" i="1"/>
  <c r="AF335" i="1"/>
  <c r="AE335" i="1"/>
  <c r="AF343" i="1"/>
  <c r="AE343" i="1"/>
  <c r="AF351" i="1"/>
  <c r="AE351" i="1"/>
  <c r="AF359" i="1"/>
  <c r="AE359" i="1"/>
  <c r="AF367" i="1"/>
  <c r="AE367" i="1"/>
  <c r="AF375" i="1"/>
  <c r="AE375" i="1"/>
  <c r="AF383" i="1"/>
  <c r="AE383" i="1"/>
  <c r="AF391" i="1"/>
  <c r="AE391" i="1"/>
  <c r="AF399" i="1"/>
  <c r="AE399" i="1"/>
  <c r="AF407" i="1"/>
  <c r="AE407" i="1"/>
  <c r="AF416" i="1"/>
  <c r="AE416" i="1"/>
  <c r="AF424" i="1"/>
  <c r="AE424" i="1"/>
  <c r="AF432" i="1"/>
  <c r="AE432" i="1"/>
  <c r="AF440" i="1"/>
  <c r="AE440" i="1"/>
  <c r="AF414" i="1"/>
  <c r="AE414" i="1"/>
  <c r="AF111" i="1"/>
  <c r="AE111" i="1"/>
  <c r="AF447" i="1"/>
  <c r="AE447" i="1"/>
  <c r="AE539" i="1"/>
  <c r="AF539" i="1"/>
  <c r="AE570" i="1"/>
  <c r="AF570" i="1"/>
  <c r="AF591" i="1"/>
  <c r="AE591" i="1"/>
  <c r="AF174" i="1"/>
  <c r="AE174" i="1"/>
  <c r="AF214" i="1"/>
  <c r="AE214" i="1"/>
  <c r="AF265" i="1"/>
  <c r="AE265" i="1"/>
  <c r="AF323" i="1"/>
  <c r="AE323" i="1"/>
  <c r="AF371" i="1"/>
  <c r="AE371" i="1"/>
  <c r="AF411" i="1"/>
  <c r="AE411" i="1"/>
  <c r="AF559" i="1"/>
  <c r="AE559" i="1"/>
  <c r="AF191" i="1"/>
  <c r="AE191" i="1"/>
  <c r="AF258" i="1"/>
  <c r="AE258" i="1"/>
  <c r="AF348" i="1"/>
  <c r="AE348" i="1"/>
  <c r="AE396" i="1"/>
  <c r="AF396" i="1"/>
  <c r="AF437" i="1"/>
  <c r="AE437" i="1"/>
  <c r="AF575" i="1"/>
  <c r="AE575" i="1"/>
  <c r="AF114" i="1"/>
  <c r="AF122" i="1"/>
  <c r="AE122" i="1"/>
  <c r="AE130" i="1"/>
  <c r="AF130" i="1"/>
  <c r="AF138" i="1"/>
  <c r="AE138" i="1"/>
  <c r="AF146" i="1"/>
  <c r="AE146" i="1"/>
  <c r="AF154" i="1"/>
  <c r="AE154" i="1"/>
  <c r="AF162" i="1"/>
  <c r="AE162" i="1"/>
  <c r="AF171" i="1"/>
  <c r="AE171" i="1"/>
  <c r="AF179" i="1"/>
  <c r="AE179" i="1"/>
  <c r="G57" i="10" s="1"/>
  <c r="AF187" i="1"/>
  <c r="AE187" i="1"/>
  <c r="AF195" i="1"/>
  <c r="AE195" i="1"/>
  <c r="AF203" i="1"/>
  <c r="AE203" i="1"/>
  <c r="AF211" i="1"/>
  <c r="AE211" i="1"/>
  <c r="AF222" i="1"/>
  <c r="AE230" i="1"/>
  <c r="AF230" i="1"/>
  <c r="AF238" i="1"/>
  <c r="AE238" i="1"/>
  <c r="AF246" i="1"/>
  <c r="AE246" i="1"/>
  <c r="AF254" i="1"/>
  <c r="AE254" i="1"/>
  <c r="AF262" i="1"/>
  <c r="AE262" i="1"/>
  <c r="AF270" i="1"/>
  <c r="AE270" i="1"/>
  <c r="AF280" i="1"/>
  <c r="AE280" i="1"/>
  <c r="AF288" i="1"/>
  <c r="AE288" i="1"/>
  <c r="AF296" i="1"/>
  <c r="AE296" i="1"/>
  <c r="AF304" i="1"/>
  <c r="AE304" i="1"/>
  <c r="AF312" i="1"/>
  <c r="AE312" i="1"/>
  <c r="AF320" i="1"/>
  <c r="AE320" i="1"/>
  <c r="AF328" i="1"/>
  <c r="AF336" i="1"/>
  <c r="AE336" i="1"/>
  <c r="AF344" i="1"/>
  <c r="AE344" i="1"/>
  <c r="AF352" i="1"/>
  <c r="AE352" i="1"/>
  <c r="AF360" i="1"/>
  <c r="AE368" i="1"/>
  <c r="AF368" i="1"/>
  <c r="AF376" i="1"/>
  <c r="AE376" i="1"/>
  <c r="AE384" i="1"/>
  <c r="AF384" i="1"/>
  <c r="AE392" i="1"/>
  <c r="AF392" i="1"/>
  <c r="AE400" i="1"/>
  <c r="AF400" i="1"/>
  <c r="AE408" i="1"/>
  <c r="AF408" i="1"/>
  <c r="AF417" i="1"/>
  <c r="AE417" i="1"/>
  <c r="AF425" i="1"/>
  <c r="AE425" i="1"/>
  <c r="AF433" i="1"/>
  <c r="AE433" i="1"/>
  <c r="AF441" i="1"/>
  <c r="AE441" i="1"/>
  <c r="AF443" i="1"/>
  <c r="AE443" i="1"/>
  <c r="AF445" i="1"/>
  <c r="AE445" i="1"/>
  <c r="AF448" i="1"/>
  <c r="AE448" i="1"/>
  <c r="AF540" i="1"/>
  <c r="AE540" i="1"/>
  <c r="AF571" i="1"/>
  <c r="AE571" i="1"/>
  <c r="AF592" i="1"/>
  <c r="AE592" i="1"/>
  <c r="AF149" i="1"/>
  <c r="AE149" i="1"/>
  <c r="AF233" i="1"/>
  <c r="AE233" i="1"/>
  <c r="AF315" i="1"/>
  <c r="AE315" i="1"/>
  <c r="AF395" i="1"/>
  <c r="AE395" i="1"/>
  <c r="AF112" i="1"/>
  <c r="AE112" i="1"/>
  <c r="AF595" i="1"/>
  <c r="AE595" i="1"/>
  <c r="AF118" i="1"/>
  <c r="AE118" i="1"/>
  <c r="AF167" i="1"/>
  <c r="AE226" i="1"/>
  <c r="AF226" i="1"/>
  <c r="AF284" i="1"/>
  <c r="AE284" i="1"/>
  <c r="AF324" i="1"/>
  <c r="AE324" i="1"/>
  <c r="AF372" i="1"/>
  <c r="AE372" i="1"/>
  <c r="AF421" i="1"/>
  <c r="AE421" i="1"/>
  <c r="AF220" i="1"/>
  <c r="AE220" i="1"/>
  <c r="AF115" i="1"/>
  <c r="AE115" i="1"/>
  <c r="AE123" i="1"/>
  <c r="AF123" i="1"/>
  <c r="AF131" i="1"/>
  <c r="AE131" i="1"/>
  <c r="AF139" i="1"/>
  <c r="AE139" i="1"/>
  <c r="AF147" i="1"/>
  <c r="AE147" i="1"/>
  <c r="AF155" i="1"/>
  <c r="AE155" i="1"/>
  <c r="AF163" i="1"/>
  <c r="AE163" i="1"/>
  <c r="AF172" i="1"/>
  <c r="AE172" i="1"/>
  <c r="AF180" i="1"/>
  <c r="AE180" i="1"/>
  <c r="AF188" i="1"/>
  <c r="AE188" i="1"/>
  <c r="AF196" i="1"/>
  <c r="AE196" i="1"/>
  <c r="AF204" i="1"/>
  <c r="AE204" i="1"/>
  <c r="AF212" i="1"/>
  <c r="AE212" i="1"/>
  <c r="AF223" i="1"/>
  <c r="AE223" i="1"/>
  <c r="AF231" i="1"/>
  <c r="AE231" i="1"/>
  <c r="AF239" i="1"/>
  <c r="AE239" i="1"/>
  <c r="AF247" i="1"/>
  <c r="AE247" i="1"/>
  <c r="AF255" i="1"/>
  <c r="AE255" i="1"/>
  <c r="AF263" i="1"/>
  <c r="AE263" i="1"/>
  <c r="AF271" i="1"/>
  <c r="AE271" i="1"/>
  <c r="AF281" i="1"/>
  <c r="AE281" i="1"/>
  <c r="AF289" i="1"/>
  <c r="AE289" i="1"/>
  <c r="AF297" i="1"/>
  <c r="AE297" i="1"/>
  <c r="AF305" i="1"/>
  <c r="AE305" i="1"/>
  <c r="AF313" i="1"/>
  <c r="AE313" i="1"/>
  <c r="AF321" i="1"/>
  <c r="AE321" i="1"/>
  <c r="AF329" i="1"/>
  <c r="AE329" i="1"/>
  <c r="AF337" i="1"/>
  <c r="AE337" i="1"/>
  <c r="AF345" i="1"/>
  <c r="AE345" i="1"/>
  <c r="AF353" i="1"/>
  <c r="AE353" i="1"/>
  <c r="AF361" i="1"/>
  <c r="AE361" i="1"/>
  <c r="AF369" i="1"/>
  <c r="AE369" i="1"/>
  <c r="AF377" i="1"/>
  <c r="AE377" i="1"/>
  <c r="AF385" i="1"/>
  <c r="AE385" i="1"/>
  <c r="AF393" i="1"/>
  <c r="AE393" i="1"/>
  <c r="AF401" i="1"/>
  <c r="AE401" i="1"/>
  <c r="AF409" i="1"/>
  <c r="AE409" i="1"/>
  <c r="AF418" i="1"/>
  <c r="AE418" i="1"/>
  <c r="AF426" i="1"/>
  <c r="AE426" i="1"/>
  <c r="AF434" i="1"/>
  <c r="AE434" i="1"/>
  <c r="AF442" i="1"/>
  <c r="AF444" i="1"/>
  <c r="AE444" i="1"/>
  <c r="AF446" i="1"/>
  <c r="AE446" i="1"/>
  <c r="AF449" i="1"/>
  <c r="AE449" i="1"/>
  <c r="AF541" i="1"/>
  <c r="AE541" i="1"/>
  <c r="AF572" i="1"/>
  <c r="AE572" i="1"/>
  <c r="AF593" i="1"/>
  <c r="AE593" i="1"/>
  <c r="AF566" i="1"/>
  <c r="AE566" i="1"/>
  <c r="AF456" i="1"/>
  <c r="AE456" i="1"/>
  <c r="AF489" i="1"/>
  <c r="AE489" i="1"/>
  <c r="AF462" i="1"/>
  <c r="AE462" i="1"/>
  <c r="AE479" i="1"/>
  <c r="AF479" i="1"/>
  <c r="AF487" i="1"/>
  <c r="AE487" i="1"/>
  <c r="AF518" i="1"/>
  <c r="AE518" i="1"/>
  <c r="AE455" i="1"/>
  <c r="AF455" i="1"/>
  <c r="AF463" i="1"/>
  <c r="AF471" i="1"/>
  <c r="AE471" i="1"/>
  <c r="AF480" i="1"/>
  <c r="AE480" i="1"/>
  <c r="AF488" i="1"/>
  <c r="AE488" i="1"/>
  <c r="AF496" i="1"/>
  <c r="AE496" i="1"/>
  <c r="AF519" i="1"/>
  <c r="AE519" i="1"/>
  <c r="AF465" i="1"/>
  <c r="AE465" i="1"/>
  <c r="AF490" i="1"/>
  <c r="AE490" i="1"/>
  <c r="AF521" i="1"/>
  <c r="AE521" i="1"/>
  <c r="AF481" i="1"/>
  <c r="AE481" i="1"/>
  <c r="AF474" i="1"/>
  <c r="AE474" i="1"/>
  <c r="AF513" i="1"/>
  <c r="AE513" i="1"/>
  <c r="AF565" i="1"/>
  <c r="AE565" i="1"/>
  <c r="AF458" i="1"/>
  <c r="AE458" i="1"/>
  <c r="AE466" i="1"/>
  <c r="AF466" i="1"/>
  <c r="AF475" i="1"/>
  <c r="AE475" i="1"/>
  <c r="AF483" i="1"/>
  <c r="AE483" i="1"/>
  <c r="AF491" i="1"/>
  <c r="AE491" i="1"/>
  <c r="AF514" i="1"/>
  <c r="AE514" i="1"/>
  <c r="AF522" i="1"/>
  <c r="AE522" i="1"/>
  <c r="AE459" i="1"/>
  <c r="AF459" i="1"/>
  <c r="AF467" i="1"/>
  <c r="AE467" i="1"/>
  <c r="AF476" i="1"/>
  <c r="AE476" i="1"/>
  <c r="AE484" i="1"/>
  <c r="AF484" i="1"/>
  <c r="AF492" i="1"/>
  <c r="AE492" i="1"/>
  <c r="AF515" i="1"/>
  <c r="AE515" i="1"/>
  <c r="AF523" i="1"/>
  <c r="AE523" i="1"/>
  <c r="AF464" i="1"/>
  <c r="AE464" i="1"/>
  <c r="AF520" i="1"/>
  <c r="AE520" i="1"/>
  <c r="AE457" i="1"/>
  <c r="AF457" i="1"/>
  <c r="AE451" i="1"/>
  <c r="AF451" i="1"/>
  <c r="AF452" i="1"/>
  <c r="AE452" i="1"/>
  <c r="AF460" i="1"/>
  <c r="AE460" i="1"/>
  <c r="AE468" i="1"/>
  <c r="AF468" i="1"/>
  <c r="AF477" i="1"/>
  <c r="AE477" i="1"/>
  <c r="AF485" i="1"/>
  <c r="AF493" i="1"/>
  <c r="AE493" i="1"/>
  <c r="AF516" i="1"/>
  <c r="AE516" i="1"/>
  <c r="AF472" i="1"/>
  <c r="AE472" i="1"/>
  <c r="AF482" i="1"/>
  <c r="AE482" i="1"/>
  <c r="AE453" i="1"/>
  <c r="AF453" i="1"/>
  <c r="AE461" i="1"/>
  <c r="AF461" i="1"/>
  <c r="AF469" i="1"/>
  <c r="AE469" i="1"/>
  <c r="AF478" i="1"/>
  <c r="AE478" i="1"/>
  <c r="AF486" i="1"/>
  <c r="AE486" i="1"/>
  <c r="AF494" i="1"/>
  <c r="AE494" i="1"/>
  <c r="AF517" i="1"/>
  <c r="AE517" i="1"/>
  <c r="AF454" i="1"/>
  <c r="AE454" i="1"/>
  <c r="AF470" i="1"/>
  <c r="AE470" i="1"/>
  <c r="P99" i="10" s="1"/>
  <c r="AF495" i="1"/>
  <c r="AE495" i="1"/>
  <c r="AF54" i="1"/>
  <c r="AE54" i="1"/>
  <c r="AF103" i="1"/>
  <c r="AE103" i="1"/>
  <c r="AF7" i="1"/>
  <c r="AE7" i="1"/>
  <c r="AF15" i="1"/>
  <c r="AE15" i="1"/>
  <c r="AF23" i="1"/>
  <c r="AE23" i="1"/>
  <c r="AF31" i="1"/>
  <c r="AE31" i="1"/>
  <c r="AF39" i="1"/>
  <c r="AE39" i="1"/>
  <c r="AF47" i="1"/>
  <c r="AE47" i="1"/>
  <c r="AF55" i="1"/>
  <c r="AE55" i="1"/>
  <c r="AF63" i="1"/>
  <c r="AE63" i="1"/>
  <c r="AF71" i="1"/>
  <c r="AE71" i="1"/>
  <c r="AF79" i="1"/>
  <c r="AE79" i="1"/>
  <c r="AF88" i="1"/>
  <c r="AE88" i="1"/>
  <c r="AF96" i="1"/>
  <c r="AE96" i="1"/>
  <c r="AF104" i="1"/>
  <c r="AE104" i="1"/>
  <c r="AF46" i="1"/>
  <c r="AE46" i="1"/>
  <c r="AF8" i="1"/>
  <c r="AE8" i="1"/>
  <c r="AF16" i="1"/>
  <c r="AE16" i="1"/>
  <c r="AF24" i="1"/>
  <c r="AE24" i="1"/>
  <c r="AF32" i="1"/>
  <c r="AE32" i="1"/>
  <c r="AE40" i="1"/>
  <c r="AF40" i="1"/>
  <c r="AE48" i="1"/>
  <c r="AF48" i="1"/>
  <c r="AE56" i="1"/>
  <c r="AF56" i="1"/>
  <c r="AF64" i="1"/>
  <c r="AE64" i="1"/>
  <c r="AF72" i="1"/>
  <c r="AE72" i="1"/>
  <c r="AF89" i="1"/>
  <c r="AE89" i="1"/>
  <c r="AF97" i="1"/>
  <c r="AE97" i="1"/>
  <c r="AF105" i="1"/>
  <c r="AE105" i="1"/>
  <c r="AF38" i="1"/>
  <c r="AE38" i="1"/>
  <c r="AF95" i="1"/>
  <c r="AE95" i="1"/>
  <c r="AE9" i="1"/>
  <c r="AF9" i="1"/>
  <c r="AF65" i="1"/>
  <c r="AE65" i="1"/>
  <c r="AF50" i="1"/>
  <c r="AE50" i="1"/>
  <c r="AF66" i="1"/>
  <c r="AE66" i="1"/>
  <c r="AF74" i="1"/>
  <c r="AE74" i="1"/>
  <c r="AE83" i="1"/>
  <c r="AF83" i="1"/>
  <c r="AE91" i="1"/>
  <c r="AF91" i="1"/>
  <c r="AE99" i="1"/>
  <c r="AF99" i="1"/>
  <c r="AE107" i="1"/>
  <c r="AF107" i="1"/>
  <c r="AF22" i="1"/>
  <c r="AE22" i="1"/>
  <c r="AF70" i="1"/>
  <c r="AE70" i="1"/>
  <c r="AF41" i="1"/>
  <c r="AE41" i="1"/>
  <c r="AF57" i="1"/>
  <c r="AF90" i="1"/>
  <c r="AE90" i="1"/>
  <c r="AF26" i="1"/>
  <c r="AE26" i="1"/>
  <c r="AF11" i="1"/>
  <c r="AE11" i="1"/>
  <c r="AE35" i="1"/>
  <c r="AF35" i="1"/>
  <c r="AE43" i="1"/>
  <c r="AF43" i="1"/>
  <c r="AE51" i="1"/>
  <c r="AF51" i="1"/>
  <c r="AE59" i="1"/>
  <c r="AF59" i="1"/>
  <c r="AE67" i="1"/>
  <c r="AF67" i="1"/>
  <c r="AE75" i="1"/>
  <c r="AF75" i="1"/>
  <c r="AE84" i="1"/>
  <c r="AF84" i="1"/>
  <c r="AE92" i="1"/>
  <c r="AF92" i="1"/>
  <c r="AE100" i="1"/>
  <c r="AF100" i="1"/>
  <c r="AE108" i="1"/>
  <c r="AF108" i="1"/>
  <c r="AF82" i="1"/>
  <c r="AE82" i="1"/>
  <c r="AF14" i="1"/>
  <c r="AE14" i="1"/>
  <c r="AF62" i="1"/>
  <c r="AE62" i="1"/>
  <c r="AF87" i="1"/>
  <c r="AE87" i="1"/>
  <c r="AF25" i="1"/>
  <c r="AE25" i="1"/>
  <c r="AF49" i="1"/>
  <c r="AE49" i="1"/>
  <c r="AF73" i="1"/>
  <c r="AE73" i="1"/>
  <c r="G36" i="10" s="1"/>
  <c r="AF98" i="1"/>
  <c r="AE98" i="1"/>
  <c r="AF34" i="1"/>
  <c r="AE34" i="1"/>
  <c r="AE27" i="1"/>
  <c r="AF27" i="1"/>
  <c r="AF12" i="1"/>
  <c r="AE12" i="1"/>
  <c r="AE28" i="1"/>
  <c r="AF28" i="1"/>
  <c r="AF36" i="1"/>
  <c r="AE36" i="1"/>
  <c r="AF44" i="1"/>
  <c r="AE44" i="1"/>
  <c r="AF52" i="1"/>
  <c r="AE52" i="1"/>
  <c r="AE60" i="1"/>
  <c r="AF60" i="1"/>
  <c r="AE68" i="1"/>
  <c r="AF68" i="1"/>
  <c r="AE76" i="1"/>
  <c r="AF76" i="1"/>
  <c r="AF85" i="1"/>
  <c r="AE85" i="1"/>
  <c r="AF93" i="1"/>
  <c r="AE93" i="1"/>
  <c r="AF101" i="1"/>
  <c r="AE101" i="1"/>
  <c r="AF6" i="1"/>
  <c r="P4" i="10"/>
  <c r="AF30" i="1"/>
  <c r="AE30" i="1"/>
  <c r="AF78" i="1"/>
  <c r="AE78" i="1"/>
  <c r="AF33" i="1"/>
  <c r="AE33" i="1"/>
  <c r="G44" i="10"/>
  <c r="AF106" i="1"/>
  <c r="AE106" i="1"/>
  <c r="AF10" i="1"/>
  <c r="AE10" i="1"/>
  <c r="AF42" i="1"/>
  <c r="AE42" i="1"/>
  <c r="AF13" i="1"/>
  <c r="AE13" i="1"/>
  <c r="AF29" i="1"/>
  <c r="AE29" i="1"/>
  <c r="AF37" i="1"/>
  <c r="AE37" i="1"/>
  <c r="AF45" i="1"/>
  <c r="AE45" i="1"/>
  <c r="AF53" i="1"/>
  <c r="AE53" i="1"/>
  <c r="AF61" i="1"/>
  <c r="AE61" i="1"/>
  <c r="AF69" i="1"/>
  <c r="AE69" i="1"/>
  <c r="AF77" i="1"/>
  <c r="AE77" i="1"/>
  <c r="AF86" i="1"/>
  <c r="AE86" i="1"/>
  <c r="AF94" i="1"/>
  <c r="AE94" i="1"/>
  <c r="AF102" i="1"/>
  <c r="AE102" i="1"/>
  <c r="AF58" i="1"/>
  <c r="AE58" i="1"/>
  <c r="AB17" i="1" l="1"/>
  <c r="G15" i="10"/>
  <c r="AB8" i="1"/>
  <c r="G6" i="10"/>
  <c r="AB12" i="1"/>
  <c r="G10" i="10"/>
  <c r="AB13" i="1"/>
  <c r="G11" i="10"/>
  <c r="P44" i="10"/>
  <c r="P57" i="10"/>
  <c r="P36" i="10"/>
  <c r="P51" i="10"/>
  <c r="P15" i="10"/>
  <c r="P11" i="10"/>
  <c r="P10" i="10"/>
  <c r="P6" i="10"/>
  <c r="G38" i="10"/>
  <c r="G37" i="10"/>
  <c r="G50" i="10"/>
  <c r="G31" i="10"/>
  <c r="G34" i="10"/>
  <c r="Z31" i="1"/>
  <c r="G26" i="10"/>
  <c r="Z53" i="1"/>
  <c r="P110" i="10"/>
  <c r="G58" i="10"/>
  <c r="G52" i="10"/>
  <c r="P98" i="10"/>
  <c r="G23" i="10"/>
  <c r="Z54" i="1"/>
  <c r="P97" i="10"/>
  <c r="G54" i="10"/>
  <c r="AB21" i="1"/>
  <c r="G35" i="10"/>
  <c r="G42" i="10"/>
  <c r="Z39" i="1"/>
  <c r="G22" i="10"/>
  <c r="P112" i="10"/>
  <c r="G21" i="10"/>
  <c r="G40" i="10"/>
  <c r="Z37" i="1"/>
  <c r="Z25" i="1"/>
  <c r="G28" i="10"/>
  <c r="G41" i="10"/>
  <c r="G45" i="10"/>
  <c r="P93" i="10"/>
  <c r="P123" i="10"/>
  <c r="G48" i="10"/>
  <c r="G55" i="10"/>
  <c r="G59" i="10"/>
  <c r="Z43" i="1"/>
  <c r="Z30" i="1"/>
  <c r="Z23" i="1"/>
  <c r="G25" i="10"/>
  <c r="Y55" i="1"/>
  <c r="P94" i="10"/>
  <c r="G60" i="10"/>
  <c r="G27" i="10"/>
  <c r="G32" i="10"/>
  <c r="Z41" i="1"/>
  <c r="P14" i="10"/>
  <c r="G24" i="10"/>
  <c r="P102" i="10"/>
  <c r="Z17" i="1"/>
  <c r="Y17" i="1"/>
  <c r="P114" i="10"/>
  <c r="P108" i="10"/>
  <c r="G30" i="10"/>
  <c r="G29" i="10"/>
  <c r="G43" i="10"/>
  <c r="G39" i="10"/>
  <c r="Z38" i="1"/>
  <c r="Z47" i="1"/>
  <c r="P105" i="10"/>
  <c r="G56" i="10"/>
  <c r="G53" i="10"/>
  <c r="G33" i="10"/>
  <c r="P111" i="10"/>
  <c r="P100" i="10"/>
  <c r="P144" i="10"/>
  <c r="G49" i="10"/>
  <c r="G61" i="10"/>
  <c r="AB9" i="1" l="1"/>
  <c r="G7" i="10"/>
  <c r="AB18" i="1"/>
  <c r="G16" i="10"/>
  <c r="AB7" i="1"/>
  <c r="G5" i="10"/>
  <c r="AB11" i="1"/>
  <c r="G9" i="10"/>
  <c r="AB20" i="1"/>
  <c r="G18" i="10"/>
  <c r="AB15" i="1"/>
  <c r="G13" i="10"/>
  <c r="AB10" i="1"/>
  <c r="G8" i="10"/>
  <c r="AB19" i="1"/>
  <c r="G17" i="10"/>
  <c r="AB14" i="1"/>
  <c r="G12" i="10"/>
  <c r="P32" i="10"/>
  <c r="P60" i="10"/>
  <c r="P35" i="10"/>
  <c r="P52" i="10"/>
  <c r="P37" i="10"/>
  <c r="P58" i="10"/>
  <c r="P34" i="10"/>
  <c r="P38" i="10"/>
  <c r="P53" i="10"/>
  <c r="P28" i="10"/>
  <c r="P56" i="10"/>
  <c r="P25" i="10"/>
  <c r="V51" i="10"/>
  <c r="O51" i="10"/>
  <c r="P59" i="10"/>
  <c r="P40" i="10"/>
  <c r="V36" i="10"/>
  <c r="O36" i="10"/>
  <c r="U36" i="10"/>
  <c r="P61" i="10"/>
  <c r="P33" i="10"/>
  <c r="P43" i="10"/>
  <c r="P21" i="10"/>
  <c r="P23" i="10"/>
  <c r="P22" i="10"/>
  <c r="P29" i="10"/>
  <c r="P27" i="10"/>
  <c r="P55" i="10"/>
  <c r="P54" i="10"/>
  <c r="P26" i="10"/>
  <c r="P31" i="10"/>
  <c r="V57" i="10"/>
  <c r="O57" i="10"/>
  <c r="P30" i="10"/>
  <c r="P24" i="10"/>
  <c r="P39" i="10"/>
  <c r="P45" i="10"/>
  <c r="P42" i="10"/>
  <c r="P50" i="10"/>
  <c r="V44" i="10"/>
  <c r="U44" i="10"/>
  <c r="O44" i="10"/>
  <c r="P49" i="10"/>
  <c r="P48" i="10"/>
  <c r="P41" i="10"/>
  <c r="P18" i="10"/>
  <c r="O15" i="10"/>
  <c r="V15" i="10"/>
  <c r="U15" i="10"/>
  <c r="P13" i="10"/>
  <c r="P12" i="10"/>
  <c r="V11" i="10"/>
  <c r="O11" i="10"/>
  <c r="U11" i="10"/>
  <c r="V10" i="10"/>
  <c r="O10" i="10"/>
  <c r="U10" i="10"/>
  <c r="P9" i="10"/>
  <c r="P8" i="10"/>
  <c r="P7" i="10"/>
  <c r="V6" i="10"/>
  <c r="O6" i="10"/>
  <c r="U6" i="10"/>
  <c r="P5" i="10"/>
  <c r="Z28" i="1"/>
  <c r="Y53" i="1"/>
  <c r="Z46" i="1"/>
  <c r="P16" i="10"/>
  <c r="P17" i="10"/>
  <c r="P141" i="10"/>
  <c r="P142" i="10"/>
  <c r="P143" i="10"/>
  <c r="Z36" i="1"/>
  <c r="Z18" i="1"/>
  <c r="Z52" i="1"/>
  <c r="Z55" i="1"/>
  <c r="Z42" i="1"/>
  <c r="Z32" i="1"/>
  <c r="Z44" i="1"/>
  <c r="Z19" i="1"/>
  <c r="Y54" i="1"/>
  <c r="Z22" i="1"/>
  <c r="Z34" i="1"/>
  <c r="Z35" i="1"/>
  <c r="Z40" i="1"/>
  <c r="Z50" i="1"/>
  <c r="Z26" i="1"/>
  <c r="Z56" i="1"/>
  <c r="Y56" i="1"/>
  <c r="Z27" i="1"/>
  <c r="Z48" i="1"/>
  <c r="Z20" i="1"/>
  <c r="Z49" i="1"/>
  <c r="Z29" i="1"/>
  <c r="Z33" i="1"/>
  <c r="Z24" i="1"/>
  <c r="Z16" i="1"/>
  <c r="Y16" i="1"/>
  <c r="Z45" i="1"/>
  <c r="Z51" i="1"/>
  <c r="G62" i="10"/>
  <c r="V50" i="10" l="1"/>
  <c r="O50" i="10"/>
  <c r="V29" i="10"/>
  <c r="O29" i="10"/>
  <c r="U29" i="10"/>
  <c r="V61" i="10"/>
  <c r="O61" i="10"/>
  <c r="V56" i="10"/>
  <c r="O56" i="10"/>
  <c r="V37" i="10"/>
  <c r="O37" i="10"/>
  <c r="U37" i="10"/>
  <c r="V25" i="10"/>
  <c r="O25" i="10"/>
  <c r="U25" i="10"/>
  <c r="P62" i="10"/>
  <c r="V42" i="10"/>
  <c r="O42" i="10"/>
  <c r="U42" i="10"/>
  <c r="V31" i="10"/>
  <c r="O31" i="10"/>
  <c r="U31" i="10"/>
  <c r="V22" i="10"/>
  <c r="O22" i="10"/>
  <c r="U22" i="10"/>
  <c r="V41" i="10"/>
  <c r="O41" i="10"/>
  <c r="U41" i="10"/>
  <c r="V28" i="10"/>
  <c r="O28" i="10"/>
  <c r="U28" i="10"/>
  <c r="V52" i="10"/>
  <c r="O52" i="10"/>
  <c r="V45" i="10"/>
  <c r="O45" i="10"/>
  <c r="U45" i="10"/>
  <c r="V26" i="10"/>
  <c r="U26" i="10"/>
  <c r="O26" i="10"/>
  <c r="V23" i="10"/>
  <c r="O23" i="10"/>
  <c r="U23" i="10"/>
  <c r="V58" i="10"/>
  <c r="O58" i="10"/>
  <c r="V48" i="10"/>
  <c r="O48" i="10"/>
  <c r="V40" i="10"/>
  <c r="O40" i="10"/>
  <c r="U40" i="10"/>
  <c r="V53" i="10"/>
  <c r="O53" i="10"/>
  <c r="V35" i="10"/>
  <c r="O35" i="10"/>
  <c r="U35" i="10"/>
  <c r="V39" i="10"/>
  <c r="O39" i="10"/>
  <c r="U39" i="10"/>
  <c r="V54" i="10"/>
  <c r="O54" i="10"/>
  <c r="V21" i="10"/>
  <c r="O21" i="10"/>
  <c r="U21" i="10"/>
  <c r="V49" i="10"/>
  <c r="O49" i="10"/>
  <c r="V59" i="10"/>
  <c r="O59" i="10"/>
  <c r="V38" i="10"/>
  <c r="O38" i="10"/>
  <c r="U38" i="10"/>
  <c r="V60" i="10"/>
  <c r="O60" i="10"/>
  <c r="V24" i="10"/>
  <c r="O24" i="10"/>
  <c r="U24" i="10"/>
  <c r="V55" i="10"/>
  <c r="O55" i="10"/>
  <c r="V43" i="10"/>
  <c r="U43" i="10"/>
  <c r="O43" i="10"/>
  <c r="V34" i="10"/>
  <c r="O34" i="10"/>
  <c r="U34" i="10"/>
  <c r="V32" i="10"/>
  <c r="U32" i="10"/>
  <c r="O32" i="10"/>
  <c r="V30" i="10"/>
  <c r="O30" i="10"/>
  <c r="U30" i="10"/>
  <c r="V27" i="10"/>
  <c r="O27" i="10"/>
  <c r="U27" i="10"/>
  <c r="V33" i="10"/>
  <c r="O33" i="10"/>
  <c r="U33" i="10"/>
  <c r="O18" i="10"/>
  <c r="V18" i="10"/>
  <c r="U18" i="10"/>
  <c r="O17" i="10"/>
  <c r="V17" i="10"/>
  <c r="U17" i="10"/>
  <c r="O16" i="10"/>
  <c r="V16" i="10"/>
  <c r="U16" i="10"/>
  <c r="V13" i="10"/>
  <c r="O13" i="10"/>
  <c r="U13" i="10"/>
  <c r="V12" i="10"/>
  <c r="O12" i="10"/>
  <c r="U12" i="10"/>
  <c r="V9" i="10"/>
  <c r="O9" i="10"/>
  <c r="U9" i="10"/>
  <c r="V8" i="10"/>
  <c r="O8" i="10"/>
  <c r="U8" i="10"/>
  <c r="V7" i="10"/>
  <c r="O7" i="10"/>
  <c r="U7" i="10"/>
  <c r="V5" i="10"/>
  <c r="O5" i="10"/>
  <c r="U5" i="10"/>
  <c r="G63" i="10"/>
  <c r="S82" i="1"/>
  <c r="T82" i="1"/>
  <c r="V62" i="10" l="1"/>
  <c r="O62" i="10"/>
  <c r="P63" i="10"/>
  <c r="G64" i="10"/>
  <c r="Z485" i="1"/>
  <c r="Z463" i="1"/>
  <c r="Y82" i="1"/>
  <c r="Z82" i="1"/>
  <c r="P64" i="10" l="1"/>
  <c r="V63" i="10"/>
  <c r="O63" i="10"/>
  <c r="G65" i="10"/>
  <c r="N82" i="1"/>
  <c r="P65" i="10" l="1"/>
  <c r="V64" i="10"/>
  <c r="O64" i="10"/>
  <c r="G66" i="10"/>
  <c r="M82" i="1"/>
  <c r="P66" i="10" l="1"/>
  <c r="V65" i="10"/>
  <c r="O65" i="10"/>
  <c r="G67" i="10"/>
  <c r="P67" i="10" l="1"/>
  <c r="V66" i="10"/>
  <c r="O66" i="10"/>
  <c r="G68" i="10"/>
  <c r="P68" i="10" l="1"/>
  <c r="V67" i="10"/>
  <c r="O67" i="10"/>
  <c r="G69" i="10"/>
  <c r="P69" i="10" l="1"/>
  <c r="V68" i="10"/>
  <c r="O68" i="10"/>
  <c r="G70" i="10"/>
  <c r="P70" i="10" l="1"/>
  <c r="V69" i="10"/>
  <c r="O69" i="10"/>
  <c r="G71" i="10"/>
  <c r="P71" i="10" l="1"/>
  <c r="V70" i="10"/>
  <c r="O70" i="10"/>
  <c r="G72" i="10"/>
  <c r="P72" i="10" l="1"/>
  <c r="V71" i="10"/>
  <c r="U71" i="10"/>
  <c r="O71" i="10"/>
  <c r="G73" i="10"/>
  <c r="Z14" i="1"/>
  <c r="Z118" i="1"/>
  <c r="Z61" i="1"/>
  <c r="S43" i="1"/>
  <c r="Y87" i="1"/>
  <c r="Z146" i="1"/>
  <c r="N107" i="1"/>
  <c r="T55" i="1"/>
  <c r="Z121" i="1"/>
  <c r="Z145" i="1"/>
  <c r="Z152" i="1"/>
  <c r="Y152" i="1"/>
  <c r="M95" i="1"/>
  <c r="N95" i="1"/>
  <c r="Z95" i="1"/>
  <c r="Y95" i="1"/>
  <c r="Z93" i="1"/>
  <c r="Y93" i="1"/>
  <c r="Y158" i="1"/>
  <c r="Z158" i="1"/>
  <c r="N146" i="1"/>
  <c r="M146" i="1"/>
  <c r="Z103" i="1"/>
  <c r="Y103" i="1"/>
  <c r="N10" i="1"/>
  <c r="M10" i="1"/>
  <c r="N89" i="1"/>
  <c r="M89" i="1"/>
  <c r="Y118" i="1"/>
  <c r="Z144" i="1"/>
  <c r="Y144" i="1"/>
  <c r="P73" i="10" l="1"/>
  <c r="V72" i="10"/>
  <c r="U72" i="10"/>
  <c r="O72" i="10"/>
  <c r="N160" i="1"/>
  <c r="M160" i="1"/>
  <c r="Y161" i="1"/>
  <c r="Z87" i="1"/>
  <c r="Y14" i="1"/>
  <c r="T43" i="1"/>
  <c r="Y61" i="1"/>
  <c r="S55" i="1"/>
  <c r="Y146" i="1"/>
  <c r="Z150" i="1"/>
  <c r="Y150" i="1"/>
  <c r="Y9" i="1"/>
  <c r="Z9" i="1"/>
  <c r="N112" i="1"/>
  <c r="M112" i="1"/>
  <c r="M107" i="1"/>
  <c r="Y145" i="1"/>
  <c r="Y121" i="1"/>
  <c r="T128" i="1"/>
  <c r="S128" i="1"/>
  <c r="T9" i="1"/>
  <c r="S9" i="1"/>
  <c r="M134" i="1"/>
  <c r="N134" i="1"/>
  <c r="T44" i="1"/>
  <c r="S44" i="1"/>
  <c r="Z123" i="1"/>
  <c r="Y123" i="1"/>
  <c r="N7" i="1"/>
  <c r="M7" i="1"/>
  <c r="Z15" i="1"/>
  <c r="Y15" i="1"/>
  <c r="Z69" i="1"/>
  <c r="Y69" i="1"/>
  <c r="Z58" i="1"/>
  <c r="Y58" i="1"/>
  <c r="Z68" i="1"/>
  <c r="Y68" i="1"/>
  <c r="Z125" i="1"/>
  <c r="Y125" i="1"/>
  <c r="Z138" i="1"/>
  <c r="Y138" i="1"/>
  <c r="Y89" i="1"/>
  <c r="Z89" i="1"/>
  <c r="N98" i="1"/>
  <c r="M98" i="1"/>
  <c r="N158" i="1"/>
  <c r="M158" i="1"/>
  <c r="Z111" i="1"/>
  <c r="Y111" i="1"/>
  <c r="Y110" i="1"/>
  <c r="Z110" i="1"/>
  <c r="M148" i="1"/>
  <c r="N148" i="1"/>
  <c r="S45" i="1"/>
  <c r="T45" i="1"/>
  <c r="Z129" i="1"/>
  <c r="Y129" i="1"/>
  <c r="T23" i="1"/>
  <c r="S23" i="1"/>
  <c r="T33" i="1"/>
  <c r="S33" i="1"/>
  <c r="Z107" i="1"/>
  <c r="Y107" i="1"/>
  <c r="Z108" i="1"/>
  <c r="Y108" i="1"/>
  <c r="N111" i="1"/>
  <c r="M111" i="1"/>
  <c r="Y105" i="1"/>
  <c r="Z105" i="1"/>
  <c r="M64" i="1"/>
  <c r="N64" i="1"/>
  <c r="T12" i="1"/>
  <c r="S12" i="1"/>
  <c r="T122" i="1"/>
  <c r="S122" i="1"/>
  <c r="S138" i="1"/>
  <c r="T138" i="1"/>
  <c r="N101" i="1"/>
  <c r="M101" i="1"/>
  <c r="T89" i="1"/>
  <c r="S89" i="1"/>
  <c r="Z12" i="1"/>
  <c r="Y12" i="1"/>
  <c r="T28" i="1"/>
  <c r="S28" i="1"/>
  <c r="Z10" i="1"/>
  <c r="Y10" i="1"/>
  <c r="Z154" i="1"/>
  <c r="Y154" i="1"/>
  <c r="Y157" i="1"/>
  <c r="Z157" i="1"/>
  <c r="S30" i="1"/>
  <c r="T30" i="1"/>
  <c r="T48" i="1"/>
  <c r="S48" i="1"/>
  <c r="T26" i="1"/>
  <c r="S26" i="1"/>
  <c r="Y98" i="1"/>
  <c r="Z98" i="1"/>
  <c r="Z122" i="1"/>
  <c r="Y122" i="1"/>
  <c r="Z155" i="1"/>
  <c r="Y155" i="1"/>
  <c r="Z137" i="1"/>
  <c r="Y137" i="1"/>
  <c r="M113" i="1"/>
  <c r="N113" i="1"/>
  <c r="N83" i="1"/>
  <c r="M83" i="1"/>
  <c r="T25" i="1"/>
  <c r="S25" i="1"/>
  <c r="Z78" i="1"/>
  <c r="Y78" i="1"/>
  <c r="S50" i="1"/>
  <c r="T50" i="1"/>
  <c r="Z140" i="1"/>
  <c r="Y140" i="1"/>
  <c r="Y109" i="1"/>
  <c r="Z109" i="1"/>
  <c r="Y7" i="1"/>
  <c r="Z7" i="1"/>
  <c r="Z126" i="1"/>
  <c r="Y126" i="1"/>
  <c r="Y106" i="1"/>
  <c r="Z106" i="1"/>
  <c r="S22" i="1"/>
  <c r="T22" i="1"/>
  <c r="N61" i="1"/>
  <c r="M61" i="1"/>
  <c r="N136" i="1"/>
  <c r="M136" i="1"/>
  <c r="T121" i="1"/>
  <c r="S121" i="1"/>
  <c r="T66" i="1"/>
  <c r="S66" i="1"/>
  <c r="N145" i="1"/>
  <c r="M145" i="1"/>
  <c r="T120" i="1"/>
  <c r="S120" i="1"/>
  <c r="Y128" i="1"/>
  <c r="Z128" i="1"/>
  <c r="Z147" i="1"/>
  <c r="Y147" i="1"/>
  <c r="Y149" i="1"/>
  <c r="Z149" i="1"/>
  <c r="Z63" i="1"/>
  <c r="Y63" i="1"/>
  <c r="T24" i="1"/>
  <c r="S24" i="1"/>
  <c r="Z84" i="1"/>
  <c r="Y84" i="1"/>
  <c r="Z156" i="1"/>
  <c r="Y156" i="1"/>
  <c r="N11" i="1"/>
  <c r="M11" i="1"/>
  <c r="Z77" i="1"/>
  <c r="Y77" i="1"/>
  <c r="N114" i="1"/>
  <c r="N151" i="1"/>
  <c r="M151" i="1"/>
  <c r="Z139" i="1"/>
  <c r="Y139" i="1"/>
  <c r="Z11" i="1"/>
  <c r="Y11" i="1"/>
  <c r="N143" i="1"/>
  <c r="M143" i="1"/>
  <c r="S53" i="1"/>
  <c r="T53" i="1"/>
  <c r="Z92" i="1"/>
  <c r="Y92" i="1"/>
  <c r="T39" i="1"/>
  <c r="S39" i="1"/>
  <c r="M21" i="1"/>
  <c r="N150" i="1"/>
  <c r="M150" i="1"/>
  <c r="Z13" i="1"/>
  <c r="Y13" i="1"/>
  <c r="T79" i="1"/>
  <c r="S79" i="1"/>
  <c r="Y113" i="1"/>
  <c r="Z113" i="1"/>
  <c r="T103" i="1"/>
  <c r="S103" i="1"/>
  <c r="N26" i="1"/>
  <c r="M26" i="1"/>
  <c r="T6" i="1"/>
  <c r="S6" i="1"/>
  <c r="Z102" i="1"/>
  <c r="Y102" i="1"/>
  <c r="T75" i="1"/>
  <c r="S75" i="1"/>
  <c r="T97" i="1"/>
  <c r="S97" i="1"/>
  <c r="N102" i="1"/>
  <c r="M102" i="1"/>
  <c r="Z59" i="1"/>
  <c r="Y59" i="1"/>
  <c r="N90" i="1"/>
  <c r="M90" i="1"/>
  <c r="Y136" i="1"/>
  <c r="Z136" i="1"/>
  <c r="M103" i="1"/>
  <c r="N103" i="1"/>
  <c r="S42" i="1"/>
  <c r="T42" i="1"/>
  <c r="T49" i="1"/>
  <c r="S49" i="1"/>
  <c r="Z130" i="1"/>
  <c r="Y130" i="1"/>
  <c r="Z91" i="1"/>
  <c r="Y91" i="1"/>
  <c r="Z80" i="1"/>
  <c r="Y80" i="1"/>
  <c r="Z101" i="1"/>
  <c r="Y101" i="1"/>
  <c r="M96" i="1"/>
  <c r="N96" i="1"/>
  <c r="N137" i="1"/>
  <c r="M137" i="1"/>
  <c r="N49" i="1"/>
  <c r="M49" i="1"/>
  <c r="N73" i="1"/>
  <c r="M73" i="1"/>
  <c r="N135" i="1"/>
  <c r="M135" i="1"/>
  <c r="S62" i="1"/>
  <c r="T62" i="1"/>
  <c r="T144" i="1"/>
  <c r="S144" i="1"/>
  <c r="N106" i="1"/>
  <c r="M106" i="1"/>
  <c r="Z75" i="1"/>
  <c r="Y75" i="1"/>
  <c r="Y120" i="1"/>
  <c r="Z120" i="1"/>
  <c r="Y65" i="1"/>
  <c r="Z65" i="1"/>
  <c r="N100" i="1"/>
  <c r="M100" i="1"/>
  <c r="T32" i="1"/>
  <c r="S32" i="1"/>
  <c r="M15" i="1"/>
  <c r="N15" i="1"/>
  <c r="S37" i="1"/>
  <c r="T37" i="1"/>
  <c r="M88" i="1"/>
  <c r="N88" i="1"/>
  <c r="Z99" i="1"/>
  <c r="Y99" i="1"/>
  <c r="T34" i="1"/>
  <c r="S34" i="1"/>
  <c r="Y141" i="1"/>
  <c r="Z141" i="1"/>
  <c r="N9" i="1"/>
  <c r="M9" i="1"/>
  <c r="Z151" i="1"/>
  <c r="Y151" i="1"/>
  <c r="N97" i="1"/>
  <c r="M97" i="1"/>
  <c r="Z117" i="1"/>
  <c r="Y117" i="1"/>
  <c r="Z76" i="1"/>
  <c r="Y76" i="1"/>
  <c r="Z143" i="1"/>
  <c r="Y143" i="1"/>
  <c r="M109" i="1"/>
  <c r="N109" i="1"/>
  <c r="N110" i="1"/>
  <c r="M110" i="1"/>
  <c r="T27" i="1"/>
  <c r="S27" i="1"/>
  <c r="N85" i="1"/>
  <c r="M85" i="1"/>
  <c r="Y119" i="1"/>
  <c r="Z119" i="1"/>
  <c r="Y97" i="1"/>
  <c r="Z97" i="1"/>
  <c r="T46" i="1"/>
  <c r="S46" i="1"/>
  <c r="N93" i="1"/>
  <c r="M93" i="1"/>
  <c r="N152" i="1"/>
  <c r="M152" i="1"/>
  <c r="M126" i="1"/>
  <c r="N126" i="1"/>
  <c r="N81" i="1"/>
  <c r="M81" i="1"/>
  <c r="T148" i="1"/>
  <c r="S148" i="1"/>
  <c r="M79" i="1"/>
  <c r="N79" i="1"/>
  <c r="T108" i="1"/>
  <c r="S108" i="1"/>
  <c r="T91" i="1"/>
  <c r="S91" i="1"/>
  <c r="N144" i="1"/>
  <c r="M144" i="1"/>
  <c r="Z83" i="1"/>
  <c r="Y83" i="1"/>
  <c r="Z72" i="1"/>
  <c r="Y72" i="1"/>
  <c r="M14" i="1"/>
  <c r="N14" i="1"/>
  <c r="Z115" i="1"/>
  <c r="Y115" i="1"/>
  <c r="Y135" i="1"/>
  <c r="Z135" i="1"/>
  <c r="Z62" i="1"/>
  <c r="Y62" i="1"/>
  <c r="N84" i="1"/>
  <c r="M84" i="1"/>
  <c r="Y73" i="1"/>
  <c r="Z73" i="1"/>
  <c r="T31" i="1"/>
  <c r="S31" i="1"/>
  <c r="N138" i="1"/>
  <c r="M138" i="1"/>
  <c r="T35" i="1"/>
  <c r="S35" i="1"/>
  <c r="N13" i="1"/>
  <c r="M13" i="1"/>
  <c r="T56" i="1"/>
  <c r="S56" i="1"/>
  <c r="Z160" i="1"/>
  <c r="Y160" i="1"/>
  <c r="Z86" i="1"/>
  <c r="Y86" i="1"/>
  <c r="T47" i="1"/>
  <c r="S47" i="1"/>
  <c r="M104" i="1"/>
  <c r="N104" i="1"/>
  <c r="M140" i="1"/>
  <c r="N140" i="1"/>
  <c r="N57" i="1"/>
  <c r="Y127" i="1"/>
  <c r="Z127" i="1"/>
  <c r="Y81" i="1"/>
  <c r="Z81" i="1"/>
  <c r="S154" i="1"/>
  <c r="T154" i="1"/>
  <c r="N127" i="1"/>
  <c r="M127" i="1"/>
  <c r="T107" i="1"/>
  <c r="S107" i="1"/>
  <c r="T104" i="1"/>
  <c r="S104" i="1"/>
  <c r="N120" i="1"/>
  <c r="M120" i="1"/>
  <c r="T99" i="1"/>
  <c r="S99" i="1"/>
  <c r="N119" i="1"/>
  <c r="M119" i="1"/>
  <c r="N108" i="1"/>
  <c r="M108" i="1"/>
  <c r="T36" i="1"/>
  <c r="S36" i="1"/>
  <c r="M87" i="1"/>
  <c r="N87" i="1"/>
  <c r="T38" i="1"/>
  <c r="S38" i="1"/>
  <c r="Y90" i="1"/>
  <c r="Z90" i="1"/>
  <c r="T40" i="1"/>
  <c r="S40" i="1"/>
  <c r="Z104" i="1"/>
  <c r="Y104" i="1"/>
  <c r="N86" i="1"/>
  <c r="M86" i="1"/>
  <c r="Y66" i="1"/>
  <c r="Z66" i="1"/>
  <c r="Z131" i="1"/>
  <c r="Y131" i="1"/>
  <c r="Z67" i="1"/>
  <c r="Y67" i="1"/>
  <c r="N6" i="1"/>
  <c r="M6" i="1"/>
  <c r="Z100" i="1"/>
  <c r="Y100" i="1"/>
  <c r="N12" i="1"/>
  <c r="M12" i="1"/>
  <c r="T52" i="1"/>
  <c r="S52" i="1"/>
  <c r="S29" i="1"/>
  <c r="T29" i="1"/>
  <c r="Z134" i="1"/>
  <c r="Y134" i="1"/>
  <c r="N94" i="1"/>
  <c r="M94" i="1"/>
  <c r="Z6" i="1"/>
  <c r="Y6" i="1"/>
  <c r="M139" i="1"/>
  <c r="N139" i="1"/>
  <c r="N154" i="1"/>
  <c r="M154" i="1"/>
  <c r="Z94" i="1"/>
  <c r="Y94" i="1"/>
  <c r="Z88" i="1"/>
  <c r="Y88" i="1"/>
  <c r="Z21" i="1"/>
  <c r="N91" i="1"/>
  <c r="M91" i="1"/>
  <c r="N142" i="1"/>
  <c r="M142" i="1"/>
  <c r="Z161" i="1"/>
  <c r="N442" i="1"/>
  <c r="Z96" i="1"/>
  <c r="Y96" i="1"/>
  <c r="Z153" i="1"/>
  <c r="Y153" i="1"/>
  <c r="N99" i="1"/>
  <c r="M99" i="1"/>
  <c r="N45" i="1"/>
  <c r="M45" i="1"/>
  <c r="N33" i="1"/>
  <c r="M33" i="1"/>
  <c r="T83" i="1"/>
  <c r="S83" i="1"/>
  <c r="Z64" i="1"/>
  <c r="Y64" i="1"/>
  <c r="M71" i="1"/>
  <c r="N71" i="1"/>
  <c r="T95" i="1"/>
  <c r="S95" i="1"/>
  <c r="N69" i="1"/>
  <c r="M69" i="1"/>
  <c r="Z148" i="1"/>
  <c r="Y148" i="1"/>
  <c r="N157" i="1"/>
  <c r="M157" i="1"/>
  <c r="Z85" i="1"/>
  <c r="Y85" i="1"/>
  <c r="Z133" i="1"/>
  <c r="Y133" i="1"/>
  <c r="Z116" i="1"/>
  <c r="Y116" i="1"/>
  <c r="Z112" i="1"/>
  <c r="Y112" i="1"/>
  <c r="M156" i="1"/>
  <c r="N156" i="1"/>
  <c r="T41" i="1"/>
  <c r="S41" i="1"/>
  <c r="Z70" i="1"/>
  <c r="Y70" i="1"/>
  <c r="N159" i="1"/>
  <c r="M159" i="1"/>
  <c r="M147" i="1"/>
  <c r="N147" i="1"/>
  <c r="N149" i="1"/>
  <c r="M149" i="1"/>
  <c r="N92" i="1"/>
  <c r="M92" i="1"/>
  <c r="Y74" i="1"/>
  <c r="Z74" i="1"/>
  <c r="N141" i="1"/>
  <c r="M141" i="1"/>
  <c r="Z71" i="1"/>
  <c r="Y71" i="1"/>
  <c r="Z159" i="1"/>
  <c r="Y159" i="1"/>
  <c r="M155" i="1"/>
  <c r="N155" i="1"/>
  <c r="Z124" i="1"/>
  <c r="Y124" i="1"/>
  <c r="Z132" i="1"/>
  <c r="Y132" i="1"/>
  <c r="N153" i="1"/>
  <c r="M153" i="1"/>
  <c r="Z442" i="1"/>
  <c r="Z8" i="1"/>
  <c r="Y8" i="1"/>
  <c r="Y142" i="1"/>
  <c r="Z142" i="1"/>
  <c r="T51" i="1"/>
  <c r="S51" i="1"/>
  <c r="Z60" i="1"/>
  <c r="Y60" i="1"/>
  <c r="T114" i="1"/>
  <c r="Z79" i="1"/>
  <c r="Y79" i="1"/>
  <c r="N17" i="1"/>
  <c r="M17" i="1"/>
  <c r="M118" i="1"/>
  <c r="N118" i="1"/>
  <c r="S13" i="1"/>
  <c r="T13" i="1"/>
  <c r="N37" i="1"/>
  <c r="M37" i="1"/>
  <c r="M44" i="1"/>
  <c r="N44" i="1"/>
  <c r="T98" i="1"/>
  <c r="S98" i="1"/>
  <c r="T54" i="1"/>
  <c r="S54" i="1"/>
  <c r="N105" i="1"/>
  <c r="M105" i="1"/>
  <c r="V73" i="10" l="1"/>
  <c r="U73" i="10"/>
  <c r="O73" i="10"/>
  <c r="G74" i="10"/>
  <c r="N161" i="1"/>
  <c r="M161" i="1"/>
  <c r="S162" i="1"/>
  <c r="T139" i="1"/>
  <c r="S139" i="1"/>
  <c r="N60" i="1"/>
  <c r="M60" i="1"/>
  <c r="T59" i="1"/>
  <c r="S59" i="1"/>
  <c r="N30" i="1"/>
  <c r="M30" i="1"/>
  <c r="M63" i="1"/>
  <c r="N63" i="1"/>
  <c r="M39" i="1"/>
  <c r="N39" i="1"/>
  <c r="T76" i="1"/>
  <c r="S76" i="1"/>
  <c r="S146" i="1"/>
  <c r="T146" i="1"/>
  <c r="N116" i="1"/>
  <c r="M116" i="1"/>
  <c r="T140" i="1"/>
  <c r="S140" i="1"/>
  <c r="S115" i="1"/>
  <c r="T115" i="1"/>
  <c r="N115" i="1"/>
  <c r="M115" i="1"/>
  <c r="N75" i="1"/>
  <c r="M75" i="1"/>
  <c r="T68" i="1"/>
  <c r="S68" i="1"/>
  <c r="T149" i="1"/>
  <c r="S149" i="1"/>
  <c r="T90" i="1"/>
  <c r="S90" i="1"/>
  <c r="T65" i="1"/>
  <c r="S65" i="1"/>
  <c r="N58" i="1"/>
  <c r="M58" i="1"/>
  <c r="T18" i="1"/>
  <c r="S18" i="1"/>
  <c r="T133" i="1"/>
  <c r="S133" i="1"/>
  <c r="N122" i="1"/>
  <c r="M122" i="1"/>
  <c r="N34" i="1"/>
  <c r="M34" i="1"/>
  <c r="N131" i="1"/>
  <c r="M131" i="1"/>
  <c r="T106" i="1"/>
  <c r="S106" i="1"/>
  <c r="T125" i="1"/>
  <c r="S125" i="1"/>
  <c r="N19" i="1"/>
  <c r="M19" i="1"/>
  <c r="S94" i="1"/>
  <c r="T94" i="1"/>
  <c r="T74" i="1"/>
  <c r="S74" i="1"/>
  <c r="M133" i="1"/>
  <c r="N133" i="1"/>
  <c r="N74" i="1"/>
  <c r="M74" i="1"/>
  <c r="S145" i="1"/>
  <c r="T145" i="1"/>
  <c r="N132" i="1"/>
  <c r="M132" i="1"/>
  <c r="S131" i="1"/>
  <c r="T131" i="1"/>
  <c r="T130" i="1"/>
  <c r="S130" i="1"/>
  <c r="N77" i="1"/>
  <c r="M77" i="1"/>
  <c r="N40" i="1"/>
  <c r="M40" i="1"/>
  <c r="T73" i="1"/>
  <c r="S73" i="1"/>
  <c r="S86" i="1"/>
  <c r="T86" i="1"/>
  <c r="N129" i="1"/>
  <c r="M129" i="1"/>
  <c r="M52" i="1"/>
  <c r="N52" i="1"/>
  <c r="N70" i="1"/>
  <c r="M70" i="1"/>
  <c r="S11" i="1"/>
  <c r="T11" i="1"/>
  <c r="N38" i="1"/>
  <c r="M38" i="1"/>
  <c r="S101" i="1"/>
  <c r="T101" i="1"/>
  <c r="T109" i="1"/>
  <c r="S109" i="1"/>
  <c r="T151" i="1"/>
  <c r="S151" i="1"/>
  <c r="S161" i="1"/>
  <c r="T161" i="1"/>
  <c r="T58" i="1"/>
  <c r="S58" i="1"/>
  <c r="N130" i="1"/>
  <c r="M130" i="1"/>
  <c r="T16" i="1"/>
  <c r="S16" i="1"/>
  <c r="S61" i="1"/>
  <c r="T61" i="1"/>
  <c r="T129" i="1"/>
  <c r="S129" i="1"/>
  <c r="T156" i="1"/>
  <c r="S156" i="1"/>
  <c r="S153" i="1"/>
  <c r="T153" i="1"/>
  <c r="T157" i="1"/>
  <c r="S157" i="1"/>
  <c r="M80" i="1"/>
  <c r="N80" i="1"/>
  <c r="T67" i="1"/>
  <c r="S67" i="1"/>
  <c r="T92" i="1"/>
  <c r="S92" i="1"/>
  <c r="T134" i="1"/>
  <c r="S134" i="1"/>
  <c r="N50" i="1"/>
  <c r="M50" i="1"/>
  <c r="S102" i="1"/>
  <c r="T102" i="1"/>
  <c r="M55" i="1"/>
  <c r="N55" i="1"/>
  <c r="T152" i="1"/>
  <c r="S152" i="1"/>
  <c r="N51" i="1"/>
  <c r="M51" i="1"/>
  <c r="T158" i="1"/>
  <c r="S158" i="1"/>
  <c r="S70" i="1"/>
  <c r="T70" i="1"/>
  <c r="N53" i="1"/>
  <c r="M53" i="1"/>
  <c r="T147" i="1"/>
  <c r="S147" i="1"/>
  <c r="N46" i="1"/>
  <c r="M46" i="1"/>
  <c r="M36" i="1"/>
  <c r="N36" i="1"/>
  <c r="N20" i="1"/>
  <c r="M20" i="1"/>
  <c r="N48" i="1"/>
  <c r="M48" i="1"/>
  <c r="T105" i="1"/>
  <c r="S105" i="1"/>
  <c r="T110" i="1"/>
  <c r="S110" i="1"/>
  <c r="M47" i="1"/>
  <c r="N47" i="1"/>
  <c r="N22" i="1"/>
  <c r="M22" i="1"/>
  <c r="T88" i="1"/>
  <c r="S88" i="1"/>
  <c r="T14" i="1"/>
  <c r="S14" i="1"/>
  <c r="N78" i="1"/>
  <c r="M78" i="1"/>
  <c r="N16" i="1"/>
  <c r="M16" i="1"/>
  <c r="M24" i="1"/>
  <c r="N24" i="1"/>
  <c r="N42" i="1"/>
  <c r="M42" i="1"/>
  <c r="T19" i="1"/>
  <c r="S19" i="1"/>
  <c r="N65" i="1"/>
  <c r="M65" i="1"/>
  <c r="T155" i="1"/>
  <c r="S155" i="1"/>
  <c r="S132" i="1"/>
  <c r="T132" i="1"/>
  <c r="N66" i="1"/>
  <c r="M66" i="1"/>
  <c r="M31" i="1"/>
  <c r="N31" i="1"/>
  <c r="T100" i="1"/>
  <c r="S100" i="1"/>
  <c r="T21" i="1"/>
  <c r="S21" i="1"/>
  <c r="M23" i="1"/>
  <c r="N23" i="1"/>
  <c r="T7" i="1"/>
  <c r="S7" i="1"/>
  <c r="N25" i="1"/>
  <c r="M25" i="1"/>
  <c r="T111" i="1"/>
  <c r="S111" i="1"/>
  <c r="N68" i="1"/>
  <c r="M68" i="1"/>
  <c r="T96" i="1"/>
  <c r="S96" i="1"/>
  <c r="M72" i="1"/>
  <c r="N72" i="1"/>
  <c r="N35" i="1"/>
  <c r="M35" i="1"/>
  <c r="N8" i="1"/>
  <c r="M8" i="1"/>
  <c r="T20" i="1"/>
  <c r="S20" i="1"/>
  <c r="T60" i="1"/>
  <c r="S60" i="1"/>
  <c r="S93" i="1"/>
  <c r="T93" i="1"/>
  <c r="T143" i="1"/>
  <c r="S143" i="1"/>
  <c r="T87" i="1"/>
  <c r="S87" i="1"/>
  <c r="T442" i="1"/>
  <c r="N41" i="1"/>
  <c r="M41" i="1"/>
  <c r="T112" i="1"/>
  <c r="S112" i="1"/>
  <c r="T150" i="1"/>
  <c r="S150" i="1"/>
  <c r="N27" i="1"/>
  <c r="M27" i="1"/>
  <c r="T126" i="1"/>
  <c r="S126" i="1"/>
  <c r="N76" i="1"/>
  <c r="M76" i="1"/>
  <c r="S77" i="1"/>
  <c r="T77" i="1"/>
  <c r="N62" i="1"/>
  <c r="M62" i="1"/>
  <c r="T137" i="1"/>
  <c r="S137" i="1"/>
  <c r="T117" i="1"/>
  <c r="S117" i="1"/>
  <c r="T127" i="1"/>
  <c r="S127" i="1"/>
  <c r="T10" i="1"/>
  <c r="S10" i="1"/>
  <c r="S123" i="1"/>
  <c r="T123" i="1"/>
  <c r="T15" i="1"/>
  <c r="S15" i="1"/>
  <c r="T72" i="1"/>
  <c r="S72" i="1"/>
  <c r="T84" i="1"/>
  <c r="S84" i="1"/>
  <c r="N18" i="1"/>
  <c r="M18" i="1"/>
  <c r="N124" i="1"/>
  <c r="M124" i="1"/>
  <c r="N121" i="1"/>
  <c r="M121" i="1"/>
  <c r="T71" i="1"/>
  <c r="S71" i="1"/>
  <c r="T142" i="1"/>
  <c r="S142" i="1"/>
  <c r="T113" i="1"/>
  <c r="S113" i="1"/>
  <c r="S17" i="1"/>
  <c r="T17" i="1"/>
  <c r="S116" i="1"/>
  <c r="T116" i="1"/>
  <c r="T118" i="1"/>
  <c r="S118" i="1"/>
  <c r="M125" i="1"/>
  <c r="N125" i="1"/>
  <c r="N43" i="1"/>
  <c r="M43" i="1"/>
  <c r="T141" i="1"/>
  <c r="S141" i="1"/>
  <c r="T64" i="1"/>
  <c r="S64" i="1"/>
  <c r="N128" i="1"/>
  <c r="M128" i="1"/>
  <c r="N123" i="1"/>
  <c r="M123" i="1"/>
  <c r="S78" i="1"/>
  <c r="T78" i="1"/>
  <c r="M117" i="1"/>
  <c r="N117" i="1"/>
  <c r="S85" i="1"/>
  <c r="T85" i="1"/>
  <c r="N54" i="1"/>
  <c r="M54" i="1"/>
  <c r="T160" i="1"/>
  <c r="S160" i="1"/>
  <c r="N59" i="1"/>
  <c r="M59" i="1"/>
  <c r="N67" i="1"/>
  <c r="M67" i="1"/>
  <c r="N28" i="1"/>
  <c r="M28" i="1"/>
  <c r="M32" i="1"/>
  <c r="N32" i="1"/>
  <c r="T159" i="1"/>
  <c r="S159" i="1"/>
  <c r="N29" i="1"/>
  <c r="M29" i="1"/>
  <c r="N56" i="1"/>
  <c r="M56" i="1"/>
  <c r="T8" i="1"/>
  <c r="S8" i="1"/>
  <c r="Y5" i="1"/>
  <c r="Y57" i="1"/>
  <c r="M5" i="1" l="1"/>
  <c r="P74" i="10"/>
  <c r="G75" i="10"/>
  <c r="T162" i="1"/>
  <c r="Z162" i="1"/>
  <c r="Y162" i="1"/>
  <c r="M162" i="1"/>
  <c r="N162" i="1"/>
  <c r="AE57" i="1"/>
  <c r="AE222" i="1"/>
  <c r="AE415" i="1"/>
  <c r="AE167" i="1"/>
  <c r="AE328" i="1"/>
  <c r="AE276" i="1"/>
  <c r="AE114" i="1"/>
  <c r="AE387" i="1"/>
  <c r="AE360" i="1"/>
  <c r="AE463" i="1"/>
  <c r="AE485" i="1"/>
  <c r="S5" i="1"/>
  <c r="M57" i="1"/>
  <c r="P75" i="10" l="1"/>
  <c r="V74" i="10"/>
  <c r="U74" i="10"/>
  <c r="O74" i="10"/>
  <c r="Z114" i="1"/>
  <c r="Z57" i="1"/>
  <c r="T163" i="1"/>
  <c r="S163" i="1"/>
  <c r="Z163" i="1"/>
  <c r="Y163" i="1"/>
  <c r="M163" i="1"/>
  <c r="N163" i="1"/>
  <c r="V75" i="10" l="1"/>
  <c r="U75" i="10"/>
  <c r="O75" i="10"/>
  <c r="T164" i="1"/>
  <c r="S164" i="1"/>
  <c r="Y164" i="1"/>
  <c r="Z164" i="1"/>
  <c r="M164" i="1"/>
  <c r="N164" i="1"/>
  <c r="Z165" i="1" l="1"/>
  <c r="Y165" i="1"/>
  <c r="Y114" i="1" s="1"/>
  <c r="S165" i="1"/>
  <c r="S114" i="1" s="1"/>
  <c r="T165" i="1"/>
  <c r="M165" i="1"/>
  <c r="M114" i="1" s="1"/>
  <c r="N165" i="1"/>
  <c r="Y166" i="1" l="1"/>
  <c r="Z166" i="1"/>
  <c r="T166" i="1"/>
  <c r="S166" i="1"/>
  <c r="M166" i="1"/>
  <c r="N166" i="1"/>
  <c r="Z167" i="1" l="1"/>
  <c r="T167" i="1"/>
  <c r="N167" i="1"/>
  <c r="F48" i="10" l="1"/>
  <c r="M168" i="1"/>
  <c r="N168" i="1"/>
  <c r="Z168" i="1"/>
  <c r="Y168" i="1"/>
  <c r="T168" i="1"/>
  <c r="S168" i="1"/>
  <c r="N48" i="10" l="1"/>
  <c r="U48" i="10"/>
  <c r="F49" i="10"/>
  <c r="E48" i="10"/>
  <c r="Z169" i="1"/>
  <c r="Y169" i="1"/>
  <c r="S169" i="1"/>
  <c r="T169" i="1"/>
  <c r="N169" i="1"/>
  <c r="M169" i="1"/>
  <c r="N49" i="10" l="1"/>
  <c r="U49" i="10"/>
  <c r="F50" i="10"/>
  <c r="E49" i="10"/>
  <c r="M170" i="1"/>
  <c r="N170" i="1"/>
  <c r="T170" i="1"/>
  <c r="S170" i="1"/>
  <c r="Z170" i="1"/>
  <c r="Y170" i="1"/>
  <c r="M48" i="10" l="1"/>
  <c r="T48" i="10"/>
  <c r="N50" i="10"/>
  <c r="U50" i="10"/>
  <c r="F51" i="10"/>
  <c r="E50" i="10"/>
  <c r="Z171" i="1"/>
  <c r="Y171" i="1"/>
  <c r="S171" i="1"/>
  <c r="T171" i="1"/>
  <c r="N171" i="1"/>
  <c r="M171" i="1"/>
  <c r="M49" i="10" l="1"/>
  <c r="T49" i="10"/>
  <c r="N51" i="10"/>
  <c r="U51" i="10"/>
  <c r="F52" i="10"/>
  <c r="E51" i="10"/>
  <c r="S172" i="1"/>
  <c r="T172" i="1"/>
  <c r="N172" i="1"/>
  <c r="M172" i="1"/>
  <c r="Y172" i="1"/>
  <c r="Z172" i="1"/>
  <c r="M50" i="10" l="1"/>
  <c r="T50" i="10"/>
  <c r="N52" i="10"/>
  <c r="U52" i="10"/>
  <c r="F53" i="10"/>
  <c r="E52" i="10"/>
  <c r="Y173" i="1"/>
  <c r="Z173" i="1"/>
  <c r="M173" i="1"/>
  <c r="N173" i="1"/>
  <c r="T173" i="1"/>
  <c r="S173" i="1"/>
  <c r="N53" i="10" l="1"/>
  <c r="U53" i="10"/>
  <c r="M51" i="10"/>
  <c r="T51" i="10"/>
  <c r="F54" i="10"/>
  <c r="E53" i="10"/>
  <c r="Z174" i="1"/>
  <c r="Y174" i="1"/>
  <c r="S174" i="1"/>
  <c r="T174" i="1"/>
  <c r="N174" i="1"/>
  <c r="M174" i="1"/>
  <c r="N54" i="10" l="1"/>
  <c r="U54" i="10"/>
  <c r="M52" i="10"/>
  <c r="T52" i="10"/>
  <c r="F55" i="10"/>
  <c r="E54" i="10"/>
  <c r="N175" i="1"/>
  <c r="M175" i="1"/>
  <c r="Y175" i="1"/>
  <c r="Z175" i="1"/>
  <c r="T175" i="1"/>
  <c r="S175" i="1"/>
  <c r="N55" i="10" l="1"/>
  <c r="U55" i="10"/>
  <c r="M53" i="10"/>
  <c r="T53" i="10"/>
  <c r="F56" i="10"/>
  <c r="E55" i="10"/>
  <c r="Y176" i="1"/>
  <c r="Z176" i="1"/>
  <c r="N176" i="1"/>
  <c r="M176" i="1"/>
  <c r="T176" i="1"/>
  <c r="S176" i="1"/>
  <c r="M54" i="10" l="1"/>
  <c r="T54" i="10"/>
  <c r="N56" i="10"/>
  <c r="U56" i="10"/>
  <c r="F57" i="10"/>
  <c r="E56" i="10"/>
  <c r="Z177" i="1"/>
  <c r="Y177" i="1"/>
  <c r="N177" i="1"/>
  <c r="M177" i="1"/>
  <c r="T177" i="1"/>
  <c r="S177" i="1"/>
  <c r="M55" i="10" l="1"/>
  <c r="T55" i="10"/>
  <c r="N57" i="10"/>
  <c r="U57" i="10"/>
  <c r="F58" i="10"/>
  <c r="E57" i="10"/>
  <c r="T178" i="1"/>
  <c r="S178" i="1"/>
  <c r="Z178" i="1"/>
  <c r="Y178" i="1"/>
  <c r="N178" i="1"/>
  <c r="M178" i="1"/>
  <c r="N58" i="10" l="1"/>
  <c r="U58" i="10"/>
  <c r="M56" i="10"/>
  <c r="T56" i="10"/>
  <c r="F59" i="10"/>
  <c r="E58" i="10"/>
  <c r="S179" i="1"/>
  <c r="T179" i="1"/>
  <c r="Z179" i="1"/>
  <c r="Y179" i="1"/>
  <c r="N179" i="1"/>
  <c r="M179" i="1"/>
  <c r="M57" i="10" l="1"/>
  <c r="T57" i="10"/>
  <c r="N59" i="10"/>
  <c r="U59" i="10"/>
  <c r="F60" i="10"/>
  <c r="E59" i="10"/>
  <c r="N180" i="1"/>
  <c r="M180" i="1"/>
  <c r="Z180" i="1"/>
  <c r="Y180" i="1"/>
  <c r="S180" i="1"/>
  <c r="T180" i="1"/>
  <c r="M58" i="10" l="1"/>
  <c r="T58" i="10"/>
  <c r="N60" i="10"/>
  <c r="U60" i="10"/>
  <c r="F61" i="10"/>
  <c r="E60" i="10"/>
  <c r="S181" i="1"/>
  <c r="T181" i="1"/>
  <c r="M181" i="1"/>
  <c r="N181" i="1"/>
  <c r="Z181" i="1"/>
  <c r="Y181" i="1"/>
  <c r="M59" i="10" l="1"/>
  <c r="T59" i="10"/>
  <c r="N61" i="10"/>
  <c r="U61" i="10"/>
  <c r="F62" i="10"/>
  <c r="E61" i="10"/>
  <c r="Z182" i="1"/>
  <c r="Y182" i="1"/>
  <c r="T182" i="1"/>
  <c r="S182" i="1"/>
  <c r="N182" i="1"/>
  <c r="M182" i="1"/>
  <c r="N62" i="10" l="1"/>
  <c r="U62" i="10"/>
  <c r="M60" i="10"/>
  <c r="T60" i="10"/>
  <c r="F63" i="10"/>
  <c r="E62" i="10"/>
  <c r="S183" i="1"/>
  <c r="T183" i="1"/>
  <c r="Z183" i="1"/>
  <c r="Y183" i="1"/>
  <c r="N183" i="1"/>
  <c r="M183" i="1"/>
  <c r="M61" i="10" l="1"/>
  <c r="T61" i="10"/>
  <c r="N63" i="10"/>
  <c r="U63" i="10"/>
  <c r="F64" i="10"/>
  <c r="E63" i="10"/>
  <c r="Y184" i="1"/>
  <c r="Z184" i="1"/>
  <c r="M184" i="1"/>
  <c r="N184" i="1"/>
  <c r="T184" i="1"/>
  <c r="S184" i="1"/>
  <c r="N64" i="10" l="1"/>
  <c r="U64" i="10"/>
  <c r="M62" i="10"/>
  <c r="T62" i="10"/>
  <c r="F65" i="10"/>
  <c r="E64" i="10"/>
  <c r="Z185" i="1"/>
  <c r="Y185" i="1"/>
  <c r="N185" i="1"/>
  <c r="M185" i="1"/>
  <c r="T185" i="1"/>
  <c r="S185" i="1"/>
  <c r="M63" i="10" l="1"/>
  <c r="T63" i="10"/>
  <c r="N65" i="10"/>
  <c r="U65" i="10"/>
  <c r="F66" i="10"/>
  <c r="E65" i="10"/>
  <c r="Y186" i="1"/>
  <c r="Z186" i="1"/>
  <c r="T186" i="1"/>
  <c r="S186" i="1"/>
  <c r="N186" i="1"/>
  <c r="M186" i="1"/>
  <c r="N66" i="10" l="1"/>
  <c r="U66" i="10"/>
  <c r="M64" i="10"/>
  <c r="T64" i="10"/>
  <c r="F67" i="10"/>
  <c r="E66" i="10"/>
  <c r="T187" i="1"/>
  <c r="S187" i="1"/>
  <c r="Z187" i="1"/>
  <c r="Y187" i="1"/>
  <c r="N187" i="1"/>
  <c r="M187" i="1"/>
  <c r="N67" i="10" l="1"/>
  <c r="U67" i="10"/>
  <c r="M65" i="10"/>
  <c r="T65" i="10"/>
  <c r="F68" i="10"/>
  <c r="E67" i="10"/>
  <c r="Z188" i="1"/>
  <c r="Y188" i="1"/>
  <c r="N188" i="1"/>
  <c r="M188" i="1"/>
  <c r="S188" i="1"/>
  <c r="T188" i="1"/>
  <c r="N68" i="10" l="1"/>
  <c r="U68" i="10"/>
  <c r="M66" i="10"/>
  <c r="T66" i="10"/>
  <c r="F69" i="10"/>
  <c r="E68" i="10"/>
  <c r="S189" i="1"/>
  <c r="T189" i="1"/>
  <c r="Z189" i="1"/>
  <c r="Y189" i="1"/>
  <c r="M189" i="1"/>
  <c r="N189" i="1"/>
  <c r="M67" i="10" l="1"/>
  <c r="T67" i="10"/>
  <c r="N69" i="10"/>
  <c r="U69" i="10"/>
  <c r="F70" i="10"/>
  <c r="E69" i="10"/>
  <c r="Z190" i="1"/>
  <c r="Y190" i="1"/>
  <c r="N190" i="1"/>
  <c r="M190" i="1"/>
  <c r="T190" i="1"/>
  <c r="S190" i="1"/>
  <c r="N70" i="10" l="1"/>
  <c r="U70" i="10"/>
  <c r="M68" i="10"/>
  <c r="T68" i="10"/>
  <c r="E70" i="10"/>
  <c r="S191" i="1"/>
  <c r="T191" i="1"/>
  <c r="Y191" i="1"/>
  <c r="Z191" i="1"/>
  <c r="M191" i="1"/>
  <c r="N191" i="1"/>
  <c r="M69" i="10" l="1"/>
  <c r="T69" i="10"/>
  <c r="E71" i="10"/>
  <c r="Y192" i="1"/>
  <c r="Z192" i="1"/>
  <c r="T192" i="1"/>
  <c r="S192" i="1"/>
  <c r="M192" i="1"/>
  <c r="N192" i="1"/>
  <c r="M70" i="10" l="1"/>
  <c r="T70" i="10"/>
  <c r="E72" i="10"/>
  <c r="Y193" i="1"/>
  <c r="Z193" i="1"/>
  <c r="M193" i="1"/>
  <c r="N193" i="1"/>
  <c r="M71" i="10" l="1"/>
  <c r="T71" i="10"/>
  <c r="E73" i="10"/>
  <c r="Y194" i="1"/>
  <c r="Z194" i="1"/>
  <c r="N194" i="1"/>
  <c r="M194" i="1"/>
  <c r="M72" i="10" l="1"/>
  <c r="T72" i="10"/>
  <c r="E74" i="10"/>
  <c r="Y195" i="1"/>
  <c r="Z195" i="1"/>
  <c r="M195" i="1"/>
  <c r="N195" i="1"/>
  <c r="M73" i="10" l="1"/>
  <c r="T73" i="10"/>
  <c r="E75" i="10"/>
  <c r="N196" i="1"/>
  <c r="M196" i="1"/>
  <c r="Z196" i="1"/>
  <c r="Y196" i="1"/>
  <c r="M74" i="10" l="1"/>
  <c r="T74" i="10"/>
  <c r="Y197" i="1"/>
  <c r="Z197" i="1"/>
  <c r="N197" i="1"/>
  <c r="M197" i="1"/>
  <c r="M75" i="10" l="1"/>
  <c r="T75" i="10"/>
  <c r="T198" i="1"/>
  <c r="S198" i="1"/>
  <c r="Y198" i="1"/>
  <c r="Z198" i="1"/>
  <c r="N198" i="1"/>
  <c r="M198" i="1"/>
  <c r="S199" i="1" l="1"/>
  <c r="T199" i="1"/>
  <c r="Y199" i="1"/>
  <c r="Z199" i="1"/>
  <c r="M199" i="1"/>
  <c r="N199" i="1"/>
  <c r="S200" i="1" l="1"/>
  <c r="T200" i="1"/>
  <c r="Z200" i="1"/>
  <c r="Y200" i="1"/>
  <c r="N200" i="1"/>
  <c r="M200" i="1"/>
  <c r="T201" i="1" l="1"/>
  <c r="S201" i="1"/>
  <c r="N201" i="1"/>
  <c r="M201" i="1"/>
  <c r="Y201" i="1"/>
  <c r="Z201" i="1"/>
  <c r="Z202" i="1" l="1"/>
  <c r="Y202" i="1"/>
  <c r="S202" i="1"/>
  <c r="T202" i="1"/>
  <c r="N202" i="1"/>
  <c r="M202" i="1"/>
  <c r="Y203" i="1" l="1"/>
  <c r="Z203" i="1"/>
  <c r="M203" i="1"/>
  <c r="N203" i="1"/>
  <c r="T203" i="1"/>
  <c r="S203" i="1"/>
  <c r="Z204" i="1" l="1"/>
  <c r="Y204" i="1"/>
  <c r="T204" i="1"/>
  <c r="S204" i="1"/>
  <c r="N204" i="1"/>
  <c r="M204" i="1"/>
  <c r="S205" i="1" l="1"/>
  <c r="T205" i="1"/>
  <c r="Y205" i="1"/>
  <c r="Z205" i="1"/>
  <c r="M205" i="1"/>
  <c r="N205" i="1"/>
  <c r="T206" i="1" l="1"/>
  <c r="S206" i="1"/>
  <c r="M206" i="1"/>
  <c r="N206" i="1"/>
  <c r="Y206" i="1"/>
  <c r="Z206" i="1"/>
  <c r="N207" i="1" l="1"/>
  <c r="M207" i="1"/>
  <c r="Z207" i="1"/>
  <c r="Y207" i="1"/>
  <c r="S207" i="1"/>
  <c r="T207" i="1"/>
  <c r="T208" i="1" l="1"/>
  <c r="S208" i="1"/>
  <c r="Y208" i="1"/>
  <c r="Z208" i="1"/>
  <c r="M208" i="1"/>
  <c r="N208" i="1"/>
  <c r="N209" i="1" l="1"/>
  <c r="M209" i="1"/>
  <c r="T209" i="1"/>
  <c r="S209" i="1"/>
  <c r="Y209" i="1"/>
  <c r="Z209" i="1"/>
  <c r="T210" i="1" l="1"/>
  <c r="S210" i="1"/>
  <c r="Z210" i="1"/>
  <c r="Y210" i="1"/>
  <c r="N210" i="1"/>
  <c r="M210" i="1"/>
  <c r="Z211" i="1" l="1"/>
  <c r="Y211" i="1"/>
  <c r="T211" i="1"/>
  <c r="S211" i="1"/>
  <c r="M211" i="1"/>
  <c r="N211" i="1"/>
  <c r="T212" i="1" l="1"/>
  <c r="S212" i="1"/>
  <c r="Y212" i="1"/>
  <c r="Z212" i="1"/>
  <c r="N212" i="1"/>
  <c r="M212" i="1"/>
  <c r="Y213" i="1" l="1"/>
  <c r="Z213" i="1"/>
  <c r="T213" i="1"/>
  <c r="S213" i="1"/>
  <c r="N213" i="1"/>
  <c r="M213" i="1"/>
  <c r="Y214" i="1" l="1"/>
  <c r="Z214" i="1"/>
  <c r="T214" i="1"/>
  <c r="S214" i="1"/>
  <c r="M214" i="1"/>
  <c r="N214" i="1"/>
  <c r="N215" i="1" l="1"/>
  <c r="M215" i="1"/>
  <c r="Z215" i="1"/>
  <c r="Y215" i="1"/>
  <c r="S215" i="1"/>
  <c r="T215" i="1"/>
  <c r="T216" i="1" l="1"/>
  <c r="S216" i="1"/>
  <c r="N216" i="1"/>
  <c r="M216" i="1"/>
  <c r="Y216" i="1"/>
  <c r="Z216" i="1"/>
  <c r="M217" i="1" l="1"/>
  <c r="N217" i="1"/>
  <c r="S217" i="1"/>
  <c r="T217" i="1"/>
  <c r="Y217" i="1"/>
  <c r="Z217" i="1"/>
  <c r="T218" i="1" l="1"/>
  <c r="S218" i="1"/>
  <c r="S167" i="1" s="1"/>
  <c r="Y218" i="1"/>
  <c r="Y167" i="1" s="1"/>
  <c r="Z218" i="1"/>
  <c r="N218" i="1"/>
  <c r="M218" i="1"/>
  <c r="M167" i="1" s="1"/>
  <c r="T219" i="1" l="1"/>
  <c r="S219" i="1"/>
  <c r="Y219" i="1"/>
  <c r="Z219" i="1"/>
  <c r="M219" i="1"/>
  <c r="N219" i="1"/>
  <c r="T220" i="1" l="1"/>
  <c r="S220" i="1"/>
  <c r="N220" i="1"/>
  <c r="M220" i="1"/>
  <c r="Y220" i="1"/>
  <c r="Z220" i="1"/>
  <c r="Y221" i="1" l="1"/>
  <c r="Z221" i="1"/>
  <c r="T221" i="1"/>
  <c r="S221" i="1"/>
  <c r="N221" i="1"/>
  <c r="M221" i="1"/>
  <c r="Z222" i="1" l="1"/>
  <c r="N222" i="1"/>
  <c r="T222" i="1"/>
  <c r="Y223" i="1" l="1"/>
  <c r="Z223" i="1"/>
  <c r="M223" i="1"/>
  <c r="N223" i="1"/>
  <c r="T223" i="1"/>
  <c r="S223" i="1"/>
  <c r="S224" i="1" l="1"/>
  <c r="T224" i="1"/>
  <c r="Z224" i="1"/>
  <c r="Y224" i="1"/>
  <c r="N224" i="1"/>
  <c r="M224" i="1"/>
  <c r="S225" i="1" l="1"/>
  <c r="T225" i="1"/>
  <c r="Y225" i="1"/>
  <c r="Z225" i="1"/>
  <c r="N225" i="1"/>
  <c r="M225" i="1"/>
  <c r="T226" i="1" l="1"/>
  <c r="S226" i="1"/>
  <c r="Y226" i="1"/>
  <c r="Z226" i="1"/>
  <c r="M226" i="1"/>
  <c r="N226" i="1"/>
  <c r="S227" i="1" l="1"/>
  <c r="T227" i="1"/>
  <c r="Z227" i="1"/>
  <c r="Y227" i="1"/>
  <c r="N227" i="1"/>
  <c r="M227" i="1"/>
  <c r="Z228" i="1" l="1"/>
  <c r="Y228" i="1"/>
  <c r="N228" i="1"/>
  <c r="M228" i="1"/>
  <c r="S229" i="1" l="1"/>
  <c r="T229" i="1"/>
  <c r="Y229" i="1"/>
  <c r="Z229" i="1"/>
  <c r="N229" i="1"/>
  <c r="M229" i="1"/>
  <c r="T230" i="1" l="1"/>
  <c r="S230" i="1"/>
  <c r="M230" i="1"/>
  <c r="N230" i="1"/>
  <c r="Z230" i="1"/>
  <c r="Y230" i="1"/>
  <c r="Y231" i="1" l="1"/>
  <c r="Z231" i="1"/>
  <c r="T231" i="1"/>
  <c r="S231" i="1"/>
  <c r="M231" i="1"/>
  <c r="N231" i="1"/>
  <c r="T232" i="1" l="1"/>
  <c r="S232" i="1"/>
  <c r="Z232" i="1"/>
  <c r="Y232" i="1"/>
  <c r="N232" i="1"/>
  <c r="M232" i="1"/>
  <c r="Y233" i="1" l="1"/>
  <c r="Z233" i="1"/>
  <c r="S233" i="1"/>
  <c r="T233" i="1"/>
  <c r="N233" i="1"/>
  <c r="M233" i="1"/>
  <c r="Z234" i="1" l="1"/>
  <c r="Y234" i="1"/>
  <c r="N234" i="1"/>
  <c r="M234" i="1"/>
  <c r="S235" i="1" l="1"/>
  <c r="T235" i="1"/>
  <c r="Z235" i="1"/>
  <c r="Y235" i="1"/>
  <c r="M235" i="1"/>
  <c r="N235" i="1"/>
  <c r="T236" i="1" l="1"/>
  <c r="S236" i="1"/>
  <c r="Z236" i="1"/>
  <c r="Y236" i="1"/>
  <c r="N236" i="1"/>
  <c r="M236" i="1"/>
  <c r="S237" i="1" l="1"/>
  <c r="T237" i="1"/>
  <c r="M237" i="1"/>
  <c r="N237" i="1"/>
  <c r="Y237" i="1"/>
  <c r="Z237" i="1"/>
  <c r="S238" i="1" l="1"/>
  <c r="T238" i="1"/>
  <c r="Z238" i="1"/>
  <c r="Y238" i="1"/>
  <c r="M238" i="1"/>
  <c r="N238" i="1"/>
  <c r="Z239" i="1" l="1"/>
  <c r="Y239" i="1"/>
  <c r="S239" i="1"/>
  <c r="T239" i="1"/>
  <c r="M239" i="1"/>
  <c r="N239" i="1"/>
  <c r="T240" i="1" l="1"/>
  <c r="S240" i="1"/>
  <c r="Y240" i="1"/>
  <c r="Z240" i="1"/>
  <c r="N240" i="1"/>
  <c r="M240" i="1"/>
  <c r="S241" i="1" l="1"/>
  <c r="T241" i="1"/>
  <c r="Y241" i="1"/>
  <c r="Z241" i="1"/>
  <c r="N241" i="1"/>
  <c r="M241" i="1"/>
  <c r="Z242" i="1" l="1"/>
  <c r="Y242" i="1"/>
  <c r="T242" i="1"/>
  <c r="S242" i="1"/>
  <c r="N242" i="1"/>
  <c r="M242" i="1"/>
  <c r="M243" i="1" l="1"/>
  <c r="N243" i="1"/>
  <c r="Y243" i="1"/>
  <c r="Z243" i="1"/>
  <c r="S243" i="1"/>
  <c r="T243" i="1"/>
  <c r="Y244" i="1" l="1"/>
  <c r="Z244" i="1"/>
  <c r="T244" i="1"/>
  <c r="S244" i="1"/>
  <c r="N244" i="1"/>
  <c r="M244" i="1"/>
  <c r="Z245" i="1" l="1"/>
  <c r="Y245" i="1"/>
  <c r="N245" i="1"/>
  <c r="M245" i="1"/>
  <c r="Z246" i="1" l="1"/>
  <c r="Y246" i="1"/>
  <c r="M246" i="1"/>
  <c r="N246" i="1"/>
  <c r="M247" i="1" l="1"/>
  <c r="N247" i="1"/>
  <c r="Y247" i="1"/>
  <c r="Z247" i="1"/>
  <c r="T247" i="1"/>
  <c r="S247" i="1"/>
  <c r="T248" i="1" l="1"/>
  <c r="S248" i="1"/>
  <c r="Z248" i="1"/>
  <c r="Y248" i="1"/>
  <c r="M248" i="1"/>
  <c r="N248" i="1"/>
  <c r="T249" i="1" l="1"/>
  <c r="S249" i="1"/>
  <c r="Y249" i="1"/>
  <c r="Z249" i="1"/>
  <c r="M249" i="1"/>
  <c r="N249" i="1"/>
  <c r="S250" i="1" l="1"/>
  <c r="T250" i="1"/>
  <c r="M250" i="1"/>
  <c r="N250" i="1"/>
  <c r="Z250" i="1"/>
  <c r="Y250" i="1"/>
  <c r="Z251" i="1" l="1"/>
  <c r="Y251" i="1"/>
  <c r="S251" i="1"/>
  <c r="T251" i="1"/>
  <c r="N251" i="1"/>
  <c r="M251" i="1"/>
  <c r="Y252" i="1" l="1"/>
  <c r="Z252" i="1"/>
  <c r="T252" i="1"/>
  <c r="S252" i="1"/>
  <c r="M252" i="1"/>
  <c r="N252" i="1"/>
  <c r="M253" i="1" l="1"/>
  <c r="N253" i="1"/>
  <c r="T253" i="1"/>
  <c r="S253" i="1"/>
  <c r="Z253" i="1"/>
  <c r="Y253" i="1"/>
  <c r="Y254" i="1" l="1"/>
  <c r="Z254" i="1"/>
  <c r="M254" i="1"/>
  <c r="N254" i="1"/>
  <c r="S254" i="1"/>
  <c r="T254" i="1"/>
  <c r="Z255" i="1" l="1"/>
  <c r="Y255" i="1"/>
  <c r="T255" i="1"/>
  <c r="S255" i="1"/>
  <c r="N255" i="1"/>
  <c r="M255" i="1"/>
  <c r="T256" i="1" l="1"/>
  <c r="S256" i="1"/>
  <c r="Z256" i="1"/>
  <c r="Y256" i="1"/>
  <c r="N256" i="1"/>
  <c r="M256" i="1"/>
  <c r="T257" i="1" l="1"/>
  <c r="S257" i="1"/>
  <c r="N257" i="1"/>
  <c r="M257" i="1"/>
  <c r="Z257" i="1"/>
  <c r="Y257" i="1"/>
  <c r="Z258" i="1" l="1"/>
  <c r="Y258" i="1"/>
  <c r="M258" i="1"/>
  <c r="N258" i="1"/>
  <c r="T258" i="1"/>
  <c r="S258" i="1"/>
  <c r="S259" i="1" l="1"/>
  <c r="T259" i="1"/>
  <c r="Z259" i="1"/>
  <c r="Y259" i="1"/>
  <c r="M259" i="1"/>
  <c r="N259" i="1"/>
  <c r="Y260" i="1" l="1"/>
  <c r="Z260" i="1"/>
  <c r="T260" i="1"/>
  <c r="S260" i="1"/>
  <c r="N260" i="1"/>
  <c r="M260" i="1"/>
  <c r="Y261" i="1" l="1"/>
  <c r="Z261" i="1"/>
  <c r="T261" i="1"/>
  <c r="S261" i="1"/>
  <c r="M261" i="1"/>
  <c r="N261" i="1"/>
  <c r="Y262" i="1" l="1"/>
  <c r="Z262" i="1"/>
  <c r="T262" i="1"/>
  <c r="S262" i="1"/>
  <c r="N262" i="1"/>
  <c r="M262" i="1"/>
  <c r="Z263" i="1" l="1"/>
  <c r="Y263" i="1"/>
  <c r="N263" i="1"/>
  <c r="M263" i="1"/>
  <c r="T263" i="1"/>
  <c r="S263" i="1"/>
  <c r="T264" i="1" l="1"/>
  <c r="S264" i="1"/>
  <c r="Z264" i="1"/>
  <c r="Y264" i="1"/>
  <c r="N264" i="1"/>
  <c r="M264" i="1"/>
  <c r="Z265" i="1" l="1"/>
  <c r="Y265" i="1"/>
  <c r="T265" i="1"/>
  <c r="S265" i="1"/>
  <c r="N265" i="1"/>
  <c r="M265" i="1"/>
  <c r="S266" i="1" l="1"/>
  <c r="T266" i="1"/>
  <c r="Z266" i="1"/>
  <c r="Y266" i="1"/>
  <c r="N266" i="1"/>
  <c r="M266" i="1"/>
  <c r="S267" i="1" l="1"/>
  <c r="T267" i="1"/>
  <c r="Z267" i="1"/>
  <c r="Y267" i="1"/>
  <c r="N267" i="1"/>
  <c r="M267" i="1"/>
  <c r="S268" i="1" l="1"/>
  <c r="T268" i="1"/>
  <c r="Z268" i="1"/>
  <c r="Y268" i="1"/>
  <c r="M268" i="1"/>
  <c r="N268" i="1"/>
  <c r="T269" i="1" l="1"/>
  <c r="S269" i="1"/>
  <c r="Z269" i="1"/>
  <c r="Y269" i="1"/>
  <c r="M269" i="1"/>
  <c r="N269" i="1"/>
  <c r="Z270" i="1" l="1"/>
  <c r="Y270" i="1"/>
  <c r="S270" i="1"/>
  <c r="T270" i="1"/>
  <c r="M270" i="1"/>
  <c r="N270" i="1"/>
  <c r="T271" i="1" l="1"/>
  <c r="S271" i="1"/>
  <c r="Y271" i="1"/>
  <c r="Z271" i="1"/>
  <c r="M271" i="1"/>
  <c r="N271" i="1"/>
  <c r="Y272" i="1" l="1"/>
  <c r="Z272" i="1"/>
  <c r="T272" i="1"/>
  <c r="S272" i="1"/>
  <c r="M272" i="1"/>
  <c r="N272" i="1"/>
  <c r="T273" i="1" l="1"/>
  <c r="S273" i="1"/>
  <c r="S222" i="1" s="1"/>
  <c r="Z273" i="1"/>
  <c r="Y273" i="1"/>
  <c r="Y222" i="1" s="1"/>
  <c r="N273" i="1"/>
  <c r="M273" i="1"/>
  <c r="M222" i="1" s="1"/>
  <c r="T274" i="1" l="1"/>
  <c r="S274" i="1"/>
  <c r="Y274" i="1"/>
  <c r="Z274" i="1"/>
  <c r="N274" i="1"/>
  <c r="M274" i="1"/>
  <c r="S275" i="1" l="1"/>
  <c r="T275" i="1"/>
  <c r="Y275" i="1"/>
  <c r="Z275" i="1"/>
  <c r="M275" i="1"/>
  <c r="N275" i="1"/>
  <c r="N276" i="1" l="1"/>
  <c r="T276" i="1"/>
  <c r="Z276" i="1"/>
  <c r="T277" i="1" l="1"/>
  <c r="S277" i="1"/>
  <c r="Y277" i="1"/>
  <c r="Z277" i="1"/>
  <c r="N277" i="1"/>
  <c r="M277" i="1"/>
  <c r="S278" i="1" l="1"/>
  <c r="T278" i="1"/>
  <c r="Z278" i="1"/>
  <c r="Y278" i="1"/>
  <c r="N278" i="1"/>
  <c r="M278" i="1"/>
  <c r="Y279" i="1" l="1"/>
  <c r="Z279" i="1"/>
  <c r="T279" i="1"/>
  <c r="S279" i="1"/>
  <c r="N279" i="1"/>
  <c r="M279" i="1"/>
  <c r="S280" i="1" l="1"/>
  <c r="T280" i="1"/>
  <c r="Y280" i="1"/>
  <c r="Z280" i="1"/>
  <c r="N280" i="1"/>
  <c r="M280" i="1"/>
  <c r="Z281" i="1" l="1"/>
  <c r="Y281" i="1"/>
  <c r="N281" i="1"/>
  <c r="M281" i="1"/>
  <c r="Y282" i="1" l="1"/>
  <c r="Z282" i="1"/>
  <c r="T282" i="1"/>
  <c r="S282" i="1"/>
  <c r="M282" i="1"/>
  <c r="N282" i="1"/>
  <c r="T283" i="1" l="1"/>
  <c r="S283" i="1"/>
  <c r="Y283" i="1"/>
  <c r="Z283" i="1"/>
  <c r="M283" i="1"/>
  <c r="N283" i="1"/>
  <c r="Y284" i="1" l="1"/>
  <c r="Z284" i="1"/>
  <c r="T284" i="1"/>
  <c r="S284" i="1"/>
  <c r="N284" i="1"/>
  <c r="M284" i="1"/>
  <c r="N285" i="1" l="1"/>
  <c r="M285" i="1"/>
  <c r="T285" i="1"/>
  <c r="S285" i="1"/>
  <c r="Y285" i="1"/>
  <c r="Z285" i="1"/>
  <c r="Z286" i="1" l="1"/>
  <c r="Y286" i="1"/>
  <c r="N286" i="1"/>
  <c r="M286" i="1"/>
  <c r="Z287" i="1" l="1"/>
  <c r="Y287" i="1"/>
  <c r="T287" i="1"/>
  <c r="S287" i="1"/>
  <c r="N287" i="1"/>
  <c r="M287" i="1"/>
  <c r="Z288" i="1" l="1"/>
  <c r="Y288" i="1"/>
  <c r="S288" i="1"/>
  <c r="T288" i="1"/>
  <c r="M288" i="1"/>
  <c r="N288" i="1"/>
  <c r="S289" i="1" l="1"/>
  <c r="T289" i="1"/>
  <c r="Y289" i="1"/>
  <c r="Z289" i="1"/>
  <c r="M289" i="1"/>
  <c r="N289" i="1"/>
  <c r="Z290" i="1" l="1"/>
  <c r="Y290" i="1"/>
  <c r="T290" i="1"/>
  <c r="S290" i="1"/>
  <c r="M290" i="1"/>
  <c r="N290" i="1"/>
  <c r="Z291" i="1" l="1"/>
  <c r="Y291" i="1"/>
  <c r="T291" i="1"/>
  <c r="S291" i="1"/>
  <c r="N291" i="1"/>
  <c r="M291" i="1"/>
  <c r="N292" i="1" l="1"/>
  <c r="M292" i="1"/>
  <c r="S292" i="1"/>
  <c r="T292" i="1"/>
  <c r="Y292" i="1"/>
  <c r="Z292" i="1"/>
  <c r="N293" i="1" l="1"/>
  <c r="M293" i="1"/>
  <c r="Z293" i="1"/>
  <c r="Y293" i="1"/>
  <c r="N294" i="1" l="1"/>
  <c r="M294" i="1"/>
  <c r="Y294" i="1"/>
  <c r="Z294" i="1"/>
  <c r="Z295" i="1" l="1"/>
  <c r="Y295" i="1"/>
  <c r="S295" i="1"/>
  <c r="T295" i="1"/>
  <c r="M295" i="1"/>
  <c r="N295" i="1"/>
  <c r="S296" i="1" l="1"/>
  <c r="T296" i="1"/>
  <c r="Z296" i="1"/>
  <c r="Y296" i="1"/>
  <c r="N296" i="1"/>
  <c r="M296" i="1"/>
  <c r="S297" i="1" l="1"/>
  <c r="T297" i="1"/>
  <c r="Y297" i="1"/>
  <c r="Z297" i="1"/>
  <c r="M297" i="1"/>
  <c r="N297" i="1"/>
  <c r="Z298" i="1" l="1"/>
  <c r="Y298" i="1"/>
  <c r="N298" i="1"/>
  <c r="M298" i="1"/>
  <c r="T298" i="1"/>
  <c r="S298" i="1"/>
  <c r="T299" i="1" l="1"/>
  <c r="S299" i="1"/>
  <c r="M299" i="1"/>
  <c r="N299" i="1"/>
  <c r="Z299" i="1"/>
  <c r="Y299" i="1"/>
  <c r="Y300" i="1" l="1"/>
  <c r="Z300" i="1"/>
  <c r="M300" i="1"/>
  <c r="N300" i="1"/>
  <c r="T300" i="1"/>
  <c r="S300" i="1"/>
  <c r="N301" i="1" l="1"/>
  <c r="M301" i="1"/>
  <c r="T301" i="1"/>
  <c r="S301" i="1"/>
  <c r="Z301" i="1"/>
  <c r="Y301" i="1"/>
  <c r="Z302" i="1" l="1"/>
  <c r="Y302" i="1"/>
  <c r="S302" i="1"/>
  <c r="T302" i="1"/>
  <c r="M302" i="1"/>
  <c r="N302" i="1"/>
  <c r="Z303" i="1" l="1"/>
  <c r="Y303" i="1"/>
  <c r="T303" i="1"/>
  <c r="S303" i="1"/>
  <c r="N303" i="1"/>
  <c r="M303" i="1"/>
  <c r="N304" i="1" l="1"/>
  <c r="M304" i="1"/>
  <c r="S304" i="1"/>
  <c r="T304" i="1"/>
  <c r="Z304" i="1"/>
  <c r="Y304" i="1"/>
  <c r="Z305" i="1" l="1"/>
  <c r="Y305" i="1"/>
  <c r="S305" i="1"/>
  <c r="T305" i="1"/>
  <c r="M305" i="1"/>
  <c r="N305" i="1"/>
  <c r="S306" i="1" l="1"/>
  <c r="T306" i="1"/>
  <c r="M306" i="1"/>
  <c r="N306" i="1"/>
  <c r="Y306" i="1"/>
  <c r="Z306" i="1"/>
  <c r="Z307" i="1" l="1"/>
  <c r="Y307" i="1"/>
  <c r="M307" i="1"/>
  <c r="N307" i="1"/>
  <c r="S307" i="1"/>
  <c r="T307" i="1"/>
  <c r="N308" i="1" l="1"/>
  <c r="M308" i="1"/>
  <c r="Z308" i="1"/>
  <c r="Y308" i="1"/>
  <c r="T308" i="1"/>
  <c r="S308" i="1"/>
  <c r="Y309" i="1" l="1"/>
  <c r="Z309" i="1"/>
  <c r="N309" i="1"/>
  <c r="M309" i="1"/>
  <c r="S309" i="1"/>
  <c r="T309" i="1"/>
  <c r="T310" i="1" l="1"/>
  <c r="S310" i="1"/>
  <c r="Y310" i="1"/>
  <c r="Z310" i="1"/>
  <c r="N310" i="1"/>
  <c r="M310" i="1"/>
  <c r="T311" i="1" l="1"/>
  <c r="S311" i="1"/>
  <c r="N311" i="1"/>
  <c r="M311" i="1"/>
  <c r="Z311" i="1"/>
  <c r="Y311" i="1"/>
  <c r="S312" i="1" l="1"/>
  <c r="T312" i="1"/>
  <c r="Z312" i="1"/>
  <c r="Y312" i="1"/>
  <c r="N312" i="1"/>
  <c r="M312" i="1"/>
  <c r="T313" i="1" l="1"/>
  <c r="S313" i="1"/>
  <c r="Z313" i="1"/>
  <c r="Y313" i="1"/>
  <c r="M313" i="1"/>
  <c r="N313" i="1"/>
  <c r="T314" i="1" l="1"/>
  <c r="S314" i="1"/>
  <c r="Z314" i="1"/>
  <c r="Y314" i="1"/>
  <c r="M314" i="1"/>
  <c r="N314" i="1"/>
  <c r="T315" i="1" l="1"/>
  <c r="S315" i="1"/>
  <c r="Z315" i="1"/>
  <c r="Y315" i="1"/>
  <c r="M315" i="1"/>
  <c r="N315" i="1"/>
  <c r="T316" i="1" l="1"/>
  <c r="S316" i="1"/>
  <c r="Y316" i="1"/>
  <c r="Z316" i="1"/>
  <c r="M316" i="1"/>
  <c r="N316" i="1"/>
  <c r="T317" i="1" l="1"/>
  <c r="S317" i="1"/>
  <c r="Y317" i="1"/>
  <c r="Z317" i="1"/>
  <c r="M317" i="1"/>
  <c r="N317" i="1"/>
  <c r="S318" i="1" l="1"/>
  <c r="T318" i="1"/>
  <c r="Z318" i="1"/>
  <c r="Y318" i="1"/>
  <c r="N318" i="1"/>
  <c r="M318" i="1"/>
  <c r="T319" i="1" l="1"/>
  <c r="S319" i="1"/>
  <c r="Z319" i="1"/>
  <c r="Y319" i="1"/>
  <c r="N319" i="1"/>
  <c r="M319" i="1"/>
  <c r="Y320" i="1" l="1"/>
  <c r="Z320" i="1"/>
  <c r="M320" i="1"/>
  <c r="N320" i="1"/>
  <c r="T320" i="1"/>
  <c r="S320" i="1"/>
  <c r="M321" i="1" l="1"/>
  <c r="N321" i="1"/>
  <c r="Z321" i="1"/>
  <c r="Y321" i="1"/>
  <c r="T321" i="1"/>
  <c r="S321" i="1"/>
  <c r="S322" i="1" l="1"/>
  <c r="T322" i="1"/>
  <c r="M322" i="1"/>
  <c r="N322" i="1"/>
  <c r="Z322" i="1"/>
  <c r="Y322" i="1"/>
  <c r="T323" i="1" l="1"/>
  <c r="S323" i="1"/>
  <c r="Y323" i="1"/>
  <c r="Z323" i="1"/>
  <c r="N323" i="1"/>
  <c r="M323" i="1"/>
  <c r="T324" i="1" l="1"/>
  <c r="S324" i="1"/>
  <c r="Z324" i="1"/>
  <c r="Y324" i="1"/>
  <c r="M324" i="1"/>
  <c r="N324" i="1"/>
  <c r="N325" i="1" l="1"/>
  <c r="M325" i="1"/>
  <c r="Y325" i="1"/>
  <c r="Z325" i="1"/>
  <c r="T325" i="1"/>
  <c r="S325" i="1"/>
  <c r="G78" i="10" l="1"/>
  <c r="M326" i="1"/>
  <c r="N326" i="1"/>
  <c r="Y326" i="1"/>
  <c r="Z326" i="1"/>
  <c r="T326" i="1"/>
  <c r="S326" i="1"/>
  <c r="P78" i="10" l="1"/>
  <c r="G79" i="10"/>
  <c r="T327" i="1"/>
  <c r="S327" i="1"/>
  <c r="S276" i="1" s="1"/>
  <c r="Y327" i="1"/>
  <c r="Y276" i="1" s="1"/>
  <c r="Z327" i="1"/>
  <c r="N327" i="1"/>
  <c r="M327" i="1"/>
  <c r="M276" i="1" s="1"/>
  <c r="P79" i="10" l="1"/>
  <c r="V78" i="10"/>
  <c r="O78" i="10"/>
  <c r="G80" i="10"/>
  <c r="T328" i="1"/>
  <c r="Z328" i="1"/>
  <c r="N328" i="1"/>
  <c r="P80" i="10" l="1"/>
  <c r="V79" i="10"/>
  <c r="O79" i="10"/>
  <c r="G81" i="10"/>
  <c r="Y329" i="1"/>
  <c r="Z329" i="1"/>
  <c r="T329" i="1"/>
  <c r="S329" i="1"/>
  <c r="N329" i="1"/>
  <c r="M329" i="1"/>
  <c r="P81" i="10" l="1"/>
  <c r="V80" i="10"/>
  <c r="O80" i="10"/>
  <c r="G82" i="10"/>
  <c r="M330" i="1"/>
  <c r="N330" i="1"/>
  <c r="Z330" i="1"/>
  <c r="Y330" i="1"/>
  <c r="T330" i="1"/>
  <c r="S330" i="1"/>
  <c r="P82" i="10" l="1"/>
  <c r="V81" i="10"/>
  <c r="O81" i="10"/>
  <c r="G83" i="10"/>
  <c r="T331" i="1"/>
  <c r="S331" i="1"/>
  <c r="Y331" i="1"/>
  <c r="Z331" i="1"/>
  <c r="M331" i="1"/>
  <c r="N331" i="1"/>
  <c r="V82" i="10" l="1"/>
  <c r="O82" i="10"/>
  <c r="P83" i="10"/>
  <c r="G84" i="10"/>
  <c r="N332" i="1"/>
  <c r="M332" i="1"/>
  <c r="Z332" i="1"/>
  <c r="Y332" i="1"/>
  <c r="T332" i="1"/>
  <c r="S332" i="1"/>
  <c r="P84" i="10" l="1"/>
  <c r="V83" i="10"/>
  <c r="O83" i="10"/>
  <c r="G85" i="10"/>
  <c r="N333" i="1"/>
  <c r="M333" i="1"/>
  <c r="Y333" i="1"/>
  <c r="Z333" i="1"/>
  <c r="P85" i="10" l="1"/>
  <c r="V84" i="10"/>
  <c r="O84" i="10"/>
  <c r="G86" i="10"/>
  <c r="Z334" i="1"/>
  <c r="Y334" i="1"/>
  <c r="N334" i="1"/>
  <c r="M334" i="1"/>
  <c r="T334" i="1"/>
  <c r="S334" i="1"/>
  <c r="P86" i="10" l="1"/>
  <c r="V85" i="10"/>
  <c r="O85" i="10"/>
  <c r="G87" i="10"/>
  <c r="N335" i="1"/>
  <c r="M335" i="1"/>
  <c r="T335" i="1"/>
  <c r="S335" i="1"/>
  <c r="Z335" i="1"/>
  <c r="Y335" i="1"/>
  <c r="P87" i="10" l="1"/>
  <c r="V86" i="10"/>
  <c r="O86" i="10"/>
  <c r="G88" i="10"/>
  <c r="Z336" i="1"/>
  <c r="Y336" i="1"/>
  <c r="T336" i="1"/>
  <c r="S336" i="1"/>
  <c r="N336" i="1"/>
  <c r="M336" i="1"/>
  <c r="P88" i="10" l="1"/>
  <c r="V87" i="10"/>
  <c r="O87" i="10"/>
  <c r="G89" i="10"/>
  <c r="Y337" i="1"/>
  <c r="Z337" i="1"/>
  <c r="S337" i="1"/>
  <c r="T337" i="1"/>
  <c r="N337" i="1"/>
  <c r="M337" i="1"/>
  <c r="P89" i="10" l="1"/>
  <c r="V88" i="10"/>
  <c r="O88" i="10"/>
  <c r="G90" i="10"/>
  <c r="Z338" i="1"/>
  <c r="Y338" i="1"/>
  <c r="N338" i="1"/>
  <c r="M338" i="1"/>
  <c r="P90" i="10" l="1"/>
  <c r="V89" i="10"/>
  <c r="O89" i="10"/>
  <c r="N339" i="1"/>
  <c r="M339" i="1"/>
  <c r="Z339" i="1"/>
  <c r="Y339" i="1"/>
  <c r="T339" i="1"/>
  <c r="S339" i="1"/>
  <c r="V90" i="10" l="1"/>
  <c r="O90" i="10"/>
  <c r="T340" i="1"/>
  <c r="S340" i="1"/>
  <c r="Z340" i="1"/>
  <c r="Y340" i="1"/>
  <c r="N340" i="1"/>
  <c r="M340" i="1"/>
  <c r="M341" i="1" l="1"/>
  <c r="N341" i="1"/>
  <c r="Z341" i="1"/>
  <c r="Y341" i="1"/>
  <c r="T341" i="1"/>
  <c r="S341" i="1"/>
  <c r="M342" i="1" l="1"/>
  <c r="N342" i="1"/>
  <c r="Z342" i="1"/>
  <c r="Y342" i="1"/>
  <c r="S342" i="1"/>
  <c r="T342" i="1"/>
  <c r="Z343" i="1" l="1"/>
  <c r="Y343" i="1"/>
  <c r="S343" i="1"/>
  <c r="T343" i="1"/>
  <c r="M343" i="1"/>
  <c r="N343" i="1"/>
  <c r="Y344" i="1" l="1"/>
  <c r="Z344" i="1"/>
  <c r="S344" i="1"/>
  <c r="T344" i="1"/>
  <c r="M344" i="1"/>
  <c r="N344" i="1"/>
  <c r="T345" i="1" l="1"/>
  <c r="S345" i="1"/>
  <c r="Z345" i="1"/>
  <c r="Y345" i="1"/>
  <c r="N345" i="1"/>
  <c r="M345" i="1"/>
  <c r="Y346" i="1" l="1"/>
  <c r="Z346" i="1"/>
  <c r="T346" i="1"/>
  <c r="S346" i="1"/>
  <c r="N346" i="1"/>
  <c r="M346" i="1"/>
  <c r="Z347" i="1" l="1"/>
  <c r="Y347" i="1"/>
  <c r="S347" i="1"/>
  <c r="T347" i="1"/>
  <c r="M347" i="1"/>
  <c r="N347" i="1"/>
  <c r="Z348" i="1" l="1"/>
  <c r="Y348" i="1"/>
  <c r="M348" i="1"/>
  <c r="N348" i="1"/>
  <c r="T348" i="1"/>
  <c r="S348" i="1"/>
  <c r="N349" i="1" l="1"/>
  <c r="M349" i="1"/>
  <c r="S349" i="1"/>
  <c r="T349" i="1"/>
  <c r="Z349" i="1"/>
  <c r="Y349" i="1"/>
  <c r="S350" i="1" l="1"/>
  <c r="T350" i="1"/>
  <c r="Z350" i="1"/>
  <c r="Y350" i="1"/>
  <c r="N350" i="1"/>
  <c r="M350" i="1"/>
  <c r="Y351" i="1" l="1"/>
  <c r="Z351" i="1"/>
  <c r="M351" i="1"/>
  <c r="N351" i="1"/>
  <c r="T351" i="1"/>
  <c r="S351" i="1"/>
  <c r="T352" i="1" l="1"/>
  <c r="S352" i="1"/>
  <c r="Z352" i="1"/>
  <c r="Y352" i="1"/>
  <c r="N352" i="1"/>
  <c r="M352" i="1"/>
  <c r="Z353" i="1" l="1"/>
  <c r="Y353" i="1"/>
  <c r="M353" i="1"/>
  <c r="N353" i="1"/>
  <c r="T353" i="1"/>
  <c r="S353" i="1"/>
  <c r="T354" i="1" l="1"/>
  <c r="S354" i="1"/>
  <c r="N354" i="1"/>
  <c r="M354" i="1"/>
  <c r="Y354" i="1"/>
  <c r="Z354" i="1"/>
  <c r="Y355" i="1" l="1"/>
  <c r="Z355" i="1"/>
  <c r="T355" i="1"/>
  <c r="S355" i="1"/>
  <c r="N355" i="1"/>
  <c r="M355" i="1"/>
  <c r="S356" i="1" l="1"/>
  <c r="T356" i="1"/>
  <c r="Z356" i="1"/>
  <c r="Y356" i="1"/>
  <c r="N356" i="1"/>
  <c r="M356" i="1"/>
  <c r="Z357" i="1" l="1"/>
  <c r="Y357" i="1"/>
  <c r="N357" i="1"/>
  <c r="M357" i="1"/>
  <c r="T357" i="1"/>
  <c r="S357" i="1"/>
  <c r="T358" i="1" l="1"/>
  <c r="S358" i="1"/>
  <c r="N358" i="1"/>
  <c r="M358" i="1"/>
  <c r="Z358" i="1"/>
  <c r="Y358" i="1"/>
  <c r="F78" i="10" l="1"/>
  <c r="Z359" i="1"/>
  <c r="Y359" i="1"/>
  <c r="Y328" i="1" s="1"/>
  <c r="S359" i="1"/>
  <c r="S328" i="1" s="1"/>
  <c r="T359" i="1"/>
  <c r="N359" i="1"/>
  <c r="M359" i="1"/>
  <c r="M328" i="1" s="1"/>
  <c r="N78" i="10" l="1"/>
  <c r="U78" i="10"/>
  <c r="F79" i="10"/>
  <c r="Z360" i="1"/>
  <c r="T360" i="1"/>
  <c r="N360" i="1"/>
  <c r="E78" i="10" l="1"/>
  <c r="M78" i="10" s="1"/>
  <c r="N79" i="10"/>
  <c r="U79" i="10"/>
  <c r="F80" i="10"/>
  <c r="Z361" i="1"/>
  <c r="Y361" i="1"/>
  <c r="N361" i="1"/>
  <c r="M361" i="1"/>
  <c r="T361" i="1"/>
  <c r="S361" i="1"/>
  <c r="T78" i="10" l="1"/>
  <c r="E79" i="10"/>
  <c r="M79" i="10" s="1"/>
  <c r="N80" i="10"/>
  <c r="U80" i="10"/>
  <c r="F81" i="10"/>
  <c r="S362" i="1"/>
  <c r="T362" i="1"/>
  <c r="Y362" i="1"/>
  <c r="Z362" i="1"/>
  <c r="N362" i="1"/>
  <c r="M362" i="1"/>
  <c r="E80" i="10" l="1"/>
  <c r="M80" i="10" s="1"/>
  <c r="T79" i="10"/>
  <c r="N81" i="10"/>
  <c r="U81" i="10"/>
  <c r="F82" i="10"/>
  <c r="M363" i="1"/>
  <c r="N363" i="1"/>
  <c r="Z363" i="1"/>
  <c r="Y363" i="1"/>
  <c r="S363" i="1"/>
  <c r="T363" i="1"/>
  <c r="E81" i="10" l="1"/>
  <c r="M81" i="10" s="1"/>
  <c r="T80" i="10"/>
  <c r="N82" i="10"/>
  <c r="U82" i="10"/>
  <c r="F83" i="10"/>
  <c r="Z364" i="1"/>
  <c r="Y364" i="1"/>
  <c r="S364" i="1"/>
  <c r="T364" i="1"/>
  <c r="M364" i="1"/>
  <c r="N364" i="1"/>
  <c r="T81" i="10" l="1"/>
  <c r="E82" i="10"/>
  <c r="M82" i="10" s="1"/>
  <c r="N83" i="10"/>
  <c r="U83" i="10"/>
  <c r="F84" i="10"/>
  <c r="T365" i="1"/>
  <c r="S365" i="1"/>
  <c r="Z365" i="1"/>
  <c r="Y365" i="1"/>
  <c r="M365" i="1"/>
  <c r="N365" i="1"/>
  <c r="E83" i="10" l="1"/>
  <c r="M83" i="10" s="1"/>
  <c r="T82" i="10"/>
  <c r="N84" i="10"/>
  <c r="U84" i="10"/>
  <c r="F85" i="10"/>
  <c r="E84" i="10"/>
  <c r="T366" i="1"/>
  <c r="S366" i="1"/>
  <c r="Y366" i="1"/>
  <c r="Z366" i="1"/>
  <c r="N366" i="1"/>
  <c r="M366" i="1"/>
  <c r="T83" i="10" l="1"/>
  <c r="N85" i="10"/>
  <c r="U85" i="10"/>
  <c r="F86" i="10"/>
  <c r="Z367" i="1"/>
  <c r="Y367" i="1"/>
  <c r="S367" i="1"/>
  <c r="T367" i="1"/>
  <c r="M367" i="1"/>
  <c r="N367" i="1"/>
  <c r="E85" i="10" l="1"/>
  <c r="M85" i="10" s="1"/>
  <c r="N86" i="10"/>
  <c r="U86" i="10"/>
  <c r="M84" i="10"/>
  <c r="T84" i="10"/>
  <c r="F87" i="10"/>
  <c r="Y368" i="1"/>
  <c r="Z368" i="1"/>
  <c r="S368" i="1"/>
  <c r="T368" i="1"/>
  <c r="M368" i="1"/>
  <c r="N368" i="1"/>
  <c r="T85" i="10" l="1"/>
  <c r="E86" i="10"/>
  <c r="M86" i="10" s="1"/>
  <c r="N87" i="10"/>
  <c r="U87" i="10"/>
  <c r="F88" i="10"/>
  <c r="N369" i="1"/>
  <c r="M369" i="1"/>
  <c r="Z369" i="1"/>
  <c r="Y369" i="1"/>
  <c r="S369" i="1"/>
  <c r="T369" i="1"/>
  <c r="E87" i="10" l="1"/>
  <c r="M87" i="10" s="1"/>
  <c r="T86" i="10"/>
  <c r="N88" i="10"/>
  <c r="U88" i="10"/>
  <c r="F89" i="10"/>
  <c r="Z370" i="1"/>
  <c r="Y370" i="1"/>
  <c r="T370" i="1"/>
  <c r="S370" i="1"/>
  <c r="N370" i="1"/>
  <c r="M370" i="1"/>
  <c r="T87" i="10" l="1"/>
  <c r="E88" i="10"/>
  <c r="M88" i="10" s="1"/>
  <c r="N89" i="10"/>
  <c r="U89" i="10"/>
  <c r="F90" i="10"/>
  <c r="N371" i="1"/>
  <c r="M371" i="1"/>
  <c r="T371" i="1"/>
  <c r="S371" i="1"/>
  <c r="Y371" i="1"/>
  <c r="Z371" i="1"/>
  <c r="T88" i="10" l="1"/>
  <c r="E89" i="10"/>
  <c r="M89" i="10" s="1"/>
  <c r="N90" i="10"/>
  <c r="U90" i="10"/>
  <c r="T372" i="1"/>
  <c r="S372" i="1"/>
  <c r="Z372" i="1"/>
  <c r="Y372" i="1"/>
  <c r="N372" i="1"/>
  <c r="M372" i="1"/>
  <c r="T89" i="10" l="1"/>
  <c r="E90" i="10"/>
  <c r="M90" i="10" s="1"/>
  <c r="Z373" i="1"/>
  <c r="Y373" i="1"/>
  <c r="T373" i="1"/>
  <c r="S373" i="1"/>
  <c r="M373" i="1"/>
  <c r="N373" i="1"/>
  <c r="T90" i="10" l="1"/>
  <c r="N374" i="1"/>
  <c r="M374" i="1"/>
  <c r="T374" i="1"/>
  <c r="S374" i="1"/>
  <c r="Z374" i="1"/>
  <c r="Y374" i="1"/>
  <c r="T375" i="1" l="1"/>
  <c r="S375" i="1"/>
  <c r="Y375" i="1"/>
  <c r="Z375" i="1"/>
  <c r="M375" i="1"/>
  <c r="N375" i="1"/>
  <c r="T376" i="1" l="1"/>
  <c r="S376" i="1"/>
  <c r="Y376" i="1"/>
  <c r="Z376" i="1"/>
  <c r="M376" i="1"/>
  <c r="N376" i="1"/>
  <c r="S377" i="1" l="1"/>
  <c r="T377" i="1"/>
  <c r="Y377" i="1"/>
  <c r="Z377" i="1"/>
  <c r="N377" i="1"/>
  <c r="M377" i="1"/>
  <c r="M378" i="1" l="1"/>
  <c r="N378" i="1"/>
  <c r="Z378" i="1"/>
  <c r="Y378" i="1"/>
  <c r="T378" i="1"/>
  <c r="S378" i="1"/>
  <c r="T379" i="1" l="1"/>
  <c r="S379" i="1"/>
  <c r="M379" i="1"/>
  <c r="N379" i="1"/>
  <c r="Z379" i="1"/>
  <c r="Y379" i="1"/>
  <c r="T380" i="1" l="1"/>
  <c r="S380" i="1"/>
  <c r="Z380" i="1"/>
  <c r="Y380" i="1"/>
  <c r="N380" i="1"/>
  <c r="M380" i="1"/>
  <c r="S381" i="1" l="1"/>
  <c r="T381" i="1"/>
  <c r="Z381" i="1"/>
  <c r="Y381" i="1"/>
  <c r="M381" i="1"/>
  <c r="N381" i="1"/>
  <c r="Z382" i="1" l="1"/>
  <c r="Y382" i="1"/>
  <c r="T382" i="1"/>
  <c r="S382" i="1"/>
  <c r="M382" i="1"/>
  <c r="N382" i="1"/>
  <c r="Y383" i="1" l="1"/>
  <c r="Z383" i="1"/>
  <c r="M383" i="1"/>
  <c r="N383" i="1"/>
  <c r="T383" i="1"/>
  <c r="S383" i="1"/>
  <c r="Y384" i="1" l="1"/>
  <c r="Z384" i="1"/>
  <c r="M384" i="1"/>
  <c r="N384" i="1"/>
  <c r="T384" i="1"/>
  <c r="S384" i="1"/>
  <c r="Y385" i="1" l="1"/>
  <c r="Z385" i="1"/>
  <c r="M385" i="1"/>
  <c r="N385" i="1"/>
  <c r="S385" i="1"/>
  <c r="T385" i="1"/>
  <c r="Z386" i="1" l="1"/>
  <c r="Y386" i="1"/>
  <c r="Y360" i="1" s="1"/>
  <c r="M386" i="1"/>
  <c r="M360" i="1" s="1"/>
  <c r="N386" i="1"/>
  <c r="T386" i="1"/>
  <c r="S386" i="1"/>
  <c r="S360" i="1" s="1"/>
  <c r="N387" i="1" l="1"/>
  <c r="T387" i="1"/>
  <c r="Z387" i="1"/>
  <c r="T388" i="1" l="1"/>
  <c r="S388" i="1"/>
  <c r="Y388" i="1"/>
  <c r="Z388" i="1"/>
  <c r="N388" i="1"/>
  <c r="M388" i="1"/>
  <c r="Z389" i="1" l="1"/>
  <c r="Y389" i="1"/>
  <c r="S389" i="1"/>
  <c r="T389" i="1"/>
  <c r="N389" i="1"/>
  <c r="M389" i="1"/>
  <c r="S390" i="1" l="1"/>
  <c r="T390" i="1"/>
  <c r="Z390" i="1"/>
  <c r="Y390" i="1"/>
  <c r="N390" i="1"/>
  <c r="M390" i="1"/>
  <c r="T391" i="1" l="1"/>
  <c r="S391" i="1"/>
  <c r="N391" i="1"/>
  <c r="M391" i="1"/>
  <c r="Z391" i="1"/>
  <c r="Y391" i="1"/>
  <c r="Z392" i="1" l="1"/>
  <c r="Y392" i="1"/>
  <c r="S392" i="1"/>
  <c r="T392" i="1"/>
  <c r="M392" i="1"/>
  <c r="N392" i="1"/>
  <c r="S393" i="1" l="1"/>
  <c r="T393" i="1"/>
  <c r="N393" i="1"/>
  <c r="M393" i="1"/>
  <c r="Y393" i="1"/>
  <c r="Z393" i="1"/>
  <c r="T394" i="1" l="1"/>
  <c r="S394" i="1"/>
  <c r="M394" i="1"/>
  <c r="N394" i="1"/>
  <c r="Y394" i="1"/>
  <c r="Z394" i="1"/>
  <c r="M395" i="1" l="1"/>
  <c r="N395" i="1"/>
  <c r="T395" i="1"/>
  <c r="S395" i="1"/>
  <c r="Z395" i="1"/>
  <c r="Y395" i="1"/>
  <c r="N396" i="1" l="1"/>
  <c r="M396" i="1"/>
  <c r="Z396" i="1"/>
  <c r="Y396" i="1"/>
  <c r="T396" i="1"/>
  <c r="S396" i="1"/>
  <c r="T397" i="1" l="1"/>
  <c r="S397" i="1"/>
  <c r="Y397" i="1"/>
  <c r="Z397" i="1"/>
  <c r="N397" i="1"/>
  <c r="M397" i="1"/>
  <c r="Z398" i="1" l="1"/>
  <c r="Y398" i="1"/>
  <c r="M398" i="1"/>
  <c r="N398" i="1"/>
  <c r="T398" i="1"/>
  <c r="S398" i="1"/>
  <c r="M399" i="1" l="1"/>
  <c r="N399" i="1"/>
  <c r="Z399" i="1"/>
  <c r="Y399" i="1"/>
  <c r="S399" i="1"/>
  <c r="T399" i="1"/>
  <c r="Z400" i="1" l="1"/>
  <c r="Y400" i="1"/>
  <c r="S400" i="1"/>
  <c r="T400" i="1"/>
  <c r="N400" i="1"/>
  <c r="M400" i="1"/>
  <c r="Z401" i="1" l="1"/>
  <c r="Y401" i="1"/>
  <c r="S401" i="1"/>
  <c r="T401" i="1"/>
  <c r="N401" i="1"/>
  <c r="M401" i="1"/>
  <c r="Z402" i="1" l="1"/>
  <c r="Y402" i="1"/>
  <c r="S402" i="1"/>
  <c r="T402" i="1"/>
  <c r="M402" i="1"/>
  <c r="N402" i="1"/>
  <c r="T403" i="1" l="1"/>
  <c r="S403" i="1"/>
  <c r="M403" i="1"/>
  <c r="N403" i="1"/>
  <c r="Z403" i="1"/>
  <c r="Y403" i="1"/>
  <c r="T404" i="1" l="1"/>
  <c r="S404" i="1"/>
  <c r="Z404" i="1"/>
  <c r="Y404" i="1"/>
  <c r="N404" i="1"/>
  <c r="M404" i="1"/>
  <c r="Y405" i="1" l="1"/>
  <c r="Z405" i="1"/>
  <c r="M405" i="1"/>
  <c r="N405" i="1"/>
  <c r="S405" i="1"/>
  <c r="T405" i="1"/>
  <c r="Z406" i="1" l="1"/>
  <c r="Y406" i="1"/>
  <c r="T406" i="1"/>
  <c r="S406" i="1"/>
  <c r="N406" i="1"/>
  <c r="M406" i="1"/>
  <c r="Z407" i="1" l="1"/>
  <c r="Y407" i="1"/>
  <c r="M407" i="1"/>
  <c r="N407" i="1"/>
  <c r="T407" i="1"/>
  <c r="S407" i="1"/>
  <c r="S408" i="1" l="1"/>
  <c r="T408" i="1"/>
  <c r="Z408" i="1"/>
  <c r="Y408" i="1"/>
  <c r="N408" i="1"/>
  <c r="M408" i="1"/>
  <c r="Y409" i="1" l="1"/>
  <c r="Z409" i="1"/>
  <c r="T409" i="1"/>
  <c r="S409" i="1"/>
  <c r="M409" i="1"/>
  <c r="N409" i="1"/>
  <c r="Y410" i="1" l="1"/>
  <c r="Z410" i="1"/>
  <c r="T410" i="1"/>
  <c r="S410" i="1"/>
  <c r="M410" i="1"/>
  <c r="N410" i="1"/>
  <c r="M411" i="1" l="1"/>
  <c r="N411" i="1"/>
  <c r="Y411" i="1"/>
  <c r="Z411" i="1"/>
  <c r="T411" i="1"/>
  <c r="S411" i="1"/>
  <c r="Y412" i="1" l="1"/>
  <c r="Z412" i="1"/>
  <c r="T412" i="1"/>
  <c r="S412" i="1"/>
  <c r="M412" i="1"/>
  <c r="N412" i="1"/>
  <c r="S413" i="1" l="1"/>
  <c r="S387" i="1" s="1"/>
  <c r="T413" i="1"/>
  <c r="Z413" i="1"/>
  <c r="Y413" i="1"/>
  <c r="Y387" i="1" s="1"/>
  <c r="M413" i="1"/>
  <c r="M387" i="1" s="1"/>
  <c r="N413" i="1"/>
  <c r="S414" i="1" l="1"/>
  <c r="T414" i="1"/>
  <c r="Z414" i="1"/>
  <c r="Y414" i="1"/>
  <c r="M414" i="1"/>
  <c r="N414" i="1"/>
  <c r="Z415" i="1" l="1"/>
  <c r="N415" i="1"/>
  <c r="T415" i="1"/>
  <c r="Z416" i="1" l="1"/>
  <c r="Y416" i="1"/>
  <c r="M416" i="1"/>
  <c r="N416" i="1"/>
  <c r="S416" i="1"/>
  <c r="T416" i="1"/>
  <c r="M417" i="1" l="1"/>
  <c r="N417" i="1"/>
  <c r="Z417" i="1"/>
  <c r="Y417" i="1"/>
  <c r="T417" i="1"/>
  <c r="S417" i="1"/>
  <c r="T418" i="1" l="1"/>
  <c r="S418" i="1"/>
  <c r="Y418" i="1"/>
  <c r="Z418" i="1"/>
  <c r="N418" i="1"/>
  <c r="M418" i="1"/>
  <c r="S419" i="1" l="1"/>
  <c r="T419" i="1"/>
  <c r="N419" i="1"/>
  <c r="M419" i="1"/>
  <c r="Z419" i="1"/>
  <c r="Y419" i="1"/>
  <c r="T420" i="1" l="1"/>
  <c r="S420" i="1"/>
  <c r="Y420" i="1"/>
  <c r="Z420" i="1"/>
  <c r="N420" i="1"/>
  <c r="M420" i="1"/>
  <c r="Z421" i="1" l="1"/>
  <c r="Y421" i="1"/>
  <c r="T421" i="1"/>
  <c r="S421" i="1"/>
  <c r="N421" i="1"/>
  <c r="M421" i="1"/>
  <c r="T422" i="1" l="1"/>
  <c r="S422" i="1"/>
  <c r="N422" i="1"/>
  <c r="M422" i="1"/>
  <c r="Y422" i="1"/>
  <c r="Z422" i="1"/>
  <c r="T423" i="1" l="1"/>
  <c r="S423" i="1"/>
  <c r="M423" i="1"/>
  <c r="N423" i="1"/>
  <c r="Z423" i="1"/>
  <c r="Y423" i="1"/>
  <c r="T424" i="1" l="1"/>
  <c r="S424" i="1"/>
  <c r="Z424" i="1"/>
  <c r="Y424" i="1"/>
  <c r="M424" i="1"/>
  <c r="N424" i="1"/>
  <c r="T425" i="1" l="1"/>
  <c r="S425" i="1"/>
  <c r="Z425" i="1"/>
  <c r="Y425" i="1"/>
  <c r="N425" i="1"/>
  <c r="M425" i="1"/>
  <c r="Y426" i="1" l="1"/>
  <c r="Z426" i="1"/>
  <c r="T426" i="1"/>
  <c r="S426" i="1"/>
  <c r="N426" i="1"/>
  <c r="M426" i="1"/>
  <c r="T427" i="1" l="1"/>
  <c r="S427" i="1"/>
  <c r="Z427" i="1"/>
  <c r="Y427" i="1"/>
  <c r="N427" i="1"/>
  <c r="M427" i="1"/>
  <c r="T428" i="1" l="1"/>
  <c r="S428" i="1"/>
  <c r="N428" i="1"/>
  <c r="M428" i="1"/>
  <c r="Y428" i="1"/>
  <c r="Z428" i="1"/>
  <c r="Y429" i="1" l="1"/>
  <c r="Z429" i="1"/>
  <c r="T429" i="1"/>
  <c r="S429" i="1"/>
  <c r="N429" i="1"/>
  <c r="M429" i="1"/>
  <c r="S430" i="1" l="1"/>
  <c r="T430" i="1"/>
  <c r="Z430" i="1"/>
  <c r="Y430" i="1"/>
  <c r="M430" i="1"/>
  <c r="N430" i="1"/>
  <c r="M431" i="1" l="1"/>
  <c r="N431" i="1"/>
  <c r="T431" i="1"/>
  <c r="S431" i="1"/>
  <c r="Z431" i="1"/>
  <c r="Y431" i="1"/>
  <c r="T432" i="1" l="1"/>
  <c r="S432" i="1"/>
  <c r="Z432" i="1"/>
  <c r="Y432" i="1"/>
  <c r="M432" i="1"/>
  <c r="N432" i="1"/>
  <c r="Y433" i="1" l="1"/>
  <c r="Z433" i="1"/>
  <c r="T433" i="1"/>
  <c r="S433" i="1"/>
  <c r="M433" i="1"/>
  <c r="N433" i="1"/>
  <c r="T434" i="1" l="1"/>
  <c r="S434" i="1"/>
  <c r="M434" i="1"/>
  <c r="N434" i="1"/>
  <c r="Z434" i="1"/>
  <c r="Y434" i="1"/>
  <c r="N435" i="1" l="1"/>
  <c r="M435" i="1"/>
  <c r="Y435" i="1"/>
  <c r="Z435" i="1"/>
  <c r="T435" i="1"/>
  <c r="S435" i="1"/>
  <c r="Z436" i="1" l="1"/>
  <c r="Y436" i="1"/>
  <c r="M436" i="1"/>
  <c r="N436" i="1"/>
  <c r="S436" i="1"/>
  <c r="T436" i="1"/>
  <c r="M437" i="1" l="1"/>
  <c r="N437" i="1"/>
  <c r="S437" i="1"/>
  <c r="T437" i="1"/>
  <c r="Y437" i="1"/>
  <c r="Z437" i="1"/>
  <c r="S438" i="1" l="1"/>
  <c r="T438" i="1"/>
  <c r="M438" i="1"/>
  <c r="N438" i="1"/>
  <c r="Z438" i="1"/>
  <c r="Y438" i="1"/>
  <c r="T439" i="1" l="1"/>
  <c r="S439" i="1"/>
  <c r="Y439" i="1"/>
  <c r="Z439" i="1"/>
  <c r="M439" i="1"/>
  <c r="N439" i="1"/>
  <c r="T440" i="1" l="1"/>
  <c r="S440" i="1"/>
  <c r="Y440" i="1"/>
  <c r="Z440" i="1"/>
  <c r="M440" i="1"/>
  <c r="N440" i="1"/>
  <c r="T441" i="1" l="1"/>
  <c r="S441" i="1"/>
  <c r="S415" i="1" s="1"/>
  <c r="Y441" i="1"/>
  <c r="Y415" i="1" s="1"/>
  <c r="Z441" i="1"/>
  <c r="M441" i="1"/>
  <c r="M415" i="1" s="1"/>
  <c r="N441" i="1"/>
  <c r="Y443" i="1" l="1"/>
  <c r="Z443" i="1"/>
  <c r="M443" i="1"/>
  <c r="N443" i="1"/>
  <c r="Z444" i="1" l="1"/>
  <c r="Y444" i="1"/>
  <c r="N444" i="1"/>
  <c r="M444" i="1"/>
  <c r="M445" i="1" l="1"/>
  <c r="N445" i="1"/>
  <c r="Z445" i="1"/>
  <c r="Y445" i="1"/>
  <c r="Z446" i="1" l="1"/>
  <c r="Y446" i="1"/>
  <c r="N446" i="1"/>
  <c r="M446" i="1"/>
  <c r="Z447" i="1" l="1"/>
  <c r="Y447" i="1"/>
  <c r="N447" i="1"/>
  <c r="M447" i="1"/>
  <c r="M448" i="1" l="1"/>
  <c r="N448" i="1"/>
  <c r="Y448" i="1"/>
  <c r="Z448" i="1"/>
  <c r="M449" i="1" l="1"/>
  <c r="N449" i="1"/>
  <c r="Y449" i="1"/>
  <c r="Z449" i="1"/>
  <c r="N450" i="1" l="1"/>
  <c r="M450" i="1"/>
  <c r="Z450" i="1"/>
  <c r="Y450" i="1"/>
  <c r="N451" i="1" l="1"/>
  <c r="M451" i="1"/>
  <c r="Z451" i="1"/>
  <c r="Y451" i="1"/>
  <c r="M452" i="1" l="1"/>
  <c r="N452" i="1"/>
  <c r="Y452" i="1"/>
  <c r="Z452" i="1"/>
  <c r="N453" i="1" l="1"/>
  <c r="M453" i="1"/>
  <c r="Y453" i="1"/>
  <c r="Z453" i="1"/>
  <c r="Y454" i="1" l="1"/>
  <c r="Z454" i="1"/>
  <c r="N454" i="1"/>
  <c r="M454" i="1"/>
  <c r="N455" i="1" l="1"/>
  <c r="M455" i="1"/>
  <c r="Z455" i="1"/>
  <c r="Y455" i="1"/>
  <c r="Z456" i="1" l="1"/>
  <c r="Y456" i="1"/>
  <c r="N456" i="1"/>
  <c r="M456" i="1"/>
  <c r="N457" i="1" l="1"/>
  <c r="M457" i="1"/>
  <c r="Z457" i="1"/>
  <c r="Y457" i="1"/>
  <c r="Z458" i="1" l="1"/>
  <c r="Y458" i="1"/>
  <c r="N458" i="1"/>
  <c r="M458" i="1"/>
  <c r="Y459" i="1" l="1"/>
  <c r="Z459" i="1"/>
  <c r="N459" i="1"/>
  <c r="M459" i="1"/>
  <c r="M460" i="1" l="1"/>
  <c r="N460" i="1"/>
  <c r="Z460" i="1"/>
  <c r="Y460" i="1"/>
  <c r="N461" i="1" l="1"/>
  <c r="M461" i="1"/>
  <c r="Z461" i="1"/>
  <c r="Y461" i="1"/>
  <c r="M462" i="1" l="1"/>
  <c r="N462" i="1"/>
  <c r="E95" i="10"/>
  <c r="Z462" i="1"/>
  <c r="Y462" i="1"/>
  <c r="P95" i="10" l="1"/>
  <c r="E96" i="10"/>
  <c r="S464" i="1"/>
  <c r="T464" i="1"/>
  <c r="Y464" i="1"/>
  <c r="Z464" i="1"/>
  <c r="M95" i="10" l="1"/>
  <c r="T95" i="10"/>
  <c r="P96" i="10"/>
  <c r="T465" i="1"/>
  <c r="S465" i="1"/>
  <c r="Z465" i="1"/>
  <c r="Y465" i="1"/>
  <c r="N465" i="1"/>
  <c r="M465" i="1"/>
  <c r="M96" i="10" l="1"/>
  <c r="T96" i="10"/>
  <c r="M464" i="1"/>
  <c r="N464" i="1"/>
  <c r="Z466" i="1"/>
  <c r="Y466" i="1"/>
  <c r="S466" i="1"/>
  <c r="T466" i="1"/>
  <c r="T467" i="1" l="1"/>
  <c r="S467" i="1"/>
  <c r="Y467" i="1"/>
  <c r="Z467" i="1"/>
  <c r="N467" i="1"/>
  <c r="M467" i="1"/>
  <c r="M466" i="1" l="1"/>
  <c r="N466" i="1"/>
  <c r="T468" i="1"/>
  <c r="S468" i="1"/>
  <c r="Z468" i="1"/>
  <c r="Y468" i="1"/>
  <c r="N469" i="1" l="1"/>
  <c r="M469" i="1"/>
  <c r="Z469" i="1"/>
  <c r="Y469" i="1"/>
  <c r="S469" i="1"/>
  <c r="T469" i="1"/>
  <c r="T470" i="1" l="1"/>
  <c r="S470" i="1"/>
  <c r="Z470" i="1"/>
  <c r="Y470" i="1"/>
  <c r="N468" i="1"/>
  <c r="M468" i="1"/>
  <c r="Z471" i="1" l="1"/>
  <c r="Y471" i="1"/>
  <c r="M471" i="1"/>
  <c r="N471" i="1"/>
  <c r="T471" i="1"/>
  <c r="S471" i="1"/>
  <c r="Z472" i="1" l="1"/>
  <c r="Y472" i="1"/>
  <c r="N470" i="1"/>
  <c r="M470" i="1"/>
  <c r="S472" i="1"/>
  <c r="S473" i="1" l="1"/>
  <c r="N473" i="1"/>
  <c r="M473" i="1"/>
  <c r="Z473" i="1"/>
  <c r="Y473" i="1"/>
  <c r="S474" i="1" l="1"/>
  <c r="T474" i="1"/>
  <c r="N474" i="1"/>
  <c r="M474" i="1"/>
  <c r="Z474" i="1"/>
  <c r="Y474" i="1"/>
  <c r="M472" i="1"/>
  <c r="N472" i="1"/>
  <c r="Z475" i="1" l="1"/>
  <c r="Y475" i="1"/>
  <c r="N475" i="1"/>
  <c r="M475" i="1"/>
  <c r="T475" i="1"/>
  <c r="S475" i="1"/>
  <c r="Z476" i="1" l="1"/>
  <c r="Y476" i="1"/>
  <c r="N476" i="1"/>
  <c r="M476" i="1"/>
  <c r="T476" i="1"/>
  <c r="S476" i="1"/>
  <c r="T477" i="1" l="1"/>
  <c r="S477" i="1"/>
  <c r="N477" i="1"/>
  <c r="M477" i="1"/>
  <c r="Y477" i="1"/>
  <c r="Z477" i="1"/>
  <c r="T478" i="1" l="1"/>
  <c r="S478" i="1"/>
  <c r="N478" i="1"/>
  <c r="M478" i="1"/>
  <c r="Z478" i="1"/>
  <c r="Y478" i="1"/>
  <c r="N479" i="1" l="1"/>
  <c r="M479" i="1"/>
  <c r="Z479" i="1"/>
  <c r="Y479" i="1"/>
  <c r="T479" i="1"/>
  <c r="S479" i="1"/>
  <c r="Y480" i="1" l="1"/>
  <c r="Z480" i="1"/>
  <c r="T480" i="1"/>
  <c r="S480" i="1"/>
  <c r="M480" i="1"/>
  <c r="N480" i="1"/>
  <c r="Y481" i="1" l="1"/>
  <c r="Z481" i="1"/>
  <c r="N481" i="1"/>
  <c r="M481" i="1"/>
  <c r="T481" i="1"/>
  <c r="S481" i="1"/>
  <c r="N482" i="1" l="1"/>
  <c r="M482" i="1"/>
  <c r="S482" i="1"/>
  <c r="T482" i="1"/>
  <c r="Z482" i="1"/>
  <c r="Y482" i="1"/>
  <c r="N483" i="1" l="1"/>
  <c r="M483" i="1"/>
  <c r="T483" i="1"/>
  <c r="S483" i="1"/>
  <c r="Z483" i="1"/>
  <c r="Y483" i="1"/>
  <c r="P106" i="10" l="1"/>
  <c r="T484" i="1"/>
  <c r="S484" i="1"/>
  <c r="S463" i="1" s="1"/>
  <c r="Z484" i="1"/>
  <c r="Y484" i="1"/>
  <c r="Y463" i="1" s="1"/>
  <c r="N484" i="1"/>
  <c r="M484" i="1"/>
  <c r="E107" i="10"/>
  <c r="P107" i="10" l="1"/>
  <c r="Z486" i="1"/>
  <c r="Y486" i="1"/>
  <c r="S486" i="1"/>
  <c r="T486" i="1"/>
  <c r="M486" i="1"/>
  <c r="N486" i="1"/>
  <c r="M107" i="10" l="1"/>
  <c r="T107" i="10"/>
  <c r="E109" i="10"/>
  <c r="N487" i="1"/>
  <c r="M487" i="1"/>
  <c r="T487" i="1"/>
  <c r="S487" i="1"/>
  <c r="Z487" i="1"/>
  <c r="Y487" i="1"/>
  <c r="P109" i="10" l="1"/>
  <c r="N488" i="1"/>
  <c r="M488" i="1"/>
  <c r="T488" i="1"/>
  <c r="S488" i="1"/>
  <c r="Y488" i="1"/>
  <c r="Z488" i="1"/>
  <c r="M109" i="10" l="1"/>
  <c r="T109" i="10"/>
  <c r="Y489" i="1"/>
  <c r="Z489" i="1"/>
  <c r="S489" i="1"/>
  <c r="T489" i="1"/>
  <c r="N489" i="1"/>
  <c r="M489" i="1"/>
  <c r="M490" i="1" l="1"/>
  <c r="N490" i="1"/>
  <c r="Z490" i="1"/>
  <c r="Y490" i="1"/>
  <c r="T491" i="1" l="1"/>
  <c r="S491" i="1"/>
  <c r="Y491" i="1"/>
  <c r="Z491" i="1"/>
  <c r="E113" i="10"/>
  <c r="N491" i="1"/>
  <c r="M491" i="1"/>
  <c r="P113" i="10" l="1"/>
  <c r="S492" i="1"/>
  <c r="T492" i="1"/>
  <c r="M492" i="1"/>
  <c r="N492" i="1"/>
  <c r="Y492" i="1"/>
  <c r="Z492" i="1"/>
  <c r="M113" i="10" l="1"/>
  <c r="T113" i="10"/>
  <c r="T493" i="1"/>
  <c r="S493" i="1"/>
  <c r="N493" i="1"/>
  <c r="M493" i="1"/>
  <c r="Z493" i="1"/>
  <c r="Y493" i="1"/>
  <c r="E115" i="10"/>
  <c r="P115" i="10" l="1"/>
  <c r="Z494" i="1"/>
  <c r="Y494" i="1"/>
  <c r="T494" i="1"/>
  <c r="S494" i="1"/>
  <c r="M494" i="1"/>
  <c r="N494" i="1"/>
  <c r="E134" i="10" l="1"/>
  <c r="E116" i="10"/>
  <c r="M115" i="10"/>
  <c r="T115" i="10"/>
  <c r="Z495" i="1"/>
  <c r="Y495" i="1"/>
  <c r="N495" i="1"/>
  <c r="M495" i="1"/>
  <c r="E117" i="10" l="1"/>
  <c r="E135" i="10"/>
  <c r="M116" i="10"/>
  <c r="T116" i="10"/>
  <c r="M134" i="10"/>
  <c r="T134" i="10"/>
  <c r="P116" i="10"/>
  <c r="P134" i="10"/>
  <c r="Y496" i="1"/>
  <c r="Z496" i="1"/>
  <c r="M496" i="1"/>
  <c r="N496" i="1"/>
  <c r="M117" i="10" l="1"/>
  <c r="T117" i="10"/>
  <c r="M135" i="10"/>
  <c r="T135" i="10"/>
  <c r="P135" i="10"/>
  <c r="P117" i="10"/>
  <c r="T497" i="1"/>
  <c r="S497" i="1"/>
  <c r="N497" i="1"/>
  <c r="M497" i="1"/>
  <c r="Z497" i="1"/>
  <c r="Y497" i="1"/>
  <c r="Z498" i="1" l="1"/>
  <c r="Y498" i="1"/>
  <c r="T498" i="1"/>
  <c r="S498" i="1"/>
  <c r="M498" i="1"/>
  <c r="N498" i="1"/>
  <c r="Z499" i="1" l="1"/>
  <c r="Y499" i="1"/>
  <c r="T499" i="1"/>
  <c r="S499" i="1"/>
  <c r="N499" i="1"/>
  <c r="M499" i="1"/>
  <c r="T500" i="1" l="1"/>
  <c r="S500" i="1"/>
  <c r="N500" i="1"/>
  <c r="M500" i="1"/>
  <c r="Y500" i="1"/>
  <c r="Z500" i="1"/>
  <c r="Z501" i="1" l="1"/>
  <c r="Y501" i="1"/>
  <c r="N501" i="1"/>
  <c r="M501" i="1"/>
  <c r="T502" i="1" l="1"/>
  <c r="S502" i="1"/>
  <c r="Z502" i="1"/>
  <c r="Y502" i="1"/>
  <c r="N502" i="1"/>
  <c r="M502" i="1"/>
  <c r="T503" i="1" l="1"/>
  <c r="S503" i="1"/>
  <c r="N503" i="1"/>
  <c r="M503" i="1"/>
  <c r="Z503" i="1"/>
  <c r="Y503" i="1"/>
  <c r="S504" i="1" l="1"/>
  <c r="T504" i="1"/>
  <c r="N504" i="1"/>
  <c r="M504" i="1"/>
  <c r="Z504" i="1"/>
  <c r="Y504" i="1"/>
  <c r="Z505" i="1" l="1"/>
  <c r="Y505" i="1"/>
  <c r="T505" i="1"/>
  <c r="S505" i="1"/>
  <c r="N505" i="1"/>
  <c r="M505" i="1"/>
  <c r="Z506" i="1" l="1"/>
  <c r="Y506" i="1"/>
  <c r="T506" i="1"/>
  <c r="S506" i="1"/>
  <c r="M506" i="1"/>
  <c r="N506" i="1"/>
  <c r="Z507" i="1" l="1"/>
  <c r="Y507" i="1"/>
  <c r="T507" i="1"/>
  <c r="S507" i="1"/>
  <c r="N507" i="1"/>
  <c r="M507" i="1"/>
  <c r="T508" i="1" l="1"/>
  <c r="S508" i="1"/>
  <c r="Y508" i="1"/>
  <c r="Z508" i="1"/>
  <c r="N508" i="1"/>
  <c r="M508" i="1"/>
  <c r="Z509" i="1" l="1"/>
  <c r="Y509" i="1"/>
  <c r="N509" i="1"/>
  <c r="M509" i="1"/>
  <c r="S509" i="1"/>
  <c r="T509" i="1"/>
  <c r="Z510" i="1" l="1"/>
  <c r="Y510" i="1"/>
  <c r="T510" i="1"/>
  <c r="S510" i="1"/>
  <c r="N510" i="1"/>
  <c r="M510" i="1"/>
  <c r="Z511" i="1" l="1"/>
  <c r="Y511" i="1"/>
  <c r="Y485" i="1" s="1"/>
  <c r="T511" i="1"/>
  <c r="S511" i="1"/>
  <c r="N511" i="1"/>
  <c r="M511" i="1"/>
  <c r="E125" i="10"/>
  <c r="P125" i="10" l="1"/>
  <c r="Z513" i="1"/>
  <c r="Y513" i="1"/>
  <c r="T513" i="1"/>
  <c r="S513" i="1"/>
  <c r="M513" i="1"/>
  <c r="N513" i="1"/>
  <c r="E126" i="10"/>
  <c r="M125" i="10" l="1"/>
  <c r="T125" i="10"/>
  <c r="P126" i="10"/>
  <c r="Y514" i="1"/>
  <c r="Z514" i="1"/>
  <c r="T514" i="1"/>
  <c r="S514" i="1"/>
  <c r="E127" i="10"/>
  <c r="M126" i="10" l="1"/>
  <c r="T126" i="10"/>
  <c r="P127" i="10"/>
  <c r="E128" i="10"/>
  <c r="T515" i="1"/>
  <c r="S515" i="1"/>
  <c r="Z515" i="1"/>
  <c r="Y515" i="1"/>
  <c r="N515" i="1"/>
  <c r="M515" i="1"/>
  <c r="M127" i="10" l="1"/>
  <c r="T127" i="10"/>
  <c r="P128" i="10"/>
  <c r="E129" i="10"/>
  <c r="T516" i="1"/>
  <c r="S516" i="1"/>
  <c r="Y516" i="1"/>
  <c r="Z516" i="1"/>
  <c r="N516" i="1"/>
  <c r="M516" i="1"/>
  <c r="M128" i="10" l="1"/>
  <c r="T128" i="10"/>
  <c r="P129" i="10"/>
  <c r="S517" i="1"/>
  <c r="T517" i="1"/>
  <c r="M517" i="1"/>
  <c r="N517" i="1"/>
  <c r="Z517" i="1"/>
  <c r="Y517" i="1"/>
  <c r="E130" i="10"/>
  <c r="M129" i="10" l="1"/>
  <c r="T129" i="10"/>
  <c r="P130" i="10"/>
  <c r="Z518" i="1"/>
  <c r="Y518" i="1"/>
  <c r="N518" i="1"/>
  <c r="M518" i="1"/>
  <c r="E131" i="10"/>
  <c r="M130" i="10" l="1"/>
  <c r="T130" i="10"/>
  <c r="P131" i="10"/>
  <c r="S519" i="1"/>
  <c r="T519" i="1"/>
  <c r="Z519" i="1"/>
  <c r="Y519" i="1"/>
  <c r="E132" i="10"/>
  <c r="M519" i="1"/>
  <c r="N519" i="1"/>
  <c r="M131" i="10" l="1"/>
  <c r="T131" i="10"/>
  <c r="P132" i="10"/>
  <c r="T520" i="1"/>
  <c r="S520" i="1"/>
  <c r="M520" i="1"/>
  <c r="N520" i="1"/>
  <c r="Z520" i="1"/>
  <c r="Y520" i="1"/>
  <c r="E133" i="10"/>
  <c r="M132" i="10" l="1"/>
  <c r="T132" i="10"/>
  <c r="P133" i="10"/>
  <c r="T521" i="1"/>
  <c r="S521" i="1"/>
  <c r="Z521" i="1"/>
  <c r="Y521" i="1"/>
  <c r="N521" i="1"/>
  <c r="M521" i="1"/>
  <c r="M133" i="10" l="1"/>
  <c r="T133" i="10"/>
  <c r="T522" i="1"/>
  <c r="S522" i="1"/>
  <c r="Z522" i="1"/>
  <c r="Y522" i="1"/>
  <c r="M522" i="1"/>
  <c r="N522" i="1"/>
  <c r="N523" i="1" l="1"/>
  <c r="M523" i="1"/>
  <c r="Y523" i="1"/>
  <c r="Z523" i="1"/>
  <c r="Z524" i="1" l="1"/>
  <c r="Y524" i="1"/>
  <c r="N524" i="1"/>
  <c r="M524" i="1"/>
  <c r="T524" i="1"/>
  <c r="S524" i="1"/>
  <c r="Y525" i="1" l="1"/>
  <c r="Z525" i="1"/>
  <c r="T525" i="1"/>
  <c r="S525" i="1"/>
  <c r="N525" i="1"/>
  <c r="M525" i="1"/>
  <c r="Z526" i="1" l="1"/>
  <c r="Y526" i="1"/>
  <c r="N526" i="1"/>
  <c r="M526" i="1"/>
  <c r="T526" i="1"/>
  <c r="S526" i="1"/>
  <c r="T527" i="1" l="1"/>
  <c r="S527" i="1"/>
  <c r="N527" i="1"/>
  <c r="M527" i="1"/>
  <c r="Z527" i="1"/>
  <c r="Y527" i="1"/>
  <c r="Z528" i="1" l="1"/>
  <c r="Y528" i="1"/>
  <c r="N528" i="1"/>
  <c r="M528" i="1"/>
  <c r="T528" i="1"/>
  <c r="S528" i="1"/>
  <c r="Z529" i="1" l="1"/>
  <c r="Y529" i="1"/>
  <c r="S529" i="1"/>
  <c r="T529" i="1"/>
  <c r="N529" i="1"/>
  <c r="M529" i="1"/>
  <c r="T530" i="1" l="1"/>
  <c r="S530" i="1"/>
  <c r="Z530" i="1"/>
  <c r="Y530" i="1"/>
  <c r="N530" i="1"/>
  <c r="M530" i="1"/>
  <c r="M531" i="1" l="1"/>
  <c r="N531" i="1"/>
  <c r="Z531" i="1"/>
  <c r="Y531" i="1"/>
  <c r="T531" i="1"/>
  <c r="S531" i="1"/>
  <c r="T532" i="1" l="1"/>
  <c r="S532" i="1"/>
  <c r="Z532" i="1"/>
  <c r="Y532" i="1"/>
  <c r="N532" i="1"/>
  <c r="M532" i="1"/>
  <c r="N533" i="1" l="1"/>
  <c r="M533" i="1"/>
  <c r="T533" i="1"/>
  <c r="S533" i="1"/>
  <c r="Y533" i="1"/>
  <c r="Z533" i="1"/>
  <c r="Z534" i="1" l="1"/>
  <c r="Y534" i="1"/>
  <c r="T534" i="1"/>
  <c r="S534" i="1"/>
  <c r="N534" i="1"/>
  <c r="M534" i="1"/>
  <c r="S535" i="1" l="1"/>
  <c r="T535" i="1"/>
  <c r="Z535" i="1"/>
  <c r="Y535" i="1"/>
  <c r="M535" i="1"/>
  <c r="N535" i="1"/>
  <c r="T537" i="1" l="1"/>
  <c r="Z537" i="1"/>
  <c r="Y537" i="1"/>
  <c r="S537" i="1" l="1"/>
  <c r="N538" i="1"/>
  <c r="M538" i="1"/>
  <c r="S538" i="1"/>
  <c r="T538" i="1"/>
  <c r="Z538" i="1"/>
  <c r="Y538" i="1"/>
  <c r="E145" i="10" l="1"/>
  <c r="M537" i="1"/>
  <c r="N537" i="1"/>
  <c r="Z539" i="1"/>
  <c r="Y539" i="1"/>
  <c r="T539" i="1"/>
  <c r="E146" i="10"/>
  <c r="P145" i="10" l="1"/>
  <c r="P146" i="10"/>
  <c r="M539" i="1"/>
  <c r="S539" i="1"/>
  <c r="Y540" i="1"/>
  <c r="Z540" i="1"/>
  <c r="E147" i="10"/>
  <c r="T540" i="1"/>
  <c r="S540" i="1"/>
  <c r="N540" i="1"/>
  <c r="M540" i="1"/>
  <c r="M145" i="10" l="1"/>
  <c r="T145" i="10"/>
  <c r="M146" i="10"/>
  <c r="T146" i="10"/>
  <c r="P147" i="10"/>
  <c r="N539" i="1"/>
  <c r="E148" i="10"/>
  <c r="Z541" i="1"/>
  <c r="Y541" i="1"/>
  <c r="T541" i="1"/>
  <c r="M147" i="10" l="1"/>
  <c r="T147" i="10"/>
  <c r="P148" i="10"/>
  <c r="S541" i="1"/>
  <c r="S542" i="1"/>
  <c r="T542" i="1"/>
  <c r="N542" i="1"/>
  <c r="M542" i="1"/>
  <c r="Z542" i="1"/>
  <c r="Y542" i="1"/>
  <c r="M148" i="10" l="1"/>
  <c r="T148" i="10"/>
  <c r="N541" i="1"/>
  <c r="M541" i="1"/>
  <c r="Y543" i="1"/>
  <c r="Z543" i="1"/>
  <c r="S543" i="1"/>
  <c r="T543" i="1" l="1"/>
  <c r="N544" i="1"/>
  <c r="M544" i="1"/>
  <c r="Y544" i="1"/>
  <c r="Z544" i="1"/>
  <c r="S544" i="1"/>
  <c r="T544" i="1"/>
  <c r="M543" i="1" l="1"/>
  <c r="N543" i="1"/>
  <c r="M545" i="1"/>
  <c r="N545" i="1"/>
  <c r="T545" i="1"/>
  <c r="S545" i="1"/>
  <c r="Z545" i="1"/>
  <c r="Y545" i="1"/>
  <c r="T546" i="1" l="1"/>
  <c r="S546" i="1"/>
  <c r="Z546" i="1"/>
  <c r="Y546" i="1"/>
  <c r="N546" i="1"/>
  <c r="M546" i="1"/>
  <c r="T547" i="1" l="1"/>
  <c r="S547" i="1"/>
  <c r="Z547" i="1"/>
  <c r="Y547" i="1"/>
  <c r="M547" i="1"/>
  <c r="N547" i="1"/>
  <c r="N548" i="1" l="1"/>
  <c r="M548" i="1"/>
  <c r="Z548" i="1"/>
  <c r="Y548" i="1"/>
  <c r="T548" i="1"/>
  <c r="S548" i="1"/>
  <c r="Z549" i="1" l="1"/>
  <c r="Y549" i="1"/>
  <c r="T549" i="1"/>
  <c r="S549" i="1"/>
  <c r="M549" i="1"/>
  <c r="N549" i="1"/>
  <c r="Z550" i="1" l="1"/>
  <c r="Y550" i="1"/>
  <c r="T550" i="1"/>
  <c r="S550" i="1"/>
  <c r="N550" i="1"/>
  <c r="M550" i="1"/>
  <c r="Z551" i="1" l="1"/>
  <c r="Y551" i="1"/>
  <c r="T551" i="1"/>
  <c r="S551" i="1"/>
  <c r="M551" i="1"/>
  <c r="N551" i="1"/>
  <c r="Z552" i="1" l="1"/>
  <c r="Y552" i="1"/>
  <c r="N552" i="1"/>
  <c r="M552" i="1"/>
  <c r="T552" i="1"/>
  <c r="S552" i="1"/>
  <c r="Z553" i="1" l="1"/>
  <c r="Y553" i="1"/>
  <c r="M553" i="1"/>
  <c r="N553" i="1"/>
  <c r="T553" i="1"/>
  <c r="S553" i="1"/>
  <c r="Z554" i="1" l="1"/>
  <c r="Y554" i="1"/>
  <c r="N554" i="1"/>
  <c r="M554" i="1"/>
  <c r="T554" i="1"/>
  <c r="S554" i="1"/>
  <c r="Z555" i="1" l="1"/>
  <c r="Y555" i="1"/>
  <c r="M555" i="1"/>
  <c r="N555" i="1"/>
  <c r="T555" i="1"/>
  <c r="S555" i="1"/>
  <c r="Z556" i="1" l="1"/>
  <c r="Y556" i="1"/>
  <c r="N556" i="1"/>
  <c r="M556" i="1"/>
  <c r="T556" i="1"/>
  <c r="S556" i="1"/>
  <c r="Z557" i="1" l="1"/>
  <c r="Y557" i="1"/>
  <c r="T557" i="1"/>
  <c r="S557" i="1"/>
  <c r="M557" i="1"/>
  <c r="N557" i="1"/>
  <c r="N558" i="1" l="1"/>
  <c r="M558" i="1"/>
  <c r="Y558" i="1"/>
  <c r="Z558" i="1"/>
  <c r="S558" i="1"/>
  <c r="T558" i="1"/>
  <c r="T559" i="1" l="1"/>
  <c r="S559" i="1"/>
  <c r="Z559" i="1"/>
  <c r="Y559" i="1"/>
  <c r="M559" i="1"/>
  <c r="N559" i="1"/>
  <c r="T564" i="1" l="1"/>
  <c r="S564" i="1"/>
  <c r="M564" i="1"/>
  <c r="N564" i="1"/>
  <c r="Y564" i="1"/>
  <c r="Z564" i="1"/>
  <c r="S566" i="1" l="1"/>
  <c r="T566" i="1"/>
  <c r="N566" i="1"/>
  <c r="M566" i="1"/>
  <c r="Z566" i="1"/>
  <c r="Y566" i="1"/>
  <c r="Z565" i="1" l="1"/>
  <c r="Y565" i="1"/>
  <c r="N565" i="1"/>
  <c r="M565" i="1"/>
  <c r="S565" i="1"/>
  <c r="T565" i="1"/>
  <c r="Z560" i="1" l="1"/>
  <c r="Y560" i="1"/>
  <c r="M560" i="1"/>
  <c r="N560" i="1"/>
  <c r="S560" i="1"/>
  <c r="T560" i="1"/>
  <c r="M561" i="1" l="1"/>
  <c r="N561" i="1"/>
  <c r="Y561" i="1"/>
  <c r="Z561" i="1"/>
  <c r="T561" i="1"/>
  <c r="S561" i="1"/>
  <c r="Z562" i="1" l="1"/>
  <c r="Y562" i="1"/>
  <c r="S562" i="1"/>
  <c r="T562" i="1"/>
  <c r="M562" i="1"/>
  <c r="N562" i="1"/>
  <c r="T563" i="1" l="1"/>
  <c r="S563" i="1"/>
  <c r="N563" i="1"/>
  <c r="M563" i="1"/>
  <c r="Z563" i="1"/>
  <c r="Y563" i="1"/>
  <c r="S569" i="1" l="1"/>
  <c r="T569" i="1"/>
  <c r="N569" i="1"/>
  <c r="M569" i="1"/>
  <c r="Z569" i="1"/>
  <c r="Y569" i="1"/>
  <c r="T570" i="1" l="1"/>
  <c r="S570" i="1"/>
  <c r="Z570" i="1"/>
  <c r="Y570" i="1"/>
  <c r="M570" i="1"/>
  <c r="N570" i="1"/>
  <c r="Z571" i="1" l="1"/>
  <c r="Y571" i="1"/>
  <c r="M571" i="1"/>
  <c r="N571" i="1"/>
  <c r="T571" i="1"/>
  <c r="S571" i="1"/>
  <c r="T572" i="1" l="1"/>
  <c r="S572" i="1"/>
  <c r="Y572" i="1"/>
  <c r="Z572" i="1"/>
  <c r="N572" i="1"/>
  <c r="M572" i="1"/>
  <c r="S573" i="1" l="1"/>
  <c r="T573" i="1"/>
  <c r="N573" i="1"/>
  <c r="M573" i="1"/>
  <c r="Z573" i="1"/>
  <c r="Y573" i="1"/>
  <c r="Z574" i="1" l="1"/>
  <c r="Y574" i="1"/>
  <c r="M574" i="1"/>
  <c r="N574" i="1"/>
  <c r="S574" i="1"/>
  <c r="T574" i="1"/>
  <c r="M575" i="1" l="1"/>
  <c r="N575" i="1"/>
  <c r="Z575" i="1"/>
  <c r="Y575" i="1"/>
  <c r="T575" i="1"/>
  <c r="S575" i="1"/>
  <c r="S576" i="1" l="1"/>
  <c r="T576" i="1"/>
  <c r="Z576" i="1"/>
  <c r="Y576" i="1"/>
  <c r="N576" i="1"/>
  <c r="M576" i="1"/>
  <c r="N577" i="1" l="1"/>
  <c r="M577" i="1"/>
  <c r="T577" i="1"/>
  <c r="S577" i="1"/>
  <c r="Z577" i="1"/>
  <c r="Y577" i="1"/>
  <c r="S578" i="1" l="1"/>
  <c r="T578" i="1"/>
  <c r="Z578" i="1"/>
  <c r="Y578" i="1"/>
  <c r="N578" i="1"/>
  <c r="M578" i="1"/>
  <c r="Z579" i="1" l="1"/>
  <c r="Y579" i="1"/>
  <c r="T579" i="1"/>
  <c r="S579" i="1"/>
  <c r="N579" i="1"/>
  <c r="M579" i="1"/>
  <c r="M580" i="1" l="1"/>
  <c r="N580" i="1"/>
  <c r="T580" i="1"/>
  <c r="S580" i="1"/>
  <c r="Z580" i="1"/>
  <c r="Y580" i="1"/>
  <c r="N581" i="1" l="1"/>
  <c r="M581" i="1"/>
  <c r="T581" i="1"/>
  <c r="S581" i="1"/>
  <c r="Z581" i="1"/>
  <c r="Y581" i="1"/>
  <c r="Y582" i="1" l="1"/>
  <c r="Z582" i="1"/>
  <c r="N582" i="1"/>
  <c r="M582" i="1"/>
  <c r="T582" i="1"/>
  <c r="S582" i="1"/>
  <c r="Z583" i="1" l="1"/>
  <c r="Y583" i="1"/>
  <c r="N583" i="1"/>
  <c r="M583" i="1"/>
  <c r="T583" i="1"/>
  <c r="S583" i="1"/>
  <c r="N584" i="1" l="1"/>
  <c r="M584" i="1"/>
  <c r="T584" i="1"/>
  <c r="S584" i="1"/>
  <c r="Z584" i="1"/>
  <c r="Y584" i="1"/>
  <c r="N585" i="1" l="1"/>
  <c r="M585" i="1"/>
  <c r="T585" i="1"/>
  <c r="S585" i="1"/>
  <c r="Z585" i="1"/>
  <c r="Y585" i="1"/>
  <c r="S586" i="1" l="1"/>
  <c r="T586" i="1"/>
  <c r="N586" i="1"/>
  <c r="M586" i="1"/>
  <c r="Z586" i="1"/>
  <c r="Y586" i="1"/>
  <c r="T587" i="1" l="1"/>
  <c r="S587" i="1"/>
  <c r="N587" i="1"/>
  <c r="M587" i="1"/>
  <c r="Z587" i="1"/>
  <c r="Y587" i="1"/>
  <c r="T588" i="1" l="1"/>
  <c r="S588" i="1"/>
  <c r="M588" i="1"/>
  <c r="N588" i="1"/>
  <c r="Z588" i="1"/>
  <c r="Y588" i="1"/>
  <c r="Z589" i="1" l="1"/>
  <c r="Y589" i="1"/>
  <c r="T589" i="1"/>
  <c r="S589" i="1"/>
  <c r="N589" i="1"/>
  <c r="M589" i="1"/>
  <c r="Y591" i="1" l="1"/>
  <c r="Z591" i="1"/>
  <c r="S591" i="1"/>
  <c r="T591" i="1"/>
  <c r="N591" i="1"/>
  <c r="M591" i="1"/>
  <c r="S592" i="1" l="1"/>
  <c r="T592" i="1"/>
  <c r="Z592" i="1"/>
  <c r="Y592" i="1"/>
  <c r="M592" i="1"/>
  <c r="N592" i="1"/>
  <c r="N593" i="1" l="1"/>
  <c r="M593" i="1"/>
  <c r="T593" i="1"/>
  <c r="S593" i="1"/>
  <c r="Z593" i="1"/>
  <c r="Y593" i="1"/>
  <c r="Z594" i="1" l="1"/>
  <c r="Y594" i="1"/>
  <c r="S594" i="1"/>
  <c r="T594" i="1"/>
  <c r="N594" i="1"/>
  <c r="M594" i="1"/>
  <c r="N595" i="1" l="1"/>
  <c r="M595" i="1"/>
  <c r="T595" i="1"/>
  <c r="S595" i="1"/>
  <c r="Z595" i="1"/>
  <c r="Y595" i="1"/>
  <c r="Y596" i="1" l="1"/>
  <c r="Z596" i="1"/>
  <c r="T596" i="1"/>
  <c r="S596" i="1"/>
  <c r="N596" i="1"/>
  <c r="M596" i="1"/>
  <c r="T597" i="1" l="1"/>
  <c r="S597" i="1"/>
  <c r="M597" i="1"/>
  <c r="N597" i="1"/>
  <c r="Z597" i="1"/>
  <c r="Y597" i="1"/>
  <c r="T598" i="1" l="1"/>
  <c r="S598" i="1"/>
  <c r="Z598" i="1"/>
  <c r="Y598" i="1"/>
  <c r="M598" i="1"/>
  <c r="N598" i="1"/>
  <c r="N599" i="1" l="1"/>
  <c r="M599" i="1"/>
  <c r="T599" i="1"/>
  <c r="S599" i="1"/>
  <c r="Z599" i="1"/>
  <c r="Y599" i="1"/>
  <c r="T600" i="1" l="1"/>
  <c r="S600" i="1"/>
  <c r="N600" i="1"/>
  <c r="M600" i="1"/>
  <c r="Z600" i="1"/>
  <c r="Y600" i="1"/>
  <c r="N601" i="1" l="1"/>
  <c r="M601" i="1"/>
  <c r="T601" i="1"/>
  <c r="S601" i="1"/>
  <c r="Z601" i="1"/>
  <c r="Y601" i="1"/>
  <c r="S602" i="1" l="1"/>
  <c r="T602" i="1"/>
  <c r="N602" i="1"/>
  <c r="M602" i="1"/>
  <c r="Z602" i="1"/>
  <c r="Y602" i="1"/>
  <c r="Z603" i="1" l="1"/>
  <c r="Y603" i="1"/>
  <c r="T603" i="1"/>
  <c r="S603" i="1"/>
  <c r="N603" i="1"/>
  <c r="M603" i="1"/>
  <c r="S604" i="1" l="1"/>
  <c r="T604" i="1"/>
  <c r="M604" i="1"/>
  <c r="N604" i="1"/>
  <c r="Z604" i="1"/>
  <c r="Y604" i="1"/>
  <c r="Z605" i="1" l="1"/>
  <c r="Y605" i="1"/>
  <c r="T605" i="1"/>
  <c r="S605" i="1"/>
  <c r="N605" i="1"/>
  <c r="M605" i="1"/>
  <c r="M606" i="1" l="1"/>
  <c r="N606" i="1"/>
  <c r="Y606" i="1"/>
  <c r="Z606" i="1"/>
  <c r="T606" i="1"/>
  <c r="S606" i="1"/>
  <c r="N607" i="1" l="1"/>
  <c r="M607" i="1"/>
  <c r="Z607" i="1"/>
  <c r="Y607" i="1"/>
  <c r="T607" i="1"/>
  <c r="S607" i="1"/>
  <c r="T608" i="1" l="1"/>
  <c r="S608" i="1"/>
  <c r="N608" i="1"/>
  <c r="M608" i="1"/>
  <c r="Y608" i="1"/>
  <c r="Z608" i="1"/>
  <c r="Z609" i="1" l="1"/>
  <c r="Y609" i="1"/>
  <c r="T609" i="1"/>
  <c r="S609" i="1"/>
  <c r="N609" i="1"/>
  <c r="M609" i="1"/>
  <c r="Z610" i="1" l="1"/>
  <c r="Y610" i="1"/>
  <c r="S610" i="1"/>
  <c r="T610" i="1"/>
  <c r="N611" i="1"/>
  <c r="M611" i="1"/>
  <c r="Z611" i="1"/>
  <c r="Y611" i="1"/>
  <c r="N610" i="1"/>
  <c r="M610" i="1"/>
  <c r="T611" i="1"/>
  <c r="S611" i="1"/>
  <c r="T496" i="1" l="1"/>
  <c r="S496" i="1"/>
  <c r="S485" i="1" s="1"/>
  <c r="M4" i="10" l="1"/>
  <c r="T4" i="10"/>
  <c r="T6" i="10"/>
  <c r="M6" i="10"/>
  <c r="T12" i="10"/>
  <c r="M12" i="10"/>
  <c r="T10" i="10"/>
  <c r="M10" i="10"/>
  <c r="M11" i="10"/>
  <c r="T11" i="10"/>
  <c r="M16" i="10"/>
  <c r="T16" i="10"/>
  <c r="M14" i="10"/>
  <c r="T14" i="10"/>
  <c r="T17" i="10"/>
  <c r="M17" i="10"/>
  <c r="M18" i="10"/>
  <c r="T18" i="10"/>
  <c r="M15" i="10"/>
  <c r="T15" i="10"/>
  <c r="T13" i="10"/>
  <c r="M13" i="10"/>
  <c r="T8" i="10"/>
  <c r="M8" i="10"/>
  <c r="T7" i="10"/>
  <c r="M7" i="10"/>
  <c r="M5" i="10"/>
  <c r="T5" i="10"/>
  <c r="T9" i="10"/>
  <c r="M9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Hachtel</author>
  </authors>
  <commentList>
    <comment ref="J5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Daniel Hachtel:</t>
        </r>
        <r>
          <rPr>
            <sz val="9"/>
            <color indexed="81"/>
            <rFont val="Segoe UI"/>
            <family val="2"/>
          </rPr>
          <t xml:space="preserve">
Mindestpreis
</t>
        </r>
      </text>
    </comment>
  </commentList>
</comments>
</file>

<file path=xl/sharedStrings.xml><?xml version="1.0" encoding="utf-8"?>
<sst xmlns="http://schemas.openxmlformats.org/spreadsheetml/2006/main" count="4650" uniqueCount="476">
  <si>
    <t>Doppeltür</t>
  </si>
  <si>
    <t>Tür</t>
  </si>
  <si>
    <t>Klappe</t>
  </si>
  <si>
    <t>S_0037</t>
  </si>
  <si>
    <t>S_0029</t>
  </si>
  <si>
    <t>S_0028</t>
  </si>
  <si>
    <t>S_0027</t>
  </si>
  <si>
    <t>Seite außen</t>
  </si>
  <si>
    <t>S_0026</t>
  </si>
  <si>
    <t>Tischplatte</t>
  </si>
  <si>
    <t>S_0025</t>
  </si>
  <si>
    <t>S_0024</t>
  </si>
  <si>
    <t>S_0023</t>
  </si>
  <si>
    <t>S_0022</t>
  </si>
  <si>
    <t>S_0021</t>
  </si>
  <si>
    <t>S_0020</t>
  </si>
  <si>
    <t>Rücken</t>
  </si>
  <si>
    <t>S_0019</t>
  </si>
  <si>
    <t>S_0018</t>
  </si>
  <si>
    <t>S_0017</t>
  </si>
  <si>
    <t>Tischplatte rechts</t>
  </si>
  <si>
    <t>S_0016</t>
  </si>
  <si>
    <t>Tischplatte links</t>
  </si>
  <si>
    <t>S_0015</t>
  </si>
  <si>
    <t>S_0014</t>
  </si>
  <si>
    <t>S_0013</t>
  </si>
  <si>
    <t>S_0012</t>
  </si>
  <si>
    <t>S_0011</t>
  </si>
  <si>
    <t>S_0010</t>
  </si>
  <si>
    <t>S_0009</t>
  </si>
  <si>
    <t>Tischplatte_rund</t>
  </si>
  <si>
    <t>S_0008</t>
  </si>
  <si>
    <t>S_0007</t>
  </si>
  <si>
    <t>Fachboden</t>
  </si>
  <si>
    <t>S_0006</t>
  </si>
  <si>
    <t>Seite</t>
  </si>
  <si>
    <t>S_0005</t>
  </si>
  <si>
    <t>S_0004</t>
  </si>
  <si>
    <t>Boden</t>
  </si>
  <si>
    <t>S_0003</t>
  </si>
  <si>
    <t>S_0002</t>
  </si>
  <si>
    <t>S_0001</t>
  </si>
  <si>
    <t>Klappenboden</t>
  </si>
  <si>
    <t>Fachboden groß</t>
  </si>
  <si>
    <t>Fachboden klein</t>
  </si>
  <si>
    <t>Seite innen SY32 DB</t>
  </si>
  <si>
    <t>Seite innen SY32</t>
  </si>
  <si>
    <t>Seite innen</t>
  </si>
  <si>
    <t>Seite außen SY32</t>
  </si>
  <si>
    <t>PG4</t>
  </si>
  <si>
    <t>PG3</t>
  </si>
  <si>
    <t>PG2</t>
  </si>
  <si>
    <t>PG1</t>
  </si>
  <si>
    <t>lfm</t>
  </si>
  <si>
    <t>m2</t>
  </si>
  <si>
    <t>M2</t>
  </si>
  <si>
    <t>M1</t>
  </si>
  <si>
    <t>Bez. Kurz</t>
  </si>
  <si>
    <t>Bezeichnung VPM</t>
  </si>
  <si>
    <t>Nummer</t>
  </si>
  <si>
    <t>CHF</t>
  </si>
  <si>
    <t>Schublade</t>
  </si>
  <si>
    <t>Preis alt</t>
  </si>
  <si>
    <t>-</t>
  </si>
  <si>
    <t>Rück.</t>
  </si>
  <si>
    <t>Türe</t>
  </si>
  <si>
    <t>DT</t>
  </si>
  <si>
    <t>Schubl.</t>
  </si>
  <si>
    <t/>
  </si>
  <si>
    <t>Delta rel.</t>
  </si>
  <si>
    <t>Delta abs.</t>
  </si>
  <si>
    <t>Status</t>
  </si>
  <si>
    <t>OK</t>
  </si>
  <si>
    <t>nicht OK</t>
  </si>
  <si>
    <t>Panel</t>
  </si>
  <si>
    <t>Breite / Tiefe</t>
  </si>
  <si>
    <t>Art. Nr.</t>
  </si>
  <si>
    <t>EURO</t>
  </si>
  <si>
    <t>580 / 360</t>
  </si>
  <si>
    <t>Schublade LB 1</t>
  </si>
  <si>
    <t>Schublade LB 2</t>
  </si>
  <si>
    <t>Seite innen SY 32 DB</t>
  </si>
  <si>
    <t>Erklärung Kalkualtion</t>
  </si>
  <si>
    <t>1. Jede Preisgruppe hat eingenen Quadratmeterpreis</t>
  </si>
  <si>
    <t>2. Jede Preisgruppe hat eigenen Laufmeterpreis</t>
  </si>
  <si>
    <t>3. Basispreis der Platte bestimmt sich aus m2 x P (m2) + lfm x P (lfm)</t>
  </si>
  <si>
    <t>4. Basispreis multipliziert sich mit Skalierungsfaktor (abhängig von Größe der Platte)</t>
  </si>
  <si>
    <t>5. Jede Plattenkategorie (Basic, Klappe, Tür, Schublade, etc.) hat zusätzlich eigenen Preisfaktor (bspw. Zelle M5)</t>
  </si>
  <si>
    <t>6. Es kann eine Obergrenze für den Skalierungsfaktor vergeben werden, für den Fall dass Preise zu hoch werden</t>
  </si>
  <si>
    <t>Preis</t>
  </si>
  <si>
    <t>Größenfaktoren Platten</t>
  </si>
  <si>
    <t>Größenfaktoren Klappe</t>
  </si>
  <si>
    <t>Größenfaktoren Tür</t>
  </si>
  <si>
    <t>Größenfaktoren Schublade</t>
  </si>
  <si>
    <t xml:space="preserve"> - </t>
  </si>
  <si>
    <t>Schubkastenführung</t>
  </si>
  <si>
    <t>Tischgestell</t>
  </si>
  <si>
    <t>Klemmstern</t>
  </si>
  <si>
    <t>Klappendämpfer</t>
  </si>
  <si>
    <t>Schubkästen</t>
  </si>
  <si>
    <t>Klappenhalter</t>
  </si>
  <si>
    <t>Auszüge</t>
  </si>
  <si>
    <t>Scharnier</t>
  </si>
  <si>
    <t>Verdrehsicherung</t>
  </si>
  <si>
    <t>Madenschraube</t>
  </si>
  <si>
    <t>Gewindebolzen</t>
  </si>
  <si>
    <t>Sicherungsbolzen</t>
  </si>
  <si>
    <t>Kleinteile</t>
  </si>
  <si>
    <t>CPU Halterung</t>
  </si>
  <si>
    <t>Abdeckkappe</t>
  </si>
  <si>
    <t>Stellfuß Kunststoff</t>
  </si>
  <si>
    <t>Nivellierschraube</t>
  </si>
  <si>
    <t>Stellfuß Alu</t>
  </si>
  <si>
    <t>Rolle Parkett</t>
  </si>
  <si>
    <t>Rolle Teppich</t>
  </si>
  <si>
    <t>Zubehör &amp; Sonstiges</t>
  </si>
  <si>
    <t>Hängeregister</t>
  </si>
  <si>
    <t>Griff</t>
  </si>
  <si>
    <t>Kabelführung</t>
  </si>
  <si>
    <t>Kabelführungen</t>
  </si>
  <si>
    <t>Kleiderstange</t>
  </si>
  <si>
    <t>Kleiderstangen</t>
  </si>
  <si>
    <t>Auszug</t>
  </si>
  <si>
    <t>Schloss</t>
  </si>
  <si>
    <t>Schlösser</t>
  </si>
  <si>
    <t>Sicherungen / Träger</t>
  </si>
  <si>
    <t>Scharniere</t>
  </si>
  <si>
    <t>Profil 46mm</t>
  </si>
  <si>
    <t>Profil 30mm roh</t>
  </si>
  <si>
    <t>Profil</t>
  </si>
  <si>
    <t>Würfel 46mm</t>
  </si>
  <si>
    <t>Würfel 30mm</t>
  </si>
  <si>
    <t>EUR</t>
  </si>
  <si>
    <t>Würfel</t>
  </si>
  <si>
    <t>Auchschlag CHF</t>
  </si>
  <si>
    <t>Größenfaktoren Doppeltür</t>
  </si>
  <si>
    <t>Profil 30mm 180</t>
  </si>
  <si>
    <t>Profil 30mm 360</t>
  </si>
  <si>
    <t>Profil 30mm 420</t>
  </si>
  <si>
    <t>Profil 30mm 580</t>
  </si>
  <si>
    <t>Profil 30mm 660</t>
  </si>
  <si>
    <t>Profil 30mm 720</t>
  </si>
  <si>
    <t>Profil 30mm 780</t>
  </si>
  <si>
    <t>Profil 30mm 980</t>
  </si>
  <si>
    <t>Profil 30mm 1080</t>
  </si>
  <si>
    <t>Profil 30mm 1440</t>
  </si>
  <si>
    <t>Profil 30mm 1800</t>
  </si>
  <si>
    <t>MDF</t>
  </si>
  <si>
    <t>Alu</t>
  </si>
  <si>
    <t>Furnier</t>
  </si>
  <si>
    <t>Glas</t>
  </si>
  <si>
    <t>Größenfaktoren Furnier</t>
  </si>
  <si>
    <t>x</t>
  </si>
  <si>
    <t>Klemmstern Alu roh</t>
  </si>
  <si>
    <t>Sicherungsbolzen roh</t>
  </si>
  <si>
    <t>Sicherungsbolzen Dichtung roh</t>
  </si>
  <si>
    <t>Verdrehbolzen roh</t>
  </si>
  <si>
    <t>Bolzen Lampe M12 roh</t>
  </si>
  <si>
    <t>Tischplatte Träger roh</t>
  </si>
  <si>
    <t>Schlüssel Fuss roh</t>
  </si>
  <si>
    <t>Glashalterung roh</t>
  </si>
  <si>
    <t>Schraube Glashalterung roh</t>
  </si>
  <si>
    <t>Luno</t>
  </si>
  <si>
    <t>Linea</t>
  </si>
  <si>
    <t>Rondo</t>
  </si>
  <si>
    <t xml:space="preserve">Axio </t>
  </si>
  <si>
    <t>Axio groß</t>
  </si>
  <si>
    <t>Retrox</t>
  </si>
  <si>
    <t>Reling</t>
  </si>
  <si>
    <t>Reling gross</t>
  </si>
  <si>
    <t>Uno</t>
  </si>
  <si>
    <t>Ombra</t>
  </si>
  <si>
    <t>Solano</t>
  </si>
  <si>
    <t>Arcano</t>
  </si>
  <si>
    <t>Bridge</t>
  </si>
  <si>
    <t>Bridge groß</t>
  </si>
  <si>
    <t>Allungo</t>
  </si>
  <si>
    <t>Push to open / Blanko</t>
  </si>
  <si>
    <t>min</t>
  </si>
  <si>
    <t>Inflation</t>
  </si>
  <si>
    <t>Jahre</t>
  </si>
  <si>
    <t>Aluminium</t>
  </si>
  <si>
    <t>Bez.</t>
  </si>
  <si>
    <t>S_0033</t>
  </si>
  <si>
    <t>S_0034</t>
  </si>
  <si>
    <t>Klappe (980x420)</t>
  </si>
  <si>
    <t>S_0046</t>
  </si>
  <si>
    <t>S_0044</t>
  </si>
  <si>
    <t>Art_Nr</t>
  </si>
  <si>
    <t>Kategorie</t>
  </si>
  <si>
    <t>Bezeichnung</t>
  </si>
  <si>
    <t>Breite_mm</t>
  </si>
  <si>
    <t>Tiefe_mm</t>
  </si>
  <si>
    <t>PG1_MDF_EUR</t>
  </si>
  <si>
    <t>PG2_Alu_EUR</t>
  </si>
  <si>
    <t>PG3_Furnier_EUR</t>
  </si>
  <si>
    <t>PG4_Glas_EUR</t>
  </si>
  <si>
    <t>Warnung</t>
  </si>
  <si>
    <t>Typ</t>
  </si>
  <si>
    <t>Boden (360x360)</t>
  </si>
  <si>
    <t>Platte</t>
  </si>
  <si>
    <t>Boden (420x360)</t>
  </si>
  <si>
    <t>Boden (580x360)</t>
  </si>
  <si>
    <t>Boden (780x360)</t>
  </si>
  <si>
    <t>Boden (980x360)</t>
  </si>
  <si>
    <t>Boden (360x580)</t>
  </si>
  <si>
    <t>Boden (420x580)</t>
  </si>
  <si>
    <t>Boden (580x580)</t>
  </si>
  <si>
    <t>Boden (780x580)</t>
  </si>
  <si>
    <t>Boden (980x580)</t>
  </si>
  <si>
    <t>Boden (780x780)</t>
  </si>
  <si>
    <t>Boden (980x780)</t>
  </si>
  <si>
    <t>Boden (980x980)</t>
  </si>
  <si>
    <t>Boden (420x780)</t>
  </si>
  <si>
    <t>Boden (420x980)</t>
  </si>
  <si>
    <t>Boden (420x420)</t>
  </si>
  <si>
    <t>Seite außen (360x180)</t>
  </si>
  <si>
    <t>Seite außen (360x360)</t>
  </si>
  <si>
    <t>Seite außen (360x720)</t>
  </si>
  <si>
    <t>Seite außen (360x1080)</t>
  </si>
  <si>
    <t>Seite außen (360x1440)</t>
  </si>
  <si>
    <t>Seite außen (360x1800)</t>
  </si>
  <si>
    <t>Seite außen (580x180)</t>
  </si>
  <si>
    <t>Seite außen (580x360)</t>
  </si>
  <si>
    <t>Seite außen (580x720)</t>
  </si>
  <si>
    <t>Seite außen (580x1080)</t>
  </si>
  <si>
    <t>Seite außen (580x1440)</t>
  </si>
  <si>
    <t>Seite außen (580x1800)</t>
  </si>
  <si>
    <t>Seite außen (180x780)</t>
  </si>
  <si>
    <t>Seite außen (180x980)</t>
  </si>
  <si>
    <t>Seite außen (360x780)</t>
  </si>
  <si>
    <t>Seite außen (360x980)</t>
  </si>
  <si>
    <t>Seite außen (720x780)</t>
  </si>
  <si>
    <t>Seite außen (720x980)</t>
  </si>
  <si>
    <t>Seite außen (1080x780)</t>
  </si>
  <si>
    <t>Seite außen (1080x980)</t>
  </si>
  <si>
    <t>Seite außen (1440x780)</t>
  </si>
  <si>
    <t>Seite außen (1440x980)</t>
  </si>
  <si>
    <t>Seite außen (1800x780)</t>
  </si>
  <si>
    <t>Seite außen (1800x980)</t>
  </si>
  <si>
    <t>Seite außen (580x580)</t>
  </si>
  <si>
    <t>Seite außen (660x360)</t>
  </si>
  <si>
    <t>Seite außen SY32 (360x360)</t>
  </si>
  <si>
    <t>Seite außen SY32 (360x720)</t>
  </si>
  <si>
    <t>Seite außen SY32 (360x1080)</t>
  </si>
  <si>
    <t>Seite außen SY32 (360x1440)</t>
  </si>
  <si>
    <t>Seite außen SY32 (360x1800)</t>
  </si>
  <si>
    <t>Seite außen SY32 (580x360)</t>
  </si>
  <si>
    <t>Seite außen SY32 (580x720)</t>
  </si>
  <si>
    <t>Seite außen SY32 (580x1080)</t>
  </si>
  <si>
    <t>Seite außen SY32 (580x1440)</t>
  </si>
  <si>
    <t>Seite außen SY32 (580x1800)</t>
  </si>
  <si>
    <t>Seite außen SY32 (180x780)</t>
  </si>
  <si>
    <t>Seite außen SY32 (180x980)</t>
  </si>
  <si>
    <t>Seite außen SY32 (360x780)</t>
  </si>
  <si>
    <t>Seite außen SY32 (360x980)</t>
  </si>
  <si>
    <t>Seite außen SY32 (720x780)</t>
  </si>
  <si>
    <t>Seite außen SY32 (720x980)</t>
  </si>
  <si>
    <t>Seite außen SY32 (1080x780)</t>
  </si>
  <si>
    <t>Seite außen SY32 (1080x980)</t>
  </si>
  <si>
    <t>Seite außen SY32 (1440x780)</t>
  </si>
  <si>
    <t>Seite außen SY32 (1440x980)</t>
  </si>
  <si>
    <t>Seite außen SY32 (1800x780)</t>
  </si>
  <si>
    <t>Seite außen SY32 (1800x980)</t>
  </si>
  <si>
    <t>Rücken (360x180)</t>
  </si>
  <si>
    <t>Rücken (420x180)</t>
  </si>
  <si>
    <t>Rücken (580x180)</t>
  </si>
  <si>
    <t>Rücken (780x180)</t>
  </si>
  <si>
    <t>Rücken (980x180)</t>
  </si>
  <si>
    <t>Rücken (360x360)</t>
  </si>
  <si>
    <t>Rücken (420x360)</t>
  </si>
  <si>
    <t>Rücken (580x360)</t>
  </si>
  <si>
    <t>Rücken (780x360)</t>
  </si>
  <si>
    <t>Rücken (980x360)</t>
  </si>
  <si>
    <t>Rücken (360x720)</t>
  </si>
  <si>
    <t>Rücken (420x720)</t>
  </si>
  <si>
    <t>Rücken (580x720)</t>
  </si>
  <si>
    <t>Rücken (780x720)</t>
  </si>
  <si>
    <t>Rücken (980x720)</t>
  </si>
  <si>
    <t>Rücken (360x1080)</t>
  </si>
  <si>
    <t>Rücken (420x1080)</t>
  </si>
  <si>
    <t>Rücken (580x1080)</t>
  </si>
  <si>
    <t>Rücken (780x1080)</t>
  </si>
  <si>
    <t>Rücken (980x1080)</t>
  </si>
  <si>
    <t>Rücken (360x1440)</t>
  </si>
  <si>
    <t>Rücken (420x1440)</t>
  </si>
  <si>
    <t>Rücken (580x1440)</t>
  </si>
  <si>
    <t>Rücken (780x1440)</t>
  </si>
  <si>
    <t>Rücken (980x1440)</t>
  </si>
  <si>
    <t>Rücken (360x1800)</t>
  </si>
  <si>
    <t>Rücken (420x1800)</t>
  </si>
  <si>
    <t>Rücken (580x1800)</t>
  </si>
  <si>
    <t>Rücken (780x1800)</t>
  </si>
  <si>
    <t>Rücken (980x1800)</t>
  </si>
  <si>
    <t>Seite innen (360x180)</t>
  </si>
  <si>
    <t>Seite innen (360x360)</t>
  </si>
  <si>
    <t>Seite innen (360x720)</t>
  </si>
  <si>
    <t>Seite innen (360x1080)</t>
  </si>
  <si>
    <t>Seite innen (360x1440)</t>
  </si>
  <si>
    <t>Seite innen (360x1800)</t>
  </si>
  <si>
    <t>Seite innen (580x180)</t>
  </si>
  <si>
    <t>Seite innen (580x360)</t>
  </si>
  <si>
    <t>Seite innen (580x720)</t>
  </si>
  <si>
    <t>Seite innen (580x1080)</t>
  </si>
  <si>
    <t>Seite innen (580x1440)</t>
  </si>
  <si>
    <t>Seite innen (580x1800)</t>
  </si>
  <si>
    <t>Seite innen (180x780)</t>
  </si>
  <si>
    <t>Seite innen (180x980)</t>
  </si>
  <si>
    <t>Seite innen (360x780)</t>
  </si>
  <si>
    <t>Seite innen (360x980)</t>
  </si>
  <si>
    <t>Seite innen (720x780)</t>
  </si>
  <si>
    <t>Seite innen (720x980)</t>
  </si>
  <si>
    <t>Seite innen (1080x780)</t>
  </si>
  <si>
    <t>Seite innen (1080x980)</t>
  </si>
  <si>
    <t>Seite innen (1440x780)</t>
  </si>
  <si>
    <t>Seite innen (1440x980)</t>
  </si>
  <si>
    <t>Seite innen (1800x780)</t>
  </si>
  <si>
    <t>Seite innen (1800x980)</t>
  </si>
  <si>
    <t>Seite innen (580x580)</t>
  </si>
  <si>
    <t>⚠ nicht OK</t>
  </si>
  <si>
    <t>Seite innen SY32 (360x360)</t>
  </si>
  <si>
    <t>Seite innen SY32 (360x720)</t>
  </si>
  <si>
    <t>Seite innen SY32 (360x1080)</t>
  </si>
  <si>
    <t>Seite innen SY32 (360x1440)</t>
  </si>
  <si>
    <t>Seite innen SY32 (360x1800)</t>
  </si>
  <si>
    <t>Seite innen SY32 (580x360)</t>
  </si>
  <si>
    <t>Seite innen SY32 (580x720)</t>
  </si>
  <si>
    <t>Seite innen SY32 (580x1080)</t>
  </si>
  <si>
    <t>Seite innen SY32 (580x1440)</t>
  </si>
  <si>
    <t>Seite innen SY32 (580x1800)</t>
  </si>
  <si>
    <t>Seite innen SY32 (720x780)</t>
  </si>
  <si>
    <t>Seite innen SY32 (720x980)</t>
  </si>
  <si>
    <t>Seite innen SY32 (1080x780)</t>
  </si>
  <si>
    <t>Seite innen SY32 (1080x980)</t>
  </si>
  <si>
    <t>Seite innen SY32 (1440x780)</t>
  </si>
  <si>
    <t>Seite innen SY32 (1440x980)</t>
  </si>
  <si>
    <t>Seite innen SY32 (1800x780)</t>
  </si>
  <si>
    <t>Seite innen SY32 (1800x980)</t>
  </si>
  <si>
    <t>Seite innen SY32 DB (360x360)</t>
  </si>
  <si>
    <t>Seite innen SY32 DB (360x720)</t>
  </si>
  <si>
    <t>Seite innen SY32 DB (360x1080)</t>
  </si>
  <si>
    <t>Seite innen SY32 DB (360x1440)</t>
  </si>
  <si>
    <t>Seite innen SY32 DB (360x1800)</t>
  </si>
  <si>
    <t>Seite innen SY32 DB (580x360)</t>
  </si>
  <si>
    <t>Seite innen SY32 DB (580x720)</t>
  </si>
  <si>
    <t>Seite innen SY32 DB (580x1080)</t>
  </si>
  <si>
    <t>Seite innen SY32 DB (580x1440)</t>
  </si>
  <si>
    <t>Seite innen SY32 DB (580x1800)</t>
  </si>
  <si>
    <t>Fachboden klein (360x360)</t>
  </si>
  <si>
    <t>Fachboden klein (420x360)</t>
  </si>
  <si>
    <t>Fachboden klein (580x360)</t>
  </si>
  <si>
    <t>Fachboden klein (780x360)</t>
  </si>
  <si>
    <t>Fachboden klein (980x360)</t>
  </si>
  <si>
    <t>Fachboden klein (360x580)</t>
  </si>
  <si>
    <t>Fachboden klein (420x580)</t>
  </si>
  <si>
    <t>Fachboden klein (580x580)</t>
  </si>
  <si>
    <t>Fachboden klein (780x580)</t>
  </si>
  <si>
    <t>Fachboden klein (980x580)</t>
  </si>
  <si>
    <t>Fachboden klein (780x780)</t>
  </si>
  <si>
    <t>Fachboden klein (980x780)</t>
  </si>
  <si>
    <t>Fachboden klein (980x980)</t>
  </si>
  <si>
    <t>Fachboden groß (360x360)</t>
  </si>
  <si>
    <t>Fachboden groß (420x360)</t>
  </si>
  <si>
    <t>Fachboden groß (580x360)</t>
  </si>
  <si>
    <t>Fachboden groß (780x360)</t>
  </si>
  <si>
    <t>Fachboden groß (980x360)</t>
  </si>
  <si>
    <t>Fachboden groß (360x580)</t>
  </si>
  <si>
    <t>Fachboden groß (420x580)</t>
  </si>
  <si>
    <t>Fachboden groß (580x580)</t>
  </si>
  <si>
    <t>Fachboden groß (780x580)</t>
  </si>
  <si>
    <t>Fachboden groß (980x580)</t>
  </si>
  <si>
    <t>Fachboden groß (780x780)</t>
  </si>
  <si>
    <t>Fachboden groß (980x780)</t>
  </si>
  <si>
    <t>Fachboden groß (980x980)</t>
  </si>
  <si>
    <t>Klappenboden (360x360)</t>
  </si>
  <si>
    <t>Klappenboden (420x360)</t>
  </si>
  <si>
    <t>Klappenboden (580x360)</t>
  </si>
  <si>
    <t>Klappenboden (780x360)</t>
  </si>
  <si>
    <t>Klappenboden (980x360)</t>
  </si>
  <si>
    <t>Klappenboden (360x580)</t>
  </si>
  <si>
    <t>Klappenboden (420x580)</t>
  </si>
  <si>
    <t>Klappenboden (580x580)</t>
  </si>
  <si>
    <t>Klappenboden (780x580)</t>
  </si>
  <si>
    <t>Klappenboden (980x580)</t>
  </si>
  <si>
    <t>Klappenboden (420x780)</t>
  </si>
  <si>
    <t>Klappenboden (420x980)</t>
  </si>
  <si>
    <t>Klappenboden (780x780)</t>
  </si>
  <si>
    <t>Klappenboden (780x980)</t>
  </si>
  <si>
    <t>Klappenboden (980x780)</t>
  </si>
  <si>
    <t>Klappenboden (980x980)</t>
  </si>
  <si>
    <t>Klappe (420x180)</t>
  </si>
  <si>
    <t>Klappe (420x360)</t>
  </si>
  <si>
    <t>Klappe (580x180)</t>
  </si>
  <si>
    <t>Klappe (580x360)</t>
  </si>
  <si>
    <t>Klappe (780x180)</t>
  </si>
  <si>
    <t>Klappe (780x360)</t>
  </si>
  <si>
    <t>Klappe (980x180)</t>
  </si>
  <si>
    <t>Klappe (980x360)</t>
  </si>
  <si>
    <t>Klappe (360x180)</t>
  </si>
  <si>
    <t>Klappe (360x360)</t>
  </si>
  <si>
    <t>Tür (420x360)</t>
  </si>
  <si>
    <t>Tür (420x720)</t>
  </si>
  <si>
    <t>Tür (420x1080)</t>
  </si>
  <si>
    <t>Tür (420x1440)</t>
  </si>
  <si>
    <t>Tür (420x1800)</t>
  </si>
  <si>
    <t>Tür (580x360)</t>
  </si>
  <si>
    <t>Tür (580x720)</t>
  </si>
  <si>
    <t>Tür (580x1080)</t>
  </si>
  <si>
    <t>Tür (580x1440)</t>
  </si>
  <si>
    <t>Tür (580x1800)</t>
  </si>
  <si>
    <t>Tür (360x360)</t>
  </si>
  <si>
    <t>Tür (780x360)</t>
  </si>
  <si>
    <t>Doppeltür (780x360)</t>
  </si>
  <si>
    <t>Doppeltür (780x660)</t>
  </si>
  <si>
    <t>Doppeltür (780x720)</t>
  </si>
  <si>
    <t>Doppeltür (780x1080)</t>
  </si>
  <si>
    <t>Doppeltür (780x1440)</t>
  </si>
  <si>
    <t>Doppeltür (780x1800)</t>
  </si>
  <si>
    <t>Doppeltür (980x360)</t>
  </si>
  <si>
    <t>Doppeltür (980x720)</t>
  </si>
  <si>
    <t>Doppeltür (980x1080)</t>
  </si>
  <si>
    <t>Doppeltür (980x1440)</t>
  </si>
  <si>
    <t>Doppeltür (980x1800)</t>
  </si>
  <si>
    <t>Schublade (420x180)</t>
  </si>
  <si>
    <t>Schublade (420x360)</t>
  </si>
  <si>
    <t>Schublade (580x180)</t>
  </si>
  <si>
    <t>Schublade (580x360)</t>
  </si>
  <si>
    <t>Schublade (780x180)</t>
  </si>
  <si>
    <t>Schublade (780x360)</t>
  </si>
  <si>
    <t>Schublade (980x180)</t>
  </si>
  <si>
    <t>Schublade (980x360)</t>
  </si>
  <si>
    <t xml:space="preserve"> (780x180)</t>
  </si>
  <si>
    <t>Schublade (420x134)</t>
  </si>
  <si>
    <t>Schublade (420x220)</t>
  </si>
  <si>
    <t>Schublade (412x121)</t>
  </si>
  <si>
    <t>Schublade (412x400)</t>
  </si>
  <si>
    <t>Schublade (420x145)</t>
  </si>
  <si>
    <t>Schublade (420x293)</t>
  </si>
  <si>
    <t>Schublade (420x67)</t>
  </si>
  <si>
    <t>Schublade (420x142)</t>
  </si>
  <si>
    <t>Schublade (420x280)</t>
  </si>
  <si>
    <t>Schublade (420x141)</t>
  </si>
  <si>
    <t>Schublade LB 1 (420x180)</t>
  </si>
  <si>
    <t>Schublade LB 1 (420x360)</t>
  </si>
  <si>
    <t>Schublade LB 1 (580x180)</t>
  </si>
  <si>
    <t>Schublade LB 1 (580x360)</t>
  </si>
  <si>
    <t>Schublade LB 1 (780x180)</t>
  </si>
  <si>
    <t>Schublade LB 1 (780x360)</t>
  </si>
  <si>
    <t>Schublade LB 1 (980x180)</t>
  </si>
  <si>
    <t>Schublade LB 1 (980x360)</t>
  </si>
  <si>
    <t>Schublade LB 2 (420x180)</t>
  </si>
  <si>
    <t>Schublade LB 2 (420x360)</t>
  </si>
  <si>
    <t>Schublade LB 2 (580x180)</t>
  </si>
  <si>
    <t>Schublade LB 2 (580x360)</t>
  </si>
  <si>
    <t>Schublade LB 2 (780x180)</t>
  </si>
  <si>
    <t>Schublade LB 2 (780x360)</t>
  </si>
  <si>
    <t>Schublade LB 2 (980x180)</t>
  </si>
  <si>
    <t>Schublade LB 2 (980x360)</t>
  </si>
  <si>
    <t>PG1_EUR</t>
  </si>
  <si>
    <t>Zubehör</t>
  </si>
  <si>
    <t>PG1_MDF_CHF</t>
  </si>
  <si>
    <t>PG2_Alu_CHF</t>
  </si>
  <si>
    <t>PG3_Furnier_CHF</t>
  </si>
  <si>
    <t>PG4_Glas_CHF</t>
  </si>
  <si>
    <t>PG1_CHF</t>
  </si>
  <si>
    <t>KONFIGURATOR EXPORT</t>
  </si>
  <si>
    <t>Datei</t>
  </si>
  <si>
    <t>Verkaufspreise_V07.xlsx</t>
  </si>
  <si>
    <t>Platten-Artikel</t>
  </si>
  <si>
    <t>Zubehör-Artikel</t>
  </si>
  <si>
    <t>Warnungen</t>
  </si>
  <si>
    <t>CHF-Faktor</t>
  </si>
  <si>
    <t>Preisgruppen</t>
  </si>
  <si>
    <t>PG1=MDF, PG2=Alu, PG3=Furnier, PG4=Glas</t>
  </si>
  <si>
    <t>Duplikate</t>
  </si>
  <si>
    <t>✅ 0 – bereinigt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</si>
</sst>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\ &quot;€&quot;_-;\-* #,##0\ &quot;€&quot;_-;_-* &quot;-&quot;??\ &quot;€&quot;_-;_-@_-"/>
    <numFmt numFmtId="165" formatCode="_-* #,##0\ [$CHF]_-;\-* #,##0\ [$CHF]_-;_-* &quot;-&quot;??\ [$CHF]_-;_-@_-"/>
    <numFmt numFmtId="166" formatCode="_-* #,##0.0_-;\-* #,##0.0_-;_-* &quot;-&quot;??_-;_-@_-"/>
    <numFmt numFmtId="167" formatCode="_-* #,##0.00\ [$CHF]_-;\-* #,##0.00\ [$CHF]_-;_-* &quot;-&quot;??\ [$CHF]_-;_-@_-"/>
    <numFmt numFmtId="168" formatCode="_-* #,##0.0\ &quot;€&quot;_-;\-* #,##0.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Yu Gothic UI Light"/>
      <family val="2"/>
    </font>
    <font>
      <sz val="12"/>
      <color theme="1"/>
      <name val="Yu Gothic UI Light"/>
      <family val="2"/>
    </font>
    <font>
      <b/>
      <sz val="11"/>
      <color rgb="FFFFFF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9C57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2F549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7">
    <xf numFmtId="0" fontId="0" fillId="0" borderId="0" xfId="0"/>
    <xf numFmtId="164" fontId="0" fillId="0" borderId="0" xfId="2" applyNumberFormat="1" applyFont="1"/>
    <xf numFmtId="165" fontId="0" fillId="0" borderId="0" xfId="2" applyNumberFormat="1" applyFont="1" applyBorder="1"/>
    <xf numFmtId="0" fontId="0" fillId="2" borderId="0" xfId="0" applyFill="1"/>
    <xf numFmtId="164" fontId="3" fillId="3" borderId="0" xfId="2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2" xfId="0" applyBorder="1"/>
    <xf numFmtId="0" fontId="0" fillId="4" borderId="0" xfId="0" applyFill="1" applyAlignment="1">
      <alignment horizontal="right" vertical="center"/>
    </xf>
    <xf numFmtId="0" fontId="0" fillId="5" borderId="0" xfId="0" applyFill="1"/>
    <xf numFmtId="0" fontId="3" fillId="0" borderId="0" xfId="0" applyFont="1" applyAlignment="1">
      <alignment horizontal="center"/>
    </xf>
    <xf numFmtId="166" fontId="3" fillId="3" borderId="0" xfId="1" applyNumberFormat="1" applyFont="1" applyFill="1" applyBorder="1" applyAlignment="1">
      <alignment vertical="center"/>
    </xf>
    <xf numFmtId="43" fontId="0" fillId="0" borderId="0" xfId="1" applyFont="1" applyBorder="1"/>
    <xf numFmtId="9" fontId="0" fillId="0" borderId="0" xfId="3" applyFont="1" applyBorder="1"/>
    <xf numFmtId="0" fontId="3" fillId="0" borderId="0" xfId="0" applyFont="1"/>
    <xf numFmtId="9" fontId="3" fillId="3" borderId="0" xfId="3" applyFont="1" applyFill="1" applyBorder="1" applyAlignment="1">
      <alignment vertical="center"/>
    </xf>
    <xf numFmtId="9" fontId="0" fillId="0" borderId="0" xfId="3" applyFont="1" applyFill="1" applyBorder="1"/>
    <xf numFmtId="43" fontId="0" fillId="0" borderId="0" xfId="1" applyFont="1" applyFill="1" applyBorder="1"/>
    <xf numFmtId="165" fontId="0" fillId="0" borderId="0" xfId="2" applyNumberFormat="1" applyFont="1" applyFill="1" applyBorder="1"/>
    <xf numFmtId="9" fontId="4" fillId="4" borderId="0" xfId="0" applyNumberFormat="1" applyFont="1" applyFill="1" applyAlignment="1">
      <alignment horizontal="center"/>
    </xf>
    <xf numFmtId="0" fontId="3" fillId="0" borderId="3" xfId="0" applyFont="1" applyBorder="1"/>
    <xf numFmtId="0" fontId="0" fillId="4" borderId="4" xfId="0" applyFill="1" applyBorder="1"/>
    <xf numFmtId="0" fontId="0" fillId="0" borderId="5" xfId="0" applyBorder="1"/>
    <xf numFmtId="0" fontId="3" fillId="0" borderId="6" xfId="0" applyFont="1" applyBorder="1"/>
    <xf numFmtId="0" fontId="0" fillId="4" borderId="7" xfId="0" applyFill="1" applyBorder="1"/>
    <xf numFmtId="0" fontId="0" fillId="0" borderId="8" xfId="0" applyBorder="1"/>
    <xf numFmtId="0" fontId="3" fillId="0" borderId="1" xfId="0" applyFont="1" applyBorder="1"/>
    <xf numFmtId="0" fontId="0" fillId="4" borderId="0" xfId="0" applyFill="1"/>
    <xf numFmtId="43" fontId="0" fillId="8" borderId="0" xfId="1" applyFont="1" applyFill="1" applyBorder="1"/>
    <xf numFmtId="165" fontId="0" fillId="8" borderId="0" xfId="2" applyNumberFormat="1" applyFont="1" applyFill="1" applyBorder="1"/>
    <xf numFmtId="43" fontId="0" fillId="0" borderId="0" xfId="1" applyFont="1" applyBorder="1" applyAlignment="1">
      <alignment horizontal="center"/>
    </xf>
    <xf numFmtId="9" fontId="3" fillId="4" borderId="0" xfId="0" applyNumberFormat="1" applyFont="1" applyFill="1" applyAlignment="1">
      <alignment horizontal="center"/>
    </xf>
    <xf numFmtId="0" fontId="3" fillId="3" borderId="0" xfId="0" applyFont="1" applyFill="1"/>
    <xf numFmtId="0" fontId="5" fillId="0" borderId="12" xfId="0" applyFont="1" applyBorder="1" applyAlignment="1">
      <alignment horizontal="left" vertical="center" wrapText="1" readingOrder="1"/>
    </xf>
    <xf numFmtId="0" fontId="5" fillId="0" borderId="12" xfId="0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left" vertical="center" wrapText="1" readingOrder="1"/>
    </xf>
    <xf numFmtId="0" fontId="6" fillId="0" borderId="13" xfId="0" applyFont="1" applyBorder="1" applyAlignment="1">
      <alignment horizontal="center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6" fillId="0" borderId="0" xfId="0" applyFont="1" applyAlignment="1">
      <alignment horizontal="center" vertical="center" wrapText="1" readingOrder="1"/>
    </xf>
    <xf numFmtId="0" fontId="6" fillId="0" borderId="0" xfId="1" applyNumberFormat="1" applyFont="1" applyFill="1" applyAlignment="1">
      <alignment horizontal="center" vertical="center" wrapText="1" readingOrder="1"/>
    </xf>
    <xf numFmtId="0" fontId="0" fillId="11" borderId="0" xfId="0" applyFill="1"/>
    <xf numFmtId="44" fontId="3" fillId="3" borderId="0" xfId="2" applyFont="1" applyFill="1" applyBorder="1" applyAlignment="1">
      <alignment vertical="center"/>
    </xf>
    <xf numFmtId="0" fontId="3" fillId="0" borderId="14" xfId="0" applyFont="1" applyBorder="1" applyAlignment="1">
      <alignment horizontal="center"/>
    </xf>
    <xf numFmtId="43" fontId="0" fillId="0" borderId="0" xfId="1" applyFont="1"/>
    <xf numFmtId="43" fontId="3" fillId="3" borderId="0" xfId="1" applyFont="1" applyFill="1" applyBorder="1" applyAlignment="1">
      <alignment vertical="center"/>
    </xf>
    <xf numFmtId="43" fontId="0" fillId="5" borderId="0" xfId="1" applyFont="1" applyFill="1"/>
    <xf numFmtId="43" fontId="0" fillId="5" borderId="2" xfId="1" applyFont="1" applyFill="1" applyBorder="1"/>
    <xf numFmtId="9" fontId="0" fillId="11" borderId="0" xfId="3" applyFont="1" applyFill="1" applyBorder="1"/>
    <xf numFmtId="12" fontId="0" fillId="0" borderId="0" xfId="1" applyNumberFormat="1" applyFont="1" applyBorder="1"/>
    <xf numFmtId="166" fontId="3" fillId="4" borderId="0" xfId="1" applyNumberFormat="1" applyFont="1" applyFill="1" applyBorder="1" applyAlignment="1">
      <alignment vertical="center"/>
    </xf>
    <xf numFmtId="43" fontId="0" fillId="11" borderId="0" xfId="1" applyFont="1" applyFill="1" applyBorder="1"/>
    <xf numFmtId="43" fontId="0" fillId="11" borderId="0" xfId="1" applyFont="1" applyFill="1" applyBorder="1" applyAlignment="1">
      <alignment horizontal="center"/>
    </xf>
    <xf numFmtId="9" fontId="3" fillId="0" borderId="0" xfId="3" applyFont="1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164" fontId="2" fillId="7" borderId="1" xfId="2" applyNumberFormat="1" applyFont="1" applyFill="1" applyBorder="1" applyAlignment="1">
      <alignment horizontal="center" vertical="center"/>
    </xf>
    <xf numFmtId="43" fontId="2" fillId="7" borderId="1" xfId="1" applyFont="1" applyFill="1" applyBorder="1" applyAlignment="1">
      <alignment horizontal="center" vertical="center"/>
    </xf>
    <xf numFmtId="164" fontId="3" fillId="9" borderId="0" xfId="2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2" fillId="6" borderId="0" xfId="2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64" fontId="0" fillId="13" borderId="0" xfId="2" applyNumberFormat="1" applyFont="1" applyFill="1" applyBorder="1"/>
    <xf numFmtId="9" fontId="3" fillId="0" borderId="1" xfId="0" applyNumberFormat="1" applyFont="1" applyBorder="1" applyAlignment="1">
      <alignment horizontal="center"/>
    </xf>
    <xf numFmtId="164" fontId="0" fillId="0" borderId="0" xfId="3" applyNumberFormat="1" applyFont="1" applyFill="1" applyBorder="1"/>
    <xf numFmtId="167" fontId="0" fillId="0" borderId="0" xfId="0" applyNumberFormat="1"/>
    <xf numFmtId="0" fontId="0" fillId="2" borderId="0" xfId="0" applyFill="1" applyAlignment="1">
      <alignment horizontal="right" vertical="center"/>
    </xf>
    <xf numFmtId="167" fontId="0" fillId="0" borderId="0" xfId="2" applyNumberFormat="1" applyFont="1" applyAlignment="1"/>
    <xf numFmtId="44" fontId="0" fillId="0" borderId="0" xfId="2" applyFont="1" applyAlignment="1"/>
    <xf numFmtId="167" fontId="3" fillId="3" borderId="0" xfId="0" applyNumberFormat="1" applyFont="1" applyFill="1" applyAlignment="1">
      <alignment vertical="center"/>
    </xf>
    <xf numFmtId="167" fontId="0" fillId="0" borderId="0" xfId="2" applyNumberFormat="1" applyFont="1" applyFill="1"/>
    <xf numFmtId="44" fontId="0" fillId="0" borderId="0" xfId="2" applyFont="1" applyFill="1"/>
    <xf numFmtId="0" fontId="0" fillId="0" borderId="0" xfId="0" applyAlignment="1">
      <alignment horizontal="left"/>
    </xf>
    <xf numFmtId="0" fontId="0" fillId="6" borderId="0" xfId="0" applyFill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horizontal="left"/>
    </xf>
    <xf numFmtId="0" fontId="2" fillId="14" borderId="15" xfId="0" applyFont="1" applyFill="1" applyBorder="1" applyAlignment="1">
      <alignment vertical="center"/>
    </xf>
    <xf numFmtId="165" fontId="0" fillId="0" borderId="1" xfId="2" applyNumberFormat="1" applyFont="1" applyFill="1" applyBorder="1"/>
    <xf numFmtId="164" fontId="0" fillId="5" borderId="0" xfId="2" applyNumberFormat="1" applyFont="1" applyFill="1" applyBorder="1"/>
    <xf numFmtId="164" fontId="0" fillId="0" borderId="0" xfId="2" applyNumberFormat="1" applyFont="1" applyFill="1" applyBorder="1"/>
    <xf numFmtId="165" fontId="0" fillId="5" borderId="1" xfId="2" applyNumberFormat="1" applyFont="1" applyFill="1" applyBorder="1"/>
    <xf numFmtId="9" fontId="0" fillId="0" borderId="0" xfId="0" applyNumberFormat="1" applyAlignment="1">
      <alignment wrapText="1"/>
    </xf>
    <xf numFmtId="165" fontId="3" fillId="3" borderId="16" xfId="2" applyNumberFormat="1" applyFont="1" applyFill="1" applyBorder="1" applyAlignment="1">
      <alignment vertical="center"/>
    </xf>
    <xf numFmtId="164" fontId="3" fillId="3" borderId="15" xfId="2" applyNumberFormat="1" applyFont="1" applyFill="1" applyBorder="1" applyAlignment="1">
      <alignment vertical="center"/>
    </xf>
    <xf numFmtId="0" fontId="3" fillId="3" borderId="15" xfId="0" applyFont="1" applyFill="1" applyBorder="1" applyAlignment="1">
      <alignment vertical="center"/>
    </xf>
    <xf numFmtId="165" fontId="0" fillId="0" borderId="1" xfId="2" applyNumberFormat="1" applyFont="1" applyFill="1" applyBorder="1" applyAlignment="1">
      <alignment horizontal="left" vertical="center"/>
    </xf>
    <xf numFmtId="164" fontId="0" fillId="0" borderId="0" xfId="2" applyNumberFormat="1" applyFont="1" applyFill="1" applyBorder="1" applyAlignment="1">
      <alignment horizontal="left" vertical="center"/>
    </xf>
    <xf numFmtId="0" fontId="0" fillId="0" borderId="0" xfId="0" applyAlignment="1">
      <alignment horizontal="right" vertical="center"/>
    </xf>
    <xf numFmtId="164" fontId="2" fillId="7" borderId="1" xfId="2" applyNumberFormat="1" applyFont="1" applyFill="1" applyBorder="1" applyAlignment="1"/>
    <xf numFmtId="9" fontId="0" fillId="4" borderId="0" xfId="0" applyNumberFormat="1" applyFill="1"/>
    <xf numFmtId="9" fontId="0" fillId="4" borderId="0" xfId="0" applyNumberFormat="1" applyFill="1" applyAlignment="1">
      <alignment horizontal="center"/>
    </xf>
    <xf numFmtId="43" fontId="2" fillId="12" borderId="0" xfId="1" applyFont="1" applyFill="1" applyAlignment="1"/>
    <xf numFmtId="0" fontId="2" fillId="12" borderId="0" xfId="0" applyFont="1" applyFill="1"/>
    <xf numFmtId="0" fontId="0" fillId="15" borderId="0" xfId="0" applyFill="1"/>
    <xf numFmtId="168" fontId="0" fillId="0" borderId="0" xfId="3" applyNumberFormat="1" applyFont="1" applyFill="1" applyBorder="1"/>
    <xf numFmtId="43" fontId="2" fillId="0" borderId="0" xfId="1" applyFont="1" applyFill="1" applyAlignment="1"/>
    <xf numFmtId="0" fontId="0" fillId="0" borderId="0" xfId="0" applyAlignment="1">
      <alignment vertical="top"/>
    </xf>
    <xf numFmtId="44" fontId="0" fillId="0" borderId="0" xfId="2" applyFont="1" applyAlignment="1">
      <alignment horizontal="left" vertical="center"/>
    </xf>
    <xf numFmtId="164" fontId="0" fillId="4" borderId="0" xfId="2" applyNumberFormat="1" applyFont="1" applyFill="1"/>
    <xf numFmtId="164" fontId="0" fillId="2" borderId="0" xfId="2" applyNumberFormat="1" applyFont="1" applyFill="1" applyBorder="1"/>
    <xf numFmtId="43" fontId="0" fillId="2" borderId="0" xfId="1" applyFont="1" applyFill="1" applyBorder="1"/>
    <xf numFmtId="165" fontId="0" fillId="8" borderId="0" xfId="2" quotePrefix="1" applyNumberFormat="1" applyFont="1" applyFill="1" applyBorder="1"/>
    <xf numFmtId="43" fontId="3" fillId="4" borderId="0" xfId="1" applyFont="1" applyFill="1" applyBorder="1" applyAlignment="1">
      <alignment vertical="center"/>
    </xf>
    <xf numFmtId="44" fontId="3" fillId="4" borderId="0" xfId="2" applyFont="1" applyFill="1" applyBorder="1" applyAlignment="1">
      <alignment vertical="center"/>
    </xf>
    <xf numFmtId="0" fontId="11" fillId="16" borderId="0" xfId="0" applyFont="1" applyFill="1" applyAlignment="1">
      <alignment horizontal="center"/>
    </xf>
    <xf numFmtId="0" fontId="11" fillId="17" borderId="0" xfId="0" applyFont="1" applyFill="1"/>
    <xf numFmtId="3" fontId="0" fillId="0" borderId="0" xfId="0" applyNumberFormat="1"/>
    <xf numFmtId="3" fontId="11" fillId="17" borderId="0" xfId="0" applyNumberFormat="1" applyFont="1" applyFill="1"/>
    <xf numFmtId="0" fontId="10" fillId="18" borderId="0" xfId="0" applyFont="1" applyFill="1"/>
    <xf numFmtId="0" fontId="12" fillId="19" borderId="0" xfId="0" applyFont="1" applyFill="1"/>
    <xf numFmtId="0" fontId="7" fillId="10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43" fontId="2" fillId="12" borderId="0" xfId="1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4">
    <cellStyle name="Komma" xfId="1" builtinId="3"/>
    <cellStyle name="Prozent" xfId="3" builtinId="5"/>
    <cellStyle name="Standard" xfId="0" builtinId="0"/>
    <cellStyle name="Währung" xfId="2" builtinId="4"/>
  </cellStyles>
  <dxfs count="206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Artmodul\07_Kunden\2024\Blunier\Artmodul_Blunier_v0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v\home$\dhachtel\MHZ\Projekte\Vertriebscontrolling\WL-Bericht%20220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chteleu-my.sharepoint.com/EXCEL/1WH/ABLAG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chteleu-my.sharepoint.com/MSOffice/Excel/1WH/AKTUEL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chteleu-my.sharepoint.com/EXCEL/1WH/PRTKL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tokoll"/>
      <sheetName val="Stückliste_W33"/>
      <sheetName val="Materialentnahmeschein"/>
      <sheetName val="Bestellvorlage_neu"/>
      <sheetName val="Stückliste_Detail"/>
      <sheetName val="Berechnung"/>
      <sheetName val="Gewichte"/>
      <sheetName val="Materialnummern"/>
      <sheetName val="Farbübersicht"/>
      <sheetName val="Größentabelle"/>
      <sheetName val="Griffe"/>
      <sheetName val="Elementübersicht"/>
      <sheetName val="Oberflächen_neu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el PG Bereiche 1"/>
      <sheetName val="Errechnung"/>
      <sheetName val="Bericht"/>
      <sheetName val="-"/>
      <sheetName val="Ist je Periode"/>
      <sheetName val="Kennzahlen"/>
      <sheetName val="Mastertabelle"/>
      <sheetName val="Zeitreihe"/>
      <sheetName val="---"/>
      <sheetName val="Diagramm gesamt"/>
      <sheetName val="----"/>
      <sheetName val="Bericht gesamt"/>
      <sheetName val="PG Bereiche ges"/>
      <sheetName val="PG Bereiche I"/>
      <sheetName val="PG Bereiche II"/>
      <sheetName val="PG Bereiche III"/>
      <sheetName val="PG Bereiche IV"/>
      <sheetName val="PG Bereiche V"/>
      <sheetName val="PG Bereiche VI"/>
      <sheetName val="Werk gesamt"/>
      <sheetName val="Werk Mus"/>
      <sheetName val="Werk Ste"/>
      <sheetName val="Werk Nst Konf"/>
      <sheetName val="Werk Rie"/>
      <sheetName val="Werk Hal"/>
      <sheetName val="Werk Kih"/>
      <sheetName val="Werk Kraslice"/>
      <sheetName val="Werk Nst Komp"/>
      <sheetName val="Werk Mark_GuV"/>
      <sheetName val="-----"/>
      <sheetName val="PG gesamt"/>
      <sheetName val="PG I"/>
      <sheetName val="PG II"/>
      <sheetName val="PG III"/>
      <sheetName val="PG IV"/>
      <sheetName val="PG V"/>
      <sheetName val="------"/>
      <sheetName val="-------"/>
      <sheetName val="PG Schienen NST Konf"/>
      <sheetName val="PG Stangen NST Konf"/>
      <sheetName val="PG Rollo Mus"/>
      <sheetName val="PG Vertikal Hal"/>
      <sheetName val="PG Handelss. Nst Konf"/>
      <sheetName val="PG Handelss. Nst Komp"/>
      <sheetName val="PG Handelss. Kraslice"/>
      <sheetName val="PG Horizontal Rie"/>
      <sheetName val="PG Systemt Nst Komp"/>
      <sheetName val="PG Plissee Ste"/>
      <sheetName val="PG Plissee Kraslice"/>
      <sheetName val="PG Raffrollo Kraslice"/>
      <sheetName val="PG Raffrollo Nst Konf"/>
      <sheetName val="PG Flächenvorhang Nst Konf"/>
      <sheetName val="PG Flächenvorhang Mus"/>
      <sheetName val="PG Insekten Nst Konf"/>
      <sheetName val="PG Insekten Kraslice"/>
      <sheetName val="PG Holzjalousie Rie"/>
      <sheetName val="PG Gelenkarm Kih"/>
      <sheetName val="PG Beschattungen Kih"/>
      <sheetName val="PG Fenster-Fassaden Kih"/>
      <sheetName val="PG Kassettenrollos Kih"/>
      <sheetName val="PG Sonst. Prod. Kih"/>
      <sheetName val="PG Solix Kraslice"/>
      <sheetName val="PG TWA Kih"/>
      <sheetName val="PG ETuBGR Kih"/>
      <sheetName val="PG Sonst.Leist. Kih"/>
      <sheetName val="PG ARS Rie"/>
      <sheetName val="PG Metallb Kih"/>
      <sheetName val="PG R&amp;B Kih"/>
      <sheetName val="PG sonst. Leist. Mark"/>
      <sheetName val="PG Komp IU Nst"/>
      <sheetName val="PG Komp IU Konf Nst"/>
      <sheetName val="GuV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>
            <v>1</v>
          </cell>
        </row>
      </sheetData>
      <sheetData sheetId="7"/>
      <sheetData sheetId="8"/>
      <sheetData sheetId="9"/>
      <sheetData sheetId="10"/>
      <sheetData sheetId="11">
        <row r="4">
          <cell r="B4">
            <v>1</v>
          </cell>
          <cell r="D4">
            <v>1</v>
          </cell>
          <cell r="E4">
            <v>2</v>
          </cell>
          <cell r="F4">
            <v>3</v>
          </cell>
          <cell r="G4">
            <v>4</v>
          </cell>
          <cell r="H4">
            <v>5</v>
          </cell>
          <cell r="I4">
            <v>6</v>
          </cell>
          <cell r="J4">
            <v>7</v>
          </cell>
          <cell r="K4">
            <v>8</v>
          </cell>
          <cell r="L4">
            <v>9</v>
          </cell>
          <cell r="M4">
            <v>10</v>
          </cell>
          <cell r="N4">
            <v>11</v>
          </cell>
          <cell r="O4">
            <v>12</v>
          </cell>
          <cell r="P4" t="str">
            <v>YTD</v>
          </cell>
          <cell r="Q4" t="str">
            <v>YTD</v>
          </cell>
          <cell r="R4" t="str">
            <v>YTD ges</v>
          </cell>
          <cell r="T4">
            <v>1</v>
          </cell>
          <cell r="U4">
            <v>2</v>
          </cell>
          <cell r="V4">
            <v>3</v>
          </cell>
          <cell r="W4">
            <v>4</v>
          </cell>
          <cell r="X4">
            <v>5</v>
          </cell>
          <cell r="Y4">
            <v>6</v>
          </cell>
          <cell r="Z4">
            <v>7</v>
          </cell>
          <cell r="AA4">
            <v>8</v>
          </cell>
          <cell r="AB4">
            <v>9</v>
          </cell>
          <cell r="AC4">
            <v>10</v>
          </cell>
          <cell r="AD4">
            <v>11</v>
          </cell>
          <cell r="AE4">
            <v>12</v>
          </cell>
          <cell r="AF4" t="str">
            <v>YTD</v>
          </cell>
          <cell r="AG4" t="str">
            <v>YTD</v>
          </cell>
          <cell r="AH4" t="str">
            <v>YTD ges</v>
          </cell>
          <cell r="AI4" t="str">
            <v>pm</v>
          </cell>
          <cell r="AK4">
            <v>4</v>
          </cell>
          <cell r="AL4">
            <v>5</v>
          </cell>
          <cell r="AM4">
            <v>6</v>
          </cell>
          <cell r="AN4">
            <v>7</v>
          </cell>
          <cell r="AO4">
            <v>8</v>
          </cell>
          <cell r="AP4">
            <v>9</v>
          </cell>
          <cell r="AQ4">
            <v>10</v>
          </cell>
          <cell r="AR4">
            <v>11</v>
          </cell>
          <cell r="AS4">
            <v>12</v>
          </cell>
          <cell r="AT4" t="str">
            <v>YTD</v>
          </cell>
          <cell r="AU4" t="str">
            <v>YTD</v>
          </cell>
          <cell r="AV4" t="str">
            <v>YTD ges</v>
          </cell>
          <cell r="AW4">
            <v>7</v>
          </cell>
          <cell r="AX4">
            <v>8</v>
          </cell>
          <cell r="AY4">
            <v>9</v>
          </cell>
          <cell r="AZ4">
            <v>10</v>
          </cell>
          <cell r="BA4">
            <v>11</v>
          </cell>
          <cell r="BB4">
            <v>12</v>
          </cell>
          <cell r="BC4" t="str">
            <v>YTD ges</v>
          </cell>
          <cell r="BD4">
            <v>9</v>
          </cell>
          <cell r="BE4">
            <v>10</v>
          </cell>
          <cell r="BF4">
            <v>11</v>
          </cell>
          <cell r="BG4">
            <v>12</v>
          </cell>
          <cell r="BH4" t="str">
            <v>YTD ges</v>
          </cell>
          <cell r="BI4" t="str">
            <v>pm</v>
          </cell>
          <cell r="BJ4" t="str">
            <v>YTD ges</v>
          </cell>
          <cell r="BL4">
            <v>1</v>
          </cell>
          <cell r="BM4">
            <v>2</v>
          </cell>
          <cell r="BN4">
            <v>3</v>
          </cell>
          <cell r="BO4">
            <v>4</v>
          </cell>
          <cell r="BP4">
            <v>5</v>
          </cell>
          <cell r="BQ4">
            <v>6</v>
          </cell>
          <cell r="BR4">
            <v>7</v>
          </cell>
          <cell r="BS4">
            <v>8</v>
          </cell>
          <cell r="BT4">
            <v>9</v>
          </cell>
          <cell r="BU4">
            <v>10</v>
          </cell>
          <cell r="BV4">
            <v>11</v>
          </cell>
          <cell r="BW4">
            <v>12</v>
          </cell>
          <cell r="BX4" t="str">
            <v>YTD</v>
          </cell>
          <cell r="BY4" t="str">
            <v>YTD</v>
          </cell>
          <cell r="BZ4" t="str">
            <v>YTD ges</v>
          </cell>
          <cell r="CA4" t="str">
            <v>pm</v>
          </cell>
          <cell r="CC4">
            <v>1</v>
          </cell>
          <cell r="CD4">
            <v>2</v>
          </cell>
          <cell r="CE4">
            <v>3</v>
          </cell>
          <cell r="CF4">
            <v>4</v>
          </cell>
          <cell r="CG4">
            <v>5</v>
          </cell>
          <cell r="CH4">
            <v>6</v>
          </cell>
          <cell r="CI4">
            <v>7</v>
          </cell>
          <cell r="CJ4">
            <v>8</v>
          </cell>
          <cell r="CK4">
            <v>9</v>
          </cell>
          <cell r="CL4">
            <v>10</v>
          </cell>
          <cell r="CM4">
            <v>11</v>
          </cell>
          <cell r="CN4">
            <v>12</v>
          </cell>
          <cell r="CO4" t="str">
            <v>YTD</v>
          </cell>
          <cell r="CP4" t="str">
            <v>YTD</v>
          </cell>
          <cell r="CQ4" t="str">
            <v>YTD ges</v>
          </cell>
          <cell r="CS4">
            <v>1</v>
          </cell>
          <cell r="CT4">
            <v>2</v>
          </cell>
          <cell r="CU4">
            <v>3</v>
          </cell>
          <cell r="CV4">
            <v>4</v>
          </cell>
          <cell r="CW4">
            <v>5</v>
          </cell>
          <cell r="CX4">
            <v>6</v>
          </cell>
          <cell r="CY4">
            <v>7</v>
          </cell>
          <cell r="CZ4">
            <v>8</v>
          </cell>
          <cell r="DA4">
            <v>9</v>
          </cell>
          <cell r="DB4">
            <v>10</v>
          </cell>
          <cell r="DC4">
            <v>11</v>
          </cell>
          <cell r="DD4">
            <v>12</v>
          </cell>
          <cell r="DE4" t="str">
            <v>YTD</v>
          </cell>
          <cell r="DF4" t="str">
            <v>YTD</v>
          </cell>
          <cell r="DG4" t="str">
            <v>YTD ges</v>
          </cell>
        </row>
        <row r="5">
          <cell r="B5">
            <v>2</v>
          </cell>
          <cell r="C5" t="str">
            <v>Brutto-Umsatz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14280296.43</v>
          </cell>
          <cell r="U5">
            <v>21760641.750000004</v>
          </cell>
          <cell r="V5">
            <v>27826869.990000002</v>
          </cell>
          <cell r="W5">
            <v>24656350.739999995</v>
          </cell>
          <cell r="X5">
            <v>28517637.419999994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117041796.33000003</v>
          </cell>
          <cell r="AH5">
            <v>117041796.33000003</v>
          </cell>
          <cell r="AI5">
            <v>0</v>
          </cell>
          <cell r="AK5">
            <v>1260334.77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63867808.169999987</v>
          </cell>
          <cell r="AV5">
            <v>63867808.169999987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117041796.33000003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117041796.33000003</v>
          </cell>
          <cell r="BI5">
            <v>0</v>
          </cell>
          <cell r="BJ5">
            <v>0</v>
          </cell>
          <cell r="BK5">
            <v>0</v>
          </cell>
          <cell r="BL5">
            <v>15984952.329999996</v>
          </cell>
          <cell r="BM5">
            <v>19630854.200000003</v>
          </cell>
          <cell r="BN5">
            <v>26975523.909999996</v>
          </cell>
          <cell r="BO5">
            <v>26367626.489999998</v>
          </cell>
          <cell r="BP5">
            <v>27076852.779999997</v>
          </cell>
          <cell r="BQ5">
            <v>29285277.419999998</v>
          </cell>
          <cell r="BR5">
            <v>29035318.749999993</v>
          </cell>
          <cell r="BS5">
            <v>25604204.330000002</v>
          </cell>
          <cell r="BT5">
            <v>22932606.830000002</v>
          </cell>
          <cell r="BU5">
            <v>20277954.719999991</v>
          </cell>
          <cell r="BV5">
            <v>22904948.530000005</v>
          </cell>
          <cell r="BW5">
            <v>19314129.529999997</v>
          </cell>
          <cell r="BX5">
            <v>0</v>
          </cell>
          <cell r="BY5">
            <v>285390249.81999987</v>
          </cell>
          <cell r="BZ5">
            <v>285390249.81999987</v>
          </cell>
          <cell r="CA5">
            <v>19314129.529999997</v>
          </cell>
          <cell r="CB5">
            <v>0</v>
          </cell>
          <cell r="CC5">
            <v>17866017.439999998</v>
          </cell>
          <cell r="CD5">
            <v>19822233.180000003</v>
          </cell>
          <cell r="CE5">
            <v>22000558.25</v>
          </cell>
          <cell r="CF5">
            <v>19596722.060000002</v>
          </cell>
          <cell r="CG5">
            <v>21258733.570000004</v>
          </cell>
          <cell r="CH5">
            <v>27697405.980000004</v>
          </cell>
          <cell r="CI5">
            <v>30262832.130000003</v>
          </cell>
          <cell r="CJ5">
            <v>24628741.359999999</v>
          </cell>
          <cell r="CK5">
            <v>26101084.810000002</v>
          </cell>
          <cell r="CL5">
            <v>26170503.579999994</v>
          </cell>
          <cell r="CM5">
            <v>23003243.240000006</v>
          </cell>
          <cell r="CN5">
            <v>21822107.769999996</v>
          </cell>
          <cell r="CO5">
            <v>0</v>
          </cell>
          <cell r="CP5">
            <v>280230183.37000006</v>
          </cell>
          <cell r="CQ5">
            <v>280230183.37000006</v>
          </cell>
          <cell r="CR5">
            <v>0</v>
          </cell>
          <cell r="CS5">
            <v>18144509.780000005</v>
          </cell>
          <cell r="CT5">
            <v>17844547.109999999</v>
          </cell>
          <cell r="CU5">
            <v>23398739.210000008</v>
          </cell>
          <cell r="CV5">
            <v>24706512.900000002</v>
          </cell>
          <cell r="CW5">
            <v>26594660.659999996</v>
          </cell>
          <cell r="CX5">
            <v>22839663.110000007</v>
          </cell>
          <cell r="CY5">
            <v>26530864.369999994</v>
          </cell>
          <cell r="CZ5">
            <v>24970120.030000005</v>
          </cell>
          <cell r="DA5">
            <v>22079128.879999995</v>
          </cell>
          <cell r="DB5">
            <v>21778705.739999995</v>
          </cell>
          <cell r="DC5">
            <v>20494266.009999994</v>
          </cell>
          <cell r="DD5">
            <v>14875372.910000004</v>
          </cell>
          <cell r="DE5">
            <v>0</v>
          </cell>
          <cell r="DF5">
            <v>264257090.70999998</v>
          </cell>
          <cell r="DG5">
            <v>264257090.70999998</v>
          </cell>
        </row>
        <row r="6">
          <cell r="B6">
            <v>3</v>
          </cell>
          <cell r="C6" t="str">
            <v>Faktura-Umsatz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6483800.4999999991</v>
          </cell>
          <cell r="U6">
            <v>9743551.7800000012</v>
          </cell>
          <cell r="V6">
            <v>12988219.759999998</v>
          </cell>
          <cell r="W6">
            <v>11625272.819999998</v>
          </cell>
          <cell r="X6">
            <v>13598467.76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54439312.620000005</v>
          </cell>
          <cell r="AH6">
            <v>54439312.620000005</v>
          </cell>
          <cell r="AI6">
            <v>0</v>
          </cell>
          <cell r="AK6">
            <v>226979.67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29215572.039999999</v>
          </cell>
          <cell r="AV6">
            <v>29215572.039999999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54439312.620000005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54439312.620000005</v>
          </cell>
          <cell r="BI6">
            <v>0</v>
          </cell>
          <cell r="BJ6">
            <v>0</v>
          </cell>
          <cell r="BK6">
            <v>0</v>
          </cell>
          <cell r="BL6">
            <v>6740982.0999999987</v>
          </cell>
          <cell r="BM6">
            <v>8552106.8300000019</v>
          </cell>
          <cell r="BN6">
            <v>12115865.010000002</v>
          </cell>
          <cell r="BO6">
            <v>12096348.479999999</v>
          </cell>
          <cell r="BP6">
            <v>12447978.489999998</v>
          </cell>
          <cell r="BQ6">
            <v>12976677.680000002</v>
          </cell>
          <cell r="BR6">
            <v>13461802.639999999</v>
          </cell>
          <cell r="BS6">
            <v>12180149.730000002</v>
          </cell>
          <cell r="BT6">
            <v>10865252.649999999</v>
          </cell>
          <cell r="BU6">
            <v>9611026.3999999966</v>
          </cell>
          <cell r="BV6">
            <v>10222781.600000001</v>
          </cell>
          <cell r="BW6">
            <v>9039154.1400000043</v>
          </cell>
          <cell r="BX6">
            <v>0</v>
          </cell>
          <cell r="BY6">
            <v>130310125.75000001</v>
          </cell>
          <cell r="BZ6">
            <v>130310125.75000001</v>
          </cell>
          <cell r="CA6">
            <v>9039154.1400000043</v>
          </cell>
          <cell r="CB6">
            <v>0</v>
          </cell>
          <cell r="CC6">
            <v>7717182.5600000005</v>
          </cell>
          <cell r="CD6">
            <v>8470879.5100000035</v>
          </cell>
          <cell r="CE6">
            <v>10242892.279999999</v>
          </cell>
          <cell r="CF6">
            <v>9577037.7399999984</v>
          </cell>
          <cell r="CG6">
            <v>10234457.840000002</v>
          </cell>
          <cell r="CH6">
            <v>12858626.150000002</v>
          </cell>
          <cell r="CI6">
            <v>13997377.48</v>
          </cell>
          <cell r="CJ6">
            <v>11562078.770000003</v>
          </cell>
          <cell r="CK6">
            <v>11939293.940000003</v>
          </cell>
          <cell r="CL6">
            <v>11976130.200000005</v>
          </cell>
          <cell r="CM6">
            <v>10126576.970000001</v>
          </cell>
          <cell r="CN6">
            <v>9588238.2500000019</v>
          </cell>
          <cell r="CO6">
            <v>0</v>
          </cell>
          <cell r="CP6">
            <v>128290771.68999998</v>
          </cell>
          <cell r="CQ6">
            <v>128290771.68999998</v>
          </cell>
          <cell r="CR6">
            <v>0</v>
          </cell>
          <cell r="CS6">
            <v>7583775.3399999999</v>
          </cell>
          <cell r="CT6">
            <v>7519031.620000001</v>
          </cell>
          <cell r="CU6">
            <v>10504074.410000002</v>
          </cell>
          <cell r="CV6">
            <v>11304246.359999999</v>
          </cell>
          <cell r="CW6">
            <v>12124702.82</v>
          </cell>
          <cell r="CX6">
            <v>10159687.449999997</v>
          </cell>
          <cell r="CY6">
            <v>11917238.529999999</v>
          </cell>
          <cell r="CZ6">
            <v>11623500.060000001</v>
          </cell>
          <cell r="DA6">
            <v>10091505.9</v>
          </cell>
          <cell r="DB6">
            <v>9691234.089999998</v>
          </cell>
          <cell r="DC6">
            <v>8871465.0399999991</v>
          </cell>
          <cell r="DD6">
            <v>6706638.8700000001</v>
          </cell>
          <cell r="DE6">
            <v>0</v>
          </cell>
          <cell r="DF6">
            <v>118097100.48999998</v>
          </cell>
          <cell r="DG6">
            <v>118097100.48999998</v>
          </cell>
        </row>
        <row r="7">
          <cell r="B7">
            <v>4</v>
          </cell>
          <cell r="C7" t="str">
            <v>Vertriebsumsatz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6443570.8899999969</v>
          </cell>
          <cell r="U7">
            <v>9694110.7100000046</v>
          </cell>
          <cell r="V7">
            <v>12903071.259999998</v>
          </cell>
          <cell r="W7">
            <v>11541265.610000003</v>
          </cell>
          <cell r="X7">
            <v>13495640.449999999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54077658.920000002</v>
          </cell>
          <cell r="AH7">
            <v>54077658.920000002</v>
          </cell>
          <cell r="AI7">
            <v>0</v>
          </cell>
          <cell r="AK7">
            <v>223141.68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29040752.859999996</v>
          </cell>
          <cell r="AV7">
            <v>29040752.859999996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54077658.920000002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54077658.920000002</v>
          </cell>
          <cell r="BI7">
            <v>0</v>
          </cell>
          <cell r="BJ7">
            <v>0</v>
          </cell>
          <cell r="BK7">
            <v>0</v>
          </cell>
          <cell r="BL7">
            <v>6667502.5399999982</v>
          </cell>
          <cell r="BM7">
            <v>8463385.7699999996</v>
          </cell>
          <cell r="BN7">
            <v>12038300.850000003</v>
          </cell>
          <cell r="BO7">
            <v>12018453.470000001</v>
          </cell>
          <cell r="BP7">
            <v>12356723.709999999</v>
          </cell>
          <cell r="BQ7">
            <v>12726184.720000003</v>
          </cell>
          <cell r="BR7">
            <v>13445166.639999997</v>
          </cell>
          <cell r="BS7">
            <v>12045170.300000003</v>
          </cell>
          <cell r="BT7">
            <v>10759770.220000001</v>
          </cell>
          <cell r="BU7">
            <v>9453010.1400000006</v>
          </cell>
          <cell r="BV7">
            <v>10101072.24</v>
          </cell>
          <cell r="BW7">
            <v>8894089.8700000029</v>
          </cell>
          <cell r="BX7">
            <v>0</v>
          </cell>
          <cell r="BY7">
            <v>128968830.47</v>
          </cell>
          <cell r="BZ7">
            <v>128968830.47</v>
          </cell>
          <cell r="CA7">
            <v>8894089.8700000029</v>
          </cell>
          <cell r="CB7">
            <v>0</v>
          </cell>
          <cell r="CC7">
            <v>7632745.3099999977</v>
          </cell>
          <cell r="CD7">
            <v>8364303.7400000012</v>
          </cell>
          <cell r="CE7">
            <v>10163510.129999997</v>
          </cell>
          <cell r="CF7">
            <v>9508681.1000000015</v>
          </cell>
          <cell r="CG7">
            <v>10172472.350000003</v>
          </cell>
          <cell r="CH7">
            <v>12771819.880000001</v>
          </cell>
          <cell r="CI7">
            <v>13886402.009999998</v>
          </cell>
          <cell r="CJ7">
            <v>11463790.339999996</v>
          </cell>
          <cell r="CK7">
            <v>11831448.250000002</v>
          </cell>
          <cell r="CL7">
            <v>11840860.93</v>
          </cell>
          <cell r="CM7">
            <v>10005851.630000003</v>
          </cell>
          <cell r="CN7">
            <v>9048807.0299999993</v>
          </cell>
          <cell r="CO7">
            <v>0</v>
          </cell>
          <cell r="CP7">
            <v>126690692.69999999</v>
          </cell>
          <cell r="CQ7">
            <v>126690692.69999999</v>
          </cell>
          <cell r="CR7">
            <v>0</v>
          </cell>
          <cell r="CS7">
            <v>7491410.4800000014</v>
          </cell>
          <cell r="CT7">
            <v>7419845.0899999999</v>
          </cell>
          <cell r="CU7">
            <v>10434254.930000002</v>
          </cell>
          <cell r="CV7">
            <v>11234973.090000002</v>
          </cell>
          <cell r="CW7">
            <v>12002411.789999999</v>
          </cell>
          <cell r="CX7">
            <v>10050719.869999997</v>
          </cell>
          <cell r="CY7">
            <v>11793625.659999998</v>
          </cell>
          <cell r="CZ7">
            <v>11270543.499999998</v>
          </cell>
          <cell r="DA7">
            <v>9987353.6599999983</v>
          </cell>
          <cell r="DB7">
            <v>9582923.7699999977</v>
          </cell>
          <cell r="DC7">
            <v>8800607.6199999992</v>
          </cell>
          <cell r="DD7">
            <v>6502442.04</v>
          </cell>
          <cell r="DE7">
            <v>0</v>
          </cell>
          <cell r="DF7">
            <v>116571111.49999999</v>
          </cell>
          <cell r="DG7">
            <v>116571111.49999999</v>
          </cell>
        </row>
        <row r="8">
          <cell r="B8">
            <v>5</v>
          </cell>
          <cell r="C8" t="str">
            <v>Bonus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79467.25999999998</v>
          </cell>
          <cell r="U8">
            <v>205246.72000000009</v>
          </cell>
          <cell r="V8">
            <v>287533.54000000004</v>
          </cell>
          <cell r="W8">
            <v>268777.04000000004</v>
          </cell>
          <cell r="X8">
            <v>272423.92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1113448.4799999997</v>
          </cell>
          <cell r="AH8">
            <v>1113448.4799999997</v>
          </cell>
          <cell r="AI8">
            <v>0</v>
          </cell>
          <cell r="AK8">
            <v>7650.24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572247.52</v>
          </cell>
          <cell r="AV8">
            <v>572247.52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1113448.4799999997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1113448.4799999997</v>
          </cell>
          <cell r="BI8">
            <v>0</v>
          </cell>
          <cell r="BJ8">
            <v>0</v>
          </cell>
          <cell r="BK8">
            <v>0</v>
          </cell>
          <cell r="BL8">
            <v>178162.02</v>
          </cell>
          <cell r="BM8">
            <v>99523.36</v>
          </cell>
          <cell r="BN8">
            <v>228251.18</v>
          </cell>
          <cell r="BO8">
            <v>167441.56</v>
          </cell>
          <cell r="BP8">
            <v>355652.44999999995</v>
          </cell>
          <cell r="BQ8">
            <v>281995.74</v>
          </cell>
          <cell r="BR8">
            <v>310909.87</v>
          </cell>
          <cell r="BS8">
            <v>270168.31999999995</v>
          </cell>
          <cell r="BT8">
            <v>227502.49999999994</v>
          </cell>
          <cell r="BU8">
            <v>64292.169999999984</v>
          </cell>
          <cell r="BV8">
            <v>206045.74999999994</v>
          </cell>
          <cell r="BW8">
            <v>308835.92000000004</v>
          </cell>
          <cell r="BX8">
            <v>0</v>
          </cell>
          <cell r="BY8">
            <v>2698780.8400000003</v>
          </cell>
          <cell r="BZ8">
            <v>2698780.8400000003</v>
          </cell>
          <cell r="CA8">
            <v>308835.92000000004</v>
          </cell>
          <cell r="CB8">
            <v>0</v>
          </cell>
          <cell r="CC8">
            <v>140895.21000000002</v>
          </cell>
          <cell r="CD8">
            <v>210814.02000000002</v>
          </cell>
          <cell r="CE8">
            <v>227081.7</v>
          </cell>
          <cell r="CF8">
            <v>215447.15</v>
          </cell>
          <cell r="CG8">
            <v>247844.03999999992</v>
          </cell>
          <cell r="CH8">
            <v>359252.86000000004</v>
          </cell>
          <cell r="CI8">
            <v>376897.25000000006</v>
          </cell>
          <cell r="CJ8">
            <v>292389.86999999994</v>
          </cell>
          <cell r="CK8">
            <v>275304.33999999997</v>
          </cell>
          <cell r="CL8">
            <v>250036.77000000002</v>
          </cell>
          <cell r="CM8">
            <v>229038.81</v>
          </cell>
          <cell r="CN8">
            <v>213544.82</v>
          </cell>
          <cell r="CO8">
            <v>0</v>
          </cell>
          <cell r="CP8">
            <v>3038546.8400000003</v>
          </cell>
          <cell r="CQ8">
            <v>3038546.8400000003</v>
          </cell>
          <cell r="CR8">
            <v>0</v>
          </cell>
          <cell r="CS8">
            <v>317932.58000000007</v>
          </cell>
          <cell r="CT8">
            <v>173218.98</v>
          </cell>
          <cell r="CU8">
            <v>266610.05</v>
          </cell>
          <cell r="CV8">
            <v>278607.71000000002</v>
          </cell>
          <cell r="CW8">
            <v>290665.87999999995</v>
          </cell>
          <cell r="CX8">
            <v>287777.39</v>
          </cell>
          <cell r="CY8">
            <v>286289.90000000002</v>
          </cell>
          <cell r="CZ8">
            <v>262902.74000000005</v>
          </cell>
          <cell r="DA8">
            <v>224219.06</v>
          </cell>
          <cell r="DB8">
            <v>181134.85000000006</v>
          </cell>
          <cell r="DC8">
            <v>189398.01</v>
          </cell>
          <cell r="DD8">
            <v>-28162.51999999996</v>
          </cell>
          <cell r="DE8">
            <v>0</v>
          </cell>
          <cell r="DF8">
            <v>2730594.6299999994</v>
          </cell>
          <cell r="DG8">
            <v>2730594.6299999994</v>
          </cell>
        </row>
        <row r="9">
          <cell r="B9">
            <v>6</v>
          </cell>
          <cell r="C9" t="str">
            <v>Skonto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134200.37000000005</v>
          </cell>
          <cell r="U9">
            <v>234650.26000000004</v>
          </cell>
          <cell r="V9">
            <v>281873.15999999992</v>
          </cell>
          <cell r="W9">
            <v>310782.85999999987</v>
          </cell>
          <cell r="X9">
            <v>335837.23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1297343.8800000004</v>
          </cell>
          <cell r="AH9">
            <v>1297343.8800000004</v>
          </cell>
          <cell r="AI9">
            <v>0</v>
          </cell>
          <cell r="AK9">
            <v>5910.32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650723.7899999998</v>
          </cell>
          <cell r="AV9">
            <v>650723.7899999998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1297343.8800000004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1297343.8800000004</v>
          </cell>
          <cell r="BI9">
            <v>0</v>
          </cell>
          <cell r="BJ9">
            <v>0</v>
          </cell>
          <cell r="BK9">
            <v>0</v>
          </cell>
          <cell r="BL9">
            <v>125582.27</v>
          </cell>
          <cell r="BM9">
            <v>218666.30999999994</v>
          </cell>
          <cell r="BN9">
            <v>326436.63</v>
          </cell>
          <cell r="BO9">
            <v>305346.21999999991</v>
          </cell>
          <cell r="BP9">
            <v>316354.90999999997</v>
          </cell>
          <cell r="BQ9">
            <v>326519.01000000013</v>
          </cell>
          <cell r="BR9">
            <v>308281.69000000012</v>
          </cell>
          <cell r="BS9">
            <v>343810.59</v>
          </cell>
          <cell r="BT9">
            <v>292949.05000000005</v>
          </cell>
          <cell r="BU9">
            <v>294650.8</v>
          </cell>
          <cell r="BV9">
            <v>309657.5799999999</v>
          </cell>
          <cell r="BW9">
            <v>255834.43999999994</v>
          </cell>
          <cell r="BX9">
            <v>0</v>
          </cell>
          <cell r="BY9">
            <v>3424089.5000000005</v>
          </cell>
          <cell r="BZ9">
            <v>3424089.5000000005</v>
          </cell>
          <cell r="CA9">
            <v>255834.43999999994</v>
          </cell>
          <cell r="CB9">
            <v>0</v>
          </cell>
          <cell r="CC9">
            <v>147980.61000000002</v>
          </cell>
          <cell r="CD9">
            <v>190511.54</v>
          </cell>
          <cell r="CE9">
            <v>293287.51</v>
          </cell>
          <cell r="CF9">
            <v>220786.68</v>
          </cell>
          <cell r="CG9">
            <v>293626.68</v>
          </cell>
          <cell r="CH9">
            <v>321511.54000000004</v>
          </cell>
          <cell r="CI9">
            <v>350894.86</v>
          </cell>
          <cell r="CJ9">
            <v>372751.69</v>
          </cell>
          <cell r="CK9">
            <v>312342.03999999998</v>
          </cell>
          <cell r="CL9">
            <v>319526.96000000002</v>
          </cell>
          <cell r="CM9">
            <v>288041.05</v>
          </cell>
          <cell r="CN9">
            <v>315020.86999999988</v>
          </cell>
          <cell r="CO9">
            <v>0</v>
          </cell>
          <cell r="CP9">
            <v>3426282.03</v>
          </cell>
          <cell r="CQ9">
            <v>3426282.03</v>
          </cell>
          <cell r="CR9">
            <v>0</v>
          </cell>
          <cell r="CS9">
            <v>166315.65999999997</v>
          </cell>
          <cell r="CT9">
            <v>185333.06000000003</v>
          </cell>
          <cell r="CU9">
            <v>218624.79</v>
          </cell>
          <cell r="CV9">
            <v>297552.39999999997</v>
          </cell>
          <cell r="CW9">
            <v>360294.8000000001</v>
          </cell>
          <cell r="CX9">
            <v>296408.34999999998</v>
          </cell>
          <cell r="CY9">
            <v>291205.23</v>
          </cell>
          <cell r="CZ9">
            <v>333910.40999999992</v>
          </cell>
          <cell r="DA9">
            <v>256238.39</v>
          </cell>
          <cell r="DB9">
            <v>274681.00000000006</v>
          </cell>
          <cell r="DC9">
            <v>224083.10000000003</v>
          </cell>
          <cell r="DD9">
            <v>221563.37000000005</v>
          </cell>
          <cell r="DE9">
            <v>0</v>
          </cell>
          <cell r="DF9">
            <v>3126210.5600000001</v>
          </cell>
          <cell r="DG9">
            <v>3126210.5600000001</v>
          </cell>
        </row>
        <row r="10">
          <cell r="B10">
            <v>7</v>
          </cell>
          <cell r="C10" t="str">
            <v>Abfallverkäufe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19658.89</v>
          </cell>
          <cell r="U10">
            <v>30106.949999999997</v>
          </cell>
          <cell r="V10">
            <v>37054.14</v>
          </cell>
          <cell r="W10">
            <v>40339.01999999999</v>
          </cell>
          <cell r="X10">
            <v>59721.67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186880.66999999995</v>
          </cell>
          <cell r="AH10">
            <v>186880.66999999995</v>
          </cell>
          <cell r="AI10">
            <v>0</v>
          </cell>
          <cell r="AK10">
            <v>512.57000000000005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86819.98000000001</v>
          </cell>
          <cell r="AV10">
            <v>86819.98000000001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186880.66999999995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186880.66999999995</v>
          </cell>
          <cell r="BI10">
            <v>0</v>
          </cell>
          <cell r="BJ10">
            <v>0</v>
          </cell>
          <cell r="BK10">
            <v>0</v>
          </cell>
          <cell r="BL10">
            <v>10077.969999999999</v>
          </cell>
          <cell r="BM10">
            <v>10095.029999999999</v>
          </cell>
          <cell r="BN10">
            <v>26282.710000000003</v>
          </cell>
          <cell r="BO10">
            <v>30301.920000000002</v>
          </cell>
          <cell r="BP10">
            <v>28133.590000000004</v>
          </cell>
          <cell r="BQ10">
            <v>29865.37</v>
          </cell>
          <cell r="BR10">
            <v>38761.11</v>
          </cell>
          <cell r="BS10">
            <v>31329.450000000004</v>
          </cell>
          <cell r="BT10">
            <v>41355.72</v>
          </cell>
          <cell r="BU10">
            <v>35579.61</v>
          </cell>
          <cell r="BV10">
            <v>47063.6</v>
          </cell>
          <cell r="BW10">
            <v>32628.899999999998</v>
          </cell>
          <cell r="BX10">
            <v>0</v>
          </cell>
          <cell r="BY10">
            <v>361474.9800000001</v>
          </cell>
          <cell r="BZ10">
            <v>361474.9800000001</v>
          </cell>
          <cell r="CA10">
            <v>32628.899999999998</v>
          </cell>
          <cell r="CB10">
            <v>0</v>
          </cell>
          <cell r="CC10">
            <v>6959.0100000000011</v>
          </cell>
          <cell r="CD10">
            <v>19098</v>
          </cell>
          <cell r="CE10">
            <v>12893.199999999995</v>
          </cell>
          <cell r="CF10">
            <v>18573.000000000004</v>
          </cell>
          <cell r="CG10">
            <v>14894.17</v>
          </cell>
          <cell r="CH10">
            <v>14440.039999999999</v>
          </cell>
          <cell r="CI10">
            <v>20742.240000000002</v>
          </cell>
          <cell r="CJ10">
            <v>16358.619999999999</v>
          </cell>
          <cell r="CK10">
            <v>23210.560000000005</v>
          </cell>
          <cell r="CL10">
            <v>18986.02</v>
          </cell>
          <cell r="CM10">
            <v>26542.989999999994</v>
          </cell>
          <cell r="CN10">
            <v>22639.020000000004</v>
          </cell>
          <cell r="CO10">
            <v>0</v>
          </cell>
          <cell r="CP10">
            <v>215336.87</v>
          </cell>
          <cell r="CQ10">
            <v>215336.87</v>
          </cell>
          <cell r="CR10">
            <v>0</v>
          </cell>
          <cell r="CS10">
            <v>14483.539999999997</v>
          </cell>
          <cell r="CT10">
            <v>15758.89</v>
          </cell>
          <cell r="CU10">
            <v>15383.96</v>
          </cell>
          <cell r="CV10">
            <v>34803.240000000005</v>
          </cell>
          <cell r="CW10">
            <v>10198.740000000002</v>
          </cell>
          <cell r="CX10">
            <v>23212.91</v>
          </cell>
          <cell r="CY10">
            <v>14525.289999999997</v>
          </cell>
          <cell r="CZ10">
            <v>31980.480000000003</v>
          </cell>
          <cell r="DA10">
            <v>22920.3</v>
          </cell>
          <cell r="DB10">
            <v>13732.599999999999</v>
          </cell>
          <cell r="DC10">
            <v>17406.300000000003</v>
          </cell>
          <cell r="DD10">
            <v>9970.9699999999975</v>
          </cell>
          <cell r="DE10">
            <v>0</v>
          </cell>
          <cell r="DF10">
            <v>224377.21999999994</v>
          </cell>
          <cell r="DG10">
            <v>224377.21999999994</v>
          </cell>
        </row>
        <row r="11">
          <cell r="B11">
            <v>8</v>
          </cell>
          <cell r="C11" t="str">
            <v>Umsatz sonstige Dritte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3861.82</v>
          </cell>
          <cell r="U11">
            <v>4231.579999999999</v>
          </cell>
          <cell r="V11">
            <v>3362.0600000000004</v>
          </cell>
          <cell r="W11">
            <v>7037.5999999999985</v>
          </cell>
          <cell r="X11">
            <v>8226.0200000000023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26719.079999999998</v>
          </cell>
          <cell r="AH11">
            <v>26719.079999999998</v>
          </cell>
          <cell r="AI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11455.46</v>
          </cell>
          <cell r="AV11">
            <v>11455.46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26719.079999999998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26719.079999999998</v>
          </cell>
          <cell r="BI11">
            <v>0</v>
          </cell>
          <cell r="BJ11">
            <v>0</v>
          </cell>
          <cell r="BK11">
            <v>0</v>
          </cell>
          <cell r="BL11">
            <v>3293.0699999999997</v>
          </cell>
          <cell r="BM11">
            <v>5214.7200000000021</v>
          </cell>
          <cell r="BN11">
            <v>4442.5800000000017</v>
          </cell>
          <cell r="BO11">
            <v>980.7199999999998</v>
          </cell>
          <cell r="BP11">
            <v>7120.050000000002</v>
          </cell>
          <cell r="BQ11">
            <v>6123.420000000001</v>
          </cell>
          <cell r="BR11">
            <v>6802.85</v>
          </cell>
          <cell r="BS11">
            <v>3266.96</v>
          </cell>
          <cell r="BT11">
            <v>5845.08</v>
          </cell>
          <cell r="BU11">
            <v>3687.0100000000016</v>
          </cell>
          <cell r="BV11">
            <v>5610.6699999999992</v>
          </cell>
          <cell r="BW11">
            <v>5015.75</v>
          </cell>
          <cell r="BX11">
            <v>0</v>
          </cell>
          <cell r="BY11">
            <v>57402.880000000012</v>
          </cell>
          <cell r="BZ11">
            <v>57402.880000000012</v>
          </cell>
          <cell r="CA11">
            <v>5015.75</v>
          </cell>
          <cell r="CB11">
            <v>0</v>
          </cell>
          <cell r="CC11">
            <v>2934.9399999999996</v>
          </cell>
          <cell r="CD11">
            <v>4944.8900000000003</v>
          </cell>
          <cell r="CE11">
            <v>4432.46</v>
          </cell>
          <cell r="CF11">
            <v>5183.2499999999991</v>
          </cell>
          <cell r="CG11">
            <v>3640.75</v>
          </cell>
          <cell r="CH11">
            <v>3886.5099999999989</v>
          </cell>
          <cell r="CI11">
            <v>3728.58</v>
          </cell>
          <cell r="CJ11">
            <v>5860.56</v>
          </cell>
          <cell r="CK11">
            <v>-402.50000000000011</v>
          </cell>
          <cell r="CL11">
            <v>0</v>
          </cell>
          <cell r="CM11">
            <v>3884</v>
          </cell>
          <cell r="CN11">
            <v>5757.01</v>
          </cell>
          <cell r="CO11">
            <v>0</v>
          </cell>
          <cell r="CP11">
            <v>43850.44999999999</v>
          </cell>
          <cell r="CQ11">
            <v>43850.44999999999</v>
          </cell>
          <cell r="CR11">
            <v>0</v>
          </cell>
          <cell r="CS11">
            <v>1695.3799999999999</v>
          </cell>
          <cell r="CT11">
            <v>6663.0399999999991</v>
          </cell>
          <cell r="CU11">
            <v>10021.200000000001</v>
          </cell>
          <cell r="CV11">
            <v>23046.610000000004</v>
          </cell>
          <cell r="CW11">
            <v>15076.220000000003</v>
          </cell>
          <cell r="CX11">
            <v>4488.1900000000014</v>
          </cell>
          <cell r="CY11">
            <v>7016.3900000000012</v>
          </cell>
          <cell r="CZ11">
            <v>6882.0999999999995</v>
          </cell>
          <cell r="DA11">
            <v>4554.7899999999991</v>
          </cell>
          <cell r="DB11">
            <v>4592.5399999999991</v>
          </cell>
          <cell r="DC11">
            <v>5357.93</v>
          </cell>
          <cell r="DD11">
            <v>4903.8100000000004</v>
          </cell>
          <cell r="DE11">
            <v>0</v>
          </cell>
          <cell r="DF11">
            <v>94298.2</v>
          </cell>
          <cell r="DG11">
            <v>94298.2</v>
          </cell>
        </row>
        <row r="12">
          <cell r="B12">
            <v>9</v>
          </cell>
          <cell r="C12" t="str">
            <v>Umsatz sonst.Betriebl.Erträge verb. Unternehm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</row>
        <row r="13">
          <cell r="B13">
            <v>10</v>
          </cell>
          <cell r="C13" t="str">
            <v>Umsatz Ausgangsfrachtkosten IC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</row>
        <row r="14">
          <cell r="B14">
            <v>11</v>
          </cell>
          <cell r="C14" t="str">
            <v>Bestandsveränderung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324985.13</v>
          </cell>
          <cell r="U14">
            <v>463915.31</v>
          </cell>
          <cell r="V14">
            <v>254183.10000000003</v>
          </cell>
          <cell r="W14">
            <v>25982.440000000002</v>
          </cell>
          <cell r="X14">
            <v>65103.719999999994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1134169.7</v>
          </cell>
          <cell r="AH14">
            <v>1134169.7</v>
          </cell>
          <cell r="AI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1043083.54</v>
          </cell>
          <cell r="AV14">
            <v>1043083.54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1134169.7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1134169.7</v>
          </cell>
          <cell r="BI14">
            <v>0</v>
          </cell>
          <cell r="BJ14">
            <v>0</v>
          </cell>
          <cell r="BK14">
            <v>0</v>
          </cell>
          <cell r="BL14">
            <v>232615.37999999998</v>
          </cell>
          <cell r="BM14">
            <v>296825.44</v>
          </cell>
          <cell r="BN14">
            <v>189490.53999999998</v>
          </cell>
          <cell r="BO14">
            <v>180369.16</v>
          </cell>
          <cell r="BP14">
            <v>133648.82</v>
          </cell>
          <cell r="BQ14">
            <v>194061.52000000002</v>
          </cell>
          <cell r="BR14">
            <v>277483.04000000004</v>
          </cell>
          <cell r="BS14">
            <v>-48221.2</v>
          </cell>
          <cell r="BT14">
            <v>62287.589999999989</v>
          </cell>
          <cell r="BU14">
            <v>-30956.79</v>
          </cell>
          <cell r="BV14">
            <v>209251.22000000003</v>
          </cell>
          <cell r="BW14">
            <v>-439748.35999999993</v>
          </cell>
          <cell r="BX14">
            <v>0</v>
          </cell>
          <cell r="BY14">
            <v>1257106.3600000001</v>
          </cell>
          <cell r="BZ14">
            <v>1257106.3600000001</v>
          </cell>
          <cell r="CA14">
            <v>-439748.35999999993</v>
          </cell>
          <cell r="CB14">
            <v>0</v>
          </cell>
          <cell r="CC14">
            <v>60678.299999999981</v>
          </cell>
          <cell r="CD14">
            <v>357290.84999999992</v>
          </cell>
          <cell r="CE14">
            <v>-208139.06999999998</v>
          </cell>
          <cell r="CF14">
            <v>42354.219999999994</v>
          </cell>
          <cell r="CG14">
            <v>-103416.89000000001</v>
          </cell>
          <cell r="CH14">
            <v>-69812.939999999988</v>
          </cell>
          <cell r="CI14">
            <v>64476.62999999999</v>
          </cell>
          <cell r="CJ14">
            <v>13345.319999999996</v>
          </cell>
          <cell r="CK14">
            <v>-79164.89</v>
          </cell>
          <cell r="CL14">
            <v>-85878.239999999991</v>
          </cell>
          <cell r="CM14">
            <v>194798.66000000003</v>
          </cell>
          <cell r="CN14">
            <v>-111300.90999999999</v>
          </cell>
          <cell r="CO14">
            <v>0</v>
          </cell>
          <cell r="CP14">
            <v>75231.039999999979</v>
          </cell>
          <cell r="CQ14">
            <v>75231.039999999979</v>
          </cell>
          <cell r="CR14">
            <v>0</v>
          </cell>
          <cell r="CS14">
            <v>293338.35000000003</v>
          </cell>
          <cell r="CT14">
            <v>239310.72999999995</v>
          </cell>
          <cell r="CU14">
            <v>205496.14999999997</v>
          </cell>
          <cell r="CV14">
            <v>12124.900000000001</v>
          </cell>
          <cell r="CW14">
            <v>-320518.05</v>
          </cell>
          <cell r="CX14">
            <v>86361.56</v>
          </cell>
          <cell r="CY14">
            <v>168916.60000000003</v>
          </cell>
          <cell r="CZ14">
            <v>-79317.979999999981</v>
          </cell>
          <cell r="DA14">
            <v>-197494.14</v>
          </cell>
          <cell r="DB14">
            <v>-172051.3</v>
          </cell>
          <cell r="DC14">
            <v>-123129.26999999997</v>
          </cell>
          <cell r="DD14">
            <v>-32442.400000000009</v>
          </cell>
          <cell r="DE14">
            <v>0</v>
          </cell>
          <cell r="DF14">
            <v>80595.149999999907</v>
          </cell>
          <cell r="DG14">
            <v>80595.149999999907</v>
          </cell>
        </row>
        <row r="15">
          <cell r="B15">
            <v>12</v>
          </cell>
          <cell r="C15" t="str">
            <v>aktivierte Eigenleistungen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-36626.58</v>
          </cell>
          <cell r="U15">
            <v>-73093.240000000005</v>
          </cell>
          <cell r="V15">
            <v>-104604.74</v>
          </cell>
          <cell r="W15">
            <v>-72228.73</v>
          </cell>
          <cell r="X15">
            <v>-62369.73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-348923.01999999996</v>
          </cell>
          <cell r="AH15">
            <v>-348923.01999999996</v>
          </cell>
          <cell r="AI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-214324.56</v>
          </cell>
          <cell r="AV15">
            <v>-214324.56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-348923.01999999996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-348923.01999999996</v>
          </cell>
          <cell r="BI15">
            <v>0</v>
          </cell>
          <cell r="BJ15">
            <v>0</v>
          </cell>
          <cell r="BK15">
            <v>0</v>
          </cell>
          <cell r="BL15">
            <v>-97950.73</v>
          </cell>
          <cell r="BM15">
            <v>-112056.02</v>
          </cell>
          <cell r="BN15">
            <v>-185991.46</v>
          </cell>
          <cell r="BO15">
            <v>-121309.47</v>
          </cell>
          <cell r="BP15">
            <v>-135967.13</v>
          </cell>
          <cell r="BQ15">
            <v>-135359.75</v>
          </cell>
          <cell r="BR15">
            <v>-125397.94</v>
          </cell>
          <cell r="BS15">
            <v>-178585.88</v>
          </cell>
          <cell r="BT15">
            <v>-147461.15</v>
          </cell>
          <cell r="BU15">
            <v>-144413.6</v>
          </cell>
          <cell r="BV15">
            <v>-72409.55</v>
          </cell>
          <cell r="BW15">
            <v>-43782.559999999998</v>
          </cell>
          <cell r="BX15">
            <v>0</v>
          </cell>
          <cell r="BY15">
            <v>-1500685.24</v>
          </cell>
          <cell r="BZ15">
            <v>-1500685.24</v>
          </cell>
          <cell r="CA15">
            <v>-43782.559999999998</v>
          </cell>
          <cell r="CB15">
            <v>0</v>
          </cell>
          <cell r="CC15">
            <v>-87718.99</v>
          </cell>
          <cell r="CD15">
            <v>-74820.73</v>
          </cell>
          <cell r="CE15">
            <v>-134588.29</v>
          </cell>
          <cell r="CF15">
            <v>-56573.75</v>
          </cell>
          <cell r="CG15">
            <v>-86025.17</v>
          </cell>
          <cell r="CH15">
            <v>-73386.080000000002</v>
          </cell>
          <cell r="CI15">
            <v>-73117.399999999994</v>
          </cell>
          <cell r="CJ15">
            <v>-121888.93</v>
          </cell>
          <cell r="CK15">
            <v>-100382.11</v>
          </cell>
          <cell r="CL15">
            <v>-85232.88</v>
          </cell>
          <cell r="CM15">
            <v>-104936.43</v>
          </cell>
          <cell r="CN15">
            <v>-108501.23</v>
          </cell>
          <cell r="CO15">
            <v>0</v>
          </cell>
          <cell r="CP15">
            <v>-1107171.99</v>
          </cell>
          <cell r="CQ15">
            <v>-1107171.99</v>
          </cell>
          <cell r="CR15">
            <v>0</v>
          </cell>
          <cell r="CS15">
            <v>-73405.070000000007</v>
          </cell>
          <cell r="CT15">
            <v>-78890.039999999994</v>
          </cell>
          <cell r="CU15">
            <v>-105384.48</v>
          </cell>
          <cell r="CV15">
            <v>-109664.36</v>
          </cell>
          <cell r="CW15">
            <v>-173919.22</v>
          </cell>
          <cell r="CX15">
            <v>-232028.95</v>
          </cell>
          <cell r="CY15">
            <v>-105645.75</v>
          </cell>
          <cell r="CZ15">
            <v>-68458.39</v>
          </cell>
          <cell r="DA15">
            <v>-42861.39</v>
          </cell>
          <cell r="DB15">
            <v>-41429.089999999997</v>
          </cell>
          <cell r="DC15">
            <v>-70830.960000000006</v>
          </cell>
          <cell r="DD15">
            <v>-139464.09</v>
          </cell>
          <cell r="DE15">
            <v>0</v>
          </cell>
          <cell r="DF15">
            <v>-1241981.79</v>
          </cell>
          <cell r="DG15">
            <v>-1241981.79</v>
          </cell>
        </row>
        <row r="16">
          <cell r="B16">
            <v>13</v>
          </cell>
          <cell r="C16" t="str">
            <v>Personalaufwand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2163432.4000000004</v>
          </cell>
          <cell r="U16">
            <v>2588509.63</v>
          </cell>
          <cell r="V16">
            <v>2396283.5499999998</v>
          </cell>
          <cell r="W16">
            <v>2424369.0500000003</v>
          </cell>
          <cell r="X16">
            <v>2456775.71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12029370.339999996</v>
          </cell>
          <cell r="AH16">
            <v>12029370.339999996</v>
          </cell>
          <cell r="AI16">
            <v>0</v>
          </cell>
          <cell r="AK16">
            <v>25312.55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7148225.5800000001</v>
          </cell>
          <cell r="AV16">
            <v>7148225.5800000001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12029370.339999996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12029370.339999996</v>
          </cell>
          <cell r="BI16">
            <v>0</v>
          </cell>
          <cell r="BJ16">
            <v>0</v>
          </cell>
          <cell r="BK16">
            <v>0</v>
          </cell>
          <cell r="BL16">
            <v>2179909.4699999997</v>
          </cell>
          <cell r="BM16">
            <v>2302777.98</v>
          </cell>
          <cell r="BN16">
            <v>2390796.12</v>
          </cell>
          <cell r="BO16">
            <v>2531289.71</v>
          </cell>
          <cell r="BP16">
            <v>2470515.8700000006</v>
          </cell>
          <cell r="BQ16">
            <v>2473530.52</v>
          </cell>
          <cell r="BR16">
            <v>2495956.5900000003</v>
          </cell>
          <cell r="BS16">
            <v>2065786.83</v>
          </cell>
          <cell r="BT16">
            <v>2080187.1099999999</v>
          </cell>
          <cell r="BU16">
            <v>2216296.5799999996</v>
          </cell>
          <cell r="BV16">
            <v>2236430.2999999998</v>
          </cell>
          <cell r="BW16">
            <v>1606634.1799999997</v>
          </cell>
          <cell r="BX16">
            <v>0</v>
          </cell>
          <cell r="BY16">
            <v>27050111.260000009</v>
          </cell>
          <cell r="BZ16">
            <v>27050111.260000009</v>
          </cell>
          <cell r="CA16">
            <v>1606634.1799999997</v>
          </cell>
          <cell r="CB16">
            <v>0</v>
          </cell>
          <cell r="CC16">
            <v>2061964.2100000002</v>
          </cell>
          <cell r="CD16">
            <v>2380766.4900000007</v>
          </cell>
          <cell r="CE16">
            <v>2180349.29</v>
          </cell>
          <cell r="CF16">
            <v>1837282.8000000003</v>
          </cell>
          <cell r="CG16">
            <v>2312620.13</v>
          </cell>
          <cell r="CH16">
            <v>2409173.85</v>
          </cell>
          <cell r="CI16">
            <v>2439581.3800000004</v>
          </cell>
          <cell r="CJ16">
            <v>2199602.7000000002</v>
          </cell>
          <cell r="CK16">
            <v>2215675.08</v>
          </cell>
          <cell r="CL16">
            <v>2580314.0999999996</v>
          </cell>
          <cell r="CM16">
            <v>2295952.3000000003</v>
          </cell>
          <cell r="CN16">
            <v>1757681.1700000004</v>
          </cell>
          <cell r="CO16">
            <v>0</v>
          </cell>
          <cell r="CP16">
            <v>26670963.5</v>
          </cell>
          <cell r="CQ16">
            <v>26670963.5</v>
          </cell>
          <cell r="CR16">
            <v>0</v>
          </cell>
          <cell r="CS16">
            <v>1751730.11</v>
          </cell>
          <cell r="CT16">
            <v>2099741.4399999995</v>
          </cell>
          <cell r="CU16">
            <v>2063948.58</v>
          </cell>
          <cell r="CV16">
            <v>2001842.4199999997</v>
          </cell>
          <cell r="CW16">
            <v>2081221.8699999992</v>
          </cell>
          <cell r="CX16">
            <v>2505150.58</v>
          </cell>
          <cell r="CY16">
            <v>2025481.3699999999</v>
          </cell>
          <cell r="CZ16">
            <v>1838648.47</v>
          </cell>
          <cell r="DA16">
            <v>2340541.2800000003</v>
          </cell>
          <cell r="DB16">
            <v>1777851.2999999996</v>
          </cell>
          <cell r="DC16">
            <v>2752328</v>
          </cell>
          <cell r="DD16">
            <v>2136234.25</v>
          </cell>
          <cell r="DE16">
            <v>0</v>
          </cell>
          <cell r="DF16">
            <v>25374719.669999998</v>
          </cell>
          <cell r="DG16">
            <v>25374719.669999998</v>
          </cell>
        </row>
        <row r="17">
          <cell r="B17">
            <v>14</v>
          </cell>
          <cell r="C17" t="str">
            <v>Personalaufwand Kraslice (GuV Material)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245654.89</v>
          </cell>
          <cell r="U17">
            <v>218613.04</v>
          </cell>
          <cell r="V17">
            <v>291236.09999999998</v>
          </cell>
          <cell r="W17">
            <v>283625.18</v>
          </cell>
          <cell r="X17">
            <v>281657.57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1320786.78</v>
          </cell>
          <cell r="AH17">
            <v>1320786.78</v>
          </cell>
          <cell r="AI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755504.02999999991</v>
          </cell>
          <cell r="AV17">
            <v>755504.02999999991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1320786.78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1320786.78</v>
          </cell>
          <cell r="BI17">
            <v>0</v>
          </cell>
          <cell r="BJ17">
            <v>0</v>
          </cell>
          <cell r="BK17">
            <v>0</v>
          </cell>
          <cell r="BL17">
            <v>213655.17</v>
          </cell>
          <cell r="BM17">
            <v>201967.88</v>
          </cell>
          <cell r="BN17">
            <v>224558.81000000003</v>
          </cell>
          <cell r="BO17">
            <v>197053.92</v>
          </cell>
          <cell r="BP17">
            <v>307647.03999999998</v>
          </cell>
          <cell r="BQ17">
            <v>290085.51999999996</v>
          </cell>
          <cell r="BR17">
            <v>232621.62</v>
          </cell>
          <cell r="BS17">
            <v>323847.81000000006</v>
          </cell>
          <cell r="BT17">
            <v>256794.18000000002</v>
          </cell>
          <cell r="BU17">
            <v>262691.19999999995</v>
          </cell>
          <cell r="BV17">
            <v>298216.54000000004</v>
          </cell>
          <cell r="BW17">
            <v>118428.24000000002</v>
          </cell>
          <cell r="BX17">
            <v>0</v>
          </cell>
          <cell r="BY17">
            <v>2927567.93</v>
          </cell>
          <cell r="BZ17">
            <v>2927567.93</v>
          </cell>
          <cell r="CA17">
            <v>118428.24000000002</v>
          </cell>
          <cell r="CB17">
            <v>0</v>
          </cell>
          <cell r="CC17">
            <v>148742.93</v>
          </cell>
          <cell r="CD17">
            <v>262397.88</v>
          </cell>
          <cell r="CE17">
            <v>139810.34</v>
          </cell>
          <cell r="CF17">
            <v>110693.01000000001</v>
          </cell>
          <cell r="CG17">
            <v>140083.83000000002</v>
          </cell>
          <cell r="CH17">
            <v>198487.43</v>
          </cell>
          <cell r="CI17">
            <v>248179.68999999997</v>
          </cell>
          <cell r="CJ17">
            <v>246578.68</v>
          </cell>
          <cell r="CK17">
            <v>184940.90000000002</v>
          </cell>
          <cell r="CL17">
            <v>196534.82</v>
          </cell>
          <cell r="CM17">
            <v>255605.05000000002</v>
          </cell>
          <cell r="CN17">
            <v>203171.09999999998</v>
          </cell>
          <cell r="CO17">
            <v>0</v>
          </cell>
          <cell r="CP17">
            <v>2335225.66</v>
          </cell>
          <cell r="CQ17">
            <v>2335225.66</v>
          </cell>
          <cell r="CR17">
            <v>0</v>
          </cell>
          <cell r="CS17">
            <v>157145.95000000001</v>
          </cell>
          <cell r="CT17">
            <v>233734.05000000002</v>
          </cell>
          <cell r="CU17">
            <v>135536.15</v>
          </cell>
          <cell r="CV17">
            <v>189661.98</v>
          </cell>
          <cell r="CW17">
            <v>195379.36</v>
          </cell>
          <cell r="CX17">
            <v>191156.41</v>
          </cell>
          <cell r="CY17">
            <v>129575.54000000001</v>
          </cell>
          <cell r="CZ17">
            <v>229474.17</v>
          </cell>
          <cell r="DA17">
            <v>197924.33999999997</v>
          </cell>
          <cell r="DB17">
            <v>183638.45</v>
          </cell>
          <cell r="DC17">
            <v>181636.05</v>
          </cell>
          <cell r="DD17">
            <v>158061.85</v>
          </cell>
          <cell r="DE17">
            <v>0</v>
          </cell>
          <cell r="DF17">
            <v>2182924.3000000003</v>
          </cell>
          <cell r="DG17">
            <v>2182924.3000000003</v>
          </cell>
        </row>
        <row r="18">
          <cell r="B18">
            <v>15</v>
          </cell>
          <cell r="C18" t="str">
            <v>Personalaufwand zentrale Kontierungen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32724</v>
          </cell>
          <cell r="U18">
            <v>33305.619999999995</v>
          </cell>
          <cell r="V18">
            <v>33612.500000000007</v>
          </cell>
          <cell r="W18">
            <v>32723.42</v>
          </cell>
          <cell r="X18">
            <v>45334.899999999987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177700.44000000003</v>
          </cell>
          <cell r="AH18">
            <v>177700.44000000003</v>
          </cell>
          <cell r="AI18">
            <v>0</v>
          </cell>
          <cell r="AK18">
            <v>3495.42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99642.12</v>
          </cell>
          <cell r="AV18">
            <v>99642.12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177700.44000000003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177700.44000000003</v>
          </cell>
          <cell r="BI18">
            <v>0</v>
          </cell>
          <cell r="BJ18">
            <v>0</v>
          </cell>
          <cell r="BK18">
            <v>0</v>
          </cell>
          <cell r="BL18">
            <v>23588.02</v>
          </cell>
          <cell r="BM18">
            <v>24889.980000000003</v>
          </cell>
          <cell r="BN18">
            <v>22805.17</v>
          </cell>
          <cell r="BO18">
            <v>21272.160000000003</v>
          </cell>
          <cell r="BP18">
            <v>33013.919999999998</v>
          </cell>
          <cell r="BQ18">
            <v>22165.950000000004</v>
          </cell>
          <cell r="BR18">
            <v>22294.02</v>
          </cell>
          <cell r="BS18">
            <v>21103.269999999993</v>
          </cell>
          <cell r="BT18">
            <v>67081.049999999988</v>
          </cell>
          <cell r="BU18">
            <v>68098.720000000001</v>
          </cell>
          <cell r="BV18">
            <v>68613.09</v>
          </cell>
          <cell r="BW18">
            <v>236453.91000000003</v>
          </cell>
          <cell r="BX18">
            <v>0</v>
          </cell>
          <cell r="BY18">
            <v>631379.25999999989</v>
          </cell>
          <cell r="BZ18">
            <v>631379.25999999989</v>
          </cell>
          <cell r="CA18">
            <v>236453.91000000003</v>
          </cell>
          <cell r="CB18">
            <v>0</v>
          </cell>
          <cell r="CC18">
            <v>29226.73</v>
          </cell>
          <cell r="CD18">
            <v>-321623.98000000004</v>
          </cell>
          <cell r="CE18">
            <v>30851.450000000004</v>
          </cell>
          <cell r="CF18">
            <v>406981.35</v>
          </cell>
          <cell r="CG18">
            <v>31084.9</v>
          </cell>
          <cell r="CH18">
            <v>31028.550000000003</v>
          </cell>
          <cell r="CI18">
            <v>30586.739999999998</v>
          </cell>
          <cell r="CJ18">
            <v>30689.940000000002</v>
          </cell>
          <cell r="CK18">
            <v>7638.6899999999987</v>
          </cell>
          <cell r="CL18">
            <v>30089.13</v>
          </cell>
          <cell r="CM18">
            <v>40052.729999999996</v>
          </cell>
          <cell r="CN18">
            <v>-49186.81</v>
          </cell>
          <cell r="CO18">
            <v>0</v>
          </cell>
          <cell r="CP18">
            <v>297419.41999999993</v>
          </cell>
          <cell r="CQ18">
            <v>297419.41999999993</v>
          </cell>
          <cell r="CR18">
            <v>0</v>
          </cell>
          <cell r="CS18">
            <v>248223.83000000002</v>
          </cell>
          <cell r="CT18">
            <v>-13414.820000000002</v>
          </cell>
          <cell r="CU18">
            <v>55408.06</v>
          </cell>
          <cell r="CV18">
            <v>192181.79</v>
          </cell>
          <cell r="CW18">
            <v>211632.71000000002</v>
          </cell>
          <cell r="CX18">
            <v>-152319.69999999998</v>
          </cell>
          <cell r="CY18">
            <v>220741.60999999996</v>
          </cell>
          <cell r="CZ18">
            <v>213869.56</v>
          </cell>
          <cell r="DA18">
            <v>-158025</v>
          </cell>
          <cell r="DB18">
            <v>224462.93</v>
          </cell>
          <cell r="DC18">
            <v>-470766.96000000008</v>
          </cell>
          <cell r="DD18">
            <v>-567489.73999999987</v>
          </cell>
          <cell r="DE18">
            <v>0</v>
          </cell>
          <cell r="DF18">
            <v>4504.2700000000332</v>
          </cell>
          <cell r="DG18">
            <v>4504.2700000000332</v>
          </cell>
        </row>
        <row r="19">
          <cell r="B19">
            <v>16</v>
          </cell>
          <cell r="C19" t="str">
            <v>Primärkosten (ohne Personalk.)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436674.78999999992</v>
          </cell>
          <cell r="U19">
            <v>396535.83999999997</v>
          </cell>
          <cell r="V19">
            <v>494560.38</v>
          </cell>
          <cell r="W19">
            <v>488323.01999999984</v>
          </cell>
          <cell r="X19">
            <v>553866.5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2369960.5300000003</v>
          </cell>
          <cell r="AH19">
            <v>2369960.5300000003</v>
          </cell>
          <cell r="AI19">
            <v>0</v>
          </cell>
          <cell r="AK19">
            <v>1441.95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1327771.01</v>
          </cell>
          <cell r="AV19">
            <v>1327771.01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2369960.5300000003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2369960.5300000003</v>
          </cell>
          <cell r="BI19">
            <v>0</v>
          </cell>
          <cell r="BJ19">
            <v>0</v>
          </cell>
          <cell r="BK19">
            <v>0</v>
          </cell>
          <cell r="BL19">
            <v>354755.91999999993</v>
          </cell>
          <cell r="BM19">
            <v>412852.45</v>
          </cell>
          <cell r="BN19">
            <v>451723.92000000004</v>
          </cell>
          <cell r="BO19">
            <v>393382.33999999991</v>
          </cell>
          <cell r="BP19">
            <v>400255.7</v>
          </cell>
          <cell r="BQ19">
            <v>622291.67000000004</v>
          </cell>
          <cell r="BR19">
            <v>486478.17</v>
          </cell>
          <cell r="BS19">
            <v>490053.19000000006</v>
          </cell>
          <cell r="BT19">
            <v>442943.68999999994</v>
          </cell>
          <cell r="BU19">
            <v>421439.51999999996</v>
          </cell>
          <cell r="BV19">
            <v>436844.00000000006</v>
          </cell>
          <cell r="BW19">
            <v>489959.11</v>
          </cell>
          <cell r="BX19">
            <v>0</v>
          </cell>
          <cell r="BY19">
            <v>5402979.6800000016</v>
          </cell>
          <cell r="BZ19">
            <v>5402979.6800000016</v>
          </cell>
          <cell r="CA19">
            <v>489959.11</v>
          </cell>
          <cell r="CB19">
            <v>0</v>
          </cell>
          <cell r="CC19">
            <v>328895.78000000003</v>
          </cell>
          <cell r="CD19">
            <v>397008.33</v>
          </cell>
          <cell r="CE19">
            <v>404460.73999999993</v>
          </cell>
          <cell r="CF19">
            <v>409066.14</v>
          </cell>
          <cell r="CG19">
            <v>365911.79</v>
          </cell>
          <cell r="CH19">
            <v>365421.65000000008</v>
          </cell>
          <cell r="CI19">
            <v>400863.22</v>
          </cell>
          <cell r="CJ19">
            <v>386879.75999999995</v>
          </cell>
          <cell r="CK19">
            <v>400346.06999999995</v>
          </cell>
          <cell r="CL19">
            <v>360960.98000000004</v>
          </cell>
          <cell r="CM19">
            <v>378083.35000000003</v>
          </cell>
          <cell r="CN19">
            <v>447119.93</v>
          </cell>
          <cell r="CO19">
            <v>0</v>
          </cell>
          <cell r="CP19">
            <v>4645017.74</v>
          </cell>
          <cell r="CQ19">
            <v>4645017.74</v>
          </cell>
          <cell r="CR19">
            <v>0</v>
          </cell>
          <cell r="CS19">
            <v>379668.75000000006</v>
          </cell>
          <cell r="CT19">
            <v>375250.48000000004</v>
          </cell>
          <cell r="CU19">
            <v>426335.6</v>
          </cell>
          <cell r="CV19">
            <v>381360.32999999996</v>
          </cell>
          <cell r="CW19">
            <v>370521.08</v>
          </cell>
          <cell r="CX19">
            <v>349778.32</v>
          </cell>
          <cell r="CY19">
            <v>449731.49000000011</v>
          </cell>
          <cell r="CZ19">
            <v>368308.07999999996</v>
          </cell>
          <cell r="DA19">
            <v>397014.35000000003</v>
          </cell>
          <cell r="DB19">
            <v>396175.23999999993</v>
          </cell>
          <cell r="DC19">
            <v>386985.66000000003</v>
          </cell>
          <cell r="DD19">
            <v>393068.4</v>
          </cell>
          <cell r="DE19">
            <v>0</v>
          </cell>
          <cell r="DF19">
            <v>4674197.78</v>
          </cell>
          <cell r="DG19">
            <v>4674197.78</v>
          </cell>
        </row>
        <row r="20">
          <cell r="B20">
            <v>17</v>
          </cell>
          <cell r="C20" t="str">
            <v>Sekundärkosten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-13142.689999999993</v>
          </cell>
          <cell r="U20">
            <v>-42465.949999999983</v>
          </cell>
          <cell r="V20">
            <v>-57456.710000000014</v>
          </cell>
          <cell r="W20">
            <v>-49311.55</v>
          </cell>
          <cell r="X20">
            <v>-68929.52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-231306.42000000004</v>
          </cell>
          <cell r="AH20">
            <v>-231306.42000000004</v>
          </cell>
          <cell r="AI20">
            <v>0</v>
          </cell>
          <cell r="AK20">
            <v>8991.85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-113065.35000000003</v>
          </cell>
          <cell r="AV20">
            <v>-113065.35000000003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-231306.42000000004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-231306.42000000004</v>
          </cell>
          <cell r="BI20">
            <v>0</v>
          </cell>
          <cell r="BJ20">
            <v>0</v>
          </cell>
          <cell r="BK20">
            <v>0</v>
          </cell>
          <cell r="BL20">
            <v>-53709.99</v>
          </cell>
          <cell r="BM20">
            <v>-37013.65</v>
          </cell>
          <cell r="BN20">
            <v>-102337.63999999998</v>
          </cell>
          <cell r="BO20">
            <v>-56375.25</v>
          </cell>
          <cell r="BP20">
            <v>-32300.35999999999</v>
          </cell>
          <cell r="BQ20">
            <v>-51912.83</v>
          </cell>
          <cell r="BR20">
            <v>-37007.219999999994</v>
          </cell>
          <cell r="BS20">
            <v>-45519.61</v>
          </cell>
          <cell r="BT20">
            <v>-28558.679999999989</v>
          </cell>
          <cell r="BU20">
            <v>-39148.320000000022</v>
          </cell>
          <cell r="BV20">
            <v>-37854.810000000019</v>
          </cell>
          <cell r="BW20">
            <v>-23289.369999999995</v>
          </cell>
          <cell r="BX20">
            <v>0</v>
          </cell>
          <cell r="BY20">
            <v>-545027.73</v>
          </cell>
          <cell r="BZ20">
            <v>-545027.73</v>
          </cell>
          <cell r="CA20">
            <v>-23289.369999999995</v>
          </cell>
          <cell r="CB20">
            <v>0</v>
          </cell>
          <cell r="CC20">
            <v>-84924.99</v>
          </cell>
          <cell r="CD20">
            <v>-25166.049999999996</v>
          </cell>
          <cell r="CE20">
            <v>-83539.460000000006</v>
          </cell>
          <cell r="CF20">
            <v>-60469.039999999994</v>
          </cell>
          <cell r="CG20">
            <v>-59285.430000000015</v>
          </cell>
          <cell r="CH20">
            <v>-55587.659999999996</v>
          </cell>
          <cell r="CI20">
            <v>-73702.080000000002</v>
          </cell>
          <cell r="CJ20">
            <v>-68815.27</v>
          </cell>
          <cell r="CK20">
            <v>-52169.930000000008</v>
          </cell>
          <cell r="CL20">
            <v>-53534.880000000005</v>
          </cell>
          <cell r="CM20">
            <v>-46311.700000000004</v>
          </cell>
          <cell r="CN20">
            <v>-87459.61</v>
          </cell>
          <cell r="CO20">
            <v>0</v>
          </cell>
          <cell r="CP20">
            <v>-750966.10000000021</v>
          </cell>
          <cell r="CQ20">
            <v>-750966.10000000021</v>
          </cell>
          <cell r="CR20">
            <v>0</v>
          </cell>
          <cell r="CS20">
            <v>-74380.37000000001</v>
          </cell>
          <cell r="CT20">
            <v>-39690.310000000019</v>
          </cell>
          <cell r="CU20">
            <v>-68416.809999999969</v>
          </cell>
          <cell r="CV20">
            <v>-47246.740000000005</v>
          </cell>
          <cell r="CW20">
            <v>-50100.250000000007</v>
          </cell>
          <cell r="CX20">
            <v>-37355.18</v>
          </cell>
          <cell r="CY20">
            <v>-66166.73</v>
          </cell>
          <cell r="CZ20">
            <v>-75250.44</v>
          </cell>
          <cell r="DA20">
            <v>-63811.930000000008</v>
          </cell>
          <cell r="DB20">
            <v>-62507.360000000001</v>
          </cell>
          <cell r="DC20">
            <v>-76489.609999999986</v>
          </cell>
          <cell r="DD20">
            <v>-49820.619999999995</v>
          </cell>
          <cell r="DE20">
            <v>0</v>
          </cell>
          <cell r="DF20">
            <v>-711236.34999999986</v>
          </cell>
          <cell r="DG20">
            <v>-711236.34999999986</v>
          </cell>
        </row>
        <row r="21">
          <cell r="B21">
            <v>18</v>
          </cell>
          <cell r="C21" t="str">
            <v>sonstige Kosten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-21782.199999999997</v>
          </cell>
          <cell r="U21">
            <v>839.62999999999965</v>
          </cell>
          <cell r="V21">
            <v>218.53000000000009</v>
          </cell>
          <cell r="W21">
            <v>-5808.3100000000013</v>
          </cell>
          <cell r="X21">
            <v>-7016.4999999999991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-33548.850000000006</v>
          </cell>
          <cell r="AH21">
            <v>-33548.850000000006</v>
          </cell>
          <cell r="AI21">
            <v>0</v>
          </cell>
          <cell r="AK21">
            <v>-1.37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-20724.039999999997</v>
          </cell>
          <cell r="AV21">
            <v>-20724.039999999997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-33548.850000000006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-33548.850000000006</v>
          </cell>
          <cell r="BI21">
            <v>0</v>
          </cell>
          <cell r="BJ21">
            <v>0</v>
          </cell>
          <cell r="BK21">
            <v>0</v>
          </cell>
          <cell r="BL21">
            <v>-1239.9599999999998</v>
          </cell>
          <cell r="BM21">
            <v>-5776.73</v>
          </cell>
          <cell r="BN21">
            <v>537.50000000000011</v>
          </cell>
          <cell r="BO21">
            <v>15889.050000000003</v>
          </cell>
          <cell r="BP21">
            <v>11355.93</v>
          </cell>
          <cell r="BQ21">
            <v>487.94999999999993</v>
          </cell>
          <cell r="BR21">
            <v>-19594.750000000004</v>
          </cell>
          <cell r="BS21">
            <v>-3470.6899999999996</v>
          </cell>
          <cell r="BT21">
            <v>-1584.3199999999993</v>
          </cell>
          <cell r="BU21">
            <v>1616.3900000000003</v>
          </cell>
          <cell r="BV21">
            <v>-2351.4399999999996</v>
          </cell>
          <cell r="BW21">
            <v>-2892.2399999999989</v>
          </cell>
          <cell r="BX21">
            <v>0</v>
          </cell>
          <cell r="BY21">
            <v>-7023.3100000000068</v>
          </cell>
          <cell r="BZ21">
            <v>-7023.3100000000068</v>
          </cell>
          <cell r="CA21">
            <v>-2892.2399999999989</v>
          </cell>
          <cell r="CB21">
            <v>0</v>
          </cell>
          <cell r="CC21">
            <v>-901.71</v>
          </cell>
          <cell r="CD21">
            <v>-918.61000000000013</v>
          </cell>
          <cell r="CE21">
            <v>-1049.02</v>
          </cell>
          <cell r="CF21">
            <v>-20212.78</v>
          </cell>
          <cell r="CG21">
            <v>-11730.57</v>
          </cell>
          <cell r="CH21">
            <v>-4099.3099999999995</v>
          </cell>
          <cell r="CI21">
            <v>-2454.35</v>
          </cell>
          <cell r="CJ21">
            <v>-1750.26</v>
          </cell>
          <cell r="CK21">
            <v>-1827.23</v>
          </cell>
          <cell r="CL21">
            <v>-1942.4699999999998</v>
          </cell>
          <cell r="CM21">
            <v>-1469.9</v>
          </cell>
          <cell r="CN21">
            <v>-886.56999999999994</v>
          </cell>
          <cell r="CO21">
            <v>0</v>
          </cell>
          <cell r="CP21">
            <v>-49242.78</v>
          </cell>
          <cell r="CQ21">
            <v>-49242.78</v>
          </cell>
          <cell r="CR21">
            <v>0</v>
          </cell>
          <cell r="CS21">
            <v>-930.86999999999989</v>
          </cell>
          <cell r="CT21">
            <v>-1158.0599999999997</v>
          </cell>
          <cell r="CU21">
            <v>-1188.23</v>
          </cell>
          <cell r="CV21">
            <v>-5973.0999999999995</v>
          </cell>
          <cell r="CW21">
            <v>-1365.27</v>
          </cell>
          <cell r="CX21">
            <v>-1357.0299999999997</v>
          </cell>
          <cell r="CY21">
            <v>276.60000000000002</v>
          </cell>
          <cell r="CZ21">
            <v>-1348.6099999999997</v>
          </cell>
          <cell r="DA21">
            <v>-1001.96</v>
          </cell>
          <cell r="DB21">
            <v>-870.13</v>
          </cell>
          <cell r="DC21">
            <v>-921.6099999999999</v>
          </cell>
          <cell r="DD21">
            <v>-1116.52</v>
          </cell>
          <cell r="DE21">
            <v>0</v>
          </cell>
          <cell r="DF21">
            <v>-16954.79</v>
          </cell>
          <cell r="DG21">
            <v>-16954.79</v>
          </cell>
        </row>
        <row r="22">
          <cell r="B22">
            <v>19</v>
          </cell>
          <cell r="C22" t="str">
            <v>Umlage/Verrechnung Hilfskostenstellen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-12232.94</v>
          </cell>
          <cell r="U22">
            <v>-14971.170000000004</v>
          </cell>
          <cell r="V22">
            <v>-13315.799999999997</v>
          </cell>
          <cell r="W22">
            <v>-13374.249999999998</v>
          </cell>
          <cell r="X22">
            <v>-12777.389999999998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-66671.549999999988</v>
          </cell>
          <cell r="AH22">
            <v>-66671.549999999988</v>
          </cell>
          <cell r="AI22">
            <v>0</v>
          </cell>
          <cell r="AK22">
            <v>1341.17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-40519.910000000003</v>
          </cell>
          <cell r="AV22">
            <v>-40519.910000000003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-66671.549999999988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-66671.549999999988</v>
          </cell>
          <cell r="BI22">
            <v>0</v>
          </cell>
          <cell r="BJ22">
            <v>0</v>
          </cell>
          <cell r="BK22">
            <v>0</v>
          </cell>
          <cell r="BL22">
            <v>-15826.460000000006</v>
          </cell>
          <cell r="BM22">
            <v>-16542.13</v>
          </cell>
          <cell r="BN22">
            <v>-15679.309999999998</v>
          </cell>
          <cell r="BO22">
            <v>-16426.82</v>
          </cell>
          <cell r="BP22">
            <v>-14876.66</v>
          </cell>
          <cell r="BQ22">
            <v>-14580.010000000002</v>
          </cell>
          <cell r="BR22">
            <v>-13489.86</v>
          </cell>
          <cell r="BS22">
            <v>-13311.060000000001</v>
          </cell>
          <cell r="BT22">
            <v>-11758.14</v>
          </cell>
          <cell r="BU22">
            <v>-14858.449999999999</v>
          </cell>
          <cell r="BV22">
            <v>-17311.23</v>
          </cell>
          <cell r="BW22">
            <v>-10798.929999999998</v>
          </cell>
          <cell r="BX22">
            <v>0</v>
          </cell>
          <cell r="BY22">
            <v>-175459.05999999994</v>
          </cell>
          <cell r="BZ22">
            <v>-175459.05999999994</v>
          </cell>
          <cell r="CA22">
            <v>-10798.929999999998</v>
          </cell>
          <cell r="CB22">
            <v>0</v>
          </cell>
          <cell r="CC22">
            <v>-8927.23</v>
          </cell>
          <cell r="CD22">
            <v>-14889.300000000003</v>
          </cell>
          <cell r="CE22">
            <v>-15975.79</v>
          </cell>
          <cell r="CF22">
            <v>-12266.34</v>
          </cell>
          <cell r="CG22">
            <v>-12549.430000000004</v>
          </cell>
          <cell r="CH22">
            <v>-13063.11</v>
          </cell>
          <cell r="CI22">
            <v>-12409.38</v>
          </cell>
          <cell r="CJ22">
            <v>-11284.7</v>
          </cell>
          <cell r="CK22">
            <v>-12453.939999999999</v>
          </cell>
          <cell r="CL22">
            <v>-15356.489999999998</v>
          </cell>
          <cell r="CM22">
            <v>-16832.699999999997</v>
          </cell>
          <cell r="CN22">
            <v>-13094.399999999998</v>
          </cell>
          <cell r="CO22">
            <v>0</v>
          </cell>
          <cell r="CP22">
            <v>-159102.81</v>
          </cell>
          <cell r="CQ22">
            <v>-159102.81</v>
          </cell>
          <cell r="CR22">
            <v>0</v>
          </cell>
          <cell r="CS22">
            <v>-12535.71</v>
          </cell>
          <cell r="CT22">
            <v>-12526.740000000002</v>
          </cell>
          <cell r="CU22">
            <v>-13868.970000000001</v>
          </cell>
          <cell r="CV22">
            <v>-11471.029999999999</v>
          </cell>
          <cell r="CW22">
            <v>-10699.420000000002</v>
          </cell>
          <cell r="CX22">
            <v>-14159.850000000002</v>
          </cell>
          <cell r="CY22">
            <v>-12299.180000000002</v>
          </cell>
          <cell r="CZ22">
            <v>-10277</v>
          </cell>
          <cell r="DA22">
            <v>-11447.850000000002</v>
          </cell>
          <cell r="DB22">
            <v>-10231.299999999999</v>
          </cell>
          <cell r="DC22">
            <v>-16303.810000000001</v>
          </cell>
          <cell r="DD22">
            <v>-9052.7799999999988</v>
          </cell>
          <cell r="DE22">
            <v>0</v>
          </cell>
          <cell r="DF22">
            <v>-144873.64000000001</v>
          </cell>
          <cell r="DG22">
            <v>-144873.64000000001</v>
          </cell>
        </row>
        <row r="23">
          <cell r="B23">
            <v>20</v>
          </cell>
          <cell r="C23" t="str">
            <v>Innenaufträge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5980.3000000000011</v>
          </cell>
          <cell r="U23">
            <v>7449.18</v>
          </cell>
          <cell r="V23">
            <v>19140.490000000002</v>
          </cell>
          <cell r="W23">
            <v>7971.01</v>
          </cell>
          <cell r="X23">
            <v>10749.61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51290.590000000011</v>
          </cell>
          <cell r="AH23">
            <v>51290.590000000011</v>
          </cell>
          <cell r="AI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32569.969999999998</v>
          </cell>
          <cell r="AV23">
            <v>32569.969999999998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51290.590000000011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51290.590000000011</v>
          </cell>
          <cell r="BI23">
            <v>0</v>
          </cell>
          <cell r="BJ23">
            <v>0</v>
          </cell>
          <cell r="BK23">
            <v>0</v>
          </cell>
          <cell r="BL23">
            <v>2462.13</v>
          </cell>
          <cell r="BM23">
            <v>12266.26</v>
          </cell>
          <cell r="BN23">
            <v>7321.09</v>
          </cell>
          <cell r="BO23">
            <v>8276.2199999999993</v>
          </cell>
          <cell r="BP23">
            <v>4778.6000000000004</v>
          </cell>
          <cell r="BQ23">
            <v>6193.3</v>
          </cell>
          <cell r="BR23">
            <v>9470.7000000000007</v>
          </cell>
          <cell r="BS23">
            <v>9259.69</v>
          </cell>
          <cell r="BT23">
            <v>8460.7099999999973</v>
          </cell>
          <cell r="BU23">
            <v>9617.2899999999991</v>
          </cell>
          <cell r="BV23">
            <v>6564.38</v>
          </cell>
          <cell r="BW23">
            <v>9607.73</v>
          </cell>
          <cell r="BX23">
            <v>0</v>
          </cell>
          <cell r="BY23">
            <v>94278.099999999977</v>
          </cell>
          <cell r="BZ23">
            <v>94278.099999999977</v>
          </cell>
          <cell r="CA23">
            <v>9607.73</v>
          </cell>
          <cell r="CB23">
            <v>0</v>
          </cell>
          <cell r="CC23">
            <v>6521.9400000000005</v>
          </cell>
          <cell r="CD23">
            <v>11161.580000000002</v>
          </cell>
          <cell r="CE23">
            <v>5854.56</v>
          </cell>
          <cell r="CF23">
            <v>10131.650000000001</v>
          </cell>
          <cell r="CG23">
            <v>3257.13</v>
          </cell>
          <cell r="CH23">
            <v>7687.4999999999991</v>
          </cell>
          <cell r="CI23">
            <v>9448.6799999999985</v>
          </cell>
          <cell r="CJ23">
            <v>10054.990000000002</v>
          </cell>
          <cell r="CK23">
            <v>10972.26</v>
          </cell>
          <cell r="CL23">
            <v>10026.209999999999</v>
          </cell>
          <cell r="CM23">
            <v>10266.019999999999</v>
          </cell>
          <cell r="CN23">
            <v>5867.3499999999995</v>
          </cell>
          <cell r="CO23">
            <v>0</v>
          </cell>
          <cell r="CP23">
            <v>101249.87000000002</v>
          </cell>
          <cell r="CQ23">
            <v>101249.87000000002</v>
          </cell>
          <cell r="CR23">
            <v>0</v>
          </cell>
          <cell r="CS23">
            <v>9419.81</v>
          </cell>
          <cell r="CT23">
            <v>7229.46</v>
          </cell>
          <cell r="CU23">
            <v>9137.4399999999987</v>
          </cell>
          <cell r="CV23">
            <v>13217.210000000001</v>
          </cell>
          <cell r="CW23">
            <v>5602.78</v>
          </cell>
          <cell r="CX23">
            <v>5321.53</v>
          </cell>
          <cell r="CY23">
            <v>16384.509999999998</v>
          </cell>
          <cell r="CZ23">
            <v>7208.89</v>
          </cell>
          <cell r="DA23">
            <v>9558.43</v>
          </cell>
          <cell r="DB23">
            <v>9321.31</v>
          </cell>
          <cell r="DC23">
            <v>19228.409999999996</v>
          </cell>
          <cell r="DD23">
            <v>7623.46</v>
          </cell>
          <cell r="DE23">
            <v>0</v>
          </cell>
          <cell r="DF23">
            <v>119253.24</v>
          </cell>
          <cell r="DG23">
            <v>119253.24</v>
          </cell>
        </row>
        <row r="24">
          <cell r="B24">
            <v>21</v>
          </cell>
          <cell r="C24" t="str">
            <v>Materialeinsatz SQL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2575808.2000000002</v>
          </cell>
          <cell r="U24">
            <v>4191283.18</v>
          </cell>
          <cell r="V24">
            <v>4751075.2699999996</v>
          </cell>
          <cell r="W24">
            <v>3898410.1600000015</v>
          </cell>
          <cell r="X24">
            <v>5117402.3299999982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20533979.140000008</v>
          </cell>
          <cell r="AH24">
            <v>20533979.140000008</v>
          </cell>
          <cell r="AI24">
            <v>0</v>
          </cell>
          <cell r="AK24">
            <v>88746.45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11518166.650000004</v>
          </cell>
          <cell r="AV24">
            <v>11518166.650000004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20533979.140000008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20533979.140000008</v>
          </cell>
          <cell r="BI24">
            <v>0</v>
          </cell>
          <cell r="BJ24">
            <v>0</v>
          </cell>
          <cell r="BK24">
            <v>0</v>
          </cell>
          <cell r="BL24">
            <v>2306633.83</v>
          </cell>
          <cell r="BM24">
            <v>3087329.2999999993</v>
          </cell>
          <cell r="BN24">
            <v>4860787.97</v>
          </cell>
          <cell r="BO24">
            <v>4702117.13</v>
          </cell>
          <cell r="BP24">
            <v>4337420.8800000008</v>
          </cell>
          <cell r="BQ24">
            <v>4796282.5500000007</v>
          </cell>
          <cell r="BR24">
            <v>4761480.1199999992</v>
          </cell>
          <cell r="BS24">
            <v>4653196.6999999993</v>
          </cell>
          <cell r="BT24">
            <v>3637672.3099999996</v>
          </cell>
          <cell r="BU24">
            <v>3314872.0999999996</v>
          </cell>
          <cell r="BV24">
            <v>3647756.4700000011</v>
          </cell>
          <cell r="BW24">
            <v>2626237.9800000004</v>
          </cell>
          <cell r="BX24">
            <v>0</v>
          </cell>
          <cell r="BY24">
            <v>46731787.340000004</v>
          </cell>
          <cell r="BZ24">
            <v>46731787.340000004</v>
          </cell>
          <cell r="CA24">
            <v>2626237.9800000004</v>
          </cell>
          <cell r="CB24">
            <v>0</v>
          </cell>
          <cell r="CC24">
            <v>2970411.0100000007</v>
          </cell>
          <cell r="CD24">
            <v>2943447.47</v>
          </cell>
          <cell r="CE24">
            <v>4220432.82</v>
          </cell>
          <cell r="CF24">
            <v>3643657.2399999998</v>
          </cell>
          <cell r="CG24">
            <v>3842649.8499999996</v>
          </cell>
          <cell r="CH24">
            <v>4297982.3400000008</v>
          </cell>
          <cell r="CI24">
            <v>4719705.03</v>
          </cell>
          <cell r="CJ24">
            <v>3963017.209999999</v>
          </cell>
          <cell r="CK24">
            <v>4250688.7499999991</v>
          </cell>
          <cell r="CL24">
            <v>4562536.76</v>
          </cell>
          <cell r="CM24">
            <v>3814059.46</v>
          </cell>
          <cell r="CN24">
            <v>3198452.09</v>
          </cell>
          <cell r="CO24">
            <v>0</v>
          </cell>
          <cell r="CP24">
            <v>46427040.030000001</v>
          </cell>
          <cell r="CQ24">
            <v>46427040.030000001</v>
          </cell>
          <cell r="CR24">
            <v>0</v>
          </cell>
          <cell r="CS24">
            <v>2693812.34</v>
          </cell>
          <cell r="CT24">
            <v>2789331.2100000004</v>
          </cell>
          <cell r="CU24">
            <v>3883288.6300000004</v>
          </cell>
          <cell r="CV24">
            <v>4145499.3699999996</v>
          </cell>
          <cell r="CW24">
            <v>4371346.17</v>
          </cell>
          <cell r="CX24">
            <v>3616296.7700000009</v>
          </cell>
          <cell r="CY24">
            <v>4457560.1199999992</v>
          </cell>
          <cell r="CZ24">
            <v>3873855.7000000007</v>
          </cell>
          <cell r="DA24">
            <v>3823551.2300000004</v>
          </cell>
          <cell r="DB24">
            <v>3428154.0899999994</v>
          </cell>
          <cell r="DC24">
            <v>3163429.7199999997</v>
          </cell>
          <cell r="DD24">
            <v>2095662.5399999996</v>
          </cell>
          <cell r="DE24">
            <v>0</v>
          </cell>
          <cell r="DF24">
            <v>42341787.889999986</v>
          </cell>
          <cell r="DG24">
            <v>42341787.889999986</v>
          </cell>
        </row>
        <row r="25">
          <cell r="B25">
            <v>22</v>
          </cell>
          <cell r="C25" t="str">
            <v>Materialeinsatz Lieferantenskonti / -Boni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-50471.109999999986</v>
          </cell>
          <cell r="U25">
            <v>-123173.83000000002</v>
          </cell>
          <cell r="V25">
            <v>-128865.55999999998</v>
          </cell>
          <cell r="W25">
            <v>-95258.33</v>
          </cell>
          <cell r="X25">
            <v>-116652.49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-514421.32000000007</v>
          </cell>
          <cell r="AH25">
            <v>-514421.32000000007</v>
          </cell>
          <cell r="AI25">
            <v>0</v>
          </cell>
          <cell r="AK25">
            <v>-2627.33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-302510.50000000006</v>
          </cell>
          <cell r="AV25">
            <v>-302510.50000000006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-514421.32000000007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-514421.32000000007</v>
          </cell>
          <cell r="BI25">
            <v>0</v>
          </cell>
          <cell r="BJ25">
            <v>0</v>
          </cell>
          <cell r="BK25">
            <v>0</v>
          </cell>
          <cell r="BL25">
            <v>-37911.119999999995</v>
          </cell>
          <cell r="BM25">
            <v>-84135.569999999963</v>
          </cell>
          <cell r="BN25">
            <v>-136425.84999999998</v>
          </cell>
          <cell r="BO25">
            <v>-121725.1</v>
          </cell>
          <cell r="BP25">
            <v>-109293.11000000002</v>
          </cell>
          <cell r="BQ25">
            <v>-124060.19999999998</v>
          </cell>
          <cell r="BR25">
            <v>-117555.37999999999</v>
          </cell>
          <cell r="BS25">
            <v>-107074.64000000001</v>
          </cell>
          <cell r="BT25">
            <v>-85740.449999999983</v>
          </cell>
          <cell r="BU25">
            <v>-75460.55</v>
          </cell>
          <cell r="BV25">
            <v>-92184.119999999981</v>
          </cell>
          <cell r="BW25">
            <v>-886439.14000000013</v>
          </cell>
          <cell r="BX25">
            <v>0</v>
          </cell>
          <cell r="BY25">
            <v>-1978005.2300000002</v>
          </cell>
          <cell r="BZ25">
            <v>-1978005.2300000002</v>
          </cell>
          <cell r="CA25">
            <v>-886439.14000000013</v>
          </cell>
          <cell r="CB25">
            <v>0</v>
          </cell>
          <cell r="CC25">
            <v>-54045.979999999989</v>
          </cell>
          <cell r="CD25">
            <v>-69349.91</v>
          </cell>
          <cell r="CE25">
            <v>-119350.07</v>
          </cell>
          <cell r="CF25">
            <v>-101283.62</v>
          </cell>
          <cell r="CG25">
            <v>-116085.9</v>
          </cell>
          <cell r="CH25">
            <v>-108221.46</v>
          </cell>
          <cell r="CI25">
            <v>-117754.63999999997</v>
          </cell>
          <cell r="CJ25">
            <v>-99157.869999999981</v>
          </cell>
          <cell r="CK25">
            <v>-105780.92</v>
          </cell>
          <cell r="CL25">
            <v>-95279.589999999967</v>
          </cell>
          <cell r="CM25">
            <v>-97922.030000000028</v>
          </cell>
          <cell r="CN25">
            <v>-751801.15999999992</v>
          </cell>
          <cell r="CO25">
            <v>0</v>
          </cell>
          <cell r="CP25">
            <v>-1836033.15</v>
          </cell>
          <cell r="CQ25">
            <v>-1836033.15</v>
          </cell>
          <cell r="CR25">
            <v>0</v>
          </cell>
          <cell r="CS25">
            <v>-54071.290000000008</v>
          </cell>
          <cell r="CT25">
            <v>-79319.219999999987</v>
          </cell>
          <cell r="CU25">
            <v>-116697.81999999998</v>
          </cell>
          <cell r="CV25">
            <v>-124551.98999999999</v>
          </cell>
          <cell r="CW25">
            <v>-105459.01999999999</v>
          </cell>
          <cell r="CX25">
            <v>-94382.279999999984</v>
          </cell>
          <cell r="CY25">
            <v>-108850.39000000003</v>
          </cell>
          <cell r="CZ25">
            <v>-97287.180000000008</v>
          </cell>
          <cell r="DA25">
            <v>-92174.409999999989</v>
          </cell>
          <cell r="DB25">
            <v>-72556.49000000002</v>
          </cell>
          <cell r="DC25">
            <v>-85956.54</v>
          </cell>
          <cell r="DD25">
            <v>-652089.61</v>
          </cell>
          <cell r="DE25">
            <v>0</v>
          </cell>
          <cell r="DF25">
            <v>-1683396.2400000002</v>
          </cell>
          <cell r="DG25">
            <v>-1683396.2400000002</v>
          </cell>
        </row>
        <row r="26">
          <cell r="B26">
            <v>23</v>
          </cell>
          <cell r="C26" t="str">
            <v>Materialeinsatz KST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153038.87000000002</v>
          </cell>
          <cell r="U26">
            <v>222007.28999999998</v>
          </cell>
          <cell r="V26">
            <v>322327.23000000004</v>
          </cell>
          <cell r="W26">
            <v>340420.22000000003</v>
          </cell>
          <cell r="X26">
            <v>247171.28999999995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1284964.8999999999</v>
          </cell>
          <cell r="AH26">
            <v>1284964.8999999999</v>
          </cell>
          <cell r="AI26">
            <v>0</v>
          </cell>
          <cell r="AK26">
            <v>1606.82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697373.3899999999</v>
          </cell>
          <cell r="AV26">
            <v>697373.3899999999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1284964.8999999999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1284964.8999999999</v>
          </cell>
          <cell r="BI26">
            <v>0</v>
          </cell>
          <cell r="BJ26">
            <v>0</v>
          </cell>
          <cell r="BK26">
            <v>0</v>
          </cell>
          <cell r="BL26">
            <v>168775</v>
          </cell>
          <cell r="BM26">
            <v>213087.37000000002</v>
          </cell>
          <cell r="BN26">
            <v>272202.17</v>
          </cell>
          <cell r="BO26">
            <v>172598.87</v>
          </cell>
          <cell r="BP26">
            <v>257288.85</v>
          </cell>
          <cell r="BQ26">
            <v>289420.73</v>
          </cell>
          <cell r="BR26">
            <v>273592.41000000003</v>
          </cell>
          <cell r="BS26">
            <v>273913.89999999997</v>
          </cell>
          <cell r="BT26">
            <v>252684.88</v>
          </cell>
          <cell r="BU26">
            <v>259188.43999999994</v>
          </cell>
          <cell r="BV26">
            <v>232546.93999999994</v>
          </cell>
          <cell r="BW26">
            <v>253456.57000000004</v>
          </cell>
          <cell r="BX26">
            <v>0</v>
          </cell>
          <cell r="BY26">
            <v>2918756.1299999994</v>
          </cell>
          <cell r="BZ26">
            <v>2918756.1299999994</v>
          </cell>
          <cell r="CA26">
            <v>253456.57000000004</v>
          </cell>
          <cell r="CB26">
            <v>0</v>
          </cell>
          <cell r="CC26">
            <v>183902.74</v>
          </cell>
          <cell r="CD26">
            <v>176486.32</v>
          </cell>
          <cell r="CE26">
            <v>247588.48000000001</v>
          </cell>
          <cell r="CF26">
            <v>143457.45000000001</v>
          </cell>
          <cell r="CG26">
            <v>208053.55999999997</v>
          </cell>
          <cell r="CH26">
            <v>244594.21999999994</v>
          </cell>
          <cell r="CI26">
            <v>243885.55000000002</v>
          </cell>
          <cell r="CJ26">
            <v>257684.28000000006</v>
          </cell>
          <cell r="CK26">
            <v>281578.51000000007</v>
          </cell>
          <cell r="CL26">
            <v>216481.83999999997</v>
          </cell>
          <cell r="CM26">
            <v>234198.06999999995</v>
          </cell>
          <cell r="CN26">
            <v>392851.71</v>
          </cell>
          <cell r="CO26">
            <v>0</v>
          </cell>
          <cell r="CP26">
            <v>2830762.7299999995</v>
          </cell>
          <cell r="CQ26">
            <v>2830762.7299999995</v>
          </cell>
          <cell r="CR26">
            <v>0</v>
          </cell>
          <cell r="CS26">
            <v>139389.66000000003</v>
          </cell>
          <cell r="CT26">
            <v>171297.30000000005</v>
          </cell>
          <cell r="CU26">
            <v>212431.0400000001</v>
          </cell>
          <cell r="CV26">
            <v>223895.53999999989</v>
          </cell>
          <cell r="CW26">
            <v>323298.53999999998</v>
          </cell>
          <cell r="CX26">
            <v>335166.48000000004</v>
          </cell>
          <cell r="CY26">
            <v>245177.58000000007</v>
          </cell>
          <cell r="CZ26">
            <v>218330.39999999997</v>
          </cell>
          <cell r="DA26">
            <v>174688.58000000002</v>
          </cell>
          <cell r="DB26">
            <v>203104.59999999998</v>
          </cell>
          <cell r="DC26">
            <v>210008.97</v>
          </cell>
          <cell r="DD26">
            <v>237248.58</v>
          </cell>
          <cell r="DE26">
            <v>0</v>
          </cell>
          <cell r="DF26">
            <v>2694037.2700000005</v>
          </cell>
          <cell r="DG26">
            <v>2694037.2700000005</v>
          </cell>
        </row>
        <row r="27">
          <cell r="B27">
            <v>24</v>
          </cell>
          <cell r="C27" t="str">
            <v>Materialeinsatz Bestandsveränderung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181279.30000000002</v>
          </cell>
          <cell r="U27">
            <v>231658.96999999994</v>
          </cell>
          <cell r="V27">
            <v>118253.88</v>
          </cell>
          <cell r="W27">
            <v>-20605.910000000003</v>
          </cell>
          <cell r="X27">
            <v>1973.5299999999952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512559.76999999984</v>
          </cell>
          <cell r="AH27">
            <v>512559.76999999984</v>
          </cell>
          <cell r="AI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531192.15</v>
          </cell>
          <cell r="AV27">
            <v>531192.15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512559.76999999984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512559.76999999984</v>
          </cell>
          <cell r="BI27">
            <v>0</v>
          </cell>
          <cell r="BJ27">
            <v>0</v>
          </cell>
          <cell r="BK27">
            <v>0</v>
          </cell>
          <cell r="BL27">
            <v>107175.98000000001</v>
          </cell>
          <cell r="BM27">
            <v>154474.09000000003</v>
          </cell>
          <cell r="BN27">
            <v>117438.47000000002</v>
          </cell>
          <cell r="BO27">
            <v>87706.22</v>
          </cell>
          <cell r="BP27">
            <v>6034.13</v>
          </cell>
          <cell r="BQ27">
            <v>109339.27999999998</v>
          </cell>
          <cell r="BR27">
            <v>110203.60000000002</v>
          </cell>
          <cell r="BS27">
            <v>-45723.55</v>
          </cell>
          <cell r="BT27">
            <v>16517.469999999994</v>
          </cell>
          <cell r="BU27">
            <v>-18002.62</v>
          </cell>
          <cell r="BV27">
            <v>95020.91</v>
          </cell>
          <cell r="BW27">
            <v>-108907.34999999998</v>
          </cell>
          <cell r="BX27">
            <v>0</v>
          </cell>
          <cell r="BY27">
            <v>631276.63</v>
          </cell>
          <cell r="BZ27">
            <v>631276.63</v>
          </cell>
          <cell r="CA27">
            <v>-108907.34999999998</v>
          </cell>
          <cell r="CB27">
            <v>0</v>
          </cell>
          <cell r="CC27">
            <v>42033.909999999989</v>
          </cell>
          <cell r="CD27">
            <v>168401.68</v>
          </cell>
          <cell r="CE27">
            <v>-119846.36000000002</v>
          </cell>
          <cell r="CF27">
            <v>15645.450000000003</v>
          </cell>
          <cell r="CG27">
            <v>-55094.010000000009</v>
          </cell>
          <cell r="CH27">
            <v>-2200.2300000000005</v>
          </cell>
          <cell r="CI27">
            <v>11783.059999999998</v>
          </cell>
          <cell r="CJ27">
            <v>-6044.5300000000007</v>
          </cell>
          <cell r="CK27">
            <v>-56085.279999999999</v>
          </cell>
          <cell r="CL27">
            <v>-27046.389999999996</v>
          </cell>
          <cell r="CM27">
            <v>112221.15</v>
          </cell>
          <cell r="CN27">
            <v>-64553.05</v>
          </cell>
          <cell r="CO27">
            <v>0</v>
          </cell>
          <cell r="CP27">
            <v>19215.399999999961</v>
          </cell>
          <cell r="CQ27">
            <v>19215.399999999961</v>
          </cell>
          <cell r="CR27">
            <v>0</v>
          </cell>
          <cell r="CS27">
            <v>58744.979999999996</v>
          </cell>
          <cell r="CT27">
            <v>188823.63</v>
          </cell>
          <cell r="CU27">
            <v>110016.70999999999</v>
          </cell>
          <cell r="CV27">
            <v>-20218.39</v>
          </cell>
          <cell r="CW27">
            <v>-166333.54</v>
          </cell>
          <cell r="CX27">
            <v>32813.270000000004</v>
          </cell>
          <cell r="CY27">
            <v>108206.98000000001</v>
          </cell>
          <cell r="CZ27">
            <v>-30972.910000000003</v>
          </cell>
          <cell r="DA27">
            <v>-120833.33999999998</v>
          </cell>
          <cell r="DB27">
            <v>-67453.2</v>
          </cell>
          <cell r="DC27">
            <v>-53894.82</v>
          </cell>
          <cell r="DD27">
            <v>-27223.839999999993</v>
          </cell>
          <cell r="DE27">
            <v>0</v>
          </cell>
          <cell r="DF27">
            <v>11675.530000000028</v>
          </cell>
          <cell r="DG27">
            <v>11675.530000000028</v>
          </cell>
        </row>
        <row r="28">
          <cell r="B28">
            <v>25</v>
          </cell>
          <cell r="C28" t="str">
            <v>Verschnitt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208248.82</v>
          </cell>
          <cell r="U28">
            <v>272364.47000000003</v>
          </cell>
          <cell r="V28">
            <v>354154.85000000003</v>
          </cell>
          <cell r="W28">
            <v>326735.98</v>
          </cell>
          <cell r="X28">
            <v>365753.45999999996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1527257.5800000003</v>
          </cell>
          <cell r="AH28">
            <v>1527257.5800000003</v>
          </cell>
          <cell r="AI28">
            <v>0</v>
          </cell>
          <cell r="AK28">
            <v>1047.4000000000001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834768.14</v>
          </cell>
          <cell r="AV28">
            <v>834768.14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1527257.5800000003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1527257.5800000003</v>
          </cell>
          <cell r="BI28">
            <v>0</v>
          </cell>
          <cell r="BJ28">
            <v>0</v>
          </cell>
          <cell r="BK28">
            <v>0</v>
          </cell>
          <cell r="BL28">
            <v>216771.45999999996</v>
          </cell>
          <cell r="BM28">
            <v>231740.59999999995</v>
          </cell>
          <cell r="BN28">
            <v>315076.62999999995</v>
          </cell>
          <cell r="BO28">
            <v>301773.3299999999</v>
          </cell>
          <cell r="BP28">
            <v>308094.94000000006</v>
          </cell>
          <cell r="BQ28">
            <v>339833.48999999987</v>
          </cell>
          <cell r="BR28">
            <v>311724.25</v>
          </cell>
          <cell r="BS28">
            <v>286390.68000000005</v>
          </cell>
          <cell r="BT28">
            <v>231286.82</v>
          </cell>
          <cell r="BU28">
            <v>257089.89</v>
          </cell>
          <cell r="BV28">
            <v>308820.40999999997</v>
          </cell>
          <cell r="BW28">
            <v>191894.2</v>
          </cell>
          <cell r="BX28">
            <v>0</v>
          </cell>
          <cell r="BY28">
            <v>3300496.7</v>
          </cell>
          <cell r="BZ28">
            <v>3300496.7</v>
          </cell>
          <cell r="CA28">
            <v>191894.2</v>
          </cell>
          <cell r="CB28">
            <v>0</v>
          </cell>
          <cell r="CC28">
            <v>236277.70999999993</v>
          </cell>
          <cell r="CD28">
            <v>237018.14000000004</v>
          </cell>
          <cell r="CE28">
            <v>227050.56000000006</v>
          </cell>
          <cell r="CF28">
            <v>192357.19999999995</v>
          </cell>
          <cell r="CG28">
            <v>248367.58000000002</v>
          </cell>
          <cell r="CH28">
            <v>306261.01000000007</v>
          </cell>
          <cell r="CI28">
            <v>329713.48</v>
          </cell>
          <cell r="CJ28">
            <v>271725.24999999994</v>
          </cell>
          <cell r="CK28">
            <v>283183.68</v>
          </cell>
          <cell r="CL28">
            <v>283271.63999999996</v>
          </cell>
          <cell r="CM28">
            <v>282014.97999999992</v>
          </cell>
          <cell r="CN28">
            <v>229409.86999999997</v>
          </cell>
          <cell r="CO28">
            <v>0</v>
          </cell>
          <cell r="CP28">
            <v>3126651.0999999992</v>
          </cell>
          <cell r="CQ28">
            <v>3126651.0999999992</v>
          </cell>
          <cell r="CR28">
            <v>0</v>
          </cell>
          <cell r="CS28">
            <v>241056.77000000002</v>
          </cell>
          <cell r="CT28">
            <v>221119.95</v>
          </cell>
          <cell r="CU28">
            <v>265111.10000000003</v>
          </cell>
          <cell r="CV28">
            <v>265773.35000000003</v>
          </cell>
          <cell r="CW28">
            <v>292226.10000000003</v>
          </cell>
          <cell r="CX28">
            <v>252068.81000000003</v>
          </cell>
          <cell r="CY28">
            <v>310487.23</v>
          </cell>
          <cell r="CZ28">
            <v>262866.79000000004</v>
          </cell>
          <cell r="DA28">
            <v>251423.06999999998</v>
          </cell>
          <cell r="DB28">
            <v>254676.90000000002</v>
          </cell>
          <cell r="DC28">
            <v>255125.21000000002</v>
          </cell>
          <cell r="DD28">
            <v>147512.18</v>
          </cell>
          <cell r="DE28">
            <v>0</v>
          </cell>
          <cell r="DF28">
            <v>3019447.46</v>
          </cell>
          <cell r="DG28">
            <v>3019447.46</v>
          </cell>
        </row>
        <row r="29">
          <cell r="B29">
            <v>26</v>
          </cell>
          <cell r="C29" t="str">
            <v>Fertigungseinzelkosten [Fertigungsaufträge]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60111.64</v>
          </cell>
          <cell r="U29">
            <v>96433.73000000001</v>
          </cell>
          <cell r="V29">
            <v>120423.5</v>
          </cell>
          <cell r="W29">
            <v>115841.37</v>
          </cell>
          <cell r="X29">
            <v>138262.43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531072.67000000016</v>
          </cell>
          <cell r="AH29">
            <v>531072.67000000016</v>
          </cell>
          <cell r="AI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276968.87</v>
          </cell>
          <cell r="AV29">
            <v>276968.87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531072.67000000016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531072.67000000016</v>
          </cell>
          <cell r="BI29">
            <v>0</v>
          </cell>
          <cell r="BJ29">
            <v>0</v>
          </cell>
          <cell r="BK29">
            <v>0</v>
          </cell>
          <cell r="BL29">
            <v>74842.320000000007</v>
          </cell>
          <cell r="BM29">
            <v>94632.469999999987</v>
          </cell>
          <cell r="BN29">
            <v>137314.52000000002</v>
          </cell>
          <cell r="BO29">
            <v>107843.75000000001</v>
          </cell>
          <cell r="BP29">
            <v>150859.44999999998</v>
          </cell>
          <cell r="BQ29">
            <v>142989.37</v>
          </cell>
          <cell r="BR29">
            <v>128870.60000000002</v>
          </cell>
          <cell r="BS29">
            <v>106126.47000000002</v>
          </cell>
          <cell r="BT29">
            <v>94442.34</v>
          </cell>
          <cell r="BU29">
            <v>112497.83</v>
          </cell>
          <cell r="BV29">
            <v>77489.599999999991</v>
          </cell>
          <cell r="BW29">
            <v>71302.559999999983</v>
          </cell>
          <cell r="BX29">
            <v>0</v>
          </cell>
          <cell r="BY29">
            <v>1299211.28</v>
          </cell>
          <cell r="BZ29">
            <v>1299211.28</v>
          </cell>
          <cell r="CA29">
            <v>71302.559999999983</v>
          </cell>
          <cell r="CB29">
            <v>0</v>
          </cell>
          <cell r="CC29">
            <v>56043.429999999986</v>
          </cell>
          <cell r="CD29">
            <v>103896.61</v>
          </cell>
          <cell r="CE29">
            <v>138641.32</v>
          </cell>
          <cell r="CF29">
            <v>105787.57000000002</v>
          </cell>
          <cell r="CG29">
            <v>134905.32</v>
          </cell>
          <cell r="CH29">
            <v>115389.93000000001</v>
          </cell>
          <cell r="CI29">
            <v>165291.81000000003</v>
          </cell>
          <cell r="CJ29">
            <v>111664.04</v>
          </cell>
          <cell r="CK29">
            <v>121822.71</v>
          </cell>
          <cell r="CL29">
            <v>97627.47</v>
          </cell>
          <cell r="CM29">
            <v>100671.20999999999</v>
          </cell>
          <cell r="CN29">
            <v>79352.700000000012</v>
          </cell>
          <cell r="CO29">
            <v>0</v>
          </cell>
          <cell r="CP29">
            <v>1331094.1200000001</v>
          </cell>
          <cell r="CQ29">
            <v>1331094.1200000001</v>
          </cell>
          <cell r="CR29">
            <v>0</v>
          </cell>
          <cell r="CS29">
            <v>56597.81</v>
          </cell>
          <cell r="CT29">
            <v>69062.720000000001</v>
          </cell>
          <cell r="CU29">
            <v>108868.62999999998</v>
          </cell>
          <cell r="CV29">
            <v>110308.20000000001</v>
          </cell>
          <cell r="CW29">
            <v>123734.32</v>
          </cell>
          <cell r="CX29">
            <v>96209.93</v>
          </cell>
          <cell r="CY29">
            <v>115485.33</v>
          </cell>
          <cell r="CZ29">
            <v>91627.079999999987</v>
          </cell>
          <cell r="DA29">
            <v>74201.97</v>
          </cell>
          <cell r="DB29">
            <v>88022.080000000002</v>
          </cell>
          <cell r="DC29">
            <v>70392.650000000009</v>
          </cell>
          <cell r="DD29">
            <v>64979.7</v>
          </cell>
          <cell r="DE29">
            <v>0</v>
          </cell>
          <cell r="DF29">
            <v>1069490.42</v>
          </cell>
          <cell r="DG29">
            <v>1069490.42</v>
          </cell>
        </row>
        <row r="30">
          <cell r="B30">
            <v>27</v>
          </cell>
          <cell r="C30" t="str">
            <v>Fertigungsgemeinkosten [Fertigungsaufträge]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23957.399999999998</v>
          </cell>
          <cell r="U30">
            <v>35968.97</v>
          </cell>
          <cell r="V30">
            <v>50092.1</v>
          </cell>
          <cell r="W30">
            <v>48170.01</v>
          </cell>
          <cell r="X30">
            <v>56817.900000000009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215006.37999999998</v>
          </cell>
          <cell r="AH30">
            <v>215006.37999999998</v>
          </cell>
          <cell r="AI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110018.47</v>
          </cell>
          <cell r="AV30">
            <v>110018.47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215006.37999999998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215006.37999999998</v>
          </cell>
          <cell r="BI30">
            <v>0</v>
          </cell>
          <cell r="BJ30">
            <v>0</v>
          </cell>
          <cell r="BK30">
            <v>0</v>
          </cell>
          <cell r="BL30">
            <v>22938.14</v>
          </cell>
          <cell r="BM30">
            <v>34390.35</v>
          </cell>
          <cell r="BN30">
            <v>47094.299999999996</v>
          </cell>
          <cell r="BO30">
            <v>45068.170000000006</v>
          </cell>
          <cell r="BP30">
            <v>56424.54</v>
          </cell>
          <cell r="BQ30">
            <v>58638.94999999999</v>
          </cell>
          <cell r="BR30">
            <v>54971.69</v>
          </cell>
          <cell r="BS30">
            <v>42788.049999999996</v>
          </cell>
          <cell r="BT30">
            <v>39233.879999999997</v>
          </cell>
          <cell r="BU30">
            <v>34729.08</v>
          </cell>
          <cell r="BV30">
            <v>31934.019999999997</v>
          </cell>
          <cell r="BW30">
            <v>27190.979999999996</v>
          </cell>
          <cell r="BX30">
            <v>0</v>
          </cell>
          <cell r="BY30">
            <v>495402.15</v>
          </cell>
          <cell r="BZ30">
            <v>495402.15</v>
          </cell>
          <cell r="CA30">
            <v>27190.979999999996</v>
          </cell>
          <cell r="CB30">
            <v>0</v>
          </cell>
          <cell r="CC30">
            <v>26815</v>
          </cell>
          <cell r="CD30">
            <v>32334.15</v>
          </cell>
          <cell r="CE30">
            <v>51547.780000000006</v>
          </cell>
          <cell r="CF30">
            <v>41856.740000000005</v>
          </cell>
          <cell r="CG30">
            <v>41223.620000000003</v>
          </cell>
          <cell r="CH30">
            <v>53429.340000000004</v>
          </cell>
          <cell r="CI30">
            <v>59680.53</v>
          </cell>
          <cell r="CJ30">
            <v>43705.14</v>
          </cell>
          <cell r="CK30">
            <v>42795.149999999994</v>
          </cell>
          <cell r="CL30">
            <v>35837.86</v>
          </cell>
          <cell r="CM30">
            <v>37598.259999999995</v>
          </cell>
          <cell r="CN30">
            <v>24153.32</v>
          </cell>
          <cell r="CO30">
            <v>0</v>
          </cell>
          <cell r="CP30">
            <v>490976.89</v>
          </cell>
          <cell r="CQ30">
            <v>490976.89</v>
          </cell>
          <cell r="CR30">
            <v>0</v>
          </cell>
          <cell r="CS30">
            <v>25026.920000000002</v>
          </cell>
          <cell r="CT30">
            <v>10803.490000000002</v>
          </cell>
          <cell r="CU30">
            <v>46701.810000000005</v>
          </cell>
          <cell r="CV30">
            <v>48050.47</v>
          </cell>
          <cell r="CW30">
            <v>51304.33</v>
          </cell>
          <cell r="CX30">
            <v>38546.240000000005</v>
          </cell>
          <cell r="CY30">
            <v>41585.369999999995</v>
          </cell>
          <cell r="CZ30">
            <v>35011.310000000005</v>
          </cell>
          <cell r="DA30">
            <v>27825.14</v>
          </cell>
          <cell r="DB30">
            <v>24243.510000000006</v>
          </cell>
          <cell r="DC30">
            <v>19039.800000000003</v>
          </cell>
          <cell r="DD30">
            <v>17221.75</v>
          </cell>
          <cell r="DE30">
            <v>0</v>
          </cell>
          <cell r="DF30">
            <v>385360.14000000007</v>
          </cell>
          <cell r="DG30">
            <v>385360.14000000007</v>
          </cell>
        </row>
        <row r="31">
          <cell r="B31">
            <v>28</v>
          </cell>
          <cell r="C31" t="str">
            <v>Materialgemeinkosten [Fertigungsaufträge]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24918.06</v>
          </cell>
          <cell r="U31">
            <v>42127.71</v>
          </cell>
          <cell r="V31">
            <v>64388.94</v>
          </cell>
          <cell r="W31">
            <v>65878.73</v>
          </cell>
          <cell r="X31">
            <v>68793.17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266106.61</v>
          </cell>
          <cell r="AH31">
            <v>266106.61</v>
          </cell>
          <cell r="AI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131434.71</v>
          </cell>
          <cell r="AV31">
            <v>131434.71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266106.61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266106.61</v>
          </cell>
          <cell r="BI31">
            <v>0</v>
          </cell>
          <cell r="BJ31">
            <v>0</v>
          </cell>
          <cell r="BK31">
            <v>0</v>
          </cell>
          <cell r="BL31">
            <v>19997.849999999999</v>
          </cell>
          <cell r="BM31">
            <v>32892.239999999998</v>
          </cell>
          <cell r="BN31">
            <v>57706.160000000011</v>
          </cell>
          <cell r="BO31">
            <v>53817.989999999991</v>
          </cell>
          <cell r="BP31">
            <v>92907.11</v>
          </cell>
          <cell r="BQ31">
            <v>63578.26</v>
          </cell>
          <cell r="BR31">
            <v>60712.56</v>
          </cell>
          <cell r="BS31">
            <v>50291.37</v>
          </cell>
          <cell r="BT31">
            <v>45718.930000000008</v>
          </cell>
          <cell r="BU31">
            <v>36196.11</v>
          </cell>
          <cell r="BV31">
            <v>34943.339999999997</v>
          </cell>
          <cell r="BW31">
            <v>24325.760000000002</v>
          </cell>
          <cell r="BX31">
            <v>0</v>
          </cell>
          <cell r="BY31">
            <v>573087.67999999993</v>
          </cell>
          <cell r="BZ31">
            <v>573087.67999999993</v>
          </cell>
          <cell r="CA31">
            <v>24325.760000000002</v>
          </cell>
          <cell r="CB31">
            <v>0</v>
          </cell>
          <cell r="CC31">
            <v>24261.8</v>
          </cell>
          <cell r="CD31">
            <v>34686.5</v>
          </cell>
          <cell r="CE31">
            <v>53650.130000000005</v>
          </cell>
          <cell r="CF31">
            <v>52030.92</v>
          </cell>
          <cell r="CG31">
            <v>46168.69</v>
          </cell>
          <cell r="CH31">
            <v>54388.409999999996</v>
          </cell>
          <cell r="CI31">
            <v>60775.349999999991</v>
          </cell>
          <cell r="CJ31">
            <v>43727.099999999991</v>
          </cell>
          <cell r="CK31">
            <v>49354.64</v>
          </cell>
          <cell r="CL31">
            <v>35398.49</v>
          </cell>
          <cell r="CM31">
            <v>26707.899999999998</v>
          </cell>
          <cell r="CN31">
            <v>20079</v>
          </cell>
          <cell r="CO31">
            <v>0</v>
          </cell>
          <cell r="CP31">
            <v>501228.93</v>
          </cell>
          <cell r="CQ31">
            <v>501228.93</v>
          </cell>
          <cell r="CR31">
            <v>0</v>
          </cell>
          <cell r="CS31">
            <v>20325.629999999997</v>
          </cell>
          <cell r="CT31">
            <v>29034.609999999997</v>
          </cell>
          <cell r="CU31">
            <v>50445.8</v>
          </cell>
          <cell r="CV31">
            <v>62166.98</v>
          </cell>
          <cell r="CW31">
            <v>54611.82</v>
          </cell>
          <cell r="CX31">
            <v>43608.700000000004</v>
          </cell>
          <cell r="CY31">
            <v>45000.01</v>
          </cell>
          <cell r="CZ31">
            <v>36812.920000000006</v>
          </cell>
          <cell r="DA31">
            <v>28826.53</v>
          </cell>
          <cell r="DB31">
            <v>22707.48</v>
          </cell>
          <cell r="DC31">
            <v>19827.96</v>
          </cell>
          <cell r="DD31">
            <v>14114.34</v>
          </cell>
          <cell r="DE31">
            <v>0</v>
          </cell>
          <cell r="DF31">
            <v>427482.77999999997</v>
          </cell>
          <cell r="DG31">
            <v>427482.77999999997</v>
          </cell>
        </row>
        <row r="32">
          <cell r="B32">
            <v>29</v>
          </cell>
          <cell r="C32" t="str">
            <v>Maschinenkosten [Fertigungsaufträge]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20469.060000000001</v>
          </cell>
          <cell r="U32">
            <v>25482.58</v>
          </cell>
          <cell r="V32">
            <v>22613</v>
          </cell>
          <cell r="W32">
            <v>17795.55</v>
          </cell>
          <cell r="X32">
            <v>26518.230000000003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112878.42</v>
          </cell>
          <cell r="AH32">
            <v>112878.42</v>
          </cell>
          <cell r="AI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68564.639999999999</v>
          </cell>
          <cell r="AV32">
            <v>68564.639999999999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112878.42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112878.42</v>
          </cell>
          <cell r="BI32">
            <v>0</v>
          </cell>
          <cell r="BJ32">
            <v>0</v>
          </cell>
          <cell r="BK32">
            <v>0</v>
          </cell>
          <cell r="BL32">
            <v>15697.01</v>
          </cell>
          <cell r="BM32">
            <v>20096.86</v>
          </cell>
          <cell r="BN32">
            <v>17095.86</v>
          </cell>
          <cell r="BO32">
            <v>14279.51</v>
          </cell>
          <cell r="BP32">
            <v>10808.39</v>
          </cell>
          <cell r="BQ32">
            <v>21761.63</v>
          </cell>
          <cell r="BR32">
            <v>19338.650000000001</v>
          </cell>
          <cell r="BS32">
            <v>9914.0600000000013</v>
          </cell>
          <cell r="BT32">
            <v>17919.309999999998</v>
          </cell>
          <cell r="BU32">
            <v>27409.03</v>
          </cell>
          <cell r="BV32">
            <v>31792.55</v>
          </cell>
          <cell r="BW32">
            <v>30482.129999999997</v>
          </cell>
          <cell r="BX32">
            <v>0</v>
          </cell>
          <cell r="BY32">
            <v>236594.99</v>
          </cell>
          <cell r="BZ32">
            <v>236594.99</v>
          </cell>
          <cell r="CA32">
            <v>30482.129999999997</v>
          </cell>
          <cell r="CB32">
            <v>0</v>
          </cell>
          <cell r="CC32">
            <v>14544.449999999999</v>
          </cell>
          <cell r="CD32">
            <v>12157.269999999999</v>
          </cell>
          <cell r="CE32">
            <v>14041.29</v>
          </cell>
          <cell r="CF32">
            <v>18367.16</v>
          </cell>
          <cell r="CG32">
            <v>7566.11</v>
          </cell>
          <cell r="CH32">
            <v>17747.060000000001</v>
          </cell>
          <cell r="CI32">
            <v>22897.9</v>
          </cell>
          <cell r="CJ32">
            <v>18274.310000000001</v>
          </cell>
          <cell r="CK32">
            <v>8021.48</v>
          </cell>
          <cell r="CL32">
            <v>16494.780000000002</v>
          </cell>
          <cell r="CM32">
            <v>19456.32</v>
          </cell>
          <cell r="CN32">
            <v>15136.880000000001</v>
          </cell>
          <cell r="CO32">
            <v>0</v>
          </cell>
          <cell r="CP32">
            <v>184705.01000000004</v>
          </cell>
          <cell r="CQ32">
            <v>184705.01000000004</v>
          </cell>
          <cell r="CR32">
            <v>0</v>
          </cell>
          <cell r="CS32">
            <v>25814.38</v>
          </cell>
          <cell r="CT32">
            <v>25116.34</v>
          </cell>
          <cell r="CU32">
            <v>16896.870000000003</v>
          </cell>
          <cell r="CV32">
            <v>21520.38</v>
          </cell>
          <cell r="CW32">
            <v>42716.2</v>
          </cell>
          <cell r="CX32">
            <v>32879.300000000003</v>
          </cell>
          <cell r="CY32">
            <v>28530.58</v>
          </cell>
          <cell r="CZ32">
            <v>34210.630000000005</v>
          </cell>
          <cell r="DA32">
            <v>28384.22</v>
          </cell>
          <cell r="DB32">
            <v>16443.400000000001</v>
          </cell>
          <cell r="DC32">
            <v>20796.010000000002</v>
          </cell>
          <cell r="DD32">
            <v>37160.44</v>
          </cell>
          <cell r="DE32">
            <v>0</v>
          </cell>
          <cell r="DF32">
            <v>330468.75</v>
          </cell>
          <cell r="DG32">
            <v>330468.75</v>
          </cell>
        </row>
        <row r="33">
          <cell r="B33">
            <v>30</v>
          </cell>
          <cell r="C33" t="str">
            <v>SEK der Fertigung [Fertigungsaufträge]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57.02</v>
          </cell>
          <cell r="W33">
            <v>45.68</v>
          </cell>
          <cell r="X33">
            <v>380.04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482.74</v>
          </cell>
          <cell r="AH33">
            <v>482.74</v>
          </cell>
          <cell r="AI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57.02</v>
          </cell>
          <cell r="AV33">
            <v>57.02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482.74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482.74</v>
          </cell>
          <cell r="BI33">
            <v>0</v>
          </cell>
          <cell r="BJ33">
            <v>0</v>
          </cell>
          <cell r="BK33">
            <v>0</v>
          </cell>
          <cell r="BL33">
            <v>171.93</v>
          </cell>
          <cell r="BM33">
            <v>175.35</v>
          </cell>
          <cell r="BN33">
            <v>79.42</v>
          </cell>
          <cell r="BO33">
            <v>6.44</v>
          </cell>
          <cell r="BP33">
            <v>0</v>
          </cell>
          <cell r="BQ33">
            <v>0</v>
          </cell>
          <cell r="BR33">
            <v>107.19</v>
          </cell>
          <cell r="BS33">
            <v>3</v>
          </cell>
          <cell r="BT33">
            <v>65.41</v>
          </cell>
          <cell r="BU33">
            <v>671.41</v>
          </cell>
          <cell r="BV33">
            <v>133.80000000000001</v>
          </cell>
          <cell r="BW33">
            <v>3.59</v>
          </cell>
          <cell r="BX33">
            <v>0</v>
          </cell>
          <cell r="BY33">
            <v>1417.5399999999997</v>
          </cell>
          <cell r="BZ33">
            <v>1417.5399999999997</v>
          </cell>
          <cell r="CA33">
            <v>3.59</v>
          </cell>
          <cell r="CB33">
            <v>0</v>
          </cell>
          <cell r="CC33">
            <v>8.26</v>
          </cell>
          <cell r="CD33">
            <v>142.06</v>
          </cell>
          <cell r="CE33">
            <v>2.9</v>
          </cell>
          <cell r="CF33">
            <v>0</v>
          </cell>
          <cell r="CG33">
            <v>0</v>
          </cell>
          <cell r="CH33">
            <v>136.84</v>
          </cell>
          <cell r="CI33">
            <v>6.4</v>
          </cell>
          <cell r="CJ33">
            <v>506.18</v>
          </cell>
          <cell r="CK33">
            <v>54.54</v>
          </cell>
          <cell r="CL33">
            <v>6.55</v>
          </cell>
          <cell r="CM33">
            <v>81.239999999999995</v>
          </cell>
          <cell r="CN33">
            <v>20.55</v>
          </cell>
          <cell r="CO33">
            <v>0</v>
          </cell>
          <cell r="CP33">
            <v>965.51999999999987</v>
          </cell>
          <cell r="CQ33">
            <v>965.51999999999987</v>
          </cell>
          <cell r="CR33">
            <v>0</v>
          </cell>
          <cell r="CS33">
            <v>29.25</v>
          </cell>
          <cell r="CT33">
            <v>44.75</v>
          </cell>
          <cell r="CU33">
            <v>513.03</v>
          </cell>
          <cell r="CV33">
            <v>0</v>
          </cell>
          <cell r="CW33">
            <v>330.15999999999997</v>
          </cell>
          <cell r="CX33">
            <v>47.71</v>
          </cell>
          <cell r="CY33">
            <v>69.709999999999994</v>
          </cell>
          <cell r="CZ33">
            <v>59.08</v>
          </cell>
          <cell r="DA33">
            <v>1.68</v>
          </cell>
          <cell r="DB33">
            <v>293.45</v>
          </cell>
          <cell r="DC33">
            <v>5.94</v>
          </cell>
          <cell r="DD33">
            <v>0</v>
          </cell>
          <cell r="DE33">
            <v>0</v>
          </cell>
          <cell r="DF33">
            <v>1394.76</v>
          </cell>
          <cell r="DG33">
            <v>1394.76</v>
          </cell>
        </row>
        <row r="34">
          <cell r="B34">
            <v>31</v>
          </cell>
          <cell r="C34" t="str">
            <v>Energiekosten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62316.89</v>
          </cell>
          <cell r="U34">
            <v>73885.100000000006</v>
          </cell>
          <cell r="V34">
            <v>29293.659999999996</v>
          </cell>
          <cell r="W34">
            <v>75863.100000000006</v>
          </cell>
          <cell r="X34">
            <v>47644.25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289003</v>
          </cell>
          <cell r="AH34">
            <v>289003</v>
          </cell>
          <cell r="AI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165495.64999999997</v>
          </cell>
          <cell r="AV34">
            <v>165495.64999999997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289003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289003</v>
          </cell>
          <cell r="BI34">
            <v>0</v>
          </cell>
          <cell r="BJ34">
            <v>0</v>
          </cell>
          <cell r="BK34">
            <v>0</v>
          </cell>
          <cell r="BL34">
            <v>50197.23</v>
          </cell>
          <cell r="BM34">
            <v>77303.69</v>
          </cell>
          <cell r="BN34">
            <v>71323.649999999994</v>
          </cell>
          <cell r="BO34">
            <v>74736.41</v>
          </cell>
          <cell r="BP34">
            <v>51977.180000000008</v>
          </cell>
          <cell r="BQ34">
            <v>48884.66</v>
          </cell>
          <cell r="BR34">
            <v>8734.9000000000015</v>
          </cell>
          <cell r="BS34">
            <v>84130.790000000008</v>
          </cell>
          <cell r="BT34">
            <v>48787.759999999995</v>
          </cell>
          <cell r="BU34">
            <v>52328.009999999995</v>
          </cell>
          <cell r="BV34">
            <v>54373.600000000006</v>
          </cell>
          <cell r="BW34">
            <v>81350.320000000007</v>
          </cell>
          <cell r="BX34">
            <v>0</v>
          </cell>
          <cell r="BY34">
            <v>704128.20000000019</v>
          </cell>
          <cell r="BZ34">
            <v>704128.20000000019</v>
          </cell>
          <cell r="CA34">
            <v>81350.320000000007</v>
          </cell>
          <cell r="CB34">
            <v>0</v>
          </cell>
          <cell r="CC34">
            <v>49973.930000000008</v>
          </cell>
          <cell r="CD34">
            <v>51353.460000000006</v>
          </cell>
          <cell r="CE34">
            <v>76360.09</v>
          </cell>
          <cell r="CF34">
            <v>63492.38</v>
          </cell>
          <cell r="CG34">
            <v>39296.36</v>
          </cell>
          <cell r="CH34">
            <v>44418.94</v>
          </cell>
          <cell r="CI34">
            <v>41532.46</v>
          </cell>
          <cell r="CJ34">
            <v>43128.570000000007</v>
          </cell>
          <cell r="CK34">
            <v>13344.509999999998</v>
          </cell>
          <cell r="CL34">
            <v>41661.210000000006</v>
          </cell>
          <cell r="CM34">
            <v>89155.59</v>
          </cell>
          <cell r="CN34">
            <v>69101.22</v>
          </cell>
          <cell r="CO34">
            <v>0</v>
          </cell>
          <cell r="CP34">
            <v>622818.72</v>
          </cell>
          <cell r="CQ34">
            <v>622818.72</v>
          </cell>
          <cell r="CR34">
            <v>0</v>
          </cell>
          <cell r="CS34">
            <v>54091.07</v>
          </cell>
          <cell r="CT34">
            <v>81557.110000000015</v>
          </cell>
          <cell r="CU34">
            <v>66947.329999999987</v>
          </cell>
          <cell r="CV34">
            <v>53830.35</v>
          </cell>
          <cell r="CW34">
            <v>56761.16</v>
          </cell>
          <cell r="CX34">
            <v>23565.82</v>
          </cell>
          <cell r="CY34">
            <v>32578.030000000006</v>
          </cell>
          <cell r="CZ34">
            <v>46622.55</v>
          </cell>
          <cell r="DA34">
            <v>35568.300000000003</v>
          </cell>
          <cell r="DB34">
            <v>52932.799999999988</v>
          </cell>
          <cell r="DC34">
            <v>99711.049999999988</v>
          </cell>
          <cell r="DD34">
            <v>23008.79</v>
          </cell>
          <cell r="DE34">
            <v>0</v>
          </cell>
          <cell r="DF34">
            <v>627174.36</v>
          </cell>
          <cell r="DG34">
            <v>627174.36</v>
          </cell>
        </row>
        <row r="35">
          <cell r="B35">
            <v>32</v>
          </cell>
          <cell r="C35" t="str">
            <v>Kataloge (BilRUG)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</row>
        <row r="36">
          <cell r="B36">
            <v>33</v>
          </cell>
          <cell r="C36" t="str">
            <v>Warenbezug (BilRUG)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6055.0499999999993</v>
          </cell>
          <cell r="U36">
            <v>7546.5400000000009</v>
          </cell>
          <cell r="V36">
            <v>8107.0599999999995</v>
          </cell>
          <cell r="W36">
            <v>7933.3999999999978</v>
          </cell>
          <cell r="X36">
            <v>9546.89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39188.939999999995</v>
          </cell>
          <cell r="AH36">
            <v>39188.939999999995</v>
          </cell>
          <cell r="AI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21708.65</v>
          </cell>
          <cell r="AV36">
            <v>21708.65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39188.939999999995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39188.939999999995</v>
          </cell>
          <cell r="BI36">
            <v>0</v>
          </cell>
          <cell r="BJ36">
            <v>0</v>
          </cell>
          <cell r="BK36">
            <v>0</v>
          </cell>
          <cell r="BL36">
            <v>3629.8199999999997</v>
          </cell>
          <cell r="BM36">
            <v>6937.52</v>
          </cell>
          <cell r="BN36">
            <v>7094.18</v>
          </cell>
          <cell r="BO36">
            <v>5536.0199999999995</v>
          </cell>
          <cell r="BP36">
            <v>5783.3600000000006</v>
          </cell>
          <cell r="BQ36">
            <v>9266.1999999999989</v>
          </cell>
          <cell r="BR36">
            <v>9433.380000000001</v>
          </cell>
          <cell r="BS36">
            <v>10683.45</v>
          </cell>
          <cell r="BT36">
            <v>5011.41</v>
          </cell>
          <cell r="BU36">
            <v>7796.7099999999991</v>
          </cell>
          <cell r="BV36">
            <v>6014.7899999999991</v>
          </cell>
          <cell r="BW36">
            <v>7465.56</v>
          </cell>
          <cell r="BX36">
            <v>0</v>
          </cell>
          <cell r="BY36">
            <v>84652.4</v>
          </cell>
          <cell r="BZ36">
            <v>84652.4</v>
          </cell>
          <cell r="CA36">
            <v>7465.56</v>
          </cell>
          <cell r="CB36">
            <v>0</v>
          </cell>
          <cell r="CC36">
            <v>4657.07</v>
          </cell>
          <cell r="CD36">
            <v>6612.5199999999995</v>
          </cell>
          <cell r="CE36">
            <v>5221.05</v>
          </cell>
          <cell r="CF36">
            <v>4759.1400000000003</v>
          </cell>
          <cell r="CG36">
            <v>3271.7599999999998</v>
          </cell>
          <cell r="CH36">
            <v>5133.2300000000005</v>
          </cell>
          <cell r="CI36">
            <v>5480.6</v>
          </cell>
          <cell r="CJ36">
            <v>5972.98</v>
          </cell>
          <cell r="CK36">
            <v>6135.63</v>
          </cell>
          <cell r="CL36">
            <v>7972.1100000000006</v>
          </cell>
          <cell r="CM36">
            <v>6207.47</v>
          </cell>
          <cell r="CN36">
            <v>5492.06</v>
          </cell>
          <cell r="CO36">
            <v>0</v>
          </cell>
          <cell r="CP36">
            <v>66915.62</v>
          </cell>
          <cell r="CQ36">
            <v>66915.62</v>
          </cell>
          <cell r="CR36">
            <v>0</v>
          </cell>
          <cell r="CS36">
            <v>4490.09</v>
          </cell>
          <cell r="CT36">
            <v>6221.45</v>
          </cell>
          <cell r="CU36">
            <v>4679.66</v>
          </cell>
          <cell r="CV36">
            <v>4251.5200000000004</v>
          </cell>
          <cell r="CW36">
            <v>4733.33</v>
          </cell>
          <cell r="CX36">
            <v>4806.4199999999992</v>
          </cell>
          <cell r="CY36">
            <v>6600.6500000000015</v>
          </cell>
          <cell r="CZ36">
            <v>6936.81</v>
          </cell>
          <cell r="DA36">
            <v>5550.97</v>
          </cell>
          <cell r="DB36">
            <v>4695.8000000000011</v>
          </cell>
          <cell r="DC36">
            <v>5408.09</v>
          </cell>
          <cell r="DD36">
            <v>4676.51</v>
          </cell>
          <cell r="DE36">
            <v>0</v>
          </cell>
          <cell r="DF36">
            <v>63051.3</v>
          </cell>
          <cell r="DG36">
            <v>63051.3</v>
          </cell>
        </row>
        <row r="37">
          <cell r="B37">
            <v>34</v>
          </cell>
          <cell r="C37" t="str">
            <v>Katalog/Prospektkosten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337548.75000000006</v>
          </cell>
          <cell r="U37">
            <v>991370.31000000017</v>
          </cell>
          <cell r="V37">
            <v>262924.93999999994</v>
          </cell>
          <cell r="W37">
            <v>-34720.640000000007</v>
          </cell>
          <cell r="X37">
            <v>37678.959999999999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1594802.3200000003</v>
          </cell>
          <cell r="AH37">
            <v>1594802.3200000003</v>
          </cell>
          <cell r="AI37">
            <v>0</v>
          </cell>
          <cell r="AK37">
            <v>1595.5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1591844.0000000002</v>
          </cell>
          <cell r="AV37">
            <v>1591844.0000000002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1594802.3200000003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1594802.3200000003</v>
          </cell>
          <cell r="BI37">
            <v>0</v>
          </cell>
          <cell r="BJ37">
            <v>0</v>
          </cell>
          <cell r="BK37">
            <v>0</v>
          </cell>
          <cell r="BL37">
            <v>19229.690000000006</v>
          </cell>
          <cell r="BM37">
            <v>426211.18999999994</v>
          </cell>
          <cell r="BN37">
            <v>105051.57</v>
          </cell>
          <cell r="BO37">
            <v>365266.66</v>
          </cell>
          <cell r="BP37">
            <v>263771.45</v>
          </cell>
          <cell r="BQ37">
            <v>90373.199999999983</v>
          </cell>
          <cell r="BR37">
            <v>166008.12000000008</v>
          </cell>
          <cell r="BS37">
            <v>237734.23</v>
          </cell>
          <cell r="BT37">
            <v>56272.320000000014</v>
          </cell>
          <cell r="BU37">
            <v>227317.05999999997</v>
          </cell>
          <cell r="BV37">
            <v>200265.58999999997</v>
          </cell>
          <cell r="BW37">
            <v>-23267.339999999993</v>
          </cell>
          <cell r="BX37">
            <v>0</v>
          </cell>
          <cell r="BY37">
            <v>2134233.7399999993</v>
          </cell>
          <cell r="BZ37">
            <v>2134233.7399999993</v>
          </cell>
          <cell r="CA37">
            <v>-23267.339999999993</v>
          </cell>
          <cell r="CB37">
            <v>0</v>
          </cell>
          <cell r="CC37">
            <v>56645.25</v>
          </cell>
          <cell r="CD37">
            <v>874092.44</v>
          </cell>
          <cell r="CE37">
            <v>426500.12999999983</v>
          </cell>
          <cell r="CF37">
            <v>316676.43</v>
          </cell>
          <cell r="CG37">
            <v>209792.4</v>
          </cell>
          <cell r="CH37">
            <v>282640.18</v>
          </cell>
          <cell r="CI37">
            <v>289855.68000000005</v>
          </cell>
          <cell r="CJ37">
            <v>171625.97000000003</v>
          </cell>
          <cell r="CK37">
            <v>201692.38999999998</v>
          </cell>
          <cell r="CL37">
            <v>-23212.170000000013</v>
          </cell>
          <cell r="CM37">
            <v>-211002.02</v>
          </cell>
          <cell r="CN37">
            <v>32777.990000000013</v>
          </cell>
          <cell r="CO37">
            <v>0</v>
          </cell>
          <cell r="CP37">
            <v>2628084.6700000004</v>
          </cell>
          <cell r="CQ37">
            <v>2628084.6700000004</v>
          </cell>
          <cell r="CR37">
            <v>0</v>
          </cell>
          <cell r="CS37">
            <v>495098.92</v>
          </cell>
          <cell r="CT37">
            <v>191937.64999999994</v>
          </cell>
          <cell r="CU37">
            <v>324966.40999999992</v>
          </cell>
          <cell r="CV37">
            <v>208956.57000000004</v>
          </cell>
          <cell r="CW37">
            <v>154833.98000000004</v>
          </cell>
          <cell r="CX37">
            <v>110100.51000000002</v>
          </cell>
          <cell r="CY37">
            <v>146679.75999999998</v>
          </cell>
          <cell r="CZ37">
            <v>83875.699999999983</v>
          </cell>
          <cell r="DA37">
            <v>37801.569999999992</v>
          </cell>
          <cell r="DB37">
            <v>41663.220000000008</v>
          </cell>
          <cell r="DC37">
            <v>-23468.469999999987</v>
          </cell>
          <cell r="DD37">
            <v>96873.829999999973</v>
          </cell>
          <cell r="DE37">
            <v>0</v>
          </cell>
          <cell r="DF37">
            <v>1869319.6500000001</v>
          </cell>
          <cell r="DG37">
            <v>1869319.6500000001</v>
          </cell>
        </row>
        <row r="38">
          <cell r="B38">
            <v>35</v>
          </cell>
          <cell r="C38" t="str">
            <v>Messekosten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990.90000000000009</v>
          </cell>
          <cell r="U38">
            <v>4435.5300000000007</v>
          </cell>
          <cell r="V38">
            <v>-735.87000000000012</v>
          </cell>
          <cell r="W38">
            <v>1364.3999999999999</v>
          </cell>
          <cell r="X38">
            <v>43480.35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49535.310000000012</v>
          </cell>
          <cell r="AH38">
            <v>49535.310000000012</v>
          </cell>
          <cell r="AI38">
            <v>0</v>
          </cell>
          <cell r="AK38">
            <v>137.77000000000001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4690.5600000000004</v>
          </cell>
          <cell r="AV38">
            <v>4690.5600000000004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49535.310000000012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49535.310000000012</v>
          </cell>
          <cell r="BI38">
            <v>0</v>
          </cell>
          <cell r="BJ38">
            <v>0</v>
          </cell>
          <cell r="BK38">
            <v>0</v>
          </cell>
          <cell r="BL38">
            <v>20296.12</v>
          </cell>
          <cell r="BM38">
            <v>6443.1299999999992</v>
          </cell>
          <cell r="BN38">
            <v>0</v>
          </cell>
          <cell r="BO38">
            <v>784.13999999999987</v>
          </cell>
          <cell r="BP38">
            <v>0</v>
          </cell>
          <cell r="BQ38">
            <v>1206.07</v>
          </cell>
          <cell r="BR38">
            <v>1568.68</v>
          </cell>
          <cell r="BS38">
            <v>2601.1500000000005</v>
          </cell>
          <cell r="BT38">
            <v>271.50000000000006</v>
          </cell>
          <cell r="BU38">
            <v>1695.2300000000005</v>
          </cell>
          <cell r="BV38">
            <v>2551.44</v>
          </cell>
          <cell r="BW38">
            <v>29094.939999999995</v>
          </cell>
          <cell r="BX38">
            <v>0</v>
          </cell>
          <cell r="BY38">
            <v>66512.400000000009</v>
          </cell>
          <cell r="BZ38">
            <v>66512.400000000009</v>
          </cell>
          <cell r="CA38">
            <v>29094.939999999995</v>
          </cell>
          <cell r="CB38">
            <v>0</v>
          </cell>
          <cell r="CC38">
            <v>114546.37999999999</v>
          </cell>
          <cell r="CD38">
            <v>44585.630000000005</v>
          </cell>
          <cell r="CE38">
            <v>32101.55</v>
          </cell>
          <cell r="CF38">
            <v>1420.5400000000004</v>
          </cell>
          <cell r="CG38">
            <v>0</v>
          </cell>
          <cell r="CH38">
            <v>-1234.47</v>
          </cell>
          <cell r="CI38">
            <v>0</v>
          </cell>
          <cell r="CJ38">
            <v>0</v>
          </cell>
          <cell r="CK38">
            <v>2668.7200000000003</v>
          </cell>
          <cell r="CL38">
            <v>1655.6900000000003</v>
          </cell>
          <cell r="CM38">
            <v>181.53</v>
          </cell>
          <cell r="CN38">
            <v>3785.5699999999997</v>
          </cell>
          <cell r="CO38">
            <v>0</v>
          </cell>
          <cell r="CP38">
            <v>199711.13999999996</v>
          </cell>
          <cell r="CQ38">
            <v>199711.13999999996</v>
          </cell>
          <cell r="CR38">
            <v>0</v>
          </cell>
          <cell r="CS38">
            <v>155836.74000000002</v>
          </cell>
          <cell r="CT38">
            <v>67854.47</v>
          </cell>
          <cell r="CU38">
            <v>15605.21</v>
          </cell>
          <cell r="CV38">
            <v>6548.2799999999988</v>
          </cell>
          <cell r="CW38">
            <v>811.82000000000016</v>
          </cell>
          <cell r="CX38">
            <v>202.86</v>
          </cell>
          <cell r="CY38">
            <v>57.329999999999984</v>
          </cell>
          <cell r="CZ38">
            <v>102.47</v>
          </cell>
          <cell r="DA38">
            <v>479.05000000000007</v>
          </cell>
          <cell r="DB38">
            <v>1515.58</v>
          </cell>
          <cell r="DC38">
            <v>9042.49</v>
          </cell>
          <cell r="DD38">
            <v>10635.689999999997</v>
          </cell>
          <cell r="DE38">
            <v>0</v>
          </cell>
          <cell r="DF38">
            <v>268691.99</v>
          </cell>
          <cell r="DG38">
            <v>268691.99</v>
          </cell>
        </row>
        <row r="39">
          <cell r="B39">
            <v>36</v>
          </cell>
          <cell r="C39" t="str">
            <v>Abstimmbrücke CO-PA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2641810.46</v>
          </cell>
          <cell r="U39">
            <v>3059850.7100000004</v>
          </cell>
          <cell r="V39">
            <v>3137766.8400000003</v>
          </cell>
          <cell r="W39">
            <v>3104986.8200000003</v>
          </cell>
          <cell r="X39">
            <v>3266079.3299999996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15210494.160000002</v>
          </cell>
          <cell r="AH39">
            <v>15210494.160000002</v>
          </cell>
          <cell r="AI39">
            <v>0</v>
          </cell>
          <cell r="AK39">
            <v>62628.03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8839428.0100000016</v>
          </cell>
          <cell r="AV39">
            <v>8839428.0100000016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15210494.160000002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15210494.160000002</v>
          </cell>
          <cell r="BI39">
            <v>0</v>
          </cell>
          <cell r="BJ39">
            <v>0</v>
          </cell>
          <cell r="BK39">
            <v>0</v>
          </cell>
          <cell r="BL39">
            <v>2519609.810000001</v>
          </cell>
          <cell r="BM39">
            <v>2810351.0199999991</v>
          </cell>
          <cell r="BN39">
            <v>3108678.1999999997</v>
          </cell>
          <cell r="BO39">
            <v>3100328.5899999989</v>
          </cell>
          <cell r="BP39">
            <v>2914137.6100000003</v>
          </cell>
          <cell r="BQ39">
            <v>2784344.97</v>
          </cell>
          <cell r="BR39">
            <v>2895792.7299999995</v>
          </cell>
          <cell r="BS39">
            <v>2442971.19</v>
          </cell>
          <cell r="BT39">
            <v>2685837.0200000005</v>
          </cell>
          <cell r="BU39">
            <v>2942478.2199999988</v>
          </cell>
          <cell r="BV39">
            <v>3059417.5799999996</v>
          </cell>
          <cell r="BW39">
            <v>2759200.14</v>
          </cell>
          <cell r="BX39">
            <v>0</v>
          </cell>
          <cell r="BY39">
            <v>34023147.079999998</v>
          </cell>
          <cell r="BZ39">
            <v>34023147.079999998</v>
          </cell>
          <cell r="CA39">
            <v>2759200.14</v>
          </cell>
          <cell r="CB39">
            <v>0</v>
          </cell>
          <cell r="CC39">
            <v>2698468.7</v>
          </cell>
          <cell r="CD39">
            <v>2886826.7499999991</v>
          </cell>
          <cell r="CE39">
            <v>2993732.36</v>
          </cell>
          <cell r="CF39">
            <v>2422185.5500000007</v>
          </cell>
          <cell r="CG39">
            <v>2820774.0900000003</v>
          </cell>
          <cell r="CH39">
            <v>2772365.4299999997</v>
          </cell>
          <cell r="CI39">
            <v>2778882.2899999996</v>
          </cell>
          <cell r="CJ39">
            <v>2568252.7399999998</v>
          </cell>
          <cell r="CK39">
            <v>2783527.87</v>
          </cell>
          <cell r="CL39">
            <v>3296899.9099999992</v>
          </cell>
          <cell r="CM39">
            <v>3043653.3199999994</v>
          </cell>
          <cell r="CN39">
            <v>3008529.4399999985</v>
          </cell>
          <cell r="CO39">
            <v>0</v>
          </cell>
          <cell r="CP39">
            <v>34074098.449999988</v>
          </cell>
          <cell r="CQ39">
            <v>34074098.449999988</v>
          </cell>
          <cell r="CR39">
            <v>0</v>
          </cell>
          <cell r="CS39">
            <v>2821636.8600000003</v>
          </cell>
          <cell r="CT39">
            <v>2624474.0099999993</v>
          </cell>
          <cell r="CU39">
            <v>2837727.31</v>
          </cell>
          <cell r="CV39">
            <v>2870283.7399999998</v>
          </cell>
          <cell r="CW39">
            <v>2656178.1</v>
          </cell>
          <cell r="CX39">
            <v>2589307.89</v>
          </cell>
          <cell r="CY39">
            <v>2877970.4600000009</v>
          </cell>
          <cell r="CZ39">
            <v>2748539.8099999996</v>
          </cell>
          <cell r="DA39">
            <v>2730016.56</v>
          </cell>
          <cell r="DB39">
            <v>2818689.99</v>
          </cell>
          <cell r="DC39">
            <v>2484505.61</v>
          </cell>
          <cell r="DD39">
            <v>2888801.2399999998</v>
          </cell>
          <cell r="DE39">
            <v>0</v>
          </cell>
          <cell r="DF39">
            <v>32948131.579999991</v>
          </cell>
          <cell r="DG39">
            <v>32948131.579999991</v>
          </cell>
        </row>
        <row r="40">
          <cell r="B40">
            <v>37</v>
          </cell>
          <cell r="C40" t="str">
            <v>Anzahl Auftragspositionen [Stk]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73228</v>
          </cell>
          <cell r="U40">
            <v>84653</v>
          </cell>
          <cell r="V40">
            <v>105325</v>
          </cell>
          <cell r="W40">
            <v>93482</v>
          </cell>
          <cell r="X40">
            <v>104273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460961</v>
          </cell>
          <cell r="AH40">
            <v>460961</v>
          </cell>
          <cell r="AI40">
            <v>0</v>
          </cell>
          <cell r="AK40">
            <v>3929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263206</v>
          </cell>
          <cell r="AV40">
            <v>263206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460961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460961</v>
          </cell>
          <cell r="BI40">
            <v>0</v>
          </cell>
          <cell r="BJ40">
            <v>0</v>
          </cell>
          <cell r="BK40">
            <v>0</v>
          </cell>
          <cell r="BL40">
            <v>69986</v>
          </cell>
          <cell r="BM40">
            <v>82648</v>
          </cell>
          <cell r="BN40">
            <v>112124</v>
          </cell>
          <cell r="BO40">
            <v>114834</v>
          </cell>
          <cell r="BP40">
            <v>106384</v>
          </cell>
          <cell r="BQ40">
            <v>113686</v>
          </cell>
          <cell r="BR40">
            <v>111823</v>
          </cell>
          <cell r="BS40">
            <v>96477</v>
          </cell>
          <cell r="BT40">
            <v>86267</v>
          </cell>
          <cell r="BU40">
            <v>89905</v>
          </cell>
          <cell r="BV40">
            <v>97550</v>
          </cell>
          <cell r="BW40">
            <v>67352</v>
          </cell>
          <cell r="BX40">
            <v>0</v>
          </cell>
          <cell r="BY40">
            <v>1149036</v>
          </cell>
          <cell r="BZ40">
            <v>1149036</v>
          </cell>
          <cell r="CA40">
            <v>67352</v>
          </cell>
          <cell r="CB40">
            <v>0</v>
          </cell>
          <cell r="CC40">
            <v>83538</v>
          </cell>
          <cell r="CD40">
            <v>86483</v>
          </cell>
          <cell r="CE40">
            <v>121043</v>
          </cell>
          <cell r="CF40">
            <v>98328</v>
          </cell>
          <cell r="CG40">
            <v>98099</v>
          </cell>
          <cell r="CH40">
            <v>114668</v>
          </cell>
          <cell r="CI40">
            <v>124408</v>
          </cell>
          <cell r="CJ40">
            <v>100035</v>
          </cell>
          <cell r="CK40">
            <v>105788</v>
          </cell>
          <cell r="CL40">
            <v>106074</v>
          </cell>
          <cell r="CM40">
            <v>102942</v>
          </cell>
          <cell r="CN40">
            <v>79157</v>
          </cell>
          <cell r="CO40">
            <v>0</v>
          </cell>
          <cell r="CP40">
            <v>1220563</v>
          </cell>
          <cell r="CQ40">
            <v>1220563</v>
          </cell>
          <cell r="CR40">
            <v>0</v>
          </cell>
          <cell r="CS40">
            <v>86210</v>
          </cell>
          <cell r="CT40">
            <v>84039</v>
          </cell>
          <cell r="CU40">
            <v>98377</v>
          </cell>
          <cell r="CV40">
            <v>98296</v>
          </cell>
          <cell r="CW40">
            <v>106818</v>
          </cell>
          <cell r="CX40">
            <v>97160</v>
          </cell>
          <cell r="CY40">
            <v>121485</v>
          </cell>
          <cell r="CZ40">
            <v>98784</v>
          </cell>
          <cell r="DA40">
            <v>94683</v>
          </cell>
          <cell r="DB40">
            <v>99865</v>
          </cell>
          <cell r="DC40">
            <v>91533</v>
          </cell>
          <cell r="DD40">
            <v>56684</v>
          </cell>
          <cell r="DE40">
            <v>0</v>
          </cell>
          <cell r="DF40">
            <v>1133934</v>
          </cell>
          <cell r="DG40">
            <v>1133934</v>
          </cell>
        </row>
        <row r="41">
          <cell r="B41">
            <v>38</v>
          </cell>
          <cell r="C41" t="str">
            <v>Anzahl Garnitur [Stk]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73542.350000000006</v>
          </cell>
          <cell r="U41">
            <v>88446.32</v>
          </cell>
          <cell r="V41">
            <v>107847.99</v>
          </cell>
          <cell r="W41">
            <v>96196.78</v>
          </cell>
          <cell r="X41">
            <v>109186.31000000001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475219.75</v>
          </cell>
          <cell r="AH41">
            <v>475219.75</v>
          </cell>
          <cell r="AI41">
            <v>0</v>
          </cell>
          <cell r="AK41">
            <v>2784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269836.65999999997</v>
          </cell>
          <cell r="AV41">
            <v>269836.65999999997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475219.75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475219.75</v>
          </cell>
          <cell r="BI41">
            <v>0</v>
          </cell>
          <cell r="BJ41">
            <v>0</v>
          </cell>
          <cell r="BK41">
            <v>0</v>
          </cell>
          <cell r="BL41">
            <v>75174.399999999994</v>
          </cell>
          <cell r="BM41">
            <v>89329.7</v>
          </cell>
          <cell r="BN41">
            <v>115611.01</v>
          </cell>
          <cell r="BO41">
            <v>113809.03</v>
          </cell>
          <cell r="BP41">
            <v>110760.90000000001</v>
          </cell>
          <cell r="BQ41">
            <v>120410.94</v>
          </cell>
          <cell r="BR41">
            <v>115005.91</v>
          </cell>
          <cell r="BS41">
            <v>99064.41</v>
          </cell>
          <cell r="BT41">
            <v>87049.14</v>
          </cell>
          <cell r="BU41">
            <v>87146.42</v>
          </cell>
          <cell r="BV41">
            <v>101516.77</v>
          </cell>
          <cell r="BW41">
            <v>71497.27</v>
          </cell>
          <cell r="BX41">
            <v>0</v>
          </cell>
          <cell r="BY41">
            <v>1186375.9000000001</v>
          </cell>
          <cell r="BZ41">
            <v>1186375.9000000001</v>
          </cell>
          <cell r="CA41">
            <v>71497.27</v>
          </cell>
          <cell r="CB41">
            <v>0</v>
          </cell>
          <cell r="CC41">
            <v>94066.209999999992</v>
          </cell>
          <cell r="CD41">
            <v>95017.200000000012</v>
          </cell>
          <cell r="CE41">
            <v>93444.110000000015</v>
          </cell>
          <cell r="CF41">
            <v>81512.87000000001</v>
          </cell>
          <cell r="CG41">
            <v>96132.26</v>
          </cell>
          <cell r="CH41">
            <v>114556.48999999999</v>
          </cell>
          <cell r="CI41">
            <v>122259.45</v>
          </cell>
          <cell r="CJ41">
            <v>102821.31</v>
          </cell>
          <cell r="CK41">
            <v>111084.15000000001</v>
          </cell>
          <cell r="CL41">
            <v>107725.49</v>
          </cell>
          <cell r="CM41">
            <v>109817.19</v>
          </cell>
          <cell r="CN41">
            <v>87701.290000000008</v>
          </cell>
          <cell r="CO41">
            <v>0</v>
          </cell>
          <cell r="CP41">
            <v>1216138.0200000003</v>
          </cell>
          <cell r="CQ41">
            <v>1216138.0200000003</v>
          </cell>
          <cell r="CR41">
            <v>0</v>
          </cell>
          <cell r="CS41">
            <v>92409.780000000013</v>
          </cell>
          <cell r="CT41">
            <v>86863.71</v>
          </cell>
          <cell r="CU41">
            <v>101693.70999999999</v>
          </cell>
          <cell r="CV41">
            <v>101089.89</v>
          </cell>
          <cell r="CW41">
            <v>110327.04999999999</v>
          </cell>
          <cell r="CX41">
            <v>96251.71</v>
          </cell>
          <cell r="CY41">
            <v>118182.29999999999</v>
          </cell>
          <cell r="CZ41">
            <v>101683.28</v>
          </cell>
          <cell r="DA41">
            <v>97843.39</v>
          </cell>
          <cell r="DB41">
            <v>99542.91</v>
          </cell>
          <cell r="DC41">
            <v>98802.11</v>
          </cell>
          <cell r="DD41">
            <v>62637.32</v>
          </cell>
          <cell r="DE41">
            <v>0</v>
          </cell>
          <cell r="DF41">
            <v>1167327.1600000001</v>
          </cell>
          <cell r="DG41">
            <v>1167327.1600000001</v>
          </cell>
        </row>
        <row r="42">
          <cell r="B42">
            <v>39</v>
          </cell>
          <cell r="C42" t="str">
            <v>Anzahl Absatz [m²]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159</v>
          </cell>
          <cell r="U42">
            <v>261</v>
          </cell>
          <cell r="V42">
            <v>205</v>
          </cell>
          <cell r="W42">
            <v>269</v>
          </cell>
          <cell r="X42">
            <v>290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1184</v>
          </cell>
          <cell r="AH42">
            <v>1184</v>
          </cell>
          <cell r="AI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625</v>
          </cell>
          <cell r="AV42">
            <v>625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1184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1184</v>
          </cell>
          <cell r="BI42">
            <v>0</v>
          </cell>
          <cell r="BJ42">
            <v>0</v>
          </cell>
          <cell r="BK42">
            <v>0</v>
          </cell>
          <cell r="BL42">
            <v>163</v>
          </cell>
          <cell r="BM42">
            <v>141</v>
          </cell>
          <cell r="BN42">
            <v>233</v>
          </cell>
          <cell r="BO42">
            <v>178</v>
          </cell>
          <cell r="BP42">
            <v>186</v>
          </cell>
          <cell r="BQ42">
            <v>254</v>
          </cell>
          <cell r="BR42">
            <v>384</v>
          </cell>
          <cell r="BS42">
            <v>163</v>
          </cell>
          <cell r="BT42">
            <v>226</v>
          </cell>
          <cell r="BU42">
            <v>175</v>
          </cell>
          <cell r="BV42">
            <v>139</v>
          </cell>
          <cell r="BW42">
            <v>117</v>
          </cell>
          <cell r="BX42">
            <v>0</v>
          </cell>
          <cell r="BY42">
            <v>2359</v>
          </cell>
          <cell r="BZ42">
            <v>2359</v>
          </cell>
          <cell r="CA42">
            <v>117</v>
          </cell>
          <cell r="CB42">
            <v>0</v>
          </cell>
          <cell r="CC42">
            <v>210</v>
          </cell>
          <cell r="CD42">
            <v>301</v>
          </cell>
          <cell r="CE42">
            <v>314</v>
          </cell>
          <cell r="CF42">
            <v>491</v>
          </cell>
          <cell r="CG42">
            <v>327</v>
          </cell>
          <cell r="CH42">
            <v>329</v>
          </cell>
          <cell r="CI42">
            <v>321</v>
          </cell>
          <cell r="CJ42">
            <v>441</v>
          </cell>
          <cell r="CK42">
            <v>355</v>
          </cell>
          <cell r="CL42">
            <v>213</v>
          </cell>
          <cell r="CM42">
            <v>314</v>
          </cell>
          <cell r="CN42">
            <v>205</v>
          </cell>
          <cell r="CO42">
            <v>0</v>
          </cell>
          <cell r="CP42">
            <v>3821</v>
          </cell>
          <cell r="CQ42">
            <v>3821</v>
          </cell>
          <cell r="CR42">
            <v>0</v>
          </cell>
          <cell r="CS42">
            <v>397</v>
          </cell>
          <cell r="CT42">
            <v>196</v>
          </cell>
          <cell r="CU42">
            <v>314</v>
          </cell>
          <cell r="CV42">
            <v>344</v>
          </cell>
          <cell r="CW42">
            <v>441</v>
          </cell>
          <cell r="CX42">
            <v>340</v>
          </cell>
          <cell r="CY42">
            <v>529</v>
          </cell>
          <cell r="CZ42">
            <v>339</v>
          </cell>
          <cell r="DA42">
            <v>402</v>
          </cell>
          <cell r="DB42">
            <v>415</v>
          </cell>
          <cell r="DC42">
            <v>318</v>
          </cell>
          <cell r="DD42">
            <v>282</v>
          </cell>
          <cell r="DE42">
            <v>0</v>
          </cell>
          <cell r="DF42">
            <v>4317</v>
          </cell>
          <cell r="DG42">
            <v>4317</v>
          </cell>
        </row>
        <row r="43">
          <cell r="B43">
            <v>40</v>
          </cell>
          <cell r="C43" t="str">
            <v>Fiktiver Auftragswert Reklamation [EUR]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19582.670000000002</v>
          </cell>
          <cell r="U43">
            <v>49126.83</v>
          </cell>
          <cell r="V43">
            <v>40022.410000000003</v>
          </cell>
          <cell r="W43">
            <v>39267.980000000003</v>
          </cell>
          <cell r="X43">
            <v>50426.450000000004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198426.33999999997</v>
          </cell>
          <cell r="AH43">
            <v>198426.33999999997</v>
          </cell>
          <cell r="AI43">
            <v>0</v>
          </cell>
          <cell r="AK43">
            <v>594.83000000000004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108731.91000000002</v>
          </cell>
          <cell r="AV43">
            <v>108731.91000000002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198426.33999999997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198426.33999999997</v>
          </cell>
          <cell r="BI43">
            <v>0</v>
          </cell>
          <cell r="BJ43">
            <v>0</v>
          </cell>
          <cell r="BK43">
            <v>0</v>
          </cell>
          <cell r="BL43">
            <v>24574.19</v>
          </cell>
          <cell r="BM43">
            <v>33149.4</v>
          </cell>
          <cell r="BN43">
            <v>43379.58</v>
          </cell>
          <cell r="BO43">
            <v>48029.369999999995</v>
          </cell>
          <cell r="BP43">
            <v>51757.789999999994</v>
          </cell>
          <cell r="BQ43">
            <v>65975.820000000007</v>
          </cell>
          <cell r="BR43">
            <v>62685.069999999992</v>
          </cell>
          <cell r="BS43">
            <v>41648.6</v>
          </cell>
          <cell r="BT43">
            <v>50104.539999999994</v>
          </cell>
          <cell r="BU43">
            <v>43181.920000000006</v>
          </cell>
          <cell r="BV43">
            <v>39620.710000000006</v>
          </cell>
          <cell r="BW43">
            <v>46557.930000000008</v>
          </cell>
          <cell r="BX43">
            <v>0</v>
          </cell>
          <cell r="BY43">
            <v>550664.92000000004</v>
          </cell>
          <cell r="BZ43">
            <v>550664.92000000004</v>
          </cell>
          <cell r="CA43">
            <v>46557.930000000008</v>
          </cell>
          <cell r="CB43">
            <v>0</v>
          </cell>
          <cell r="CC43">
            <v>26158.289999999997</v>
          </cell>
          <cell r="CD43">
            <v>29781.910000000007</v>
          </cell>
          <cell r="CE43">
            <v>37365.950000000004</v>
          </cell>
          <cell r="CF43">
            <v>46192.490000000005</v>
          </cell>
          <cell r="CG43">
            <v>46137.410000000011</v>
          </cell>
          <cell r="CH43">
            <v>56459.529999999992</v>
          </cell>
          <cell r="CI43">
            <v>80517.110000000015</v>
          </cell>
          <cell r="CJ43">
            <v>63140.049999999996</v>
          </cell>
          <cell r="CK43">
            <v>71635.47</v>
          </cell>
          <cell r="CL43">
            <v>58940.45</v>
          </cell>
          <cell r="CM43">
            <v>61874.110000000008</v>
          </cell>
          <cell r="CN43">
            <v>50208.469999999987</v>
          </cell>
          <cell r="CO43">
            <v>0</v>
          </cell>
          <cell r="CP43">
            <v>628411.23999999987</v>
          </cell>
          <cell r="CQ43">
            <v>628411.23999999987</v>
          </cell>
          <cell r="CR43">
            <v>0</v>
          </cell>
          <cell r="CS43">
            <v>27975.499999999996</v>
          </cell>
          <cell r="CT43">
            <v>27650.16</v>
          </cell>
          <cell r="CU43">
            <v>34693.94</v>
          </cell>
          <cell r="CV43">
            <v>43659.31</v>
          </cell>
          <cell r="CW43">
            <v>52510.459999999992</v>
          </cell>
          <cell r="CX43">
            <v>38179.410000000003</v>
          </cell>
          <cell r="CY43">
            <v>72033.73000000001</v>
          </cell>
          <cell r="CZ43">
            <v>54477.499999999993</v>
          </cell>
          <cell r="DA43">
            <v>51957.140000000007</v>
          </cell>
          <cell r="DB43">
            <v>51134.71</v>
          </cell>
          <cell r="DC43">
            <v>46222.62</v>
          </cell>
          <cell r="DD43">
            <v>34380.28</v>
          </cell>
          <cell r="DE43">
            <v>0</v>
          </cell>
          <cell r="DF43">
            <v>534874.76</v>
          </cell>
          <cell r="DG43">
            <v>534874.76</v>
          </cell>
        </row>
        <row r="44">
          <cell r="B44">
            <v>41</v>
          </cell>
          <cell r="C44" t="str">
            <v>Anzahl Reklamationen  [Stk]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333</v>
          </cell>
          <cell r="U44">
            <v>439</v>
          </cell>
          <cell r="V44">
            <v>530</v>
          </cell>
          <cell r="W44">
            <v>467</v>
          </cell>
          <cell r="X44">
            <v>731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2500</v>
          </cell>
          <cell r="AH44">
            <v>2500</v>
          </cell>
          <cell r="AI44">
            <v>0</v>
          </cell>
          <cell r="AK44">
            <v>8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1302</v>
          </cell>
          <cell r="AV44">
            <v>1302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2500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2500</v>
          </cell>
          <cell r="BI44">
            <v>0</v>
          </cell>
          <cell r="BJ44">
            <v>0</v>
          </cell>
          <cell r="BK44">
            <v>0</v>
          </cell>
          <cell r="BL44">
            <v>384</v>
          </cell>
          <cell r="BM44">
            <v>457</v>
          </cell>
          <cell r="BN44">
            <v>554</v>
          </cell>
          <cell r="BO44">
            <v>616</v>
          </cell>
          <cell r="BP44">
            <v>671</v>
          </cell>
          <cell r="BQ44">
            <v>834</v>
          </cell>
          <cell r="BR44">
            <v>783</v>
          </cell>
          <cell r="BS44">
            <v>637</v>
          </cell>
          <cell r="BT44">
            <v>667</v>
          </cell>
          <cell r="BU44">
            <v>577</v>
          </cell>
          <cell r="BV44">
            <v>483</v>
          </cell>
          <cell r="BW44">
            <v>398</v>
          </cell>
          <cell r="BX44">
            <v>0</v>
          </cell>
          <cell r="BY44">
            <v>7061</v>
          </cell>
          <cell r="BZ44">
            <v>7061</v>
          </cell>
          <cell r="CA44">
            <v>398</v>
          </cell>
          <cell r="CB44">
            <v>0</v>
          </cell>
          <cell r="CC44">
            <v>388</v>
          </cell>
          <cell r="CD44">
            <v>437</v>
          </cell>
          <cell r="CE44">
            <v>547</v>
          </cell>
          <cell r="CF44">
            <v>556</v>
          </cell>
          <cell r="CG44">
            <v>551</v>
          </cell>
          <cell r="CH44">
            <v>745</v>
          </cell>
          <cell r="CI44">
            <v>957</v>
          </cell>
          <cell r="CJ44">
            <v>816</v>
          </cell>
          <cell r="CK44">
            <v>1004</v>
          </cell>
          <cell r="CL44">
            <v>888</v>
          </cell>
          <cell r="CM44">
            <v>877</v>
          </cell>
          <cell r="CN44">
            <v>721</v>
          </cell>
          <cell r="CO44">
            <v>0</v>
          </cell>
          <cell r="CP44">
            <v>8487</v>
          </cell>
          <cell r="CQ44">
            <v>8487</v>
          </cell>
          <cell r="CR44">
            <v>0</v>
          </cell>
          <cell r="CS44">
            <v>439</v>
          </cell>
          <cell r="CT44">
            <v>441</v>
          </cell>
          <cell r="CU44">
            <v>477</v>
          </cell>
          <cell r="CV44">
            <v>578</v>
          </cell>
          <cell r="CW44">
            <v>706</v>
          </cell>
          <cell r="CX44">
            <v>624</v>
          </cell>
          <cell r="CY44">
            <v>826</v>
          </cell>
          <cell r="CZ44">
            <v>750</v>
          </cell>
          <cell r="DA44">
            <v>744</v>
          </cell>
          <cell r="DB44">
            <v>749</v>
          </cell>
          <cell r="DC44">
            <v>530</v>
          </cell>
          <cell r="DD44">
            <v>492</v>
          </cell>
          <cell r="DE44">
            <v>0</v>
          </cell>
          <cell r="DF44">
            <v>7356</v>
          </cell>
          <cell r="DG44">
            <v>7356</v>
          </cell>
        </row>
        <row r="45">
          <cell r="B45">
            <v>42</v>
          </cell>
          <cell r="C45" t="str">
            <v>Materialbestand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24252889.779999994</v>
          </cell>
          <cell r="U45">
            <v>25256520.84</v>
          </cell>
          <cell r="V45">
            <v>26561927.969999991</v>
          </cell>
          <cell r="W45">
            <v>27116778.760000002</v>
          </cell>
          <cell r="X45">
            <v>27377255.52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130565372.87</v>
          </cell>
          <cell r="AH45">
            <v>130565372.87</v>
          </cell>
          <cell r="AI45">
            <v>0</v>
          </cell>
          <cell r="AK45">
            <v>868911.19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76071338.590000004</v>
          </cell>
          <cell r="AV45">
            <v>76071338.590000004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130565372.87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130565372.87</v>
          </cell>
          <cell r="BI45">
            <v>0</v>
          </cell>
          <cell r="BJ45">
            <v>0</v>
          </cell>
          <cell r="BK45">
            <v>0</v>
          </cell>
          <cell r="BL45">
            <v>18981585.73</v>
          </cell>
          <cell r="BM45">
            <v>19696234.030000001</v>
          </cell>
          <cell r="BN45">
            <v>20780763.250000004</v>
          </cell>
          <cell r="BO45">
            <v>21849731.819999997</v>
          </cell>
          <cell r="BP45">
            <v>22596823.600000001</v>
          </cell>
          <cell r="BQ45">
            <v>23466337.290000003</v>
          </cell>
          <cell r="BR45">
            <v>23845708.380000003</v>
          </cell>
          <cell r="BS45">
            <v>23574646.829999998</v>
          </cell>
          <cell r="BT45">
            <v>23916725.849999994</v>
          </cell>
          <cell r="BU45">
            <v>23856619.680000003</v>
          </cell>
          <cell r="BV45">
            <v>23755535.139999997</v>
          </cell>
          <cell r="BW45">
            <v>23906243.610000007</v>
          </cell>
          <cell r="BX45">
            <v>0</v>
          </cell>
          <cell r="BY45">
            <v>270226955.20999998</v>
          </cell>
          <cell r="BZ45">
            <v>270226955.20999998</v>
          </cell>
          <cell r="CA45">
            <v>23906243.610000007</v>
          </cell>
          <cell r="CB45">
            <v>0</v>
          </cell>
          <cell r="CC45">
            <v>17487067.730000004</v>
          </cell>
          <cell r="CD45">
            <v>17783658.729999997</v>
          </cell>
          <cell r="CE45">
            <v>18526353.889999993</v>
          </cell>
          <cell r="CF45">
            <v>18734619.020000003</v>
          </cell>
          <cell r="CG45">
            <v>19609622.690000001</v>
          </cell>
          <cell r="CH45">
            <v>19240471.300000004</v>
          </cell>
          <cell r="CI45">
            <v>19910766.349999998</v>
          </cell>
          <cell r="CJ45">
            <v>19651440.079999994</v>
          </cell>
          <cell r="CK45">
            <v>19502488.939999998</v>
          </cell>
          <cell r="CL45">
            <v>18820572.82</v>
          </cell>
          <cell r="CM45">
            <v>18874681.009999998</v>
          </cell>
          <cell r="CN45">
            <v>18434777.190000001</v>
          </cell>
          <cell r="CO45">
            <v>0</v>
          </cell>
          <cell r="CP45">
            <v>226576519.75000003</v>
          </cell>
          <cell r="CQ45">
            <v>226576519.75000003</v>
          </cell>
          <cell r="CR45">
            <v>0</v>
          </cell>
          <cell r="CS45">
            <v>17439768.43</v>
          </cell>
          <cell r="CT45">
            <v>18298602.690000009</v>
          </cell>
          <cell r="CU45">
            <v>18640446.189999998</v>
          </cell>
          <cell r="CV45">
            <v>19126509.32</v>
          </cell>
          <cell r="CW45">
            <v>18804695.600000001</v>
          </cell>
          <cell r="CX45">
            <v>18830927.960000001</v>
          </cell>
          <cell r="CY45">
            <v>18644082.140000001</v>
          </cell>
          <cell r="CZ45">
            <v>18303383.069999997</v>
          </cell>
          <cell r="DA45">
            <v>17995789.109999999</v>
          </cell>
          <cell r="DB45">
            <v>17761890.18</v>
          </cell>
          <cell r="DC45">
            <v>17816920.109999999</v>
          </cell>
          <cell r="DD45">
            <v>17422786.710000001</v>
          </cell>
          <cell r="DE45">
            <v>0</v>
          </cell>
          <cell r="DF45">
            <v>219085801.50999993</v>
          </cell>
          <cell r="DG45">
            <v>219085801.50999993</v>
          </cell>
        </row>
        <row r="46">
          <cell r="B46">
            <v>43</v>
          </cell>
          <cell r="C46" t="str">
            <v>Investitionen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46469.279999999992</v>
          </cell>
          <cell r="U46">
            <v>174197.47999999998</v>
          </cell>
          <cell r="V46">
            <v>250185.02999999994</v>
          </cell>
          <cell r="W46">
            <v>79627.340000000011</v>
          </cell>
          <cell r="X46">
            <v>362450.05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912929.18</v>
          </cell>
          <cell r="AH46">
            <v>912929.18</v>
          </cell>
          <cell r="AI46">
            <v>0</v>
          </cell>
          <cell r="AK46">
            <v>56.02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470851.78999999992</v>
          </cell>
          <cell r="AV46">
            <v>470851.78999999992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912929.18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912929.18</v>
          </cell>
          <cell r="BI46">
            <v>0</v>
          </cell>
          <cell r="BJ46">
            <v>0</v>
          </cell>
          <cell r="BK46">
            <v>0</v>
          </cell>
          <cell r="BL46">
            <v>158925.44000000003</v>
          </cell>
          <cell r="BM46">
            <v>136834.13999999998</v>
          </cell>
          <cell r="BN46">
            <v>350827.62000000011</v>
          </cell>
          <cell r="BO46">
            <v>149919.95000000004</v>
          </cell>
          <cell r="BP46">
            <v>528524.12000000011</v>
          </cell>
          <cell r="BQ46">
            <v>122005.96</v>
          </cell>
          <cell r="BR46">
            <v>122950.81999999996</v>
          </cell>
          <cell r="BS46">
            <v>212527.1</v>
          </cell>
          <cell r="BT46">
            <v>258704.1</v>
          </cell>
          <cell r="BU46">
            <v>164686.62000000002</v>
          </cell>
          <cell r="BV46">
            <v>169596.28</v>
          </cell>
          <cell r="BW46">
            <v>143503.49</v>
          </cell>
          <cell r="BX46">
            <v>0</v>
          </cell>
          <cell r="BY46">
            <v>2519005.6399999997</v>
          </cell>
          <cell r="BZ46">
            <v>2519005.6399999997</v>
          </cell>
          <cell r="CA46">
            <v>143503.49</v>
          </cell>
          <cell r="CB46">
            <v>0</v>
          </cell>
          <cell r="CC46">
            <v>100372.40999999999</v>
          </cell>
          <cell r="CD46">
            <v>181470.33</v>
          </cell>
          <cell r="CE46">
            <v>183046.30000000002</v>
          </cell>
          <cell r="CF46">
            <v>370500.87</v>
          </cell>
          <cell r="CG46">
            <v>179495.25</v>
          </cell>
          <cell r="CH46">
            <v>168240.74999999997</v>
          </cell>
          <cell r="CI46">
            <v>79591.87</v>
          </cell>
          <cell r="CJ46">
            <v>179747.82999999996</v>
          </cell>
          <cell r="CK46">
            <v>151654.86000000002</v>
          </cell>
          <cell r="CL46">
            <v>108904.02000000003</v>
          </cell>
          <cell r="CM46">
            <v>253189.96999999997</v>
          </cell>
          <cell r="CN46">
            <v>116223.16</v>
          </cell>
          <cell r="CO46">
            <v>0</v>
          </cell>
          <cell r="CP46">
            <v>2072437.6199999999</v>
          </cell>
          <cell r="CQ46">
            <v>2072437.6199999999</v>
          </cell>
          <cell r="CR46">
            <v>0</v>
          </cell>
          <cell r="CS46">
            <v>165864.95999999996</v>
          </cell>
          <cell r="CT46">
            <v>87154.83</v>
          </cell>
          <cell r="CU46">
            <v>238523.75999999998</v>
          </cell>
          <cell r="CV46">
            <v>185643.67</v>
          </cell>
          <cell r="CW46">
            <v>191239.58000000002</v>
          </cell>
          <cell r="CX46">
            <v>288002.94000000012</v>
          </cell>
          <cell r="CY46">
            <v>184019</v>
          </cell>
          <cell r="CZ46">
            <v>171688.65</v>
          </cell>
          <cell r="DA46">
            <v>67800.559999999983</v>
          </cell>
          <cell r="DB46">
            <v>327692.48999999993</v>
          </cell>
          <cell r="DC46">
            <v>69016.910000000018</v>
          </cell>
          <cell r="DD46">
            <v>137184.54999999996</v>
          </cell>
          <cell r="DE46">
            <v>0</v>
          </cell>
          <cell r="DF46">
            <v>2113831.9000000004</v>
          </cell>
          <cell r="DG46">
            <v>2113831.9000000004</v>
          </cell>
        </row>
        <row r="47">
          <cell r="B47">
            <v>44</v>
          </cell>
          <cell r="C47" t="str">
            <v>Anzahl Beschäftigte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652.0100000000001</v>
          </cell>
          <cell r="U47">
            <v>657.53</v>
          </cell>
          <cell r="V47">
            <v>689.91</v>
          </cell>
          <cell r="W47">
            <v>683.88</v>
          </cell>
          <cell r="X47">
            <v>679.71999999999969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3363.05</v>
          </cell>
          <cell r="AH47">
            <v>3363.05</v>
          </cell>
          <cell r="AI47">
            <v>0</v>
          </cell>
          <cell r="AK47">
            <v>8.42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1999.4500000000003</v>
          </cell>
          <cell r="AV47">
            <v>1999.4500000000003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3363.05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3363.05</v>
          </cell>
          <cell r="BI47">
            <v>0</v>
          </cell>
          <cell r="BJ47">
            <v>0</v>
          </cell>
          <cell r="BK47">
            <v>0</v>
          </cell>
          <cell r="BL47">
            <v>659.7299999999999</v>
          </cell>
          <cell r="BM47">
            <v>667.7199999999998</v>
          </cell>
          <cell r="BN47">
            <v>666.8399999999998</v>
          </cell>
          <cell r="BO47">
            <v>687.15</v>
          </cell>
          <cell r="BP47">
            <v>686.38000000000011</v>
          </cell>
          <cell r="BQ47">
            <v>700.23</v>
          </cell>
          <cell r="BR47">
            <v>680.9699999999998</v>
          </cell>
          <cell r="BS47">
            <v>674.87</v>
          </cell>
          <cell r="BT47">
            <v>682.97000000000037</v>
          </cell>
          <cell r="BU47">
            <v>678.54999999999984</v>
          </cell>
          <cell r="BV47">
            <v>669.67</v>
          </cell>
          <cell r="BW47">
            <v>662.47</v>
          </cell>
          <cell r="BX47">
            <v>0</v>
          </cell>
          <cell r="BY47">
            <v>8117.5499999999993</v>
          </cell>
          <cell r="BZ47">
            <v>8117.5499999999993</v>
          </cell>
          <cell r="CA47">
            <v>662.47</v>
          </cell>
          <cell r="CB47">
            <v>0</v>
          </cell>
          <cell r="CC47">
            <v>634.54000000000008</v>
          </cell>
          <cell r="CD47">
            <v>636.82000000000005</v>
          </cell>
          <cell r="CE47">
            <v>651.47000000000014</v>
          </cell>
          <cell r="CF47">
            <v>622.37999999999988</v>
          </cell>
          <cell r="CG47">
            <v>639.94000000000017</v>
          </cell>
          <cell r="CH47">
            <v>668</v>
          </cell>
          <cell r="CI47">
            <v>682.12999999999988</v>
          </cell>
          <cell r="CJ47">
            <v>683.52999999999986</v>
          </cell>
          <cell r="CK47">
            <v>649.39999999999986</v>
          </cell>
          <cell r="CL47">
            <v>643.97</v>
          </cell>
          <cell r="CM47">
            <v>660.80000000000007</v>
          </cell>
          <cell r="CN47">
            <v>640.55999999999995</v>
          </cell>
          <cell r="CO47">
            <v>0</v>
          </cell>
          <cell r="CP47">
            <v>7813.54</v>
          </cell>
          <cell r="CQ47">
            <v>7813.54</v>
          </cell>
          <cell r="CR47">
            <v>0</v>
          </cell>
          <cell r="CS47">
            <v>632.75000000000011</v>
          </cell>
          <cell r="CT47">
            <v>643.28000000000009</v>
          </cell>
          <cell r="CU47">
            <v>633.18000000000006</v>
          </cell>
          <cell r="CV47">
            <v>634.91999999999996</v>
          </cell>
          <cell r="CW47">
            <v>639.06000000000006</v>
          </cell>
          <cell r="CX47">
            <v>636.96000000000015</v>
          </cell>
          <cell r="CY47">
            <v>648.0200000000001</v>
          </cell>
          <cell r="CZ47">
            <v>647.20999999999992</v>
          </cell>
          <cell r="DA47">
            <v>630.4100000000002</v>
          </cell>
          <cell r="DB47">
            <v>632.88000000000011</v>
          </cell>
          <cell r="DC47">
            <v>627.55999999999983</v>
          </cell>
          <cell r="DD47">
            <v>621.79000000000008</v>
          </cell>
          <cell r="DE47">
            <v>0</v>
          </cell>
          <cell r="DF47">
            <v>7628.0199999999995</v>
          </cell>
          <cell r="DG47">
            <v>7628.0199999999995</v>
          </cell>
        </row>
        <row r="48">
          <cell r="B48">
            <v>45</v>
          </cell>
          <cell r="C48" t="str">
            <v>Anzahl Leiharbeitskräfte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43.99</v>
          </cell>
          <cell r="U48">
            <v>48.199999999999989</v>
          </cell>
          <cell r="V48">
            <v>59.24</v>
          </cell>
          <cell r="W48">
            <v>61.999999999999993</v>
          </cell>
          <cell r="X48">
            <v>65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278.42999999999995</v>
          </cell>
          <cell r="AH48">
            <v>278.42999999999995</v>
          </cell>
          <cell r="AI48">
            <v>0</v>
          </cell>
          <cell r="AK48">
            <v>0.28999999999999998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151.43</v>
          </cell>
          <cell r="AV48">
            <v>151.43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278.42999999999995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278.42999999999995</v>
          </cell>
          <cell r="BI48">
            <v>0</v>
          </cell>
          <cell r="BJ48">
            <v>0</v>
          </cell>
          <cell r="BK48">
            <v>0</v>
          </cell>
          <cell r="BL48">
            <v>53.480000000000004</v>
          </cell>
          <cell r="BM48">
            <v>61.989999999999995</v>
          </cell>
          <cell r="BN48">
            <v>83.01</v>
          </cell>
          <cell r="BO48">
            <v>104.99999999999997</v>
          </cell>
          <cell r="BP48">
            <v>109</v>
          </cell>
          <cell r="BQ48">
            <v>107.78999999999996</v>
          </cell>
          <cell r="BR48">
            <v>128.31</v>
          </cell>
          <cell r="BS48">
            <v>112.01999999999998</v>
          </cell>
          <cell r="BT48">
            <v>71.010000000000005</v>
          </cell>
          <cell r="BU48">
            <v>61.999999999999986</v>
          </cell>
          <cell r="BV48">
            <v>52.020000000000017</v>
          </cell>
          <cell r="BW48">
            <v>45.419999999999987</v>
          </cell>
          <cell r="BX48">
            <v>0</v>
          </cell>
          <cell r="BY48">
            <v>991.04999999999984</v>
          </cell>
          <cell r="BZ48">
            <v>991.04999999999984</v>
          </cell>
          <cell r="CA48">
            <v>45.419999999999987</v>
          </cell>
          <cell r="CB48">
            <v>0</v>
          </cell>
          <cell r="CC48">
            <v>47.660000000000004</v>
          </cell>
          <cell r="CD48">
            <v>64.489999999999995</v>
          </cell>
          <cell r="CE48">
            <v>85.389999999999986</v>
          </cell>
          <cell r="CF48">
            <v>71.23</v>
          </cell>
          <cell r="CG48">
            <v>98.190000000000012</v>
          </cell>
          <cell r="CH48">
            <v>109.01000000000002</v>
          </cell>
          <cell r="CI48">
            <v>121.88000000000001</v>
          </cell>
          <cell r="CJ48">
            <v>105.76</v>
          </cell>
          <cell r="CK48">
            <v>102.66999999999999</v>
          </cell>
          <cell r="CL48">
            <v>96.82</v>
          </cell>
          <cell r="CM48">
            <v>70.110000000000014</v>
          </cell>
          <cell r="CN48">
            <v>65.430000000000007</v>
          </cell>
          <cell r="CO48">
            <v>0</v>
          </cell>
          <cell r="CP48">
            <v>1038.6399999999999</v>
          </cell>
          <cell r="CQ48">
            <v>1038.6399999999999</v>
          </cell>
          <cell r="CR48">
            <v>0</v>
          </cell>
          <cell r="CS48">
            <v>13.3</v>
          </cell>
          <cell r="CT48">
            <v>13</v>
          </cell>
          <cell r="CU48">
            <v>24.210000000000004</v>
          </cell>
          <cell r="CV48">
            <v>33.659999999999997</v>
          </cell>
          <cell r="CW48">
            <v>61.05</v>
          </cell>
          <cell r="CX48">
            <v>67.63</v>
          </cell>
          <cell r="CY48">
            <v>95.009999999999991</v>
          </cell>
          <cell r="CZ48">
            <v>83.219999999999985</v>
          </cell>
          <cell r="DA48">
            <v>63.74</v>
          </cell>
          <cell r="DB48">
            <v>60.480000000000011</v>
          </cell>
          <cell r="DC48">
            <v>42.570000000000014</v>
          </cell>
          <cell r="DD48">
            <v>37.389999999999993</v>
          </cell>
          <cell r="DE48">
            <v>0</v>
          </cell>
          <cell r="DF48">
            <v>595.26</v>
          </cell>
          <cell r="DG48">
            <v>595.26</v>
          </cell>
        </row>
        <row r="49">
          <cell r="B49">
            <v>46</v>
          </cell>
          <cell r="C49" t="str">
            <v>Anzahl Mitarbeiter Fertigung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536.4799999999999</v>
          </cell>
          <cell r="U49">
            <v>548.65</v>
          </cell>
          <cell r="V49">
            <v>591.18000000000018</v>
          </cell>
          <cell r="W49">
            <v>588.0200000000001</v>
          </cell>
          <cell r="X49">
            <v>591.18000000000006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2855.5100000000007</v>
          </cell>
          <cell r="AH49">
            <v>2855.5100000000007</v>
          </cell>
          <cell r="AI49">
            <v>0</v>
          </cell>
          <cell r="AK49">
            <v>5.85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1676.3099999999997</v>
          </cell>
          <cell r="AV49">
            <v>1676.3099999999997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2855.5100000000007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2855.5100000000007</v>
          </cell>
          <cell r="BI49">
            <v>0</v>
          </cell>
          <cell r="BJ49">
            <v>0</v>
          </cell>
          <cell r="BK49">
            <v>0</v>
          </cell>
          <cell r="BL49">
            <v>552.20000000000005</v>
          </cell>
          <cell r="BM49">
            <v>567.03</v>
          </cell>
          <cell r="BN49">
            <v>588.95999999999992</v>
          </cell>
          <cell r="BO49">
            <v>626.25</v>
          </cell>
          <cell r="BP49">
            <v>633.80999999999995</v>
          </cell>
          <cell r="BQ49">
            <v>640.1</v>
          </cell>
          <cell r="BR49">
            <v>646.66</v>
          </cell>
          <cell r="BS49">
            <v>629.29000000000008</v>
          </cell>
          <cell r="BT49">
            <v>584.85000000000014</v>
          </cell>
          <cell r="BU49">
            <v>568.92000000000007</v>
          </cell>
          <cell r="BV49">
            <v>553.33000000000004</v>
          </cell>
          <cell r="BW49">
            <v>541.11</v>
          </cell>
          <cell r="BX49">
            <v>0</v>
          </cell>
          <cell r="BY49">
            <v>7132.5099999999975</v>
          </cell>
          <cell r="BZ49">
            <v>7132.5099999999975</v>
          </cell>
          <cell r="CA49">
            <v>541.11</v>
          </cell>
          <cell r="CB49">
            <v>0</v>
          </cell>
          <cell r="CC49">
            <v>529.55999999999995</v>
          </cell>
          <cell r="CD49">
            <v>548.08000000000004</v>
          </cell>
          <cell r="CE49">
            <v>580.16999999999996</v>
          </cell>
          <cell r="CF49">
            <v>542.72000000000014</v>
          </cell>
          <cell r="CG49">
            <v>584.46000000000015</v>
          </cell>
          <cell r="CH49">
            <v>619.44999999999993</v>
          </cell>
          <cell r="CI49">
            <v>650.80000000000018</v>
          </cell>
          <cell r="CJ49">
            <v>644.09999999999991</v>
          </cell>
          <cell r="CK49">
            <v>601.82000000000005</v>
          </cell>
          <cell r="CL49">
            <v>581.1</v>
          </cell>
          <cell r="CM49">
            <v>563.75000000000011</v>
          </cell>
          <cell r="CN49">
            <v>544.28999999999985</v>
          </cell>
          <cell r="CO49">
            <v>0</v>
          </cell>
          <cell r="CP49">
            <v>6990.3</v>
          </cell>
          <cell r="CQ49">
            <v>6990.3</v>
          </cell>
          <cell r="CR49">
            <v>0</v>
          </cell>
          <cell r="CS49">
            <v>494.05</v>
          </cell>
          <cell r="CT49">
            <v>501.38</v>
          </cell>
          <cell r="CU49">
            <v>504.87000000000006</v>
          </cell>
          <cell r="CV49">
            <v>517.78</v>
          </cell>
          <cell r="CW49">
            <v>548.61999999999989</v>
          </cell>
          <cell r="CX49">
            <v>557.34999999999991</v>
          </cell>
          <cell r="CY49">
            <v>593.57999999999993</v>
          </cell>
          <cell r="CZ49">
            <v>580.04000000000019</v>
          </cell>
          <cell r="DA49">
            <v>544.7600000000001</v>
          </cell>
          <cell r="DB49">
            <v>539.65</v>
          </cell>
          <cell r="DC49">
            <v>517.86999999999989</v>
          </cell>
          <cell r="DD49">
            <v>511.8</v>
          </cell>
          <cell r="DE49">
            <v>0</v>
          </cell>
          <cell r="DF49">
            <v>6411.75</v>
          </cell>
          <cell r="DG49">
            <v>6411.75</v>
          </cell>
        </row>
        <row r="50">
          <cell r="B50">
            <v>47</v>
          </cell>
          <cell r="C50" t="str">
            <v>Anzahl Mitarbeiter Büro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159.51999999999998</v>
          </cell>
          <cell r="U50">
            <v>157.06000000000006</v>
          </cell>
          <cell r="V50">
            <v>157.96000000000004</v>
          </cell>
          <cell r="W50">
            <v>157.86999999999995</v>
          </cell>
          <cell r="X50">
            <v>153.54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785.94999999999993</v>
          </cell>
          <cell r="AH50">
            <v>785.94999999999993</v>
          </cell>
          <cell r="AI50">
            <v>0</v>
          </cell>
          <cell r="AK50">
            <v>2.85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474.54</v>
          </cell>
          <cell r="AV50">
            <v>474.54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785.94999999999993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785.94999999999993</v>
          </cell>
          <cell r="BI50">
            <v>0</v>
          </cell>
          <cell r="BJ50">
            <v>0</v>
          </cell>
          <cell r="BK50">
            <v>0</v>
          </cell>
          <cell r="BL50">
            <v>161.04</v>
          </cell>
          <cell r="BM50">
            <v>162.66999999999999</v>
          </cell>
          <cell r="BN50">
            <v>160.89999999999998</v>
          </cell>
          <cell r="BO50">
            <v>165.92999999999995</v>
          </cell>
          <cell r="BP50">
            <v>161.59999999999997</v>
          </cell>
          <cell r="BQ50">
            <v>167.96999999999997</v>
          </cell>
          <cell r="BR50">
            <v>162.60000000000005</v>
          </cell>
          <cell r="BS50">
            <v>157.57</v>
          </cell>
          <cell r="BT50">
            <v>169.13</v>
          </cell>
          <cell r="BU50">
            <v>171.62000000000003</v>
          </cell>
          <cell r="BV50">
            <v>168.35</v>
          </cell>
          <cell r="BW50">
            <v>166.75</v>
          </cell>
          <cell r="BX50">
            <v>0</v>
          </cell>
          <cell r="BY50">
            <v>1976.1299999999999</v>
          </cell>
          <cell r="BZ50">
            <v>1976.1299999999999</v>
          </cell>
          <cell r="CA50">
            <v>166.75</v>
          </cell>
          <cell r="CB50">
            <v>0</v>
          </cell>
          <cell r="CC50">
            <v>152.66999999999999</v>
          </cell>
          <cell r="CD50">
            <v>153.25999999999996</v>
          </cell>
          <cell r="CE50">
            <v>156.70999999999989</v>
          </cell>
          <cell r="CF50">
            <v>150.91999999999999</v>
          </cell>
          <cell r="CG50">
            <v>153.67000000000002</v>
          </cell>
          <cell r="CH50">
            <v>157.59</v>
          </cell>
          <cell r="CI50">
            <v>153.21</v>
          </cell>
          <cell r="CJ50">
            <v>145.20000000000002</v>
          </cell>
          <cell r="CK50">
            <v>150.21999999999994</v>
          </cell>
          <cell r="CL50">
            <v>159.74999999999997</v>
          </cell>
          <cell r="CM50">
            <v>167.17000000000002</v>
          </cell>
          <cell r="CN50">
            <v>161.68000000000004</v>
          </cell>
          <cell r="CO50">
            <v>0</v>
          </cell>
          <cell r="CP50">
            <v>1862.0500000000002</v>
          </cell>
          <cell r="CQ50">
            <v>1862.0500000000002</v>
          </cell>
          <cell r="CR50">
            <v>0</v>
          </cell>
          <cell r="CS50">
            <v>152.02000000000001</v>
          </cell>
          <cell r="CT50">
            <v>154.84</v>
          </cell>
          <cell r="CU50">
            <v>152.53999999999994</v>
          </cell>
          <cell r="CV50">
            <v>150.82000000000002</v>
          </cell>
          <cell r="CW50">
            <v>151.48000000000002</v>
          </cell>
          <cell r="CX50">
            <v>147.24000000000004</v>
          </cell>
          <cell r="CY50">
            <v>149.43</v>
          </cell>
          <cell r="CZ50">
            <v>150.42000000000007</v>
          </cell>
          <cell r="DA50">
            <v>149.41999999999999</v>
          </cell>
          <cell r="DB50">
            <v>153.72</v>
          </cell>
          <cell r="DC50">
            <v>152.29</v>
          </cell>
          <cell r="DD50">
            <v>147.41</v>
          </cell>
          <cell r="DE50">
            <v>0</v>
          </cell>
          <cell r="DF50">
            <v>1811.6300000000003</v>
          </cell>
          <cell r="DG50">
            <v>1811.6300000000003</v>
          </cell>
        </row>
        <row r="51">
          <cell r="B51">
            <v>48</v>
          </cell>
          <cell r="C51" t="str">
            <v>Anzahl Mitarbeiter MJ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612.70000000000005</v>
          </cell>
          <cell r="U51">
            <v>621.39</v>
          </cell>
          <cell r="V51">
            <v>661.15000000000009</v>
          </cell>
          <cell r="W51">
            <v>659.74</v>
          </cell>
          <cell r="X51">
            <v>652.45999999999992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3207.44</v>
          </cell>
          <cell r="AH51">
            <v>3207.44</v>
          </cell>
          <cell r="AI51">
            <v>0</v>
          </cell>
          <cell r="AK51">
            <v>7.35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1895.2400000000002</v>
          </cell>
          <cell r="AV51">
            <v>1895.2400000000002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3207.44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3207.44</v>
          </cell>
          <cell r="BI51">
            <v>0</v>
          </cell>
          <cell r="BJ51">
            <v>0</v>
          </cell>
          <cell r="BK51">
            <v>0</v>
          </cell>
          <cell r="BL51">
            <v>628.74999999999989</v>
          </cell>
          <cell r="BM51">
            <v>643.6400000000001</v>
          </cell>
          <cell r="BN51">
            <v>661.9</v>
          </cell>
          <cell r="BO51">
            <v>698.99999999999977</v>
          </cell>
          <cell r="BP51">
            <v>706.59</v>
          </cell>
          <cell r="BQ51">
            <v>712.74999999999989</v>
          </cell>
          <cell r="BR51">
            <v>715.95999999999992</v>
          </cell>
          <cell r="BS51">
            <v>700.63999999999976</v>
          </cell>
          <cell r="BT51">
            <v>665.42</v>
          </cell>
          <cell r="BU51">
            <v>652.44000000000005</v>
          </cell>
          <cell r="BV51">
            <v>635.06999999999982</v>
          </cell>
          <cell r="BW51">
            <v>623.12000000000012</v>
          </cell>
          <cell r="BX51">
            <v>0</v>
          </cell>
          <cell r="BY51">
            <v>8045.2800000000016</v>
          </cell>
          <cell r="BZ51">
            <v>8045.2800000000016</v>
          </cell>
          <cell r="CA51">
            <v>623.12000000000012</v>
          </cell>
          <cell r="CB51">
            <v>0</v>
          </cell>
          <cell r="CC51">
            <v>600.15</v>
          </cell>
          <cell r="CD51">
            <v>614.41000000000008</v>
          </cell>
          <cell r="CE51">
            <v>648.04000000000019</v>
          </cell>
          <cell r="CF51">
            <v>610.08999999999992</v>
          </cell>
          <cell r="CG51">
            <v>650.37999999999988</v>
          </cell>
          <cell r="CH51">
            <v>686.12999999999988</v>
          </cell>
          <cell r="CI51">
            <v>710.50999999999976</v>
          </cell>
          <cell r="CJ51">
            <v>700.53999999999985</v>
          </cell>
          <cell r="CK51">
            <v>663.77999999999986</v>
          </cell>
          <cell r="CL51">
            <v>651.80000000000007</v>
          </cell>
          <cell r="CM51">
            <v>643.50000000000011</v>
          </cell>
          <cell r="CN51">
            <v>621.94999999999993</v>
          </cell>
          <cell r="CO51">
            <v>0</v>
          </cell>
          <cell r="CP51">
            <v>7801.28</v>
          </cell>
          <cell r="CQ51">
            <v>7801.28</v>
          </cell>
          <cell r="CR51">
            <v>0</v>
          </cell>
          <cell r="CS51">
            <v>563</v>
          </cell>
          <cell r="CT51">
            <v>572.75</v>
          </cell>
          <cell r="CU51">
            <v>573.72</v>
          </cell>
          <cell r="CV51">
            <v>582.33000000000004</v>
          </cell>
          <cell r="CW51">
            <v>609.57999999999993</v>
          </cell>
          <cell r="CX51">
            <v>614.35</v>
          </cell>
          <cell r="CY51">
            <v>649.92000000000007</v>
          </cell>
          <cell r="CZ51">
            <v>639.05000000000007</v>
          </cell>
          <cell r="DA51">
            <v>608.57000000000028</v>
          </cell>
          <cell r="DB51">
            <v>606.75000000000023</v>
          </cell>
          <cell r="DC51">
            <v>582.65999999999985</v>
          </cell>
          <cell r="DD51">
            <v>577.20000000000005</v>
          </cell>
          <cell r="DE51">
            <v>0</v>
          </cell>
          <cell r="DF51">
            <v>7179.8799999999983</v>
          </cell>
          <cell r="DG51">
            <v>7179.8799999999983</v>
          </cell>
        </row>
        <row r="52">
          <cell r="B52">
            <v>49</v>
          </cell>
          <cell r="C52" t="str">
            <v xml:space="preserve">Stunden Beschäftigte                                                     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91821.9</v>
          </cell>
          <cell r="U52">
            <v>91597.92</v>
          </cell>
          <cell r="V52">
            <v>109664.34999999999</v>
          </cell>
          <cell r="W52">
            <v>90262.109999999986</v>
          </cell>
          <cell r="X52">
            <v>99859.409999999974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483205.69000000012</v>
          </cell>
          <cell r="AH52">
            <v>483205.69000000012</v>
          </cell>
          <cell r="AI52">
            <v>0</v>
          </cell>
          <cell r="AK52">
            <v>1136.1099999999999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293084.17</v>
          </cell>
          <cell r="AV52">
            <v>293084.17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483205.69000000012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483205.69000000012</v>
          </cell>
          <cell r="BI52">
            <v>0</v>
          </cell>
          <cell r="BJ52">
            <v>0</v>
          </cell>
          <cell r="BK52">
            <v>0</v>
          </cell>
          <cell r="BL52">
            <v>86947.010000000009</v>
          </cell>
          <cell r="BM52">
            <v>89336.98000000001</v>
          </cell>
          <cell r="BN52">
            <v>105462.17</v>
          </cell>
          <cell r="BO52">
            <v>95031.310000000012</v>
          </cell>
          <cell r="BP52">
            <v>92407.540000000037</v>
          </cell>
          <cell r="BQ52">
            <v>102736.85</v>
          </cell>
          <cell r="BR52">
            <v>100277.34</v>
          </cell>
          <cell r="BS52">
            <v>102977.41999999998</v>
          </cell>
          <cell r="BT52">
            <v>103343.72</v>
          </cell>
          <cell r="BU52">
            <v>97346.819999999992</v>
          </cell>
          <cell r="BV52">
            <v>98214.260000000009</v>
          </cell>
          <cell r="BW52">
            <v>101946.60000000002</v>
          </cell>
          <cell r="BX52">
            <v>0</v>
          </cell>
          <cell r="BY52">
            <v>1176028.0200000003</v>
          </cell>
          <cell r="BZ52">
            <v>1176028.0200000003</v>
          </cell>
          <cell r="CA52">
            <v>101946.60000000002</v>
          </cell>
          <cell r="CB52">
            <v>0</v>
          </cell>
          <cell r="CC52">
            <v>92347.06</v>
          </cell>
          <cell r="CD52">
            <v>87822.430000000008</v>
          </cell>
          <cell r="CE52">
            <v>98655.91</v>
          </cell>
          <cell r="CF52">
            <v>83978.950000000012</v>
          </cell>
          <cell r="CG52">
            <v>81724.090000000011</v>
          </cell>
          <cell r="CH52">
            <v>93684.569999999992</v>
          </cell>
          <cell r="CI52">
            <v>105668.93999999999</v>
          </cell>
          <cell r="CJ52">
            <v>97986.329999999987</v>
          </cell>
          <cell r="CK52">
            <v>97164.79</v>
          </cell>
          <cell r="CL52">
            <v>95984.55</v>
          </cell>
          <cell r="CM52">
            <v>94626.52</v>
          </cell>
          <cell r="CN52">
            <v>95168.14</v>
          </cell>
          <cell r="CO52">
            <v>0</v>
          </cell>
          <cell r="CP52">
            <v>1124812.2799999998</v>
          </cell>
          <cell r="CQ52">
            <v>1124812.2799999998</v>
          </cell>
          <cell r="CR52">
            <v>0</v>
          </cell>
          <cell r="CS52">
            <v>95764.859999999986</v>
          </cell>
          <cell r="CT52">
            <v>88050.75</v>
          </cell>
          <cell r="CU52">
            <v>90361.090000000011</v>
          </cell>
          <cell r="CV52">
            <v>88814.26999999999</v>
          </cell>
          <cell r="CW52">
            <v>91596.500000000029</v>
          </cell>
          <cell r="CX52">
            <v>80045.470000000016</v>
          </cell>
          <cell r="CY52">
            <v>100804.67000000001</v>
          </cell>
          <cell r="CZ52">
            <v>96974.83</v>
          </cell>
          <cell r="DA52">
            <v>90935.469999999972</v>
          </cell>
          <cell r="DB52">
            <v>95292.540000000008</v>
          </cell>
          <cell r="DC52">
            <v>87449.220000000016</v>
          </cell>
          <cell r="DD52">
            <v>81779.88</v>
          </cell>
          <cell r="DE52">
            <v>0</v>
          </cell>
          <cell r="DF52">
            <v>1087869.55</v>
          </cell>
          <cell r="DG52">
            <v>1087869.55</v>
          </cell>
        </row>
        <row r="53">
          <cell r="B53">
            <v>50</v>
          </cell>
          <cell r="C53" t="str">
            <v>Stunden Leiharbeitskräfte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4416.1000000000004</v>
          </cell>
          <cell r="U53">
            <v>4464.5399999999991</v>
          </cell>
          <cell r="V53">
            <v>5982.2900000000009</v>
          </cell>
          <cell r="W53">
            <v>6274.5</v>
          </cell>
          <cell r="X53">
            <v>7756.03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28893.459999999995</v>
          </cell>
          <cell r="AH53">
            <v>28893.459999999995</v>
          </cell>
          <cell r="AI53">
            <v>0</v>
          </cell>
          <cell r="AK53">
            <v>38.6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14862.93</v>
          </cell>
          <cell r="AV53">
            <v>14862.93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28893.459999999995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28893.459999999995</v>
          </cell>
          <cell r="BI53">
            <v>0</v>
          </cell>
          <cell r="BJ53">
            <v>0</v>
          </cell>
          <cell r="BK53">
            <v>0</v>
          </cell>
          <cell r="BL53">
            <v>5402.5999999999995</v>
          </cell>
          <cell r="BM53">
            <v>6230.3600000000006</v>
          </cell>
          <cell r="BN53">
            <v>9495.17</v>
          </cell>
          <cell r="BO53">
            <v>11781.859999999999</v>
          </cell>
          <cell r="BP53">
            <v>11544.150000000001</v>
          </cell>
          <cell r="BQ53">
            <v>13588.090000000002</v>
          </cell>
          <cell r="BR53">
            <v>16014.129999999997</v>
          </cell>
          <cell r="BS53">
            <v>13182.27</v>
          </cell>
          <cell r="BT53">
            <v>8762.2799999999988</v>
          </cell>
          <cell r="BU53">
            <v>6491.3899999999994</v>
          </cell>
          <cell r="BV53">
            <v>5605.63</v>
          </cell>
          <cell r="BW53">
            <v>4359.5099999999993</v>
          </cell>
          <cell r="BX53">
            <v>0</v>
          </cell>
          <cell r="BY53">
            <v>112457.44000000003</v>
          </cell>
          <cell r="BZ53">
            <v>112457.44000000003</v>
          </cell>
          <cell r="CA53">
            <v>4359.5099999999993</v>
          </cell>
          <cell r="CB53">
            <v>0</v>
          </cell>
          <cell r="CC53">
            <v>5297.9400000000014</v>
          </cell>
          <cell r="CD53">
            <v>7049.9400000000014</v>
          </cell>
          <cell r="CE53">
            <v>10756.929999999997</v>
          </cell>
          <cell r="CF53">
            <v>9355.6099999999988</v>
          </cell>
          <cell r="CG53">
            <v>10371.310000000001</v>
          </cell>
          <cell r="CH53">
            <v>12685.76</v>
          </cell>
          <cell r="CI53">
            <v>16186.300000000001</v>
          </cell>
          <cell r="CJ53">
            <v>13555.53</v>
          </cell>
          <cell r="CK53">
            <v>12602.470000000001</v>
          </cell>
          <cell r="CL53">
            <v>11407.859999999999</v>
          </cell>
          <cell r="CM53">
            <v>8631.91</v>
          </cell>
          <cell r="CN53">
            <v>7045.8200000000006</v>
          </cell>
          <cell r="CO53">
            <v>0</v>
          </cell>
          <cell r="CP53">
            <v>124947.38000000005</v>
          </cell>
          <cell r="CQ53">
            <v>124947.38000000005</v>
          </cell>
          <cell r="CR53">
            <v>0</v>
          </cell>
          <cell r="CS53">
            <v>1285.2400000000002</v>
          </cell>
          <cell r="CT53">
            <v>1316.9699999999998</v>
          </cell>
          <cell r="CU53">
            <v>2438.1999999999994</v>
          </cell>
          <cell r="CV53">
            <v>3692.34</v>
          </cell>
          <cell r="CW53">
            <v>5934.0299999999988</v>
          </cell>
          <cell r="CX53">
            <v>6922.3000000000011</v>
          </cell>
          <cell r="CY53">
            <v>11239.140000000001</v>
          </cell>
          <cell r="CZ53">
            <v>9475.880000000001</v>
          </cell>
          <cell r="DA53">
            <v>7433.7099999999982</v>
          </cell>
          <cell r="DB53">
            <v>7013.3599999999988</v>
          </cell>
          <cell r="DC53">
            <v>4980.7599999999993</v>
          </cell>
          <cell r="DD53">
            <v>4055.2499999999995</v>
          </cell>
          <cell r="DE53">
            <v>0</v>
          </cell>
          <cell r="DF53">
            <v>65787.180000000008</v>
          </cell>
          <cell r="DG53">
            <v>65787.180000000008</v>
          </cell>
        </row>
        <row r="54">
          <cell r="B54">
            <v>51</v>
          </cell>
          <cell r="C54" t="str">
            <v>Veränderung Zeitkonto (+/-)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-5033.2200000000012</v>
          </cell>
          <cell r="U54">
            <v>-136.31000000000003</v>
          </cell>
          <cell r="V54">
            <v>1141.58</v>
          </cell>
          <cell r="W54">
            <v>4097.6400000000003</v>
          </cell>
          <cell r="X54">
            <v>4121.0600000000004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4190.75</v>
          </cell>
          <cell r="AH54">
            <v>4190.75</v>
          </cell>
          <cell r="AI54">
            <v>0</v>
          </cell>
          <cell r="AK54">
            <v>65.900000000000006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-4027.9500000000003</v>
          </cell>
          <cell r="AV54">
            <v>-4027.9500000000003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4190.75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4190.75</v>
          </cell>
          <cell r="BI54">
            <v>0</v>
          </cell>
          <cell r="BJ54">
            <v>0</v>
          </cell>
          <cell r="BK54">
            <v>0</v>
          </cell>
          <cell r="BL54">
            <v>-7546.5299999999988</v>
          </cell>
          <cell r="BM54">
            <v>-3631.8800000000006</v>
          </cell>
          <cell r="BN54">
            <v>1222.98</v>
          </cell>
          <cell r="BO54">
            <v>6019.4000000000005</v>
          </cell>
          <cell r="BP54">
            <v>6392.3399999999992</v>
          </cell>
          <cell r="BQ54">
            <v>5861.9699999999984</v>
          </cell>
          <cell r="BR54">
            <v>6915.8</v>
          </cell>
          <cell r="BS54">
            <v>2785.1899999999996</v>
          </cell>
          <cell r="BT54">
            <v>-2272.8200000000002</v>
          </cell>
          <cell r="BU54">
            <v>-3957.079999999999</v>
          </cell>
          <cell r="BV54">
            <v>-590.76</v>
          </cell>
          <cell r="BW54">
            <v>-8515.59</v>
          </cell>
          <cell r="BX54">
            <v>0</v>
          </cell>
          <cell r="BY54">
            <v>2683.0200000000009</v>
          </cell>
          <cell r="BZ54">
            <v>2683.0200000000009</v>
          </cell>
          <cell r="CA54">
            <v>-8515.59</v>
          </cell>
          <cell r="CB54">
            <v>0</v>
          </cell>
          <cell r="CC54">
            <v>-6801.3499999999985</v>
          </cell>
          <cell r="CD54">
            <v>-3462.4</v>
          </cell>
          <cell r="CE54">
            <v>-5040.4999999999991</v>
          </cell>
          <cell r="CF54">
            <v>-5274.79</v>
          </cell>
          <cell r="CG54">
            <v>2732.03</v>
          </cell>
          <cell r="CH54">
            <v>7418.6900000000005</v>
          </cell>
          <cell r="CI54">
            <v>8442.0800000000017</v>
          </cell>
          <cell r="CJ54">
            <v>6734.84</v>
          </cell>
          <cell r="CK54">
            <v>4857.3900000000012</v>
          </cell>
          <cell r="CL54">
            <v>2326.7699999999995</v>
          </cell>
          <cell r="CM54">
            <v>666.23000000000013</v>
          </cell>
          <cell r="CN54">
            <v>-5035.9799999999996</v>
          </cell>
          <cell r="CO54">
            <v>0</v>
          </cell>
          <cell r="CP54">
            <v>7563.01</v>
          </cell>
          <cell r="CQ54">
            <v>7563.01</v>
          </cell>
          <cell r="CR54">
            <v>0</v>
          </cell>
          <cell r="CS54">
            <v>-6856.6100000000006</v>
          </cell>
          <cell r="CT54">
            <v>-2581.71</v>
          </cell>
          <cell r="CU54">
            <v>2868.97</v>
          </cell>
          <cell r="CV54">
            <v>5500.9399999999987</v>
          </cell>
          <cell r="CW54">
            <v>6852.9499999999989</v>
          </cell>
          <cell r="CX54">
            <v>6138.15</v>
          </cell>
          <cell r="CY54">
            <v>7231.92</v>
          </cell>
          <cell r="CZ54">
            <v>5714.1900000000014</v>
          </cell>
          <cell r="DA54">
            <v>2877.0600000000004</v>
          </cell>
          <cell r="DB54">
            <v>-1615.73</v>
          </cell>
          <cell r="DC54">
            <v>-1879.3999999999999</v>
          </cell>
          <cell r="DD54">
            <v>-8371.9700000000012</v>
          </cell>
          <cell r="DE54">
            <v>0</v>
          </cell>
          <cell r="DF54">
            <v>15878.759999999997</v>
          </cell>
          <cell r="DG54">
            <v>15878.759999999997</v>
          </cell>
        </row>
        <row r="55">
          <cell r="B55">
            <v>52</v>
          </cell>
          <cell r="C55" t="str">
            <v>Krankheit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6775.4999999999991</v>
          </cell>
          <cell r="U55">
            <v>8425.1299999999974</v>
          </cell>
          <cell r="V55">
            <v>13051.209999999995</v>
          </cell>
          <cell r="W55">
            <v>7395.51</v>
          </cell>
          <cell r="X55">
            <v>5897.24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41544.589999999989</v>
          </cell>
          <cell r="AH55">
            <v>41544.589999999989</v>
          </cell>
          <cell r="AI55">
            <v>0</v>
          </cell>
          <cell r="AK55">
            <v>85.31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28251.839999999997</v>
          </cell>
          <cell r="AV55">
            <v>28251.839999999997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41544.589999999989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41544.589999999989</v>
          </cell>
          <cell r="BI55">
            <v>0</v>
          </cell>
          <cell r="BJ55">
            <v>0</v>
          </cell>
          <cell r="BK55">
            <v>0</v>
          </cell>
          <cell r="BL55">
            <v>5516.2800000000007</v>
          </cell>
          <cell r="BM55">
            <v>8527.35</v>
          </cell>
          <cell r="BN55">
            <v>6613.74</v>
          </cell>
          <cell r="BO55">
            <v>5783.909999999998</v>
          </cell>
          <cell r="BP55">
            <v>5832.12</v>
          </cell>
          <cell r="BQ55">
            <v>6174.329999999999</v>
          </cell>
          <cell r="BR55">
            <v>5773.4699999999975</v>
          </cell>
          <cell r="BS55">
            <v>5593.0399999999991</v>
          </cell>
          <cell r="BT55">
            <v>5878.18</v>
          </cell>
          <cell r="BU55">
            <v>7307.2899999999991</v>
          </cell>
          <cell r="BV55">
            <v>8139.420000000001</v>
          </cell>
          <cell r="BW55">
            <v>6826.630000000001</v>
          </cell>
          <cell r="BX55">
            <v>0</v>
          </cell>
          <cell r="BY55">
            <v>77965.760000000009</v>
          </cell>
          <cell r="BZ55">
            <v>77965.760000000009</v>
          </cell>
          <cell r="CA55">
            <v>6826.630000000001</v>
          </cell>
          <cell r="CB55">
            <v>0</v>
          </cell>
          <cell r="CC55">
            <v>5387.6999999999971</v>
          </cell>
          <cell r="CD55">
            <v>6695.4500000000007</v>
          </cell>
          <cell r="CE55">
            <v>10139.019999999999</v>
          </cell>
          <cell r="CF55">
            <v>5194.13</v>
          </cell>
          <cell r="CG55">
            <v>3671.9399999999996</v>
          </cell>
          <cell r="CH55">
            <v>3912.2700000000013</v>
          </cell>
          <cell r="CI55">
            <v>6093.01</v>
          </cell>
          <cell r="CJ55">
            <v>4314.2800000000016</v>
          </cell>
          <cell r="CK55">
            <v>5135</v>
          </cell>
          <cell r="CL55">
            <v>5331.829999999999</v>
          </cell>
          <cell r="CM55">
            <v>5932.4000000000005</v>
          </cell>
          <cell r="CN55">
            <v>3811.2</v>
          </cell>
          <cell r="CO55">
            <v>0</v>
          </cell>
          <cell r="CP55">
            <v>65618.229999999981</v>
          </cell>
          <cell r="CQ55">
            <v>65618.229999999981</v>
          </cell>
          <cell r="CR55">
            <v>0</v>
          </cell>
          <cell r="CS55">
            <v>5672.5199999999986</v>
          </cell>
          <cell r="CT55">
            <v>8292.1400000000012</v>
          </cell>
          <cell r="CU55">
            <v>7358.42</v>
          </cell>
          <cell r="CV55">
            <v>6099.0100000000011</v>
          </cell>
          <cell r="CW55">
            <v>6376.56</v>
          </cell>
          <cell r="CX55">
            <v>4465.55</v>
          </cell>
          <cell r="CY55">
            <v>6149.8499999999995</v>
          </cell>
          <cell r="CZ55">
            <v>5208.9999999999991</v>
          </cell>
          <cell r="DA55">
            <v>5274.88</v>
          </cell>
          <cell r="DB55">
            <v>7347.04</v>
          </cell>
          <cell r="DC55">
            <v>5795.2</v>
          </cell>
          <cell r="DD55">
            <v>4317.420000000001</v>
          </cell>
          <cell r="DE55">
            <v>0</v>
          </cell>
          <cell r="DF55">
            <v>72357.59</v>
          </cell>
          <cell r="DG55">
            <v>72357.59</v>
          </cell>
        </row>
        <row r="56">
          <cell r="B56">
            <v>53</v>
          </cell>
          <cell r="C56" t="str">
            <v>Fortbildung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440.34000000000003</v>
          </cell>
          <cell r="U56">
            <v>538.31000000000006</v>
          </cell>
          <cell r="V56">
            <v>476.48</v>
          </cell>
          <cell r="W56">
            <v>663.12</v>
          </cell>
          <cell r="X56">
            <v>598.80000000000007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2717.0500000000006</v>
          </cell>
          <cell r="AH56">
            <v>2717.0500000000006</v>
          </cell>
          <cell r="AI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1455.1299999999997</v>
          </cell>
          <cell r="AV56">
            <v>1455.1299999999997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2717.0500000000006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2717.0500000000006</v>
          </cell>
          <cell r="BI56">
            <v>0</v>
          </cell>
          <cell r="BJ56">
            <v>0</v>
          </cell>
          <cell r="BK56">
            <v>0</v>
          </cell>
          <cell r="BL56">
            <v>271.47000000000003</v>
          </cell>
          <cell r="BM56">
            <v>325.3</v>
          </cell>
          <cell r="BN56">
            <v>441.47</v>
          </cell>
          <cell r="BO56">
            <v>319.73000000000008</v>
          </cell>
          <cell r="BP56">
            <v>288.29999999999995</v>
          </cell>
          <cell r="BQ56">
            <v>418.09000000000003</v>
          </cell>
          <cell r="BR56">
            <v>293.03000000000009</v>
          </cell>
          <cell r="BS56">
            <v>93.659999999999982</v>
          </cell>
          <cell r="BT56">
            <v>591.49000000000012</v>
          </cell>
          <cell r="BU56">
            <v>653.42000000000019</v>
          </cell>
          <cell r="BV56">
            <v>688.92</v>
          </cell>
          <cell r="BW56">
            <v>494.2</v>
          </cell>
          <cell r="BX56">
            <v>0</v>
          </cell>
          <cell r="BY56">
            <v>4879.0800000000008</v>
          </cell>
          <cell r="BZ56">
            <v>4879.0800000000008</v>
          </cell>
          <cell r="CA56">
            <v>494.2</v>
          </cell>
          <cell r="CB56">
            <v>0</v>
          </cell>
          <cell r="CC56">
            <v>467.8300000000001</v>
          </cell>
          <cell r="CD56">
            <v>435.51000000000005</v>
          </cell>
          <cell r="CE56">
            <v>421.79999999999995</v>
          </cell>
          <cell r="CF56">
            <v>143.66000000000003</v>
          </cell>
          <cell r="CG56">
            <v>220.10000000000005</v>
          </cell>
          <cell r="CH56">
            <v>238.91000000000003</v>
          </cell>
          <cell r="CI56">
            <v>239.78</v>
          </cell>
          <cell r="CJ56">
            <v>16.82</v>
          </cell>
          <cell r="CK56">
            <v>321.92000000000007</v>
          </cell>
          <cell r="CL56">
            <v>251.73000000000002</v>
          </cell>
          <cell r="CM56">
            <v>491.3</v>
          </cell>
          <cell r="CN56">
            <v>217.40000000000006</v>
          </cell>
          <cell r="CO56">
            <v>0</v>
          </cell>
          <cell r="CP56">
            <v>3466.76</v>
          </cell>
          <cell r="CQ56">
            <v>3466.76</v>
          </cell>
          <cell r="CR56">
            <v>0</v>
          </cell>
          <cell r="CS56">
            <v>544.14</v>
          </cell>
          <cell r="CT56">
            <v>721.23000000000036</v>
          </cell>
          <cell r="CU56">
            <v>423.60999999999996</v>
          </cell>
          <cell r="CV56">
            <v>202.28</v>
          </cell>
          <cell r="CW56">
            <v>350.19</v>
          </cell>
          <cell r="CX56">
            <v>160.48999999999995</v>
          </cell>
          <cell r="CY56">
            <v>331.17</v>
          </cell>
          <cell r="CZ56">
            <v>70.8</v>
          </cell>
          <cell r="DA56">
            <v>347.99999999999994</v>
          </cell>
          <cell r="DB56">
            <v>415.4</v>
          </cell>
          <cell r="DC56">
            <v>517.42000000000007</v>
          </cell>
          <cell r="DD56">
            <v>302.90000000000003</v>
          </cell>
          <cell r="DE56">
            <v>0</v>
          </cell>
          <cell r="DF56">
            <v>4387.63</v>
          </cell>
          <cell r="DG56">
            <v>4387.63</v>
          </cell>
        </row>
        <row r="57">
          <cell r="B57">
            <v>54</v>
          </cell>
          <cell r="C57" t="str">
            <v>Urlaub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6941.0899999999992</v>
          </cell>
          <cell r="U57">
            <v>4377.7499999999991</v>
          </cell>
          <cell r="V57">
            <v>5397.5999999999995</v>
          </cell>
          <cell r="W57">
            <v>9082.65</v>
          </cell>
          <cell r="X57">
            <v>7614.3299999999981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33413.419999999991</v>
          </cell>
          <cell r="AH57">
            <v>33413.419999999991</v>
          </cell>
          <cell r="AI57">
            <v>0</v>
          </cell>
          <cell r="AK57">
            <v>199.01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16716.439999999999</v>
          </cell>
          <cell r="AV57">
            <v>16716.439999999999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33413.419999999991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33413.419999999991</v>
          </cell>
          <cell r="BI57">
            <v>0</v>
          </cell>
          <cell r="BJ57">
            <v>0</v>
          </cell>
          <cell r="BK57">
            <v>0</v>
          </cell>
          <cell r="BL57">
            <v>6593.1900000000014</v>
          </cell>
          <cell r="BM57">
            <v>3949.8699999999994</v>
          </cell>
          <cell r="BN57">
            <v>6767.91</v>
          </cell>
          <cell r="BO57">
            <v>9694.4500000000025</v>
          </cell>
          <cell r="BP57">
            <v>10212.510000000002</v>
          </cell>
          <cell r="BQ57">
            <v>10595.550000000001</v>
          </cell>
          <cell r="BR57">
            <v>16161.369999999997</v>
          </cell>
          <cell r="BS57">
            <v>26553</v>
          </cell>
          <cell r="BT57">
            <v>18858.23</v>
          </cell>
          <cell r="BU57">
            <v>11627.039999999997</v>
          </cell>
          <cell r="BV57">
            <v>10050.799999999999</v>
          </cell>
          <cell r="BW57">
            <v>29068.009999999995</v>
          </cell>
          <cell r="BX57">
            <v>0</v>
          </cell>
          <cell r="BY57">
            <v>160131.93000000002</v>
          </cell>
          <cell r="BZ57">
            <v>160131.93000000002</v>
          </cell>
          <cell r="CA57">
            <v>29068.009999999995</v>
          </cell>
          <cell r="CB57">
            <v>0</v>
          </cell>
          <cell r="CC57">
            <v>7064.5399999999991</v>
          </cell>
          <cell r="CD57">
            <v>4596.2499999999991</v>
          </cell>
          <cell r="CE57">
            <v>6274.670000000001</v>
          </cell>
          <cell r="CF57">
            <v>8220.0300000000025</v>
          </cell>
          <cell r="CG57">
            <v>7003.1100000000006</v>
          </cell>
          <cell r="CH57">
            <v>12067.760000000002</v>
          </cell>
          <cell r="CI57">
            <v>16395.3</v>
          </cell>
          <cell r="CJ57">
            <v>24446.509999999995</v>
          </cell>
          <cell r="CK57">
            <v>16035.070000000002</v>
          </cell>
          <cell r="CL57">
            <v>12593.88</v>
          </cell>
          <cell r="CM57">
            <v>10514.769999999999</v>
          </cell>
          <cell r="CN57">
            <v>26016.450000000004</v>
          </cell>
          <cell r="CO57">
            <v>0</v>
          </cell>
          <cell r="CP57">
            <v>151228.34000000005</v>
          </cell>
          <cell r="CQ57">
            <v>151228.34000000005</v>
          </cell>
          <cell r="CR57">
            <v>0</v>
          </cell>
          <cell r="CS57">
            <v>7057.4399999999987</v>
          </cell>
          <cell r="CT57">
            <v>4405.0899999999992</v>
          </cell>
          <cell r="CU57">
            <v>4782.1800000000012</v>
          </cell>
          <cell r="CV57">
            <v>8538.6699999999983</v>
          </cell>
          <cell r="CW57">
            <v>7760.92</v>
          </cell>
          <cell r="CX57">
            <v>11752.689999999999</v>
          </cell>
          <cell r="CY57">
            <v>15916.900000000001</v>
          </cell>
          <cell r="CZ57">
            <v>25325.11</v>
          </cell>
          <cell r="DA57">
            <v>14530.689999999997</v>
          </cell>
          <cell r="DB57">
            <v>13283.750000000004</v>
          </cell>
          <cell r="DC57">
            <v>9246.58</v>
          </cell>
          <cell r="DD57">
            <v>20300.38</v>
          </cell>
          <cell r="DE57">
            <v>0</v>
          </cell>
          <cell r="DF57">
            <v>142900.40000000002</v>
          </cell>
          <cell r="DG57">
            <v>142900.40000000002</v>
          </cell>
        </row>
        <row r="58">
          <cell r="B58">
            <v>55</v>
          </cell>
          <cell r="C58" t="str">
            <v>Arbeitsstd. Fertigungs-MA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48170.59</v>
          </cell>
          <cell r="U58">
            <v>54522.219999999987</v>
          </cell>
          <cell r="V58">
            <v>66567.64</v>
          </cell>
          <cell r="W58">
            <v>58061.450000000004</v>
          </cell>
          <cell r="X58">
            <v>67942.140000000014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295264.04000000004</v>
          </cell>
          <cell r="AH58">
            <v>295264.04000000004</v>
          </cell>
          <cell r="AI58">
            <v>0</v>
          </cell>
          <cell r="AK58">
            <v>732.34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169260.45000000004</v>
          </cell>
          <cell r="AV58">
            <v>169260.45000000004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295264.04000000004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295264.04000000004</v>
          </cell>
          <cell r="BI58">
            <v>0</v>
          </cell>
          <cell r="BJ58">
            <v>0</v>
          </cell>
          <cell r="BK58">
            <v>0</v>
          </cell>
          <cell r="BL58">
            <v>45917.55999999999</v>
          </cell>
          <cell r="BM58">
            <v>51527.959999999992</v>
          </cell>
          <cell r="BN58">
            <v>70568.660000000018</v>
          </cell>
          <cell r="BO58">
            <v>67567.900000000009</v>
          </cell>
          <cell r="BP58">
            <v>67073</v>
          </cell>
          <cell r="BQ58">
            <v>74344.17</v>
          </cell>
          <cell r="BR58">
            <v>72517.27</v>
          </cell>
          <cell r="BS58">
            <v>61673.2</v>
          </cell>
          <cell r="BT58">
            <v>56391.069999999992</v>
          </cell>
          <cell r="BU58">
            <v>51674.21</v>
          </cell>
          <cell r="BV58">
            <v>56784.919999999991</v>
          </cell>
          <cell r="BW58">
            <v>39958.03</v>
          </cell>
          <cell r="BX58">
            <v>0</v>
          </cell>
          <cell r="BY58">
            <v>715997.95</v>
          </cell>
          <cell r="BZ58">
            <v>715997.95</v>
          </cell>
          <cell r="CA58">
            <v>39958.03</v>
          </cell>
          <cell r="CB58">
            <v>0</v>
          </cell>
          <cell r="CC58">
            <v>52760.12000000001</v>
          </cell>
          <cell r="CD58">
            <v>54928.44</v>
          </cell>
          <cell r="CE58">
            <v>58163.44</v>
          </cell>
          <cell r="CF58">
            <v>51263.320000000022</v>
          </cell>
          <cell r="CG58">
            <v>60510.689999999988</v>
          </cell>
          <cell r="CH58">
            <v>70983.290000000008</v>
          </cell>
          <cell r="CI58">
            <v>78897.579999999973</v>
          </cell>
          <cell r="CJ58">
            <v>65532.440000000017</v>
          </cell>
          <cell r="CK58">
            <v>67285.41</v>
          </cell>
          <cell r="CL58">
            <v>64859.19999999999</v>
          </cell>
          <cell r="CM58">
            <v>58756.34</v>
          </cell>
          <cell r="CN58">
            <v>44492.250000000007</v>
          </cell>
          <cell r="CO58">
            <v>0</v>
          </cell>
          <cell r="CP58">
            <v>728432.52</v>
          </cell>
          <cell r="CQ58">
            <v>728432.52</v>
          </cell>
          <cell r="CR58">
            <v>0</v>
          </cell>
          <cell r="CS58">
            <v>51816.200000000004</v>
          </cell>
          <cell r="CT58">
            <v>48701.420000000006</v>
          </cell>
          <cell r="CU58">
            <v>56967.780000000013</v>
          </cell>
          <cell r="CV58">
            <v>57812.549999999996</v>
          </cell>
          <cell r="CW58">
            <v>64460.339999999989</v>
          </cell>
          <cell r="CX58">
            <v>54908.639999999999</v>
          </cell>
          <cell r="CY58">
            <v>70326.670000000027</v>
          </cell>
          <cell r="CZ58">
            <v>58969.68</v>
          </cell>
          <cell r="DA58">
            <v>57353.310000000019</v>
          </cell>
          <cell r="DB58">
            <v>54795.159999999996</v>
          </cell>
          <cell r="DC58">
            <v>51772.880000000005</v>
          </cell>
          <cell r="DD58">
            <v>34507.4</v>
          </cell>
          <cell r="DE58">
            <v>0</v>
          </cell>
          <cell r="DF58">
            <v>662392.03</v>
          </cell>
          <cell r="DG58">
            <v>662392.03</v>
          </cell>
        </row>
        <row r="59">
          <cell r="B59">
            <v>56</v>
          </cell>
          <cell r="C59" t="str">
            <v>Overheadstunden Büro / Fertigungsnahe MA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27188.570000000003</v>
          </cell>
          <cell r="U59">
            <v>25688.980000000003</v>
          </cell>
          <cell r="V59">
            <v>30025.469999999998</v>
          </cell>
          <cell r="W59">
            <v>24765.210000000003</v>
          </cell>
          <cell r="X59">
            <v>28201.040000000001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135869.27000000002</v>
          </cell>
          <cell r="AH59">
            <v>135869.27000000002</v>
          </cell>
          <cell r="AI59">
            <v>0</v>
          </cell>
          <cell r="AK59">
            <v>4744.3100000000004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82903.02</v>
          </cell>
          <cell r="AV59">
            <v>82903.02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135869.27000000002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135869.27000000002</v>
          </cell>
          <cell r="BI59">
            <v>0</v>
          </cell>
          <cell r="BJ59">
            <v>0</v>
          </cell>
          <cell r="BK59">
            <v>0</v>
          </cell>
          <cell r="BL59">
            <v>24831.099999999995</v>
          </cell>
          <cell r="BM59">
            <v>26111.230000000003</v>
          </cell>
          <cell r="BN59">
            <v>30714.799999999992</v>
          </cell>
          <cell r="BO59">
            <v>29046.010000000002</v>
          </cell>
          <cell r="BP59">
            <v>26849.910000000007</v>
          </cell>
          <cell r="BQ59">
            <v>30533.870000000003</v>
          </cell>
          <cell r="BR59">
            <v>28485.999999999989</v>
          </cell>
          <cell r="BS59">
            <v>24530.140000000007</v>
          </cell>
          <cell r="BT59">
            <v>27849.659999999996</v>
          </cell>
          <cell r="BU59">
            <v>28194.679999999989</v>
          </cell>
          <cell r="BV59">
            <v>27229.440000000002</v>
          </cell>
          <cell r="BW59">
            <v>20602.330000000005</v>
          </cell>
          <cell r="BX59">
            <v>0</v>
          </cell>
          <cell r="BY59">
            <v>324979.17</v>
          </cell>
          <cell r="BZ59">
            <v>324979.17</v>
          </cell>
          <cell r="CA59">
            <v>20602.330000000005</v>
          </cell>
          <cell r="CB59">
            <v>0</v>
          </cell>
          <cell r="CC59">
            <v>24592.670000000002</v>
          </cell>
          <cell r="CD59">
            <v>23482.870000000003</v>
          </cell>
          <cell r="CE59">
            <v>26457.219999999994</v>
          </cell>
          <cell r="CF59">
            <v>21738.05</v>
          </cell>
          <cell r="CG59">
            <v>23470.580000000009</v>
          </cell>
          <cell r="CH59">
            <v>26182.130000000008</v>
          </cell>
          <cell r="CI59">
            <v>27729.069999999985</v>
          </cell>
          <cell r="CJ59">
            <v>23970.18</v>
          </cell>
          <cell r="CK59">
            <v>25622.169999999995</v>
          </cell>
          <cell r="CL59">
            <v>26425.329999999998</v>
          </cell>
          <cell r="CM59">
            <v>27235.280000000002</v>
          </cell>
          <cell r="CN59">
            <v>21176.31</v>
          </cell>
          <cell r="CO59">
            <v>0</v>
          </cell>
          <cell r="CP59">
            <v>298081.85999999993</v>
          </cell>
          <cell r="CQ59">
            <v>298081.85999999993</v>
          </cell>
          <cell r="CR59">
            <v>0</v>
          </cell>
          <cell r="CS59">
            <v>25650.89</v>
          </cell>
          <cell r="CT59">
            <v>24415.460000000003</v>
          </cell>
          <cell r="CU59">
            <v>24825.87</v>
          </cell>
          <cell r="CV59">
            <v>25582.800000000003</v>
          </cell>
          <cell r="CW59">
            <v>24908.739999999998</v>
          </cell>
          <cell r="CX59">
            <v>23153.660000000003</v>
          </cell>
          <cell r="CY59">
            <v>26993.750000000011</v>
          </cell>
          <cell r="CZ59">
            <v>23948.239999999994</v>
          </cell>
          <cell r="DA59">
            <v>24057.49</v>
          </cell>
          <cell r="DB59">
            <v>26407.360000000001</v>
          </cell>
          <cell r="DC59">
            <v>24199.75</v>
          </cell>
          <cell r="DD59">
            <v>18863.940000000002</v>
          </cell>
          <cell r="DE59">
            <v>0</v>
          </cell>
          <cell r="DF59">
            <v>293007.95</v>
          </cell>
          <cell r="DG59">
            <v>293007.95</v>
          </cell>
        </row>
      </sheetData>
      <sheetData sheetId="12">
        <row r="5">
          <cell r="D5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>
        <row r="5">
          <cell r="D5">
            <v>0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5">
          <cell r="D5">
            <v>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>
        <row r="4">
          <cell r="T4">
            <v>634460.02</v>
          </cell>
        </row>
      </sheetData>
      <sheetData sheetId="39">
        <row r="4">
          <cell r="T4">
            <v>386313.43</v>
          </cell>
        </row>
      </sheetData>
      <sheetData sheetId="40">
        <row r="4">
          <cell r="T4">
            <v>1337314.6599999999</v>
          </cell>
        </row>
      </sheetData>
      <sheetData sheetId="41">
        <row r="4">
          <cell r="T4">
            <v>1601855.81</v>
          </cell>
        </row>
      </sheetData>
      <sheetData sheetId="42">
        <row r="4">
          <cell r="T4">
            <v>15631.49</v>
          </cell>
        </row>
      </sheetData>
      <sheetData sheetId="43">
        <row r="4">
          <cell r="T4">
            <v>0</v>
          </cell>
        </row>
      </sheetData>
      <sheetData sheetId="44">
        <row r="4">
          <cell r="T4">
            <v>14376.04</v>
          </cell>
        </row>
      </sheetData>
      <sheetData sheetId="45">
        <row r="4">
          <cell r="T4">
            <v>1257057.0900000001</v>
          </cell>
        </row>
      </sheetData>
      <sheetData sheetId="46"/>
      <sheetData sheetId="47">
        <row r="4">
          <cell r="T4">
            <v>3517600.34</v>
          </cell>
        </row>
      </sheetData>
      <sheetData sheetId="48">
        <row r="4">
          <cell r="T4">
            <v>2103636.19</v>
          </cell>
        </row>
      </sheetData>
      <sheetData sheetId="49">
        <row r="4">
          <cell r="T4">
            <v>372657.36</v>
          </cell>
        </row>
      </sheetData>
      <sheetData sheetId="50">
        <row r="4">
          <cell r="T4">
            <v>10023.67</v>
          </cell>
        </row>
      </sheetData>
      <sheetData sheetId="51">
        <row r="4">
          <cell r="T4">
            <v>278023.93</v>
          </cell>
        </row>
      </sheetData>
      <sheetData sheetId="52">
        <row r="4">
          <cell r="T4">
            <v>266546.65999999997</v>
          </cell>
        </row>
      </sheetData>
      <sheetData sheetId="53"/>
      <sheetData sheetId="54"/>
      <sheetData sheetId="55">
        <row r="4">
          <cell r="T4">
            <v>52005.8</v>
          </cell>
        </row>
      </sheetData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lage"/>
      <sheetName val="Archiv"/>
    </sheetNames>
    <sheetDataSet>
      <sheetData sheetId="0"/>
      <sheetData sheetId="1" refreshError="1">
        <row r="1152">
          <cell r="C1152" t="str">
            <v>Zentralisierung der Buchhaltung in Musberg.</v>
          </cell>
        </row>
        <row r="1286">
          <cell r="C1286" t="str">
            <v>Arbeitsplan Abstimmung FB4 mit VL: wer führt mit wem wann das notwendige Gespräch??</v>
          </cell>
        </row>
        <row r="1287">
          <cell r="C1287" t="str">
            <v>Welche Steuerungsdaten können wir am nächsten VLT übergeben??</v>
          </cell>
        </row>
        <row r="1288">
          <cell r="C1288" t="str">
            <v>Wir fixieren wir die Aktivitäten der VL zur Zielvereinbarung und Budgetierung??</v>
          </cell>
        </row>
        <row r="1289">
          <cell r="C1289" t="str">
            <v>Wir können wir MB intensiver in die VLT einbringen??</v>
          </cell>
        </row>
        <row r="1290">
          <cell r="C1290" t="str">
            <v>SANA Steuerung FB</v>
          </cell>
        </row>
        <row r="1291">
          <cell r="C1291" t="str">
            <v>Mit JK Lavernapreise diskutieren</v>
          </cell>
          <cell r="D1291" t="str">
            <v>WH</v>
          </cell>
        </row>
        <row r="1292">
          <cell r="C1292" t="str">
            <v>Dr. Schmitt  Prof. Reiter,  Dr. Meckbach  Dr. Groh  Dr. Fetsch           W. Zeitler  W. Hachtel</v>
          </cell>
        </row>
        <row r="1293">
          <cell r="C1293" t="str">
            <v>Probeweise soll das Stichwortprotokoll geführt werden; im Bedarfsfall wird das Protokoll ergänzt.</v>
          </cell>
        </row>
        <row r="1294">
          <cell r="C1294" t="str">
            <v>Die Unterlagen an die Gesellschafter sind versandfertig und können nach Abstimmung mit dem Beirat versendet werden.</v>
          </cell>
        </row>
        <row r="1295">
          <cell r="C1295" t="str">
            <v>Wir diskutieren die Notwendigkeit einer getrennten GMBH-Sitzung; wir überlassen die Entscheidung darüber den Gesellschaftern selbst. Wir beginnen mit der Sanierung der Töchter und der Sicherung der MHZ</v>
          </cell>
        </row>
        <row r="1296">
          <cell r="C1296" t="str">
            <v>Tagesordung wird entsprechend dieses Beschlusses verabschiedet und versendet.</v>
          </cell>
        </row>
        <row r="1297">
          <cell r="C1297" t="str">
            <v>Prof.Günter Hachtel:  § 17 a : der Gesellschafterkreis vom 21.12.1992 wird als erbberechtigt gewünscht, wir halten diese Lösung für falsch, wer verkauft hat, kann nicht mehr in die Gesellschaft kommen.</v>
          </cell>
        </row>
        <row r="1298">
          <cell r="C1298" t="str">
            <v>§21 a: Dr Meckbach hat keine Bedenken wegen Sittenwidrigkeit dieser Passage; deshalb schlagen wir vor, daß sie bleibt.</v>
          </cell>
        </row>
        <row r="1299">
          <cell r="C1299" t="str">
            <v>§22 Abs. 1: dieser Vorschlag wird aufgenommen.</v>
          </cell>
        </row>
        <row r="1300">
          <cell r="C1300" t="str">
            <v>Herr Zeitler verteilt eine Anlage zu den internen Umsätzen mit den Töchtern. Außenumsatz ist ca 22.000.000.- DM . Wir rechnen mit einem DB von 20% und einem Grenzertrag von nahe 30%.</v>
          </cell>
        </row>
        <row r="1301">
          <cell r="C1301" t="str">
            <v>ATES: Verlust 4,5 Mio mit steigender Tendenz; Umsätze sind nicht erzielt erzielt worden. Der Umsatzzuwachs kommt aus einer Zusammenführung von MHZ F und ATES.</v>
          </cell>
        </row>
        <row r="1302">
          <cell r="C1302" t="str">
            <v>Erste Sanierungswelle mit 9 Personen ( Gesetzlich limitiert ) ist durchgeführt. 4 weitere Personen sind freiwillig gegangen.Nach drei Monaten Sperrfrist können weitere Personen gekündigt werden.</v>
          </cell>
        </row>
        <row r="1303">
          <cell r="C1303" t="str">
            <v>Ertragsplanung</v>
          </cell>
        </row>
        <row r="1304">
          <cell r="C1304" t="str">
            <v>MHZ A: am 7.4 werden sieben Mitarbeiter incl. dem GF entlassen. Danach wird die Immobilie liquidiert, zuletzt Buchhaltung und Fakturierung nach Musberg.</v>
          </cell>
        </row>
        <row r="1305">
          <cell r="C1305" t="str">
            <v xml:space="preserve">Kostensenkungspotentiale
</v>
          </cell>
        </row>
        <row r="1306">
          <cell r="C1306" t="str">
            <v>Umsatzzuwachsprognose</v>
          </cell>
        </row>
        <row r="1307">
          <cell r="C1307" t="str">
            <v>Umsatzentwicklung</v>
          </cell>
        </row>
        <row r="1308">
          <cell r="C1308" t="str">
            <v>Aktionsplan mit Ergebniswirkung wird als Anlage verteilt.</v>
          </cell>
        </row>
        <row r="1309">
          <cell r="C1309" t="str">
            <v>Dr.Schmitt spricht das Thema Fixkosten an: Dr.Fetsch erläutert die Situation der Nebenbetriebe; Niederstetten hat von 265 auf 197 abgebaut, seit Dr.Fe die Verantwortung hat.</v>
          </cell>
        </row>
        <row r="1310">
          <cell r="C1310" t="str">
            <v>Werkzeugbau: 1,1 Mio Umsatz, 400 TDM aktivierte Eigenleistungen, und Reparaturen aller Werkzeuge bei 1,1 Mio Personalkosten.</v>
          </cell>
        </row>
        <row r="1311">
          <cell r="C1311" t="str">
            <v>Maschinenbau: Einstellungsstop seit 2 Jahren, incl. Musberg 6 Altersabgänge.</v>
          </cell>
        </row>
        <row r="1312">
          <cell r="C1312" t="str">
            <v>Artline: die positiven Aspekte werden allgemein anerkannt. Wir werden diesen Gedanken nach der Sanierung der Töchter wieder aufgreifen.</v>
          </cell>
        </row>
        <row r="1313">
          <cell r="C1313" t="str">
            <v xml:space="preserve">Wertberichtigungsbedarf ATES:    5.000.000.-, </v>
          </cell>
        </row>
        <row r="1314">
          <cell r="C1314" t="str">
            <v>Wertberichtigungsbedarf MHZ A:   2.000.000.-</v>
          </cell>
        </row>
        <row r="1315">
          <cell r="C1315" t="str">
            <v>Aktionsplan ATES: wir schneiden die Kosten in Abhängigkeit der Umsatzentwicklung: Ziel: break even schnellstmöglich.</v>
          </cell>
        </row>
        <row r="1316">
          <cell r="C1316" t="str">
            <v>Aktionsplan MHZ A: Darstellung fr die Gesellschaft wie im Beirat aufbereitet.</v>
          </cell>
        </row>
        <row r="1317">
          <cell r="C1317" t="str">
            <v>Datenblatt Jahresergebnis wird für die Gesellschafter neu erstellt.</v>
          </cell>
          <cell r="D1317" t="str">
            <v>WZ</v>
          </cell>
        </row>
        <row r="1318">
          <cell r="C1318" t="str">
            <v>Gesellschaftsvertrag: keine weiterer Diskussionsbedarf; die Gesellschafter müssen über die Unterzeichnung entscheiden.</v>
          </cell>
        </row>
        <row r="1319">
          <cell r="C1319" t="str">
            <v xml:space="preserve">Der Abschluß der Gesellschaft wird Mitte April erwartet; </v>
          </cell>
        </row>
        <row r="1320">
          <cell r="C1320" t="str">
            <v>HHZ  MB  YB  TG  WH</v>
          </cell>
        </row>
        <row r="1321">
          <cell r="C1321" t="str">
            <v>Terminabstimmung MB WH TG</v>
          </cell>
          <cell r="D1321" t="str">
            <v>MB</v>
          </cell>
          <cell r="E1321" t="str">
            <v>X</v>
          </cell>
        </row>
        <row r="1322">
          <cell r="C1322" t="str">
            <v>Abstimmung der Tagungszyklen  von Regionalteams und VLT im VLT; Zeitbudgets transparent machen.</v>
          </cell>
        </row>
        <row r="1323">
          <cell r="C1323" t="str">
            <v>Die Daten für die Budgetierung stehen zentral zur Verfügung.</v>
          </cell>
        </row>
        <row r="1324">
          <cell r="C1324" t="str">
            <v>Sana zielorientiertes Führen des Aussendienstes: Notwendigkeit WH;  Daten HHZ, Umsetzung MB</v>
          </cell>
        </row>
        <row r="1325">
          <cell r="C1325" t="str">
            <v>Organisation des Datenrückflusses für die Budgetdaten, die von den VLs kommen.</v>
          </cell>
          <cell r="D1325" t="str">
            <v>HHz</v>
          </cell>
          <cell r="E1325" t="str">
            <v>x</v>
          </cell>
        </row>
        <row r="1326">
          <cell r="C1326" t="str">
            <v>Ziel: das System ist das VL-System. SANA: Defizite des heutigen Systems, Fixierung der Maßnahmen.</v>
          </cell>
          <cell r="D1326" t="str">
            <v>TG MB  WH</v>
          </cell>
        </row>
        <row r="1327">
          <cell r="C1327" t="str">
            <v>Workshop Katalog Dekotechnik</v>
          </cell>
          <cell r="D1327" t="str">
            <v>YB</v>
          </cell>
          <cell r="E1327" t="str">
            <v>X</v>
          </cell>
        </row>
        <row r="1328">
          <cell r="C1328" t="str">
            <v>Sana1 Visulaisierung/Datenbank</v>
          </cell>
          <cell r="D1328" t="str">
            <v>YB</v>
          </cell>
          <cell r="E1328" t="str">
            <v>X</v>
          </cell>
        </row>
        <row r="1329">
          <cell r="C1329" t="str">
            <v>Kalkulationsteam: pro Verkaufsgebiet einen Kalkulator, Lukas, Dohmen, Wahl, Gerstäcker, Sänger, Sareyko, Steck; Hori Vertikal und Alu; Kommunikation: Termine abstimmen.</v>
          </cell>
          <cell r="D1329" t="str">
            <v>HHz</v>
          </cell>
          <cell r="E1329" t="str">
            <v>X</v>
          </cell>
        </row>
        <row r="1330">
          <cell r="C1330" t="str">
            <v>Offensive Konditionen Horizontal bei VL einsteuern.</v>
          </cell>
          <cell r="D1330" t="str">
            <v>HHz</v>
          </cell>
          <cell r="E1330" t="str">
            <v>X</v>
          </cell>
        </row>
        <row r="1331">
          <cell r="C1331" t="str">
            <v>ADIS</v>
          </cell>
          <cell r="D1331" t="str">
            <v>HHz</v>
          </cell>
          <cell r="E1331" t="str">
            <v>X</v>
          </cell>
        </row>
        <row r="1332">
          <cell r="C1332" t="str">
            <v>DB-Darstellung der letzten 4 Monate: Rating erstellen: Routine Quartal</v>
          </cell>
          <cell r="D1332" t="str">
            <v xml:space="preserve">WH </v>
          </cell>
          <cell r="F1332" t="str">
            <v xml:space="preserve"> ==&gt; MB</v>
          </cell>
        </row>
        <row r="1333">
          <cell r="C1333" t="str">
            <v>Spesenregelung wird MB mit WZ  und VLT abstimmen.</v>
          </cell>
          <cell r="D1333" t="str">
            <v>MB</v>
          </cell>
          <cell r="E1333" t="str">
            <v>X</v>
          </cell>
        </row>
        <row r="1334">
          <cell r="C1334" t="str">
            <v>Fuhrparkregelung mit VL abstimmen: Sonderfall: Sanierung bei extremer Unterdeckung im Topf.</v>
          </cell>
          <cell r="D1334" t="str">
            <v>MB</v>
          </cell>
          <cell r="E1334" t="str">
            <v>X</v>
          </cell>
        </row>
        <row r="1335">
          <cell r="C1335" t="str">
            <v>Sana Führungsdienstleister</v>
          </cell>
          <cell r="D1335" t="str">
            <v>MB</v>
          </cell>
          <cell r="E1335" t="str">
            <v>X</v>
          </cell>
        </row>
        <row r="1336">
          <cell r="C1336" t="str">
            <v>Kämmers: wir laden ihn ohne Kinstler: Terminänderung über WS</v>
          </cell>
          <cell r="D1336" t="str">
            <v>WH</v>
          </cell>
        </row>
        <row r="1337">
          <cell r="C1337" t="str">
            <v>Bott Schreier: Sana Schreier mit EH</v>
          </cell>
          <cell r="D1337" t="str">
            <v>TG</v>
          </cell>
          <cell r="E1337" t="str">
            <v>X</v>
          </cell>
        </row>
        <row r="1338">
          <cell r="C1338" t="str">
            <v>Vertriebsgruppenleiter:  Funktionsbeschreibung und vertragliche Neugestaltung; Eigenverantwortung bei Führung durch VL</v>
          </cell>
          <cell r="D1338" t="str">
            <v xml:space="preserve">TG MB  </v>
          </cell>
          <cell r="E1338" t="str">
            <v>X</v>
          </cell>
        </row>
        <row r="1339">
          <cell r="C1339" t="str">
            <v>Vergütung Stefan Paulus: 5700+700;</v>
          </cell>
        </row>
        <row r="1340">
          <cell r="C1340" t="str">
            <v>Lagaly übernimmt Gebiet von Dommermuth und Meissner; Dommermuth übernimmt Müller</v>
          </cell>
        </row>
        <row r="1341">
          <cell r="C1341" t="str">
            <v>Verträge werden nicht an die VL herausgegeben; Grund: es ist nicht Usus, daß Führungskräfte die Verträge haben; Einsehen bei Bedarf keine Frage</v>
          </cell>
        </row>
        <row r="1342">
          <cell r="C1342" t="str">
            <v>Hans Porsch: wir müssen die regionale Planung präzise machen, dann können wir ihn integrieren. Zusatznutzen Hansa</v>
          </cell>
        </row>
        <row r="1343">
          <cell r="C1343" t="str">
            <v>Kein Ausbau der dezentralen Erfassungskapazitäten in den Büros; wir stärken lieber die Geschäftsstellen. Grenzen verschieben.</v>
          </cell>
        </row>
        <row r="1344">
          <cell r="C1344" t="str">
            <v>Es gibt keine anderen Fahrzeuge für Gruppenleiter; wir bezahlen höhere Gehälter.</v>
          </cell>
        </row>
        <row r="1345">
          <cell r="C1345" t="str">
            <v>Doris Riegger möchte mit F&amp;A abgestimmt zusammenarbeiten bei neuen Leuten. Ich habe auf die Problematik hingewiesen</v>
          </cell>
          <cell r="D1345" t="str">
            <v>TG</v>
          </cell>
        </row>
        <row r="1347">
          <cell r="C1347" t="str">
            <v>Sicherungsschraube am offenen Zwischenträger mit senkrechter Linsenkopfschraube M4</v>
          </cell>
        </row>
        <row r="1348">
          <cell r="C1348" t="str">
            <v>WZ DR.FE WH</v>
          </cell>
        </row>
        <row r="1349">
          <cell r="C1349" t="str">
            <v>Elmar Lutz möchte sofort ausbezahlt haben; Regelung: zukünftig Steigerungsprämie wie andere Kollegen?</v>
          </cell>
        </row>
        <row r="1352">
          <cell r="C1352" t="str">
            <v>Cosiflor Lizenzgebühr: wir dürfen keine Kundenlisten aus der Hand geben.</v>
          </cell>
        </row>
        <row r="1354">
          <cell r="C1354" t="str">
            <v>Abstimmung der Zusammenarbeit GF Technik Vertrieb durch eine SANA?</v>
          </cell>
          <cell r="D1354" t="str">
            <v>WH</v>
          </cell>
        </row>
        <row r="1355">
          <cell r="C1355" t="str">
            <v>Sana Preisniveauanpassung mit Hfi durchsprechen und ergänzen.</v>
          </cell>
          <cell r="D1355" t="str">
            <v>WH</v>
          </cell>
        </row>
        <row r="1356">
          <cell r="C1356" t="str">
            <v>Kempten mit VF abstimmen</v>
          </cell>
          <cell r="D1356" t="str">
            <v>WH</v>
          </cell>
        </row>
        <row r="1357">
          <cell r="C1357" t="str">
            <v>Wie bauen wir die AM der VL weiter aus?</v>
          </cell>
          <cell r="D1357" t="str">
            <v>WH</v>
          </cell>
        </row>
        <row r="1358">
          <cell r="C1358" t="str">
            <v>LMS nachfassen</v>
          </cell>
          <cell r="D1358" t="str">
            <v>WH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ndesliga"/>
      <sheetName val="Vertriebsstruktur"/>
      <sheetName val="AS"/>
      <sheetName val="Teams"/>
      <sheetName val="Kollektionszyklen"/>
      <sheetName val="Orga"/>
      <sheetName val="ATES_CM_SST"/>
      <sheetName val="Strategie ATES"/>
      <sheetName val="Kommunikation"/>
      <sheetName val="Organigramm"/>
      <sheetName val="FBE"/>
      <sheetName val="Mrktsgmnt"/>
      <sheetName val="PR"/>
      <sheetName val="Info_Knsmntn"/>
    </sheetNames>
    <sheetDataSet>
      <sheetData sheetId="0"/>
      <sheetData sheetId="1"/>
      <sheetData sheetId="2"/>
      <sheetData sheetId="3"/>
      <sheetData sheetId="4"/>
      <sheetData sheetId="5">
        <row r="41">
          <cell r="V41" t="str">
            <v>BLT</v>
          </cell>
          <cell r="W41" t="str">
            <v>Abensberg</v>
          </cell>
          <cell r="X41" t="str">
            <v>Halle</v>
          </cell>
          <cell r="Y41" t="str">
            <v>Hannover</v>
          </cell>
          <cell r="Z41" t="str">
            <v>Musberg</v>
          </cell>
          <cell r="AA41" t="str">
            <v>Neu Isenburg</v>
          </cell>
          <cell r="AB41" t="str">
            <v>Neuss</v>
          </cell>
          <cell r="AC41" t="str">
            <v>Niederstetten</v>
          </cell>
          <cell r="AD41" t="str">
            <v>Riegel</v>
          </cell>
          <cell r="AE41" t="str">
            <v>Stetten</v>
          </cell>
        </row>
        <row r="42">
          <cell r="U42" t="str">
            <v>Führung</v>
          </cell>
          <cell r="V42">
            <v>2510</v>
          </cell>
          <cell r="W42" t="str">
            <v>Heinz Schulz</v>
          </cell>
          <cell r="X42" t="str">
            <v>Thekla Müller</v>
          </cell>
          <cell r="Y42" t="str">
            <v>Henning Rieger</v>
          </cell>
          <cell r="Z42" t="str">
            <v>Pius Sauter</v>
          </cell>
          <cell r="AA42" t="str">
            <v>Ralf Spamer</v>
          </cell>
          <cell r="AB42" t="str">
            <v>Thomas Baersch</v>
          </cell>
          <cell r="AC42" t="str">
            <v>Albrecht Decker</v>
          </cell>
          <cell r="AD42" t="str">
            <v>Adolf Kübler</v>
          </cell>
          <cell r="AE42" t="str">
            <v>Helmut Kurz</v>
          </cell>
        </row>
        <row r="43">
          <cell r="U43" t="str">
            <v>Telephonbetreuung</v>
          </cell>
          <cell r="W43">
            <v>220</v>
          </cell>
          <cell r="X43">
            <v>50</v>
          </cell>
          <cell r="Y43">
            <v>0</v>
          </cell>
          <cell r="Z43">
            <v>0</v>
          </cell>
          <cell r="AA43">
            <v>0</v>
          </cell>
          <cell r="AB43">
            <v>70</v>
          </cell>
          <cell r="AC43">
            <v>0</v>
          </cell>
          <cell r="AD43">
            <v>0</v>
          </cell>
          <cell r="AE43">
            <v>100</v>
          </cell>
          <cell r="AF43">
            <v>440</v>
          </cell>
        </row>
        <row r="44">
          <cell r="U44" t="str">
            <v>Mawi/Dispo/Orga</v>
          </cell>
          <cell r="W44">
            <v>50</v>
          </cell>
          <cell r="X44">
            <v>50</v>
          </cell>
          <cell r="Y44">
            <v>0</v>
          </cell>
          <cell r="Z44">
            <v>50</v>
          </cell>
          <cell r="AA44">
            <v>0</v>
          </cell>
          <cell r="AB44">
            <v>50</v>
          </cell>
          <cell r="AC44">
            <v>50</v>
          </cell>
          <cell r="AD44">
            <v>100</v>
          </cell>
          <cell r="AE44">
            <v>50</v>
          </cell>
          <cell r="AF44">
            <v>400</v>
          </cell>
        </row>
        <row r="45">
          <cell r="U45" t="str">
            <v>Konfektion</v>
          </cell>
          <cell r="W45">
            <v>180</v>
          </cell>
          <cell r="X45">
            <v>0</v>
          </cell>
          <cell r="Y45">
            <v>0</v>
          </cell>
          <cell r="Z45">
            <v>420</v>
          </cell>
          <cell r="AA45">
            <v>50</v>
          </cell>
          <cell r="AB45">
            <v>100</v>
          </cell>
          <cell r="AC45">
            <v>50</v>
          </cell>
          <cell r="AD45">
            <v>300</v>
          </cell>
          <cell r="AE45">
            <v>50</v>
          </cell>
          <cell r="AF45">
            <v>1150</v>
          </cell>
        </row>
        <row r="46">
          <cell r="U46" t="str">
            <v>Auslieferung</v>
          </cell>
          <cell r="W46">
            <v>0</v>
          </cell>
          <cell r="X46">
            <v>60</v>
          </cell>
          <cell r="Y46">
            <v>60</v>
          </cell>
          <cell r="Z46">
            <v>150</v>
          </cell>
          <cell r="AA46">
            <v>0</v>
          </cell>
          <cell r="AB46">
            <v>50</v>
          </cell>
          <cell r="AC46">
            <v>150</v>
          </cell>
          <cell r="AD46">
            <v>50</v>
          </cell>
          <cell r="AE46">
            <v>0</v>
          </cell>
          <cell r="AF46">
            <v>520</v>
          </cell>
        </row>
        <row r="48">
          <cell r="U48" t="str">
            <v>Team-Leiter</v>
          </cell>
          <cell r="V48" t="str">
            <v>VLT</v>
          </cell>
          <cell r="W48" t="str">
            <v>VT Nord</v>
          </cell>
          <cell r="X48" t="str">
            <v>VT West</v>
          </cell>
          <cell r="Y48" t="str">
            <v>VT Mitte</v>
          </cell>
          <cell r="Z48" t="str">
            <v>VT Südwest</v>
          </cell>
          <cell r="AA48" t="str">
            <v>VT Südmitte</v>
          </cell>
          <cell r="AB48" t="str">
            <v>VT Südost</v>
          </cell>
          <cell r="AC48" t="str">
            <v>VT Nordost</v>
          </cell>
          <cell r="AD48" t="str">
            <v>VT Ost1</v>
          </cell>
          <cell r="AE48" t="str">
            <v>VT Ost 2</v>
          </cell>
        </row>
        <row r="49">
          <cell r="U49" t="str">
            <v>Führung</v>
          </cell>
          <cell r="W49" t="str">
            <v>Manfred Marheine</v>
          </cell>
          <cell r="X49" t="str">
            <v>Hannjörg Kinstler</v>
          </cell>
          <cell r="Y49" t="str">
            <v>Norbert Dommer.</v>
          </cell>
          <cell r="Z49" t="str">
            <v>Peter Unger</v>
          </cell>
          <cell r="AA49" t="str">
            <v>Eberhard Hachtel</v>
          </cell>
          <cell r="AB49" t="str">
            <v>Veit Funk</v>
          </cell>
          <cell r="AC49" t="str">
            <v>Erwin Schmitt</v>
          </cell>
          <cell r="AD49" t="str">
            <v>Heiner Frohn</v>
          </cell>
          <cell r="AE49" t="str">
            <v>Lars Puschm.</v>
          </cell>
        </row>
        <row r="50">
          <cell r="U50" t="str">
            <v>Daten &amp; Angebote</v>
          </cell>
          <cell r="V50" t="str">
            <v>Heiner Frohn</v>
          </cell>
        </row>
        <row r="51">
          <cell r="U51" t="str">
            <v>Einarbeitung neue FB</v>
          </cell>
          <cell r="V51" t="str">
            <v>Lars Puschm.</v>
          </cell>
        </row>
        <row r="52">
          <cell r="U52" t="str">
            <v>Konditionen</v>
          </cell>
          <cell r="V52" t="str">
            <v>Peter Unger</v>
          </cell>
        </row>
        <row r="53">
          <cell r="U53" t="str">
            <v>Produkte</v>
          </cell>
          <cell r="V53" t="str">
            <v>Eberhard Hachtel</v>
          </cell>
        </row>
        <row r="54">
          <cell r="U54" t="str">
            <v>Kommuni kation</v>
          </cell>
          <cell r="V54" t="str">
            <v>Hannjörg Kinstler</v>
          </cell>
        </row>
        <row r="55">
          <cell r="U55" t="str">
            <v>Steuerung</v>
          </cell>
          <cell r="V55" t="str">
            <v>Veit Funk</v>
          </cell>
        </row>
        <row r="56">
          <cell r="U56" t="str">
            <v>Marktanalyse</v>
          </cell>
          <cell r="V56" t="str">
            <v>Erwin Schmitt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chiv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B3:H18" totalsRowShown="0" headerRowDxfId="205" dataDxfId="203" headerRowBorderDxfId="204" tableBorderDxfId="202">
  <tableColumns count="7">
    <tableColumn id="1" xr3:uid="{00000000-0010-0000-0000-000001000000}" name="Panel" dataDxfId="201"/>
    <tableColumn id="7" xr3:uid="{00000000-0010-0000-0000-000007000000}" name="Art. Nr." dataDxfId="200"/>
    <tableColumn id="2" xr3:uid="{00000000-0010-0000-0000-000002000000}" name="Breite / Tiefe" dataDxfId="199">
      <calculatedColumnFormula>VLOOKUP($C4,Kalkulation_Platten!$C$6:$F$611,3,FALSE)&amp;" / "&amp;VLOOKUP($C4,Kalkulation_Platten!$C$6:$F$611,4,FALSE)</calculatedColumnFormula>
    </tableColumn>
    <tableColumn id="3" xr3:uid="{00000000-0010-0000-0000-000003000000}" name="PG1" dataDxfId="198" dataCellStyle="Komma">
      <calculatedColumnFormula>INDEX(Kalkulation_Platten!$C$3:$AM$1001,MATCH($C4,Kalkulation_Platten!$C$3:$C$1001,0),MATCH(E$3,Kalkulation_Platten!$C$3:$AM$3,0))</calculatedColumnFormula>
    </tableColumn>
    <tableColumn id="4" xr3:uid="{00000000-0010-0000-0000-000004000000}" name="PG2" dataDxfId="197">
      <calculatedColumnFormula>INDEX(Kalkulation_Platten!$C$3:$AM$1001,MATCH($C4,Kalkulation_Platten!$C$3:$C$1001,0),MATCH(F$3,Kalkulation_Platten!$C$3:$AM$3,0))</calculatedColumnFormula>
    </tableColumn>
    <tableColumn id="5" xr3:uid="{00000000-0010-0000-0000-000005000000}" name="PG3" dataDxfId="196">
      <calculatedColumnFormula>INDEX(Kalkulation_Platten!$C$3:$AM$1001,MATCH($C4,Kalkulation_Platten!$C$3:$C$1001,0),MATCH(G$3,Kalkulation_Platten!$C$3:$AM$3,0))</calculatedColumnFormula>
    </tableColumn>
    <tableColumn id="6" xr3:uid="{00000000-0010-0000-0000-000006000000}" name="PG4" dataDxfId="195">
      <calculatedColumnFormula>INDEX(Kalkulation_Platten!$C$3:$AM$1001,MATCH($C4,Kalkulation_Platten!$C$3:$C$1001,0),MATCH(H$3,Kalkulation_Platten!$C$3:$AM$3,0))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le14" displayName="Tabelle14" ref="B20:H45" totalsRowShown="0" headerRowDxfId="194" dataDxfId="192" headerRowBorderDxfId="193" tableBorderDxfId="191">
  <tableColumns count="7">
    <tableColumn id="1" xr3:uid="{00000000-0010-0000-0100-000001000000}" name="Panel" dataDxfId="190"/>
    <tableColumn id="7" xr3:uid="{00000000-0010-0000-0100-000007000000}" name="Art. Nr." dataDxfId="189"/>
    <tableColumn id="2" xr3:uid="{00000000-0010-0000-0100-000002000000}" name="Breite / Tiefe" dataDxfId="188">
      <calculatedColumnFormula>VLOOKUP($C21,Kalkulation_Platten!$C$6:$F$611,3,FALSE)&amp;" / "&amp;VLOOKUP($C21,Kalkulation_Platten!$C$6:$F$611,4,FALSE)</calculatedColumnFormula>
    </tableColumn>
    <tableColumn id="3" xr3:uid="{00000000-0010-0000-0100-000003000000}" name="PG1" dataDxfId="187" dataCellStyle="Komma">
      <calculatedColumnFormula>INDEX(Kalkulation_Platten!$C$3:$AM$1001,MATCH($C21,Kalkulation_Platten!$C$3:$C$1001,0),MATCH(E$3,Kalkulation_Platten!$C$3:$AM$3,0))</calculatedColumnFormula>
    </tableColumn>
    <tableColumn id="4" xr3:uid="{00000000-0010-0000-0100-000004000000}" name="PG2" dataDxfId="186">
      <calculatedColumnFormula>INDEX(Kalkulation_Platten!$C$3:$AM$1001,MATCH($C21,Kalkulation_Platten!$C$3:$C$1001,0),MATCH(F$3,Kalkulation_Platten!$C$3:$AM$3,0))</calculatedColumnFormula>
    </tableColumn>
    <tableColumn id="5" xr3:uid="{00000000-0010-0000-0100-000005000000}" name="PG3" dataDxfId="185">
      <calculatedColumnFormula>INDEX(Kalkulation_Platten!$C$3:$AM$1001,MATCH($C21,Kalkulation_Platten!$C$3:$C$1001,0),MATCH(G$3,Kalkulation_Platten!$C$3:$AM$3,0))</calculatedColumnFormula>
    </tableColumn>
    <tableColumn id="6" xr3:uid="{00000000-0010-0000-0100-000006000000}" name="PG4" dataDxfId="184">
      <calculatedColumnFormula>INDEX(Kalkulation_Platten!$C$3:$AM$1001,MATCH($C21,Kalkulation_Platten!$C$3:$C$1001,0),MATCH(H$3,Kalkulation_Platten!$C$3:$AM$3,0))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elle1468" displayName="Tabelle1468" ref="B47:H75" totalsRowShown="0" headerRowDxfId="183" dataDxfId="181" headerRowBorderDxfId="182" tableBorderDxfId="180">
  <tableColumns count="7">
    <tableColumn id="1" xr3:uid="{00000000-0010-0000-0200-000001000000}" name="Panel" dataDxfId="179"/>
    <tableColumn id="7" xr3:uid="{00000000-0010-0000-0200-000007000000}" name="Art. Nr." dataDxfId="178"/>
    <tableColumn id="2" xr3:uid="{00000000-0010-0000-0200-000002000000}" name="Breite / Tiefe" dataDxfId="177">
      <calculatedColumnFormula>VLOOKUP($C48,Kalkulation_Platten!$C$6:$F$611,3,FALSE)&amp;" / "&amp;VLOOKUP($C48,Kalkulation_Platten!$C$6:$F$611,4,FALSE)</calculatedColumnFormula>
    </tableColumn>
    <tableColumn id="3" xr3:uid="{00000000-0010-0000-0200-000003000000}" name="PG1" dataDxfId="176" dataCellStyle="Komma">
      <calculatedColumnFormula>INDEX(Kalkulation_Platten!$C$3:$AM$1001,MATCH($C48,Kalkulation_Platten!$C$3:$C$1001,0),MATCH(E$3,Kalkulation_Platten!$C$3:$AM$3,0))</calculatedColumnFormula>
    </tableColumn>
    <tableColumn id="4" xr3:uid="{00000000-0010-0000-0200-000004000000}" name="PG2" dataDxfId="175">
      <calculatedColumnFormula>INDEX(Kalkulation_Platten!$C$3:$AM$1001,MATCH($C48,Kalkulation_Platten!$C$3:$C$1001,0),MATCH(F$3,Kalkulation_Platten!$C$3:$AM$3,0))</calculatedColumnFormula>
    </tableColumn>
    <tableColumn id="5" xr3:uid="{00000000-0010-0000-0200-000005000000}" name="PG3" dataDxfId="174">
      <calculatedColumnFormula>INDEX(Kalkulation_Platten!$C$3:$AM$1001,MATCH($C48,Kalkulation_Platten!$C$3:$C$1001,0),MATCH(G$3,Kalkulation_Platten!$C$3:$AM$3,0))</calculatedColumnFormula>
    </tableColumn>
    <tableColumn id="6" xr3:uid="{00000000-0010-0000-0200-000006000000}" name="PG4" dataDxfId="173">
      <calculatedColumnFormula>INDEX(Kalkulation_Platten!$C$3:$AM$1001,MATCH($C48,Kalkulation_Platten!$C$3:$C$1001,0),MATCH(H$3,Kalkulation_Platten!$C$3:$AM$3,0))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Tabelle146816" displayName="Tabelle146816" ref="B77:H90" totalsRowShown="0" headerRowDxfId="172" dataDxfId="170" headerRowBorderDxfId="171" tableBorderDxfId="169">
  <tableColumns count="7">
    <tableColumn id="1" xr3:uid="{00000000-0010-0000-0300-000001000000}" name="Panel" dataDxfId="168"/>
    <tableColumn id="7" xr3:uid="{00000000-0010-0000-0300-000007000000}" name="Art. Nr." dataDxfId="167"/>
    <tableColumn id="2" xr3:uid="{00000000-0010-0000-0300-000002000000}" name="Breite / Tiefe" dataDxfId="166">
      <calculatedColumnFormula>VLOOKUP($C78,Kalkulation_Platten!$C$6:$F$611,3,FALSE)&amp;" / "&amp;VLOOKUP($C78,Kalkulation_Platten!$C$6:$F$611,4,FALSE)</calculatedColumnFormula>
    </tableColumn>
    <tableColumn id="3" xr3:uid="{00000000-0010-0000-0300-000003000000}" name="PG1" dataDxfId="165" dataCellStyle="Komma">
      <calculatedColumnFormula>INDEX(Kalkulation_Platten!$C$3:$AM$1001,MATCH($C78,Kalkulation_Platten!$C$3:$C$1001,0),MATCH(E$3,Kalkulation_Platten!$C$3:$AM$3,0))</calculatedColumnFormula>
    </tableColumn>
    <tableColumn id="4" xr3:uid="{00000000-0010-0000-0300-000004000000}" name="PG2" dataDxfId="164">
      <calculatedColumnFormula>INDEX(Kalkulation_Platten!$C$3:$AM$1001,MATCH($C78,Kalkulation_Platten!$C$3:$C$1001,0),MATCH(F$3,Kalkulation_Platten!$C$3:$AM$3,0))</calculatedColumnFormula>
    </tableColumn>
    <tableColumn id="5" xr3:uid="{00000000-0010-0000-0300-000005000000}" name="PG3" dataDxfId="163">
      <calculatedColumnFormula>INDEX(Kalkulation_Platten!$C$3:$AM$1001,MATCH($C78,Kalkulation_Platten!$C$3:$C$1001,0),MATCH(G$3,Kalkulation_Platten!$C$3:$AM$3,0))</calculatedColumnFormula>
    </tableColumn>
    <tableColumn id="6" xr3:uid="{00000000-0010-0000-0300-000006000000}" name="PG4" dataDxfId="162">
      <calculatedColumnFormula>INDEX(Kalkulation_Platten!$C$3:$AM$1001,MATCH($C78,Kalkulation_Platten!$C$3:$C$1001,0),MATCH(H$3,Kalkulation_Platten!$C$3:$AM$3,0))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4000000}" name="Tabelle14681620" displayName="Tabelle14681620" ref="B92:H102" totalsRowShown="0" headerRowDxfId="161" dataDxfId="159" headerRowBorderDxfId="160" tableBorderDxfId="158">
  <tableColumns count="7">
    <tableColumn id="1" xr3:uid="{00000000-0010-0000-0400-000001000000}" name="Panel" dataDxfId="157"/>
    <tableColumn id="7" xr3:uid="{00000000-0010-0000-0400-000007000000}" name="Art. Nr." dataDxfId="156"/>
    <tableColumn id="2" xr3:uid="{00000000-0010-0000-0400-000002000000}" name="Breite / Tiefe" dataDxfId="155">
      <calculatedColumnFormula>VLOOKUP($C93,Kalkulation_Platten!$C$6:$F$611,3,FALSE)&amp;" / "&amp;VLOOKUP($C93,Kalkulation_Platten!$C$6:$F$611,4,FALSE)</calculatedColumnFormula>
    </tableColumn>
    <tableColumn id="3" xr3:uid="{00000000-0010-0000-0400-000003000000}" name="PG1" dataDxfId="154" dataCellStyle="Komma">
      <calculatedColumnFormula>INDEX(Kalkulation_Platten!$C$3:$AM$1001,MATCH($C93,Kalkulation_Platten!$C$3:$C$1001,0),MATCH(E$3,Kalkulation_Platten!$C$3:$AM$3,0))</calculatedColumnFormula>
    </tableColumn>
    <tableColumn id="4" xr3:uid="{00000000-0010-0000-0400-000004000000}" name="PG2" dataDxfId="153">
      <calculatedColumnFormula>INDEX(Kalkulation_Platten!$C$3:$AM$1001,MATCH($C93,Kalkulation_Platten!$C$3:$C$1001,0),MATCH(F$3,Kalkulation_Platten!$C$3:$AM$3,0))</calculatedColumnFormula>
    </tableColumn>
    <tableColumn id="5" xr3:uid="{00000000-0010-0000-0400-000005000000}" name="PG3" dataDxfId="152">
      <calculatedColumnFormula>INDEX(Kalkulation_Platten!$C$3:$AM$1001,MATCH($C93,Kalkulation_Platten!$C$3:$C$1001,0),MATCH(G$3,Kalkulation_Platten!$C$3:$AM$3,0))</calculatedColumnFormula>
    </tableColumn>
    <tableColumn id="6" xr3:uid="{00000000-0010-0000-0400-000006000000}" name="PG4" dataDxfId="151">
      <calculatedColumnFormula>INDEX(Kalkulation_Platten!$C$3:$AM$1001,MATCH($C93,Kalkulation_Platten!$C$3:$C$1001,0),MATCH(H$3,Kalkulation_Platten!$C$3:$AM$3,0))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5000000}" name="Tabelle1468162022" displayName="Tabelle1468162022" ref="B104:H120" totalsRowShown="0" headerRowDxfId="150" dataDxfId="148" headerRowBorderDxfId="149" tableBorderDxfId="147">
  <tableColumns count="7">
    <tableColumn id="1" xr3:uid="{00000000-0010-0000-0500-000001000000}" name="Panel" dataDxfId="146"/>
    <tableColumn id="7" xr3:uid="{00000000-0010-0000-0500-000007000000}" name="Art. Nr." dataDxfId="145"/>
    <tableColumn id="2" xr3:uid="{00000000-0010-0000-0500-000002000000}" name="Breite / Tiefe" dataDxfId="144">
      <calculatedColumnFormula>VLOOKUP($C105,Kalkulation_Platten!$C$6:$F$611,3,FALSE)&amp;" / "&amp;VLOOKUP($C105,Kalkulation_Platten!$C$6:$F$611,4,FALSE)</calculatedColumnFormula>
    </tableColumn>
    <tableColumn id="3" xr3:uid="{00000000-0010-0000-0500-000003000000}" name="PG1" dataDxfId="143" dataCellStyle="Komma">
      <calculatedColumnFormula>INDEX(Kalkulation_Platten!$C$3:$AM$1001,MATCH($C105,Kalkulation_Platten!$C$3:$C$1001,0),MATCH(E$3,Kalkulation_Platten!$C$3:$AM$3,0))</calculatedColumnFormula>
    </tableColumn>
    <tableColumn id="4" xr3:uid="{00000000-0010-0000-0500-000004000000}" name="PG2" dataDxfId="142">
      <calculatedColumnFormula>INDEX(Kalkulation_Platten!$C$3:$AM$1001,MATCH($C105,Kalkulation_Platten!$C$3:$C$1001,0),MATCH(F$3,Kalkulation_Platten!$C$3:$AM$3,0))</calculatedColumnFormula>
    </tableColumn>
    <tableColumn id="5" xr3:uid="{00000000-0010-0000-0500-000005000000}" name="PG3" dataDxfId="141">
      <calculatedColumnFormula>INDEX(Kalkulation_Platten!$C$3:$AM$1001,MATCH($C105,Kalkulation_Platten!$C$3:$C$1001,0),MATCH(G$3,Kalkulation_Platten!$C$3:$AM$3,0))</calculatedColumnFormula>
    </tableColumn>
    <tableColumn id="6" xr3:uid="{00000000-0010-0000-0500-000006000000}" name="PG4" dataDxfId="140">
      <calculatedColumnFormula>INDEX(Kalkulation_Platten!$C$3:$AM$1001,MATCH($C105,Kalkulation_Platten!$C$3:$C$1001,0),MATCH(H$3,Kalkulation_Platten!$C$3:$AM$3,0))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6000000}" name="Tabelle146816202224" displayName="Tabelle146816202224" ref="B122:H138" totalsRowShown="0" headerRowDxfId="139" dataDxfId="137" headerRowBorderDxfId="138" tableBorderDxfId="136">
  <tableColumns count="7">
    <tableColumn id="1" xr3:uid="{00000000-0010-0000-0600-000001000000}" name="Panel" dataDxfId="135"/>
    <tableColumn id="7" xr3:uid="{00000000-0010-0000-0600-000007000000}" name="Art. Nr." dataDxfId="134"/>
    <tableColumn id="2" xr3:uid="{00000000-0010-0000-0600-000002000000}" name="Breite / Tiefe" dataDxfId="133">
      <calculatedColumnFormula>VLOOKUP($C123,Kalkulation_Platten!$C$6:$F$611,3,FALSE)&amp;" / "&amp;VLOOKUP($C123,Kalkulation_Platten!$C$6:$F$611,4,FALSE)</calculatedColumnFormula>
    </tableColumn>
    <tableColumn id="3" xr3:uid="{00000000-0010-0000-0600-000003000000}" name="PG1" dataDxfId="132" dataCellStyle="Komma">
      <calculatedColumnFormula>INDEX(Kalkulation_Platten!$C$3:$AM$1001,MATCH($C123,Kalkulation_Platten!$C$3:$C$1001,0),MATCH(E$3,Kalkulation_Platten!$C$3:$AM$3,0))</calculatedColumnFormula>
    </tableColumn>
    <tableColumn id="4" xr3:uid="{00000000-0010-0000-0600-000004000000}" name="PG2" dataDxfId="131">
      <calculatedColumnFormula>INDEX(Kalkulation_Platten!$C$3:$AM$1001,MATCH($C123,Kalkulation_Platten!$C$3:$C$1001,0),MATCH(F$3,Kalkulation_Platten!$C$3:$AM$3,0))</calculatedColumnFormula>
    </tableColumn>
    <tableColumn id="5" xr3:uid="{00000000-0010-0000-0600-000005000000}" name="PG3" dataDxfId="130">
      <calculatedColumnFormula>INDEX(Kalkulation_Platten!$C$3:$AM$1001,MATCH($C123,Kalkulation_Platten!$C$3:$C$1001,0),MATCH(G$3,Kalkulation_Platten!$C$3:$AM$3,0))</calculatedColumnFormula>
    </tableColumn>
    <tableColumn id="6" xr3:uid="{00000000-0010-0000-0600-000006000000}" name="PG4" dataDxfId="129">
      <calculatedColumnFormula>INDEX(Kalkulation_Platten!$C$3:$AM$1001,MATCH($C123,Kalkulation_Platten!$C$3:$C$1001,0),MATCH(H$3,Kalkulation_Platten!$C$3:$AM$3,0))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7000000}" name="Tabelle14681620222426" displayName="Tabelle14681620222426" ref="B140:H148" totalsRowShown="0" headerRowDxfId="128" dataDxfId="126" headerRowBorderDxfId="127" tableBorderDxfId="125">
  <tableColumns count="7">
    <tableColumn id="1" xr3:uid="{00000000-0010-0000-0700-000001000000}" name="Panel" dataDxfId="124"/>
    <tableColumn id="7" xr3:uid="{00000000-0010-0000-0700-000007000000}" name="Art. Nr." dataDxfId="123"/>
    <tableColumn id="2" xr3:uid="{00000000-0010-0000-0700-000002000000}" name="Breite / Tiefe" dataDxfId="122">
      <calculatedColumnFormula>VLOOKUP($C141,Kalkulation_Platten!$C$6:$F$611,3,FALSE)&amp;" / "&amp;VLOOKUP($C141,Kalkulation_Platten!$C$6:$F$611,4,FALSE)</calculatedColumnFormula>
    </tableColumn>
    <tableColumn id="3" xr3:uid="{00000000-0010-0000-0700-000003000000}" name="PG1" dataDxfId="121" dataCellStyle="Komma">
      <calculatedColumnFormula>INDEX(Kalkulation_Platten!$C$3:$AM$1001,MATCH($C141,Kalkulation_Platten!$C$3:$C$1001,0),MATCH(E$3,Kalkulation_Platten!$C$3:$AM$3,0))</calculatedColumnFormula>
    </tableColumn>
    <tableColumn id="4" xr3:uid="{00000000-0010-0000-0700-000004000000}" name="PG2" dataDxfId="120">
      <calculatedColumnFormula>INDEX(Kalkulation_Platten!$C$3:$AM$1001,MATCH($C141,Kalkulation_Platten!$C$3:$C$1001,0),MATCH(F$3,Kalkulation_Platten!$C$3:$AM$3,0))</calculatedColumnFormula>
    </tableColumn>
    <tableColumn id="5" xr3:uid="{00000000-0010-0000-0700-000005000000}" name="PG3" dataDxfId="119">
      <calculatedColumnFormula>INDEX(Kalkulation_Platten!$C$3:$AM$1001,MATCH($C141,Kalkulation_Platten!$C$3:$C$1001,0),MATCH(G$3,Kalkulation_Platten!$C$3:$AM$3,0))</calculatedColumnFormula>
    </tableColumn>
    <tableColumn id="6" xr3:uid="{00000000-0010-0000-0700-000006000000}" name="PG4" dataDxfId="118">
      <calculatedColumnFormula>INDEX(Kalkulation_Platten!$C$3:$AM$1001,MATCH($C141,Kalkulation_Platten!$C$3:$C$1001,0),MATCH(H$3,Kalkulation_Platten!$C$3:$AM$3,0))</calculatedColumn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8000000}" name="Tabelle16" displayName="Tabelle16" ref="J3:P18" totalsRowShown="0" headerRowDxfId="117" dataDxfId="115" headerRowBorderDxfId="116" tableBorderDxfId="114">
  <tableColumns count="7">
    <tableColumn id="1" xr3:uid="{00000000-0010-0000-0800-000001000000}" name="Panel" dataDxfId="113"/>
    <tableColumn id="7" xr3:uid="{00000000-0010-0000-0800-000007000000}" name="Art. Nr." dataDxfId="112"/>
    <tableColumn id="2" xr3:uid="{00000000-0010-0000-0800-000002000000}" name="Breite / Tiefe" dataDxfId="111">
      <calculatedColumnFormula>VLOOKUP($C4,Kalkulation_Platten!$C$6:$F$611,3,FALSE)&amp;" / "&amp;VLOOKUP($C4,Kalkulation_Platten!$C$6:$F$611,4,FALSE)</calculatedColumnFormula>
    </tableColumn>
    <tableColumn id="3" xr3:uid="{00000000-0010-0000-0800-000003000000}" name="PG1" dataDxfId="110" dataCellStyle="Komma">
      <calculatedColumnFormula>IFERROR(ROUND(E4*(1+$R$2),0),"")</calculatedColumnFormula>
    </tableColumn>
    <tableColumn id="4" xr3:uid="{00000000-0010-0000-0800-000004000000}" name="PG2" dataDxfId="109">
      <calculatedColumnFormula>IFERROR(ROUND(F4*(1+$R$2),0),"")</calculatedColumnFormula>
    </tableColumn>
    <tableColumn id="5" xr3:uid="{00000000-0010-0000-0800-000005000000}" name="PG3" dataDxfId="108">
      <calculatedColumnFormula>IFERROR(ROUND(G4*(1+$R$2),0),"")</calculatedColumnFormula>
    </tableColumn>
    <tableColumn id="6" xr3:uid="{00000000-0010-0000-0800-000006000000}" name="PG4" dataDxfId="107">
      <calculatedColumnFormula>IFERROR(ROUND(H4*(1+$R$2),0),"")</calculatedColumn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9000000}" name="Tabelle1410" displayName="Tabelle1410" ref="J20:P45" totalsRowShown="0" headerRowDxfId="106" dataDxfId="104" headerRowBorderDxfId="105" tableBorderDxfId="103">
  <tableColumns count="7">
    <tableColumn id="1" xr3:uid="{00000000-0010-0000-0900-000001000000}" name="Panel" dataDxfId="102"/>
    <tableColumn id="7" xr3:uid="{00000000-0010-0000-0900-000007000000}" name="Art. Nr." dataDxfId="101"/>
    <tableColumn id="2" xr3:uid="{00000000-0010-0000-0900-000002000000}" name="Breite / Tiefe" dataDxfId="100">
      <calculatedColumnFormula>VLOOKUP($C21,Kalkulation_Platten!$C$6:$F$611,3,FALSE)&amp;" / "&amp;VLOOKUP($C21,Kalkulation_Platten!$C$6:$F$611,4,FALSE)</calculatedColumnFormula>
    </tableColumn>
    <tableColumn id="3" xr3:uid="{00000000-0010-0000-0900-000003000000}" name="PG1" dataDxfId="99" dataCellStyle="Komma">
      <calculatedColumnFormula>IFERROR(ROUND(E21*(1+$R$2),0),"")</calculatedColumnFormula>
    </tableColumn>
    <tableColumn id="4" xr3:uid="{00000000-0010-0000-0900-000004000000}" name="PG2" dataDxfId="98">
      <calculatedColumnFormula>IFERROR(ROUND(F21*(1+$R$2),0),"")</calculatedColumnFormula>
    </tableColumn>
    <tableColumn id="5" xr3:uid="{00000000-0010-0000-0900-000005000000}" name="PG3" dataDxfId="97">
      <calculatedColumnFormula>IFERROR(ROUND(G21*(1+$R$2),0),"")</calculatedColumnFormula>
    </tableColumn>
    <tableColumn id="6" xr3:uid="{00000000-0010-0000-0900-000006000000}" name="PG4" dataDxfId="96">
      <calculatedColumnFormula>IFERROR(ROUND(H21*(1+$R$2),0),"")</calculatedColumnFormula>
    </tableColumn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A000000}" name="Tabelle146812" displayName="Tabelle146812" ref="J47:P75" totalsRowShown="0" headerRowDxfId="95" dataDxfId="93" headerRowBorderDxfId="94" tableBorderDxfId="92">
  <tableColumns count="7">
    <tableColumn id="1" xr3:uid="{00000000-0010-0000-0A00-000001000000}" name="Panel" dataDxfId="91"/>
    <tableColumn id="7" xr3:uid="{00000000-0010-0000-0A00-000007000000}" name="Art. Nr." dataDxfId="90"/>
    <tableColumn id="2" xr3:uid="{00000000-0010-0000-0A00-000002000000}" name="Breite / Tiefe" dataDxfId="89">
      <calculatedColumnFormula>VLOOKUP($C48,Kalkulation_Platten!$C$6:$F$611,3,FALSE)&amp;" / "&amp;VLOOKUP($C48,Kalkulation_Platten!$C$6:$F$611,4,FALSE)</calculatedColumnFormula>
    </tableColumn>
    <tableColumn id="3" xr3:uid="{00000000-0010-0000-0A00-000003000000}" name="PG1" dataDxfId="88" dataCellStyle="Komma">
      <calculatedColumnFormula>IFERROR(ROUND(E48*(1+$R$2),0),"")</calculatedColumnFormula>
    </tableColumn>
    <tableColumn id="4" xr3:uid="{00000000-0010-0000-0A00-000004000000}" name="PG2" dataDxfId="87">
      <calculatedColumnFormula>IFERROR(ROUND(F48*(1+$R$2),0),"")</calculatedColumnFormula>
    </tableColumn>
    <tableColumn id="5" xr3:uid="{00000000-0010-0000-0A00-000005000000}" name="PG3" dataDxfId="86">
      <calculatedColumnFormula>IFERROR(ROUND(G48*(1+$R$2),0),"")</calculatedColumnFormula>
    </tableColumn>
    <tableColumn id="6" xr3:uid="{00000000-0010-0000-0A00-000006000000}" name="PG4" dataDxfId="85">
      <calculatedColumnFormula>IFERROR(ROUND(H48*(1+$R$2),0),"")</calculatedColumnFormula>
    </tableColumn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B000000}" name="Tabelle14681614" displayName="Tabelle14681614" ref="J77:P90" totalsRowShown="0" headerRowDxfId="84" dataDxfId="82" headerRowBorderDxfId="83" tableBorderDxfId="81">
  <tableColumns count="7">
    <tableColumn id="1" xr3:uid="{00000000-0010-0000-0B00-000001000000}" name="Panel" dataDxfId="80"/>
    <tableColumn id="7" xr3:uid="{00000000-0010-0000-0B00-000007000000}" name="Art. Nr." dataDxfId="79"/>
    <tableColumn id="2" xr3:uid="{00000000-0010-0000-0B00-000002000000}" name="Breite / Tiefe" dataDxfId="78">
      <calculatedColumnFormula>VLOOKUP($C78,Kalkulation_Platten!$C$6:$F$611,3,FALSE)&amp;" / "&amp;VLOOKUP($C78,Kalkulation_Platten!$C$6:$F$611,4,FALSE)</calculatedColumnFormula>
    </tableColumn>
    <tableColumn id="3" xr3:uid="{00000000-0010-0000-0B00-000003000000}" name="PG1" dataDxfId="77" dataCellStyle="Komma">
      <calculatedColumnFormula>IFERROR(ROUND(E78*(1+$R$2),0),"")</calculatedColumnFormula>
    </tableColumn>
    <tableColumn id="4" xr3:uid="{00000000-0010-0000-0B00-000004000000}" name="PG2" dataDxfId="76">
      <calculatedColumnFormula>IFERROR(ROUND(F78*(1+$R$2),0),"")</calculatedColumnFormula>
    </tableColumn>
    <tableColumn id="5" xr3:uid="{00000000-0010-0000-0B00-000005000000}" name="PG3" dataDxfId="75">
      <calculatedColumnFormula>IFERROR(ROUND(G78*(1+$R$2),0),"")</calculatedColumnFormula>
    </tableColumn>
    <tableColumn id="6" xr3:uid="{00000000-0010-0000-0B00-000006000000}" name="PG4" dataDxfId="74">
      <calculatedColumnFormula>IFERROR(ROUND(H78*(1+$R$2),0),"")</calculatedColumnFormula>
    </tableColumn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C000000}" name="Tabelle1468162018" displayName="Tabelle1468162018" ref="J92:P102" totalsRowShown="0" headerRowDxfId="73" dataDxfId="71" headerRowBorderDxfId="72" tableBorderDxfId="70">
  <tableColumns count="7">
    <tableColumn id="1" xr3:uid="{00000000-0010-0000-0C00-000001000000}" name="Panel" dataDxfId="69"/>
    <tableColumn id="7" xr3:uid="{00000000-0010-0000-0C00-000007000000}" name="Art. Nr." dataDxfId="68"/>
    <tableColumn id="2" xr3:uid="{00000000-0010-0000-0C00-000002000000}" name="Breite / Tiefe" dataDxfId="67">
      <calculatedColumnFormula>VLOOKUP($C93,Kalkulation_Platten!$C$6:$F$611,3,FALSE)&amp;" / "&amp;VLOOKUP($C93,Kalkulation_Platten!$C$6:$F$611,4,FALSE)</calculatedColumnFormula>
    </tableColumn>
    <tableColumn id="3" xr3:uid="{00000000-0010-0000-0C00-000003000000}" name="PG1" dataDxfId="66" dataCellStyle="Komma">
      <calculatedColumnFormula>IFERROR(ROUND(E93*(1+$R$2),0),"")</calculatedColumnFormula>
    </tableColumn>
    <tableColumn id="4" xr3:uid="{00000000-0010-0000-0C00-000004000000}" name="PG2" dataDxfId="65">
      <calculatedColumnFormula>IFERROR(ROUND(F93*(1+$R$2),0),"")</calculatedColumnFormula>
    </tableColumn>
    <tableColumn id="5" xr3:uid="{00000000-0010-0000-0C00-000005000000}" name="PG3" dataDxfId="64">
      <calculatedColumnFormula>IFERROR(ROUND(G93*(1+$R$2),0),"")</calculatedColumnFormula>
    </tableColumn>
    <tableColumn id="6" xr3:uid="{00000000-0010-0000-0C00-000006000000}" name="PG4" dataDxfId="63">
      <calculatedColumnFormula>IFERROR(ROUND(H93*(1+$R$2),0),"")</calculatedColumnFormula>
    </tableColumn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D000000}" name="Tabelle146816202228" displayName="Tabelle146816202228" ref="J104:P120" totalsRowShown="0" headerRowDxfId="62" dataDxfId="60" headerRowBorderDxfId="61" tableBorderDxfId="59">
  <tableColumns count="7">
    <tableColumn id="1" xr3:uid="{00000000-0010-0000-0D00-000001000000}" name="Panel" dataDxfId="58"/>
    <tableColumn id="7" xr3:uid="{00000000-0010-0000-0D00-000007000000}" name="Art. Nr." dataDxfId="57"/>
    <tableColumn id="2" xr3:uid="{00000000-0010-0000-0D00-000002000000}" name="Breite / Tiefe" dataDxfId="56">
      <calculatedColumnFormula>VLOOKUP($C105,Kalkulation_Platten!$C$6:$F$611,3,FALSE)&amp;" / "&amp;VLOOKUP($C105,Kalkulation_Platten!$C$6:$F$611,4,FALSE)</calculatedColumnFormula>
    </tableColumn>
    <tableColumn id="3" xr3:uid="{00000000-0010-0000-0D00-000003000000}" name="PG1" dataDxfId="55" dataCellStyle="Komma">
      <calculatedColumnFormula>IFERROR(ROUND(E105*(1+$R$2),0),"")</calculatedColumnFormula>
    </tableColumn>
    <tableColumn id="4" xr3:uid="{00000000-0010-0000-0D00-000004000000}" name="PG2" dataDxfId="54">
      <calculatedColumnFormula>IFERROR(ROUND(F105*(1+$R$2),0),"")</calculatedColumnFormula>
    </tableColumn>
    <tableColumn id="5" xr3:uid="{00000000-0010-0000-0D00-000005000000}" name="PG3" dataDxfId="53">
      <calculatedColumnFormula>IFERROR(ROUND(G105*(1+$R$2),0),"")</calculatedColumnFormula>
    </tableColumn>
    <tableColumn id="6" xr3:uid="{00000000-0010-0000-0D00-000006000000}" name="PG4" dataDxfId="52">
      <calculatedColumnFormula>IFERROR(ROUND(H105*(1+$R$2),0),"")</calculatedColumnFormula>
    </tableColumn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E000000}" name="Tabelle14681620222430" displayName="Tabelle14681620222430" ref="J122:P138" totalsRowShown="0" headerRowDxfId="51" dataDxfId="49" headerRowBorderDxfId="50" tableBorderDxfId="48">
  <tableColumns count="7">
    <tableColumn id="1" xr3:uid="{00000000-0010-0000-0E00-000001000000}" name="Panel" dataDxfId="47"/>
    <tableColumn id="7" xr3:uid="{00000000-0010-0000-0E00-000007000000}" name="Art. Nr." dataDxfId="46"/>
    <tableColumn id="2" xr3:uid="{00000000-0010-0000-0E00-000002000000}" name="Breite / Tiefe" dataDxfId="45">
      <calculatedColumnFormula>VLOOKUP($C123,Kalkulation_Platten!$C$6:$F$611,3,FALSE)&amp;" / "&amp;VLOOKUP($C123,Kalkulation_Platten!$C$6:$F$611,4,FALSE)</calculatedColumnFormula>
    </tableColumn>
    <tableColumn id="3" xr3:uid="{00000000-0010-0000-0E00-000003000000}" name="PG1" dataDxfId="44" dataCellStyle="Komma">
      <calculatedColumnFormula>IFERROR(ROUND(E123*(1+$R$2),0),"")</calculatedColumnFormula>
    </tableColumn>
    <tableColumn id="4" xr3:uid="{00000000-0010-0000-0E00-000004000000}" name="PG2" dataDxfId="43">
      <calculatedColumnFormula>IFERROR(ROUND(F123*(1+$R$2),0),"")</calculatedColumnFormula>
    </tableColumn>
    <tableColumn id="5" xr3:uid="{00000000-0010-0000-0E00-000005000000}" name="PG3" dataDxfId="42">
      <calculatedColumnFormula>IFERROR(ROUND(G123*(1+$R$2),0),"")</calculatedColumnFormula>
    </tableColumn>
    <tableColumn id="6" xr3:uid="{00000000-0010-0000-0E00-000006000000}" name="PG4" dataDxfId="41">
      <calculatedColumnFormula>IFERROR(ROUND(H123*(1+$R$2),0),"")</calculatedColumnFormula>
    </tableColumn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F000000}" name="Tabelle1468162022242632" displayName="Tabelle1468162022242632" ref="J140:P148" totalsRowShown="0" headerRowDxfId="40" dataDxfId="38" headerRowBorderDxfId="39" tableBorderDxfId="37">
  <tableColumns count="7">
    <tableColumn id="1" xr3:uid="{00000000-0010-0000-0F00-000001000000}" name="Panel" dataDxfId="36"/>
    <tableColumn id="7" xr3:uid="{00000000-0010-0000-0F00-000007000000}" name="Art. Nr." dataDxfId="35"/>
    <tableColumn id="2" xr3:uid="{00000000-0010-0000-0F00-000002000000}" name="Breite / Tiefe" dataDxfId="34">
      <calculatedColumnFormula>VLOOKUP($C141,Kalkulation_Platten!$C$6:$F$611,3,FALSE)&amp;" / "&amp;VLOOKUP($C141,Kalkulation_Platten!$C$6:$F$611,4,FALSE)</calculatedColumnFormula>
    </tableColumn>
    <tableColumn id="3" xr3:uid="{00000000-0010-0000-0F00-000003000000}" name="PG1" dataDxfId="33" dataCellStyle="Komma">
      <calculatedColumnFormula>IFERROR(ROUND(E141*(1+$R$2),0),"")</calculatedColumnFormula>
    </tableColumn>
    <tableColumn id="4" xr3:uid="{00000000-0010-0000-0F00-000004000000}" name="PG2" dataDxfId="32">
      <calculatedColumnFormula>IFERROR(ROUND(F141*(1+$R$2),0),"")</calculatedColumnFormula>
    </tableColumn>
    <tableColumn id="5" xr3:uid="{00000000-0010-0000-0F00-000005000000}" name="PG3" dataDxfId="31">
      <calculatedColumnFormula>IFERROR(ROUND(G141*(1+$R$2),0),"")</calculatedColumnFormula>
    </tableColumn>
    <tableColumn id="6" xr3:uid="{00000000-0010-0000-0F00-000006000000}" name="PG4" dataDxfId="30">
      <calculatedColumnFormula>IFERROR(ROUND(H141*(1+$R$2),0),"")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A844A0-7B1B-4E03-B6C8-D1C8A5779DD1}">
  <we:reference id="wa200009404" version="1.0.0.8" store="en-US" storeType="OMEX"/>
  <we:alternateReferences>
    <we:reference id="wa200009404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156"/>
  <sheetViews>
    <sheetView topLeftCell="B85" workbookViewId="0">
      <selection activeCell="P94" sqref="P94"/>
    </sheetView>
  </sheetViews>
  <sheetFormatPr baseColWidth="10" defaultRowHeight="15" x14ac:dyDescent="0.25"/>
  <cols>
    <col min="2" max="2" width="23.140625" customWidth="1"/>
    <col min="3" max="3" width="9.28515625" bestFit="1" customWidth="1"/>
    <col min="4" max="4" width="22.7109375" customWidth="1"/>
    <col min="10" max="10" width="23.140625" customWidth="1"/>
    <col min="11" max="11" width="9.28515625" bestFit="1" customWidth="1"/>
    <col min="12" max="12" width="22.7109375" customWidth="1"/>
    <col min="18" max="18" width="14.7109375" bestFit="1" customWidth="1"/>
  </cols>
  <sheetData>
    <row r="1" spans="2:23" x14ac:dyDescent="0.25">
      <c r="B1" s="110" t="s">
        <v>77</v>
      </c>
      <c r="C1" s="110"/>
      <c r="D1" s="110"/>
      <c r="E1" s="110"/>
      <c r="F1" s="110"/>
      <c r="G1" s="110"/>
      <c r="H1" s="110"/>
      <c r="I1" s="14"/>
      <c r="J1" s="111" t="s">
        <v>60</v>
      </c>
      <c r="K1" s="111"/>
      <c r="L1" s="111"/>
      <c r="M1" s="111"/>
      <c r="N1" s="111"/>
      <c r="O1" s="111"/>
      <c r="P1" s="111"/>
      <c r="Q1" s="14"/>
      <c r="R1" t="s">
        <v>134</v>
      </c>
      <c r="T1" t="s">
        <v>52</v>
      </c>
      <c r="U1" t="s">
        <v>51</v>
      </c>
      <c r="V1" t="s">
        <v>50</v>
      </c>
      <c r="W1" t="s">
        <v>49</v>
      </c>
    </row>
    <row r="2" spans="2:23" x14ac:dyDescent="0.25">
      <c r="R2" s="90">
        <v>0.15</v>
      </c>
      <c r="T2" t="s">
        <v>147</v>
      </c>
      <c r="U2" t="s">
        <v>148</v>
      </c>
      <c r="V2" t="s">
        <v>149</v>
      </c>
      <c r="W2" t="s">
        <v>150</v>
      </c>
    </row>
    <row r="3" spans="2:23" ht="18" thickBot="1" x14ac:dyDescent="0.3">
      <c r="B3" s="33" t="s">
        <v>74</v>
      </c>
      <c r="C3" s="33" t="s">
        <v>76</v>
      </c>
      <c r="D3" s="33" t="s">
        <v>75</v>
      </c>
      <c r="E3" s="34" t="s">
        <v>52</v>
      </c>
      <c r="F3" s="34" t="s">
        <v>51</v>
      </c>
      <c r="G3" s="34" t="s">
        <v>50</v>
      </c>
      <c r="H3" s="34" t="s">
        <v>49</v>
      </c>
      <c r="J3" s="33" t="s">
        <v>74</v>
      </c>
      <c r="K3" s="33" t="s">
        <v>76</v>
      </c>
      <c r="L3" s="33" t="s">
        <v>75</v>
      </c>
      <c r="M3" s="34" t="s">
        <v>52</v>
      </c>
      <c r="N3" s="34" t="s">
        <v>51</v>
      </c>
      <c r="O3" s="34" t="s">
        <v>50</v>
      </c>
      <c r="P3" s="34" t="s">
        <v>49</v>
      </c>
    </row>
    <row r="4" spans="2:23" ht="17.25" x14ac:dyDescent="0.25">
      <c r="B4" s="35" t="s">
        <v>38</v>
      </c>
      <c r="C4" s="35">
        <v>3000</v>
      </c>
      <c r="D4" s="35" t="str">
        <f>VLOOKUP($C4,Kalkulation_Platten!$C$6:$F$611,3,FALSE)&amp;" / "&amp;VLOOKUP($C4,Kalkulation_Platten!$C$6:$F$611,4,FALSE)</f>
        <v>360 / 360</v>
      </c>
      <c r="E4" s="36">
        <f>INDEX(Kalkulation_Platten!$C$3:$AM$1001,MATCH($C4,Kalkulation_Platten!$C$3:$C$1001,0),MATCH(E$3,Kalkulation_Platten!$C$3:$AM$3,0))</f>
        <v>34</v>
      </c>
      <c r="F4" s="36">
        <f>INDEX(Kalkulation_Platten!$C$3:$AM$1001,MATCH($C4,Kalkulation_Platten!$C$3:$C$1001,0),MATCH(F$3,Kalkulation_Platten!$C$3:$AM$3,0))</f>
        <v>114</v>
      </c>
      <c r="G4" s="36">
        <f>INDEX(Kalkulation_Platten!$C$3:$AM$1001,MATCH($C4,Kalkulation_Platten!$C$3:$C$1001,0),MATCH(G$3,Kalkulation_Platten!$C$3:$AM$3,0))</f>
        <v>89</v>
      </c>
      <c r="H4" s="36">
        <f>INDEX(Kalkulation_Platten!$C$3:$AM$1001,MATCH($C4,Kalkulation_Platten!$C$3:$C$1001,0),MATCH(H$3,Kalkulation_Platten!$C$3:$AM$3,0))</f>
        <v>177</v>
      </c>
      <c r="J4" s="35" t="s">
        <v>38</v>
      </c>
      <c r="K4" s="35">
        <v>3000</v>
      </c>
      <c r="L4" s="35" t="str">
        <f>VLOOKUP($C4,Kalkulation_Platten!$C$6:$F$611,3,FALSE)&amp;" / "&amp;VLOOKUP($C4,Kalkulation_Platten!$C$6:$F$611,4,FALSE)</f>
        <v>360 / 360</v>
      </c>
      <c r="M4" s="36">
        <f t="shared" ref="M4:M18" si="0">IFERROR(ROUND(E4*(1+$R$2),0),"-")</f>
        <v>39</v>
      </c>
      <c r="N4" s="36">
        <f t="shared" ref="N4:N18" si="1">IFERROR(ROUND(F4*(1+$R$2),0),"-")</f>
        <v>131</v>
      </c>
      <c r="O4" s="36">
        <f t="shared" ref="O4:O18" si="2">IFERROR(ROUND(G4*(1+$R$2),0),"-")</f>
        <v>102</v>
      </c>
      <c r="P4" s="36">
        <f t="shared" ref="P4:P18" si="3">IFERROR(ROUND(H4*(1+$R$2),0),"-")</f>
        <v>204</v>
      </c>
      <c r="T4">
        <f t="shared" ref="T4:T35" si="4">IFERROR(F4-E4,"")</f>
        <v>80</v>
      </c>
      <c r="U4">
        <f t="shared" ref="U4:U35" si="5">IFERROR(G4-F4,"")</f>
        <v>-25</v>
      </c>
      <c r="V4">
        <f t="shared" ref="V4:V35" si="6">IFERROR(H4-G4,"")</f>
        <v>88</v>
      </c>
    </row>
    <row r="5" spans="2:23" ht="17.25" x14ac:dyDescent="0.25">
      <c r="B5" s="37" t="s">
        <v>38</v>
      </c>
      <c r="C5" s="37">
        <v>3001</v>
      </c>
      <c r="D5" s="37" t="str">
        <f>VLOOKUP($C5,Kalkulation_Platten!$C$6:$F$611,3,FALSE)&amp;" / "&amp;VLOOKUP($C5,Kalkulation_Platten!$C$6:$F$611,4,FALSE)</f>
        <v>420 / 360</v>
      </c>
      <c r="E5" s="38">
        <f>INDEX(Kalkulation_Platten!$C$3:$AM$1001,MATCH($C5,Kalkulation_Platten!$C$3:$C$1001,0),MATCH(E$3,Kalkulation_Platten!$C$3:$AM$3,0))</f>
        <v>34</v>
      </c>
      <c r="F5" s="38">
        <f>INDEX(Kalkulation_Platten!$C$3:$AM$1001,MATCH($C5,Kalkulation_Platten!$C$3:$C$1001,0),MATCH(F$3,Kalkulation_Platten!$C$3:$AM$3,0))</f>
        <v>121</v>
      </c>
      <c r="G5" s="38">
        <f>INDEX(Kalkulation_Platten!$C$3:$AM$1001,MATCH($C5,Kalkulation_Platten!$C$3:$C$1001,0),MATCH(G$3,Kalkulation_Platten!$C$3:$AM$3,0))</f>
        <v>92</v>
      </c>
      <c r="H5" s="38">
        <f>INDEX(Kalkulation_Platten!$C$3:$AM$1001,MATCH($C5,Kalkulation_Platten!$C$3:$C$1001,0),MATCH(H$3,Kalkulation_Platten!$C$3:$AM$3,0))</f>
        <v>178</v>
      </c>
      <c r="J5" s="37" t="s">
        <v>38</v>
      </c>
      <c r="K5" s="37">
        <v>3001</v>
      </c>
      <c r="L5" s="37" t="str">
        <f>VLOOKUP($C5,Kalkulation_Platten!$C$6:$F$611,3,FALSE)&amp;" / "&amp;VLOOKUP($C5,Kalkulation_Platten!$C$6:$F$611,4,FALSE)</f>
        <v>420 / 360</v>
      </c>
      <c r="M5" s="38">
        <f t="shared" si="0"/>
        <v>39</v>
      </c>
      <c r="N5" s="38">
        <f t="shared" si="1"/>
        <v>139</v>
      </c>
      <c r="O5" s="38">
        <f t="shared" si="2"/>
        <v>106</v>
      </c>
      <c r="P5" s="38">
        <f t="shared" si="3"/>
        <v>205</v>
      </c>
      <c r="T5">
        <f t="shared" si="4"/>
        <v>87</v>
      </c>
      <c r="U5">
        <f t="shared" si="5"/>
        <v>-29</v>
      </c>
      <c r="V5">
        <f t="shared" si="6"/>
        <v>86</v>
      </c>
    </row>
    <row r="6" spans="2:23" ht="17.25" x14ac:dyDescent="0.25">
      <c r="B6" s="37" t="s">
        <v>38</v>
      </c>
      <c r="C6" s="37">
        <v>3002</v>
      </c>
      <c r="D6" s="37" t="str">
        <f>VLOOKUP($C6,Kalkulation_Platten!$C$6:$F$611,3,FALSE)&amp;" / "&amp;VLOOKUP($C6,Kalkulation_Platten!$C$6:$F$611,4,FALSE)</f>
        <v>580 / 360</v>
      </c>
      <c r="E6" s="38">
        <f>INDEX(Kalkulation_Platten!$C$3:$AM$1001,MATCH($C6,Kalkulation_Platten!$C$3:$C$1001,0),MATCH(E$3,Kalkulation_Platten!$C$3:$AM$3,0))</f>
        <v>43</v>
      </c>
      <c r="F6" s="38">
        <f>INDEX(Kalkulation_Platten!$C$3:$AM$1001,MATCH($C6,Kalkulation_Platten!$C$3:$C$1001,0),MATCH(F$3,Kalkulation_Platten!$C$3:$AM$3,0))</f>
        <v>161</v>
      </c>
      <c r="G6" s="38">
        <f>INDEX(Kalkulation_Platten!$C$3:$AM$1001,MATCH($C6,Kalkulation_Platten!$C$3:$C$1001,0),MATCH(G$3,Kalkulation_Platten!$C$3:$AM$3,0))</f>
        <v>130</v>
      </c>
      <c r="H6" s="38">
        <f>INDEX(Kalkulation_Platten!$C$3:$AM$1001,MATCH($C6,Kalkulation_Platten!$C$3:$C$1001,0),MATCH(H$3,Kalkulation_Platten!$C$3:$AM$3,0))</f>
        <v>185</v>
      </c>
      <c r="J6" s="37" t="s">
        <v>38</v>
      </c>
      <c r="K6" s="37">
        <v>3002</v>
      </c>
      <c r="L6" s="37" t="str">
        <f>VLOOKUP($C6,Kalkulation_Platten!$C$6:$F$611,3,FALSE)&amp;" / "&amp;VLOOKUP($C6,Kalkulation_Platten!$C$6:$F$611,4,FALSE)</f>
        <v>580 / 360</v>
      </c>
      <c r="M6" s="38">
        <f t="shared" si="0"/>
        <v>49</v>
      </c>
      <c r="N6" s="38">
        <f t="shared" si="1"/>
        <v>185</v>
      </c>
      <c r="O6" s="38">
        <f t="shared" si="2"/>
        <v>150</v>
      </c>
      <c r="P6" s="38">
        <f t="shared" si="3"/>
        <v>213</v>
      </c>
      <c r="T6">
        <f t="shared" si="4"/>
        <v>118</v>
      </c>
      <c r="U6">
        <f t="shared" si="5"/>
        <v>-31</v>
      </c>
      <c r="V6">
        <f t="shared" si="6"/>
        <v>55</v>
      </c>
    </row>
    <row r="7" spans="2:23" ht="17.25" x14ac:dyDescent="0.25">
      <c r="B7" s="37" t="s">
        <v>38</v>
      </c>
      <c r="C7" s="37">
        <v>3003</v>
      </c>
      <c r="D7" s="37" t="str">
        <f>VLOOKUP($C7,Kalkulation_Platten!$C$6:$F$611,3,FALSE)&amp;" / "&amp;VLOOKUP($C7,Kalkulation_Platten!$C$6:$F$611,4,FALSE)</f>
        <v>780 / 360</v>
      </c>
      <c r="E7" s="38">
        <f>INDEX(Kalkulation_Platten!$C$3:$AM$1001,MATCH($C7,Kalkulation_Platten!$C$3:$C$1001,0),MATCH(E$3,Kalkulation_Platten!$C$3:$AM$3,0))</f>
        <v>56</v>
      </c>
      <c r="F7" s="38">
        <f>INDEX(Kalkulation_Platten!$C$3:$AM$1001,MATCH($C7,Kalkulation_Platten!$C$3:$C$1001,0),MATCH(F$3,Kalkulation_Platten!$C$3:$AM$3,0))</f>
        <v>185</v>
      </c>
      <c r="G7" s="38">
        <f>INDEX(Kalkulation_Platten!$C$3:$AM$1001,MATCH($C7,Kalkulation_Platten!$C$3:$C$1001,0),MATCH(G$3,Kalkulation_Platten!$C$3:$AM$3,0))</f>
        <v>144</v>
      </c>
      <c r="H7" s="38">
        <f>INDEX(Kalkulation_Platten!$C$3:$AM$1001,MATCH($C7,Kalkulation_Platten!$C$3:$C$1001,0),MATCH(H$3,Kalkulation_Platten!$C$3:$AM$3,0))</f>
        <v>190</v>
      </c>
      <c r="J7" s="37" t="s">
        <v>38</v>
      </c>
      <c r="K7" s="37">
        <v>3003</v>
      </c>
      <c r="L7" s="37" t="str">
        <f>VLOOKUP($C7,Kalkulation_Platten!$C$6:$F$611,3,FALSE)&amp;" / "&amp;VLOOKUP($C7,Kalkulation_Platten!$C$6:$F$611,4,FALSE)</f>
        <v>780 / 360</v>
      </c>
      <c r="M7" s="38">
        <f t="shared" si="0"/>
        <v>64</v>
      </c>
      <c r="N7" s="38">
        <f t="shared" si="1"/>
        <v>213</v>
      </c>
      <c r="O7" s="38">
        <f t="shared" si="2"/>
        <v>166</v>
      </c>
      <c r="P7" s="38">
        <f t="shared" si="3"/>
        <v>219</v>
      </c>
      <c r="T7">
        <f t="shared" si="4"/>
        <v>129</v>
      </c>
      <c r="U7">
        <f t="shared" si="5"/>
        <v>-41</v>
      </c>
      <c r="V7">
        <f t="shared" si="6"/>
        <v>46</v>
      </c>
    </row>
    <row r="8" spans="2:23" ht="17.25" x14ac:dyDescent="0.25">
      <c r="B8" s="37" t="s">
        <v>38</v>
      </c>
      <c r="C8" s="37">
        <v>3004</v>
      </c>
      <c r="D8" s="37" t="str">
        <f>VLOOKUP($C8,Kalkulation_Platten!$C$6:$F$611,3,FALSE)&amp;" / "&amp;VLOOKUP($C8,Kalkulation_Platten!$C$6:$F$611,4,FALSE)</f>
        <v>980 / 360</v>
      </c>
      <c r="E8" s="38">
        <f>INDEX(Kalkulation_Platten!$C$3:$AM$1001,MATCH($C8,Kalkulation_Platten!$C$3:$C$1001,0),MATCH(E$3,Kalkulation_Platten!$C$3:$AM$3,0))</f>
        <v>70</v>
      </c>
      <c r="F8" s="38">
        <f>INDEX(Kalkulation_Platten!$C$3:$AM$1001,MATCH($C8,Kalkulation_Platten!$C$3:$C$1001,0),MATCH(F$3,Kalkulation_Platten!$C$3:$AM$3,0))</f>
        <v>223</v>
      </c>
      <c r="G8" s="38">
        <f>INDEX(Kalkulation_Platten!$C$3:$AM$1001,MATCH($C8,Kalkulation_Platten!$C$3:$C$1001,0),MATCH(G$3,Kalkulation_Platten!$C$3:$AM$3,0))</f>
        <v>174</v>
      </c>
      <c r="H8" s="38">
        <f>INDEX(Kalkulation_Platten!$C$3:$AM$1001,MATCH($C8,Kalkulation_Platten!$C$3:$C$1001,0),MATCH(H$3,Kalkulation_Platten!$C$3:$AM$3,0))</f>
        <v>209</v>
      </c>
      <c r="J8" s="37" t="s">
        <v>38</v>
      </c>
      <c r="K8" s="37">
        <v>3004</v>
      </c>
      <c r="L8" s="37" t="str">
        <f>VLOOKUP($C8,Kalkulation_Platten!$C$6:$F$611,3,FALSE)&amp;" / "&amp;VLOOKUP($C8,Kalkulation_Platten!$C$6:$F$611,4,FALSE)</f>
        <v>980 / 360</v>
      </c>
      <c r="M8" s="38">
        <f t="shared" si="0"/>
        <v>81</v>
      </c>
      <c r="N8" s="38">
        <f t="shared" si="1"/>
        <v>256</v>
      </c>
      <c r="O8" s="38">
        <f t="shared" si="2"/>
        <v>200</v>
      </c>
      <c r="P8" s="38">
        <f t="shared" si="3"/>
        <v>240</v>
      </c>
      <c r="T8">
        <f t="shared" si="4"/>
        <v>153</v>
      </c>
      <c r="U8">
        <f t="shared" si="5"/>
        <v>-49</v>
      </c>
      <c r="V8">
        <f t="shared" si="6"/>
        <v>35</v>
      </c>
    </row>
    <row r="9" spans="2:23" ht="17.25" x14ac:dyDescent="0.25">
      <c r="B9" s="37" t="s">
        <v>38</v>
      </c>
      <c r="C9" s="37">
        <v>3005</v>
      </c>
      <c r="D9" s="37" t="str">
        <f>VLOOKUP($C9,Kalkulation_Platten!$C$6:$F$611,3,FALSE)&amp;" / "&amp;VLOOKUP($C9,Kalkulation_Platten!$C$6:$F$611,4,FALSE)</f>
        <v>360 / 580</v>
      </c>
      <c r="E9" s="38">
        <f>INDEX(Kalkulation_Platten!$C$3:$AM$1001,MATCH($C9,Kalkulation_Platten!$C$3:$C$1001,0),MATCH(E$3,Kalkulation_Platten!$C$3:$AM$3,0))</f>
        <v>43</v>
      </c>
      <c r="F9" s="38">
        <f>INDEX(Kalkulation_Platten!$C$3:$AM$1001,MATCH($C9,Kalkulation_Platten!$C$3:$C$1001,0),MATCH(F$3,Kalkulation_Platten!$C$3:$AM$3,0))</f>
        <v>161</v>
      </c>
      <c r="G9" s="38">
        <f>INDEX(Kalkulation_Platten!$C$3:$AM$1001,MATCH($C9,Kalkulation_Platten!$C$3:$C$1001,0),MATCH(G$3,Kalkulation_Platten!$C$3:$AM$3,0))</f>
        <v>130</v>
      </c>
      <c r="H9" s="38">
        <f>INDEX(Kalkulation_Platten!$C$3:$AM$1001,MATCH($C9,Kalkulation_Platten!$C$3:$C$1001,0),MATCH(H$3,Kalkulation_Platten!$C$3:$AM$3,0))</f>
        <v>185</v>
      </c>
      <c r="J9" s="37" t="s">
        <v>38</v>
      </c>
      <c r="K9" s="37">
        <v>3005</v>
      </c>
      <c r="L9" s="37" t="s">
        <v>78</v>
      </c>
      <c r="M9" s="38">
        <f t="shared" si="0"/>
        <v>49</v>
      </c>
      <c r="N9" s="38">
        <f t="shared" si="1"/>
        <v>185</v>
      </c>
      <c r="O9" s="38">
        <f t="shared" si="2"/>
        <v>150</v>
      </c>
      <c r="P9" s="38">
        <f t="shared" si="3"/>
        <v>213</v>
      </c>
      <c r="T9">
        <f t="shared" si="4"/>
        <v>118</v>
      </c>
      <c r="U9">
        <f t="shared" si="5"/>
        <v>-31</v>
      </c>
      <c r="V9">
        <f t="shared" si="6"/>
        <v>55</v>
      </c>
    </row>
    <row r="10" spans="2:23" ht="17.25" x14ac:dyDescent="0.25">
      <c r="B10" s="37" t="s">
        <v>38</v>
      </c>
      <c r="C10" s="37">
        <v>3006</v>
      </c>
      <c r="D10" s="37" t="str">
        <f>VLOOKUP($C10,Kalkulation_Platten!$C$6:$F$611,3,FALSE)&amp;" / "&amp;VLOOKUP($C10,Kalkulation_Platten!$C$6:$F$611,4,FALSE)</f>
        <v>420 / 580</v>
      </c>
      <c r="E10" s="38">
        <f>INDEX(Kalkulation_Platten!$C$3:$AM$1001,MATCH($C10,Kalkulation_Platten!$C$3:$C$1001,0),MATCH(E$3,Kalkulation_Platten!$C$3:$AM$3,0))</f>
        <v>49</v>
      </c>
      <c r="F10" s="38">
        <f>INDEX(Kalkulation_Platten!$C$3:$AM$1001,MATCH($C10,Kalkulation_Platten!$C$3:$C$1001,0),MATCH(F$3,Kalkulation_Platten!$C$3:$AM$3,0))</f>
        <v>181</v>
      </c>
      <c r="G10" s="38">
        <f>INDEX(Kalkulation_Platten!$C$3:$AM$1001,MATCH($C10,Kalkulation_Platten!$C$3:$C$1001,0),MATCH(G$3,Kalkulation_Platten!$C$3:$AM$3,0))</f>
        <v>147</v>
      </c>
      <c r="H10" s="38">
        <f>INDEX(Kalkulation_Platten!$C$3:$AM$1001,MATCH($C10,Kalkulation_Platten!$C$3:$C$1001,0),MATCH(H$3,Kalkulation_Platten!$C$3:$AM$3,0))</f>
        <v>186</v>
      </c>
      <c r="J10" s="37" t="s">
        <v>38</v>
      </c>
      <c r="K10" s="37">
        <v>3006</v>
      </c>
      <c r="L10" s="37" t="str">
        <f>VLOOKUP($C10,Kalkulation_Platten!$C$6:$F$611,3,FALSE)&amp;" / "&amp;VLOOKUP($C10,Kalkulation_Platten!$C$6:$F$611,4,FALSE)</f>
        <v>420 / 580</v>
      </c>
      <c r="M10" s="38">
        <f t="shared" si="0"/>
        <v>56</v>
      </c>
      <c r="N10" s="38">
        <f t="shared" si="1"/>
        <v>208</v>
      </c>
      <c r="O10" s="38">
        <f t="shared" si="2"/>
        <v>169</v>
      </c>
      <c r="P10" s="38">
        <f t="shared" si="3"/>
        <v>214</v>
      </c>
      <c r="T10">
        <f t="shared" si="4"/>
        <v>132</v>
      </c>
      <c r="U10">
        <f t="shared" si="5"/>
        <v>-34</v>
      </c>
      <c r="V10">
        <f t="shared" si="6"/>
        <v>39</v>
      </c>
    </row>
    <row r="11" spans="2:23" ht="17.25" x14ac:dyDescent="0.25">
      <c r="B11" s="37" t="s">
        <v>38</v>
      </c>
      <c r="C11" s="37">
        <v>3007</v>
      </c>
      <c r="D11" s="37" t="str">
        <f>VLOOKUP($C11,Kalkulation_Platten!$C$6:$F$611,3,FALSE)&amp;" / "&amp;VLOOKUP($C11,Kalkulation_Platten!$C$6:$F$611,4,FALSE)</f>
        <v>580 / 580</v>
      </c>
      <c r="E11" s="38">
        <f>INDEX(Kalkulation_Platten!$C$3:$AM$1001,MATCH($C11,Kalkulation_Platten!$C$3:$C$1001,0),MATCH(E$3,Kalkulation_Platten!$C$3:$AM$3,0))</f>
        <v>67</v>
      </c>
      <c r="F11" s="38">
        <f>INDEX(Kalkulation_Platten!$C$3:$AM$1001,MATCH($C11,Kalkulation_Platten!$C$3:$C$1001,0),MATCH(F$3,Kalkulation_Platten!$C$3:$AM$3,0))</f>
        <v>228</v>
      </c>
      <c r="G11" s="38">
        <f>INDEX(Kalkulation_Platten!$C$3:$AM$1001,MATCH($C11,Kalkulation_Platten!$C$3:$C$1001,0),MATCH(G$3,Kalkulation_Platten!$C$3:$AM$3,0))</f>
        <v>183</v>
      </c>
      <c r="H11" s="38">
        <f>INDEX(Kalkulation_Platten!$C$3:$AM$1001,MATCH($C11,Kalkulation_Platten!$C$3:$C$1001,0),MATCH(H$3,Kalkulation_Platten!$C$3:$AM$3,0))</f>
        <v>191</v>
      </c>
      <c r="J11" s="37" t="s">
        <v>38</v>
      </c>
      <c r="K11" s="37">
        <v>3007</v>
      </c>
      <c r="L11" s="37" t="str">
        <f>VLOOKUP($C11,Kalkulation_Platten!$C$6:$F$611,3,FALSE)&amp;" / "&amp;VLOOKUP($C11,Kalkulation_Platten!$C$6:$F$611,4,FALSE)</f>
        <v>580 / 580</v>
      </c>
      <c r="M11" s="38">
        <f t="shared" si="0"/>
        <v>77</v>
      </c>
      <c r="N11" s="38">
        <f t="shared" si="1"/>
        <v>262</v>
      </c>
      <c r="O11" s="38">
        <f t="shared" si="2"/>
        <v>210</v>
      </c>
      <c r="P11" s="38">
        <f t="shared" si="3"/>
        <v>220</v>
      </c>
      <c r="T11">
        <f t="shared" si="4"/>
        <v>161</v>
      </c>
      <c r="U11">
        <f t="shared" si="5"/>
        <v>-45</v>
      </c>
      <c r="V11">
        <f t="shared" si="6"/>
        <v>8</v>
      </c>
    </row>
    <row r="12" spans="2:23" ht="17.25" x14ac:dyDescent="0.25">
      <c r="B12" s="37" t="s">
        <v>38</v>
      </c>
      <c r="C12" s="37">
        <v>3008</v>
      </c>
      <c r="D12" s="37" t="str">
        <f>VLOOKUP($C12,Kalkulation_Platten!$C$6:$F$611,3,FALSE)&amp;" / "&amp;VLOOKUP($C12,Kalkulation_Platten!$C$6:$F$611,4,FALSE)</f>
        <v>780 / 580</v>
      </c>
      <c r="E12" s="38">
        <f>INDEX(Kalkulation_Platten!$C$3:$AM$1001,MATCH($C12,Kalkulation_Platten!$C$3:$C$1001,0),MATCH(E$3,Kalkulation_Platten!$C$3:$AM$3,0))</f>
        <v>87</v>
      </c>
      <c r="F12" s="38">
        <f>INDEX(Kalkulation_Platten!$C$3:$AM$1001,MATCH($C12,Kalkulation_Platten!$C$3:$C$1001,0),MATCH(F$3,Kalkulation_Platten!$C$3:$AM$3,0))</f>
        <v>275</v>
      </c>
      <c r="G12" s="38">
        <f>INDEX(Kalkulation_Platten!$C$3:$AM$1001,MATCH($C12,Kalkulation_Platten!$C$3:$C$1001,0),MATCH(G$3,Kalkulation_Platten!$C$3:$AM$3,0))</f>
        <v>225</v>
      </c>
      <c r="H12" s="38">
        <f>INDEX(Kalkulation_Platten!$C$3:$AM$1001,MATCH($C12,Kalkulation_Platten!$C$3:$C$1001,0),MATCH(H$3,Kalkulation_Platten!$C$3:$AM$3,0))</f>
        <v>237</v>
      </c>
      <c r="J12" s="37" t="s">
        <v>38</v>
      </c>
      <c r="K12" s="37">
        <v>3008</v>
      </c>
      <c r="L12" s="37" t="str">
        <f>VLOOKUP($C12,Kalkulation_Platten!$C$6:$F$611,3,FALSE)&amp;" / "&amp;VLOOKUP($C12,Kalkulation_Platten!$C$6:$F$611,4,FALSE)</f>
        <v>780 / 580</v>
      </c>
      <c r="M12" s="38">
        <f t="shared" si="0"/>
        <v>100</v>
      </c>
      <c r="N12" s="38">
        <f t="shared" si="1"/>
        <v>316</v>
      </c>
      <c r="O12" s="38">
        <f t="shared" si="2"/>
        <v>259</v>
      </c>
      <c r="P12" s="38">
        <f t="shared" si="3"/>
        <v>273</v>
      </c>
      <c r="T12">
        <f t="shared" si="4"/>
        <v>188</v>
      </c>
      <c r="U12">
        <f t="shared" si="5"/>
        <v>-50</v>
      </c>
      <c r="V12">
        <f t="shared" si="6"/>
        <v>12</v>
      </c>
    </row>
    <row r="13" spans="2:23" ht="17.25" x14ac:dyDescent="0.25">
      <c r="B13" s="37" t="s">
        <v>38</v>
      </c>
      <c r="C13" s="37">
        <v>3009</v>
      </c>
      <c r="D13" s="37" t="str">
        <f>VLOOKUP($C13,Kalkulation_Platten!$C$6:$F$611,3,FALSE)&amp;" / "&amp;VLOOKUP($C13,Kalkulation_Platten!$C$6:$F$611,4,FALSE)</f>
        <v>980 / 580</v>
      </c>
      <c r="E13" s="38">
        <f>INDEX(Kalkulation_Platten!$C$3:$AM$1001,MATCH($C13,Kalkulation_Platten!$C$3:$C$1001,0),MATCH(E$3,Kalkulation_Platten!$C$3:$AM$3,0))</f>
        <v>110</v>
      </c>
      <c r="F13" s="38">
        <f>INDEX(Kalkulation_Platten!$C$3:$AM$1001,MATCH($C13,Kalkulation_Platten!$C$3:$C$1001,0),MATCH(F$3,Kalkulation_Platten!$C$3:$AM$3,0))</f>
        <v>355</v>
      </c>
      <c r="G13" s="38">
        <f>INDEX(Kalkulation_Platten!$C$3:$AM$1001,MATCH($C13,Kalkulation_Platten!$C$3:$C$1001,0),MATCH(G$3,Kalkulation_Platten!$C$3:$AM$3,0))</f>
        <v>286</v>
      </c>
      <c r="H13" s="38">
        <f>INDEX(Kalkulation_Platten!$C$3:$AM$1001,MATCH($C13,Kalkulation_Platten!$C$3:$C$1001,0),MATCH(H$3,Kalkulation_Platten!$C$3:$AM$3,0))</f>
        <v>276</v>
      </c>
      <c r="J13" s="37" t="s">
        <v>38</v>
      </c>
      <c r="K13" s="37">
        <v>3009</v>
      </c>
      <c r="L13" s="37" t="str">
        <f>VLOOKUP($C13,Kalkulation_Platten!$C$6:$F$611,3,FALSE)&amp;" / "&amp;VLOOKUP($C13,Kalkulation_Platten!$C$6:$F$611,4,FALSE)</f>
        <v>980 / 580</v>
      </c>
      <c r="M13" s="38">
        <f t="shared" si="0"/>
        <v>127</v>
      </c>
      <c r="N13" s="38">
        <f t="shared" si="1"/>
        <v>408</v>
      </c>
      <c r="O13" s="38">
        <f t="shared" si="2"/>
        <v>329</v>
      </c>
      <c r="P13" s="38">
        <f t="shared" si="3"/>
        <v>317</v>
      </c>
      <c r="T13">
        <f t="shared" si="4"/>
        <v>245</v>
      </c>
      <c r="U13">
        <f t="shared" si="5"/>
        <v>-69</v>
      </c>
      <c r="V13">
        <f t="shared" si="6"/>
        <v>-10</v>
      </c>
    </row>
    <row r="14" spans="2:23" ht="17.25" x14ac:dyDescent="0.25">
      <c r="B14" s="37" t="s">
        <v>38</v>
      </c>
      <c r="C14" s="37">
        <v>3010</v>
      </c>
      <c r="D14" s="37" t="str">
        <f>VLOOKUP($C14,Kalkulation_Platten!$C$6:$F$611,3,FALSE)&amp;" / "&amp;VLOOKUP($C14,Kalkulation_Platten!$C$6:$F$611,4,FALSE)</f>
        <v>780 / 780</v>
      </c>
      <c r="E14" s="38">
        <f>INDEX(Kalkulation_Platten!$C$3:$AM$1001,MATCH($C14,Kalkulation_Platten!$C$3:$C$1001,0),MATCH(E$3,Kalkulation_Platten!$C$3:$AM$3,0))</f>
        <v>113</v>
      </c>
      <c r="F14" s="38">
        <f>INDEX(Kalkulation_Platten!$C$3:$AM$1001,MATCH($C14,Kalkulation_Platten!$C$3:$C$1001,0),MATCH(F$3,Kalkulation_Platten!$C$3:$AM$3,0))</f>
        <v>302</v>
      </c>
      <c r="G14" s="38">
        <f>INDEX(Kalkulation_Platten!$C$3:$AM$1001,MATCH($C14,Kalkulation_Platten!$C$3:$C$1001,0),MATCH(G$3,Kalkulation_Platten!$C$3:$AM$3,0))</f>
        <v>272</v>
      </c>
      <c r="H14" s="38">
        <f>INDEX(Kalkulation_Platten!$C$3:$AM$1001,MATCH($C14,Kalkulation_Platten!$C$3:$C$1001,0),MATCH(H$3,Kalkulation_Platten!$C$3:$AM$3,0))</f>
        <v>295</v>
      </c>
      <c r="J14" s="37" t="s">
        <v>38</v>
      </c>
      <c r="K14" s="37">
        <v>3010</v>
      </c>
      <c r="L14" s="37" t="str">
        <f>VLOOKUP($C14,Kalkulation_Platten!$C$6:$F$611,3,FALSE)&amp;" / "&amp;VLOOKUP($C14,Kalkulation_Platten!$C$6:$F$611,4,FALSE)</f>
        <v>780 / 780</v>
      </c>
      <c r="M14" s="38">
        <f t="shared" si="0"/>
        <v>130</v>
      </c>
      <c r="N14" s="38">
        <f t="shared" si="1"/>
        <v>347</v>
      </c>
      <c r="O14" s="38">
        <f t="shared" si="2"/>
        <v>313</v>
      </c>
      <c r="P14" s="38">
        <f t="shared" si="3"/>
        <v>339</v>
      </c>
      <c r="T14">
        <f t="shared" si="4"/>
        <v>189</v>
      </c>
      <c r="U14">
        <f t="shared" si="5"/>
        <v>-30</v>
      </c>
      <c r="V14">
        <f t="shared" si="6"/>
        <v>23</v>
      </c>
    </row>
    <row r="15" spans="2:23" ht="17.25" x14ac:dyDescent="0.25">
      <c r="B15" s="37" t="s">
        <v>38</v>
      </c>
      <c r="C15" s="37">
        <v>3011</v>
      </c>
      <c r="D15" s="37" t="str">
        <f>VLOOKUP($C15,Kalkulation_Platten!$C$6:$F$611,3,FALSE)&amp;" / "&amp;VLOOKUP($C15,Kalkulation_Platten!$C$6:$F$611,4,FALSE)</f>
        <v>980 / 780</v>
      </c>
      <c r="E15" s="38">
        <f>INDEX(Kalkulation_Platten!$C$3:$AM$1001,MATCH($C15,Kalkulation_Platten!$C$3:$C$1001,0),MATCH(E$3,Kalkulation_Platten!$C$3:$AM$3,0))</f>
        <v>139</v>
      </c>
      <c r="F15" s="38">
        <f>INDEX(Kalkulation_Platten!$C$3:$AM$1001,MATCH($C15,Kalkulation_Platten!$C$3:$C$1001,0),MATCH(F$3,Kalkulation_Platten!$C$3:$AM$3,0))</f>
        <v>416</v>
      </c>
      <c r="G15" s="38">
        <f>INDEX(Kalkulation_Platten!$C$3:$AM$1001,MATCH($C15,Kalkulation_Platten!$C$3:$C$1001,0),MATCH(G$3,Kalkulation_Platten!$C$3:$AM$3,0))</f>
        <v>216</v>
      </c>
      <c r="H15" s="38">
        <f>INDEX(Kalkulation_Platten!$C$3:$AM$1001,MATCH($C15,Kalkulation_Platten!$C$3:$C$1001,0),MATCH(H$3,Kalkulation_Platten!$C$3:$AM$3,0))</f>
        <v>406</v>
      </c>
      <c r="J15" s="37" t="s">
        <v>38</v>
      </c>
      <c r="K15" s="37">
        <v>3011</v>
      </c>
      <c r="L15" s="37" t="str">
        <f>VLOOKUP($C15,Kalkulation_Platten!$C$6:$F$611,3,FALSE)&amp;" / "&amp;VLOOKUP($C15,Kalkulation_Platten!$C$6:$F$611,4,FALSE)</f>
        <v>980 / 780</v>
      </c>
      <c r="M15" s="38">
        <f t="shared" si="0"/>
        <v>160</v>
      </c>
      <c r="N15" s="38">
        <f t="shared" si="1"/>
        <v>478</v>
      </c>
      <c r="O15" s="38">
        <f t="shared" si="2"/>
        <v>248</v>
      </c>
      <c r="P15" s="38">
        <f t="shared" si="3"/>
        <v>467</v>
      </c>
      <c r="T15">
        <f t="shared" si="4"/>
        <v>277</v>
      </c>
      <c r="U15">
        <f t="shared" si="5"/>
        <v>-200</v>
      </c>
      <c r="V15">
        <f t="shared" si="6"/>
        <v>190</v>
      </c>
    </row>
    <row r="16" spans="2:23" ht="17.25" x14ac:dyDescent="0.25">
      <c r="B16" s="37" t="s">
        <v>38</v>
      </c>
      <c r="C16" s="37">
        <v>3012</v>
      </c>
      <c r="D16" s="37" t="str">
        <f>VLOOKUP($C16,Kalkulation_Platten!$C$6:$F$611,3,FALSE)&amp;" / "&amp;VLOOKUP($C16,Kalkulation_Platten!$C$6:$F$611,4,FALSE)</f>
        <v>980 / 980</v>
      </c>
      <c r="E16" s="38">
        <f>INDEX(Kalkulation_Platten!$C$3:$AM$1001,MATCH($C16,Kalkulation_Platten!$C$3:$C$1001,0),MATCH(E$3,Kalkulation_Platten!$C$3:$AM$3,0))</f>
        <v>180</v>
      </c>
      <c r="F16" s="38">
        <f>INDEX(Kalkulation_Platten!$C$3:$AM$1001,MATCH($C16,Kalkulation_Platten!$C$3:$C$1001,0),MATCH(F$3,Kalkulation_Platten!$C$3:$AM$3,0))</f>
        <v>496</v>
      </c>
      <c r="G16" s="38">
        <f>INDEX(Kalkulation_Platten!$C$3:$AM$1001,MATCH($C16,Kalkulation_Platten!$C$3:$C$1001,0),MATCH(G$3,Kalkulation_Platten!$C$3:$AM$3,0))</f>
        <v>257</v>
      </c>
      <c r="H16" s="38">
        <f>INDEX(Kalkulation_Platten!$C$3:$AM$1001,MATCH($C16,Kalkulation_Platten!$C$3:$C$1001,0),MATCH(H$3,Kalkulation_Platten!$C$3:$AM$3,0))</f>
        <v>483</v>
      </c>
      <c r="J16" s="37" t="s">
        <v>38</v>
      </c>
      <c r="K16" s="37">
        <v>3012</v>
      </c>
      <c r="L16" s="37" t="str">
        <f>VLOOKUP($C16,Kalkulation_Platten!$C$6:$F$611,3,FALSE)&amp;" / "&amp;VLOOKUP($C16,Kalkulation_Platten!$C$6:$F$611,4,FALSE)</f>
        <v>980 / 980</v>
      </c>
      <c r="M16" s="38">
        <f t="shared" si="0"/>
        <v>207</v>
      </c>
      <c r="N16" s="38">
        <f t="shared" si="1"/>
        <v>570</v>
      </c>
      <c r="O16" s="38">
        <f t="shared" si="2"/>
        <v>296</v>
      </c>
      <c r="P16" s="38">
        <f t="shared" si="3"/>
        <v>555</v>
      </c>
      <c r="T16">
        <f t="shared" si="4"/>
        <v>316</v>
      </c>
      <c r="U16">
        <f t="shared" si="5"/>
        <v>-239</v>
      </c>
      <c r="V16">
        <f t="shared" si="6"/>
        <v>226</v>
      </c>
    </row>
    <row r="17" spans="2:22" ht="17.25" x14ac:dyDescent="0.25">
      <c r="B17" s="37" t="s">
        <v>38</v>
      </c>
      <c r="C17" s="37">
        <v>3013</v>
      </c>
      <c r="D17" s="37" t="str">
        <f>VLOOKUP($C17,Kalkulation_Platten!$C$6:$F$611,3,FALSE)&amp;" / "&amp;VLOOKUP($C17,Kalkulation_Platten!$C$6:$F$611,4,FALSE)</f>
        <v>420 / 780</v>
      </c>
      <c r="E17" s="38">
        <f>INDEX(Kalkulation_Platten!$C$3:$AM$1001,MATCH($C17,Kalkulation_Platten!$C$3:$C$1001,0),MATCH(E$3,Kalkulation_Platten!$C$3:$AM$3,0))</f>
        <v>71</v>
      </c>
      <c r="F17" s="38">
        <f>INDEX(Kalkulation_Platten!$C$3:$AM$1001,MATCH($C17,Kalkulation_Platten!$C$3:$C$1001,0),MATCH(F$3,Kalkulation_Platten!$C$3:$AM$3,0))</f>
        <v>219</v>
      </c>
      <c r="G17" s="38">
        <f>INDEX(Kalkulation_Platten!$C$3:$AM$1001,MATCH($C17,Kalkulation_Platten!$C$3:$C$1001,0),MATCH(G$3,Kalkulation_Platten!$C$3:$AM$3,0))</f>
        <v>113</v>
      </c>
      <c r="H17" s="38">
        <f>INDEX(Kalkulation_Platten!$C$3:$AM$1001,MATCH($C17,Kalkulation_Platten!$C$3:$C$1001,0),MATCH(H$3,Kalkulation_Platten!$C$3:$AM$3,0))</f>
        <v>213</v>
      </c>
      <c r="J17" s="37" t="s">
        <v>38</v>
      </c>
      <c r="K17" s="37">
        <v>3013</v>
      </c>
      <c r="L17" s="37" t="str">
        <f>VLOOKUP($C17,Kalkulation_Platten!$C$6:$F$611,3,FALSE)&amp;" / "&amp;VLOOKUP($C17,Kalkulation_Platten!$C$6:$F$611,4,FALSE)</f>
        <v>420 / 780</v>
      </c>
      <c r="M17" s="38">
        <f t="shared" si="0"/>
        <v>82</v>
      </c>
      <c r="N17" s="38">
        <f t="shared" si="1"/>
        <v>252</v>
      </c>
      <c r="O17" s="38">
        <f t="shared" si="2"/>
        <v>130</v>
      </c>
      <c r="P17" s="38">
        <f t="shared" si="3"/>
        <v>245</v>
      </c>
      <c r="T17">
        <f t="shared" si="4"/>
        <v>148</v>
      </c>
      <c r="U17">
        <f t="shared" si="5"/>
        <v>-106</v>
      </c>
      <c r="V17">
        <f t="shared" si="6"/>
        <v>100</v>
      </c>
    </row>
    <row r="18" spans="2:22" ht="17.25" x14ac:dyDescent="0.25">
      <c r="B18" s="37" t="s">
        <v>38</v>
      </c>
      <c r="C18" s="37">
        <v>3014</v>
      </c>
      <c r="D18" s="37" t="str">
        <f>VLOOKUP($C18,Kalkulation_Platten!$C$6:$F$611,3,FALSE)&amp;" / "&amp;VLOOKUP($C18,Kalkulation_Platten!$C$6:$F$611,4,FALSE)</f>
        <v>420 / 980</v>
      </c>
      <c r="E18" s="38">
        <f>INDEX(Kalkulation_Platten!$C$3:$AM$1001,MATCH($C18,Kalkulation_Platten!$C$3:$C$1001,0),MATCH(E$3,Kalkulation_Platten!$C$3:$AM$3,0))</f>
        <v>88</v>
      </c>
      <c r="F18" s="38">
        <f>INDEX(Kalkulation_Platten!$C$3:$AM$1001,MATCH($C18,Kalkulation_Platten!$C$3:$C$1001,0),MATCH(F$3,Kalkulation_Platten!$C$3:$AM$3,0))</f>
        <v>247</v>
      </c>
      <c r="G18" s="38">
        <f>INDEX(Kalkulation_Platten!$C$3:$AM$1001,MATCH($C18,Kalkulation_Platten!$C$3:$C$1001,0),MATCH(G$3,Kalkulation_Platten!$C$3:$AM$3,0))</f>
        <v>128</v>
      </c>
      <c r="H18" s="38">
        <f>INDEX(Kalkulation_Platten!$C$3:$AM$1001,MATCH($C18,Kalkulation_Platten!$C$3:$C$1001,0),MATCH(H$3,Kalkulation_Platten!$C$3:$AM$3,0))</f>
        <v>241</v>
      </c>
      <c r="J18" s="37" t="s">
        <v>38</v>
      </c>
      <c r="K18" s="37">
        <v>3014</v>
      </c>
      <c r="L18" s="37" t="str">
        <f>VLOOKUP($C18,Kalkulation_Platten!$C$6:$F$611,3,FALSE)&amp;" / "&amp;VLOOKUP($C18,Kalkulation_Platten!$C$6:$F$611,4,FALSE)</f>
        <v>420 / 980</v>
      </c>
      <c r="M18" s="38">
        <f t="shared" si="0"/>
        <v>101</v>
      </c>
      <c r="N18" s="38">
        <f t="shared" si="1"/>
        <v>284</v>
      </c>
      <c r="O18" s="38">
        <f t="shared" si="2"/>
        <v>147</v>
      </c>
      <c r="P18" s="38">
        <f t="shared" si="3"/>
        <v>277</v>
      </c>
      <c r="T18">
        <f t="shared" si="4"/>
        <v>159</v>
      </c>
      <c r="U18">
        <f t="shared" si="5"/>
        <v>-119</v>
      </c>
      <c r="V18">
        <f t="shared" si="6"/>
        <v>113</v>
      </c>
    </row>
    <row r="19" spans="2:22" x14ac:dyDescent="0.25">
      <c r="T19">
        <f t="shared" si="4"/>
        <v>0</v>
      </c>
      <c r="U19">
        <f t="shared" si="5"/>
        <v>0</v>
      </c>
      <c r="V19">
        <f t="shared" si="6"/>
        <v>0</v>
      </c>
    </row>
    <row r="20" spans="2:22" ht="18" thickBot="1" x14ac:dyDescent="0.3">
      <c r="B20" s="33" t="s">
        <v>74</v>
      </c>
      <c r="C20" s="33" t="s">
        <v>76</v>
      </c>
      <c r="D20" s="33" t="s">
        <v>75</v>
      </c>
      <c r="E20" s="34" t="s">
        <v>52</v>
      </c>
      <c r="F20" s="34" t="s">
        <v>51</v>
      </c>
      <c r="G20" s="34" t="s">
        <v>50</v>
      </c>
      <c r="H20" s="34" t="s">
        <v>49</v>
      </c>
      <c r="J20" s="33" t="s">
        <v>74</v>
      </c>
      <c r="K20" s="33" t="s">
        <v>76</v>
      </c>
      <c r="L20" s="33" t="s">
        <v>75</v>
      </c>
      <c r="M20" s="34" t="s">
        <v>52</v>
      </c>
      <c r="N20" s="34" t="s">
        <v>51</v>
      </c>
      <c r="O20" s="34" t="s">
        <v>50</v>
      </c>
      <c r="P20" s="34" t="s">
        <v>49</v>
      </c>
      <c r="T20" t="str">
        <f t="shared" si="4"/>
        <v/>
      </c>
      <c r="U20" t="str">
        <f t="shared" si="5"/>
        <v/>
      </c>
      <c r="V20" t="str">
        <f t="shared" si="6"/>
        <v/>
      </c>
    </row>
    <row r="21" spans="2:22" ht="17.25" x14ac:dyDescent="0.25">
      <c r="B21" s="35" t="s">
        <v>35</v>
      </c>
      <c r="C21" s="35">
        <v>3100</v>
      </c>
      <c r="D21" s="35" t="str">
        <f>VLOOKUP($C21,Kalkulation_Platten!$C$6:$F$611,3,FALSE)&amp;" / "&amp;VLOOKUP($C21,Kalkulation_Platten!$C$6:$F$611,4,FALSE)</f>
        <v>360 / 180</v>
      </c>
      <c r="E21" s="36">
        <f>INDEX(Kalkulation_Platten!$C$3:$AM$1001,MATCH($C21,Kalkulation_Platten!$C$3:$C$1001,0),MATCH(E$3,Kalkulation_Platten!$C$3:$AM$3,0))</f>
        <v>34</v>
      </c>
      <c r="F21" s="36">
        <f>INDEX(Kalkulation_Platten!$C$3:$AM$1001,MATCH($C21,Kalkulation_Platten!$C$3:$C$1001,0),MATCH(F$3,Kalkulation_Platten!$C$3:$AM$3,0))</f>
        <v>114</v>
      </c>
      <c r="G21" s="36">
        <f>INDEX(Kalkulation_Platten!$C$3:$AM$1001,MATCH($C21,Kalkulation_Platten!$C$3:$C$1001,0),MATCH(G$3,Kalkulation_Platten!$C$3:$AM$3,0))</f>
        <v>89</v>
      </c>
      <c r="H21" s="36">
        <f>INDEX(Kalkulation_Platten!$C$3:$AM$1001,MATCH($C21,Kalkulation_Platten!$C$3:$C$1001,0),MATCH(H$3,Kalkulation_Platten!$C$3:$AM$3,0))</f>
        <v>201</v>
      </c>
      <c r="J21" s="35" t="s">
        <v>35</v>
      </c>
      <c r="K21" s="35">
        <v>3100</v>
      </c>
      <c r="L21" s="35" t="str">
        <f>VLOOKUP($C21,Kalkulation_Platten!$C$6:$F$611,3,FALSE)&amp;" / "&amp;VLOOKUP($C21,Kalkulation_Platten!$C$6:$F$611,4,FALSE)</f>
        <v>360 / 180</v>
      </c>
      <c r="M21" s="36">
        <f t="shared" ref="M21:M45" si="7">IFERROR(ROUND(E21*(1+$R$2),0),"-")</f>
        <v>39</v>
      </c>
      <c r="N21" s="36">
        <f t="shared" ref="N21:N45" si="8">IFERROR(ROUND(F21*(1+$R$2),0),"-")</f>
        <v>131</v>
      </c>
      <c r="O21" s="36">
        <f t="shared" ref="O21:O45" si="9">IFERROR(ROUND(G21*(1+$R$2),0),"-")</f>
        <v>102</v>
      </c>
      <c r="P21" s="36">
        <f t="shared" ref="P21:P45" si="10">IFERROR(ROUND(H21*(1+$R$2),0),"-")</f>
        <v>231</v>
      </c>
      <c r="T21">
        <f t="shared" si="4"/>
        <v>80</v>
      </c>
      <c r="U21">
        <f t="shared" si="5"/>
        <v>-25</v>
      </c>
      <c r="V21">
        <f t="shared" si="6"/>
        <v>112</v>
      </c>
    </row>
    <row r="22" spans="2:22" ht="17.25" x14ac:dyDescent="0.25">
      <c r="B22" s="37" t="s">
        <v>35</v>
      </c>
      <c r="C22" s="37">
        <v>3101</v>
      </c>
      <c r="D22" s="37" t="str">
        <f>VLOOKUP($C22,Kalkulation_Platten!$C$6:$F$611,3,FALSE)&amp;" / "&amp;VLOOKUP($C22,Kalkulation_Platten!$C$6:$F$611,4,FALSE)</f>
        <v>360 / 360</v>
      </c>
      <c r="E22" s="38">
        <f>INDEX(Kalkulation_Platten!$C$3:$AM$1001,MATCH($C22,Kalkulation_Platten!$C$3:$C$1001,0),MATCH(E$3,Kalkulation_Platten!$C$3:$AM$3,0))</f>
        <v>34</v>
      </c>
      <c r="F22" s="38">
        <f>INDEX(Kalkulation_Platten!$C$3:$AM$1001,MATCH($C22,Kalkulation_Platten!$C$3:$C$1001,0),MATCH(F$3,Kalkulation_Platten!$C$3:$AM$3,0))</f>
        <v>114</v>
      </c>
      <c r="G22" s="38">
        <f>INDEX(Kalkulation_Platten!$C$3:$AM$1001,MATCH($C22,Kalkulation_Platten!$C$3:$C$1001,0),MATCH(G$3,Kalkulation_Platten!$C$3:$AM$3,0))</f>
        <v>89</v>
      </c>
      <c r="H22" s="38">
        <f>INDEX(Kalkulation_Platten!$C$3:$AM$1001,MATCH($C22,Kalkulation_Platten!$C$3:$C$1001,0),MATCH(H$3,Kalkulation_Platten!$C$3:$AM$3,0))</f>
        <v>177</v>
      </c>
      <c r="J22" s="37" t="s">
        <v>35</v>
      </c>
      <c r="K22" s="37">
        <v>3101</v>
      </c>
      <c r="L22" s="37" t="str">
        <f>VLOOKUP($C22,Kalkulation_Platten!$C$6:$F$611,3,FALSE)&amp;" / "&amp;VLOOKUP($C22,Kalkulation_Platten!$C$6:$F$611,4,FALSE)</f>
        <v>360 / 360</v>
      </c>
      <c r="M22" s="38">
        <f t="shared" si="7"/>
        <v>39</v>
      </c>
      <c r="N22" s="38">
        <f t="shared" si="8"/>
        <v>131</v>
      </c>
      <c r="O22" s="38">
        <f t="shared" si="9"/>
        <v>102</v>
      </c>
      <c r="P22" s="38">
        <f t="shared" si="10"/>
        <v>204</v>
      </c>
      <c r="T22">
        <f t="shared" si="4"/>
        <v>80</v>
      </c>
      <c r="U22">
        <f t="shared" si="5"/>
        <v>-25</v>
      </c>
      <c r="V22">
        <f t="shared" si="6"/>
        <v>88</v>
      </c>
    </row>
    <row r="23" spans="2:22" ht="17.25" x14ac:dyDescent="0.25">
      <c r="B23" s="37" t="s">
        <v>35</v>
      </c>
      <c r="C23" s="37">
        <v>3102</v>
      </c>
      <c r="D23" s="37" t="str">
        <f>VLOOKUP($C23,Kalkulation_Platten!$C$6:$F$611,3,FALSE)&amp;" / "&amp;VLOOKUP($C23,Kalkulation_Platten!$C$6:$F$611,4,FALSE)</f>
        <v>360 / 720</v>
      </c>
      <c r="E23" s="38">
        <f>INDEX(Kalkulation_Platten!$C$3:$AM$1001,MATCH($C23,Kalkulation_Platten!$C$3:$C$1001,0),MATCH(E$3,Kalkulation_Platten!$C$3:$AM$3,0))</f>
        <v>52</v>
      </c>
      <c r="F23" s="38">
        <f>INDEX(Kalkulation_Platten!$C$3:$AM$1001,MATCH($C23,Kalkulation_Platten!$C$3:$C$1001,0),MATCH(F$3,Kalkulation_Platten!$C$3:$AM$3,0))</f>
        <v>181</v>
      </c>
      <c r="G23" s="38">
        <f>INDEX(Kalkulation_Platten!$C$3:$AM$1001,MATCH($C23,Kalkulation_Platten!$C$3:$C$1001,0),MATCH(G$3,Kalkulation_Platten!$C$3:$AM$3,0))</f>
        <v>143</v>
      </c>
      <c r="H23" s="38">
        <f>INDEX(Kalkulation_Platten!$C$3:$AM$1001,MATCH($C23,Kalkulation_Platten!$C$3:$C$1001,0),MATCH(H$3,Kalkulation_Platten!$C$3:$AM$3,0))</f>
        <v>212</v>
      </c>
      <c r="J23" s="37" t="s">
        <v>35</v>
      </c>
      <c r="K23" s="37">
        <v>3102</v>
      </c>
      <c r="L23" s="37" t="str">
        <f>VLOOKUP($C23,Kalkulation_Platten!$C$6:$F$611,3,FALSE)&amp;" / "&amp;VLOOKUP($C23,Kalkulation_Platten!$C$6:$F$611,4,FALSE)</f>
        <v>360 / 720</v>
      </c>
      <c r="M23" s="38">
        <f t="shared" si="7"/>
        <v>60</v>
      </c>
      <c r="N23" s="38">
        <f t="shared" si="8"/>
        <v>208</v>
      </c>
      <c r="O23" s="38">
        <f t="shared" si="9"/>
        <v>164</v>
      </c>
      <c r="P23" s="38">
        <f t="shared" si="10"/>
        <v>244</v>
      </c>
      <c r="T23">
        <f t="shared" si="4"/>
        <v>129</v>
      </c>
      <c r="U23">
        <f t="shared" si="5"/>
        <v>-38</v>
      </c>
      <c r="V23">
        <f t="shared" si="6"/>
        <v>69</v>
      </c>
    </row>
    <row r="24" spans="2:22" ht="17.25" x14ac:dyDescent="0.25">
      <c r="B24" s="37" t="s">
        <v>35</v>
      </c>
      <c r="C24" s="37">
        <v>3103</v>
      </c>
      <c r="D24" s="37" t="str">
        <f>VLOOKUP($C24,Kalkulation_Platten!$C$6:$F$611,3,FALSE)&amp;" / "&amp;VLOOKUP($C24,Kalkulation_Platten!$C$6:$F$611,4,FALSE)</f>
        <v>360 / 1080</v>
      </c>
      <c r="E24" s="38">
        <f>INDEX(Kalkulation_Platten!$C$3:$AM$1001,MATCH($C24,Kalkulation_Platten!$C$3:$C$1001,0),MATCH(E$3,Kalkulation_Platten!$C$3:$AM$3,0))</f>
        <v>76</v>
      </c>
      <c r="F24" s="38">
        <f>INDEX(Kalkulation_Platten!$C$3:$AM$1001,MATCH($C24,Kalkulation_Platten!$C$3:$C$1001,0),MATCH(F$3,Kalkulation_Platten!$C$3:$AM$3,0))</f>
        <v>267</v>
      </c>
      <c r="G24" s="38">
        <f>INDEX(Kalkulation_Platten!$C$3:$AM$1001,MATCH($C24,Kalkulation_Platten!$C$3:$C$1001,0),MATCH(G$3,Kalkulation_Platten!$C$3:$AM$3,0))</f>
        <v>222</v>
      </c>
      <c r="H24" s="38">
        <f>INDEX(Kalkulation_Platten!$C$3:$AM$1001,MATCH($C24,Kalkulation_Platten!$C$3:$C$1001,0),MATCH(H$3,Kalkulation_Platten!$C$3:$AM$3,0))</f>
        <v>240</v>
      </c>
      <c r="J24" s="37" t="s">
        <v>35</v>
      </c>
      <c r="K24" s="37">
        <v>3103</v>
      </c>
      <c r="L24" s="37" t="str">
        <f>VLOOKUP($C24,Kalkulation_Platten!$C$6:$F$611,3,FALSE)&amp;" / "&amp;VLOOKUP($C24,Kalkulation_Platten!$C$6:$F$611,4,FALSE)</f>
        <v>360 / 1080</v>
      </c>
      <c r="M24" s="38">
        <f t="shared" si="7"/>
        <v>87</v>
      </c>
      <c r="N24" s="38">
        <f t="shared" si="8"/>
        <v>307</v>
      </c>
      <c r="O24" s="38">
        <f t="shared" si="9"/>
        <v>255</v>
      </c>
      <c r="P24" s="38">
        <f t="shared" si="10"/>
        <v>276</v>
      </c>
      <c r="T24">
        <f t="shared" si="4"/>
        <v>191</v>
      </c>
      <c r="U24">
        <f t="shared" si="5"/>
        <v>-45</v>
      </c>
      <c r="V24">
        <f t="shared" si="6"/>
        <v>18</v>
      </c>
    </row>
    <row r="25" spans="2:22" ht="17.25" x14ac:dyDescent="0.25">
      <c r="B25" s="37" t="s">
        <v>35</v>
      </c>
      <c r="C25" s="37">
        <v>3104</v>
      </c>
      <c r="D25" s="37" t="str">
        <f>VLOOKUP($C25,Kalkulation_Platten!$C$6:$F$611,3,FALSE)&amp;" / "&amp;VLOOKUP($C25,Kalkulation_Platten!$C$6:$F$611,4,FALSE)</f>
        <v>360 / 1440</v>
      </c>
      <c r="E25" s="38">
        <f>INDEX(Kalkulation_Platten!$C$3:$AM$1001,MATCH($C25,Kalkulation_Platten!$C$3:$C$1001,0),MATCH(E$3,Kalkulation_Platten!$C$3:$AM$3,0))</f>
        <v>100</v>
      </c>
      <c r="F25" s="38">
        <f>INDEX(Kalkulation_Platten!$C$3:$AM$1001,MATCH($C25,Kalkulation_Platten!$C$3:$C$1001,0),MATCH(F$3,Kalkulation_Platten!$C$3:$AM$3,0))</f>
        <v>336</v>
      </c>
      <c r="G25" s="38">
        <f>INDEX(Kalkulation_Platten!$C$3:$AM$1001,MATCH($C25,Kalkulation_Platten!$C$3:$C$1001,0),MATCH(G$3,Kalkulation_Platten!$C$3:$AM$3,0))</f>
        <v>281</v>
      </c>
      <c r="H25" s="38">
        <f>INDEX(Kalkulation_Platten!$C$3:$AM$1001,MATCH($C25,Kalkulation_Platten!$C$3:$C$1001,0),MATCH(H$3,Kalkulation_Platten!$C$3:$AM$3,0))</f>
        <v>529</v>
      </c>
      <c r="J25" s="37" t="s">
        <v>35</v>
      </c>
      <c r="K25" s="37">
        <v>3104</v>
      </c>
      <c r="L25" s="37" t="str">
        <f>VLOOKUP($C25,Kalkulation_Platten!$C$6:$F$611,3,FALSE)&amp;" / "&amp;VLOOKUP($C25,Kalkulation_Platten!$C$6:$F$611,4,FALSE)</f>
        <v>360 / 1440</v>
      </c>
      <c r="M25" s="38">
        <f t="shared" si="7"/>
        <v>115</v>
      </c>
      <c r="N25" s="38">
        <f t="shared" si="8"/>
        <v>386</v>
      </c>
      <c r="O25" s="38">
        <f t="shared" si="9"/>
        <v>323</v>
      </c>
      <c r="P25" s="38">
        <f t="shared" si="10"/>
        <v>608</v>
      </c>
      <c r="T25">
        <f t="shared" si="4"/>
        <v>236</v>
      </c>
      <c r="U25">
        <f t="shared" si="5"/>
        <v>-55</v>
      </c>
      <c r="V25">
        <f t="shared" si="6"/>
        <v>248</v>
      </c>
    </row>
    <row r="26" spans="2:22" ht="17.25" x14ac:dyDescent="0.25">
      <c r="B26" s="37" t="s">
        <v>35</v>
      </c>
      <c r="C26" s="37">
        <v>3105</v>
      </c>
      <c r="D26" s="37" t="str">
        <f>VLOOKUP($C26,Kalkulation_Platten!$C$6:$F$611,3,FALSE)&amp;" / "&amp;VLOOKUP($C26,Kalkulation_Platten!$C$6:$F$611,4,FALSE)</f>
        <v>360 / 1800</v>
      </c>
      <c r="E26" s="38">
        <f>INDEX(Kalkulation_Platten!$C$3:$AM$1001,MATCH($C26,Kalkulation_Platten!$C$3:$C$1001,0),MATCH(E$3,Kalkulation_Platten!$C$3:$AM$3,0))</f>
        <v>125</v>
      </c>
      <c r="F26" s="38">
        <f>INDEX(Kalkulation_Platten!$C$3:$AM$1001,MATCH($C26,Kalkulation_Platten!$C$3:$C$1001,0),MATCH(F$3,Kalkulation_Platten!$C$3:$AM$3,0))</f>
        <v>246</v>
      </c>
      <c r="G26" s="38">
        <f>INDEX(Kalkulation_Platten!$C$3:$AM$1001,MATCH($C26,Kalkulation_Platten!$C$3:$C$1001,0),MATCH(G$3,Kalkulation_Platten!$C$3:$AM$3,0))</f>
        <v>343</v>
      </c>
      <c r="H26" s="38">
        <f>INDEX(Kalkulation_Platten!$C$3:$AM$1001,MATCH($C26,Kalkulation_Platten!$C$3:$C$1001,0),MATCH(H$3,Kalkulation_Platten!$C$3:$AM$3,0))</f>
        <v>645</v>
      </c>
      <c r="J26" s="37" t="s">
        <v>35</v>
      </c>
      <c r="K26" s="37">
        <v>3105</v>
      </c>
      <c r="L26" s="37" t="str">
        <f>VLOOKUP($C26,Kalkulation_Platten!$C$6:$F$611,3,FALSE)&amp;" / "&amp;VLOOKUP($C26,Kalkulation_Platten!$C$6:$F$611,4,FALSE)</f>
        <v>360 / 1800</v>
      </c>
      <c r="M26" s="38">
        <f t="shared" si="7"/>
        <v>144</v>
      </c>
      <c r="N26" s="38">
        <f t="shared" si="8"/>
        <v>283</v>
      </c>
      <c r="O26" s="38">
        <f t="shared" si="9"/>
        <v>394</v>
      </c>
      <c r="P26" s="38">
        <f t="shared" si="10"/>
        <v>742</v>
      </c>
      <c r="T26">
        <f t="shared" si="4"/>
        <v>121</v>
      </c>
      <c r="U26">
        <f t="shared" si="5"/>
        <v>97</v>
      </c>
      <c r="V26">
        <f t="shared" si="6"/>
        <v>302</v>
      </c>
    </row>
    <row r="27" spans="2:22" ht="17.25" x14ac:dyDescent="0.25">
      <c r="B27" s="37" t="s">
        <v>35</v>
      </c>
      <c r="C27" s="37">
        <v>3106</v>
      </c>
      <c r="D27" s="37" t="str">
        <f>VLOOKUP($C27,Kalkulation_Platten!$C$6:$F$611,3,FALSE)&amp;" / "&amp;VLOOKUP($C27,Kalkulation_Platten!$C$6:$F$611,4,FALSE)</f>
        <v>580 / 180</v>
      </c>
      <c r="E27" s="38">
        <f>INDEX(Kalkulation_Platten!$C$3:$AM$1001,MATCH($C27,Kalkulation_Platten!$C$3:$C$1001,0),MATCH(E$3,Kalkulation_Platten!$C$3:$AM$3,0))</f>
        <v>43</v>
      </c>
      <c r="F27" s="38">
        <f>INDEX(Kalkulation_Platten!$C$3:$AM$1001,MATCH($C27,Kalkulation_Platten!$C$3:$C$1001,0),MATCH(F$3,Kalkulation_Platten!$C$3:$AM$3,0))</f>
        <v>161</v>
      </c>
      <c r="G27" s="38">
        <f>INDEX(Kalkulation_Platten!$C$3:$AM$1001,MATCH($C27,Kalkulation_Platten!$C$3:$C$1001,0),MATCH(G$3,Kalkulation_Platten!$C$3:$AM$3,0))</f>
        <v>130</v>
      </c>
      <c r="H27" s="38">
        <f>INDEX(Kalkulation_Platten!$C$3:$AM$1001,MATCH($C27,Kalkulation_Platten!$C$3:$C$1001,0),MATCH(H$3,Kalkulation_Platten!$C$3:$AM$3,0))</f>
        <v>208</v>
      </c>
      <c r="J27" s="37" t="s">
        <v>35</v>
      </c>
      <c r="K27" s="37">
        <v>3106</v>
      </c>
      <c r="L27" s="37" t="str">
        <f>VLOOKUP($C27,Kalkulation_Platten!$C$6:$F$611,3,FALSE)&amp;" / "&amp;VLOOKUP($C27,Kalkulation_Platten!$C$6:$F$611,4,FALSE)</f>
        <v>580 / 180</v>
      </c>
      <c r="M27" s="38">
        <f t="shared" si="7"/>
        <v>49</v>
      </c>
      <c r="N27" s="38">
        <f t="shared" si="8"/>
        <v>185</v>
      </c>
      <c r="O27" s="38">
        <f t="shared" si="9"/>
        <v>150</v>
      </c>
      <c r="P27" s="38">
        <f t="shared" si="10"/>
        <v>239</v>
      </c>
      <c r="T27">
        <f t="shared" si="4"/>
        <v>118</v>
      </c>
      <c r="U27">
        <f t="shared" si="5"/>
        <v>-31</v>
      </c>
      <c r="V27">
        <f t="shared" si="6"/>
        <v>78</v>
      </c>
    </row>
    <row r="28" spans="2:22" ht="17.25" x14ac:dyDescent="0.25">
      <c r="B28" s="37" t="s">
        <v>35</v>
      </c>
      <c r="C28" s="37">
        <v>3107</v>
      </c>
      <c r="D28" s="37" t="str">
        <f>VLOOKUP($C28,Kalkulation_Platten!$C$6:$F$611,3,FALSE)&amp;" / "&amp;VLOOKUP($C28,Kalkulation_Platten!$C$6:$F$611,4,FALSE)</f>
        <v>580 / 360</v>
      </c>
      <c r="E28" s="38">
        <f>INDEX(Kalkulation_Platten!$C$3:$AM$1001,MATCH($C28,Kalkulation_Platten!$C$3:$C$1001,0),MATCH(E$3,Kalkulation_Platten!$C$3:$AM$3,0))</f>
        <v>43</v>
      </c>
      <c r="F28" s="38">
        <f>INDEX(Kalkulation_Platten!$C$3:$AM$1001,MATCH($C28,Kalkulation_Platten!$C$3:$C$1001,0),MATCH(F$3,Kalkulation_Platten!$C$3:$AM$3,0))</f>
        <v>161</v>
      </c>
      <c r="G28" s="38">
        <f>INDEX(Kalkulation_Platten!$C$3:$AM$1001,MATCH($C28,Kalkulation_Platten!$C$3:$C$1001,0),MATCH(G$3,Kalkulation_Platten!$C$3:$AM$3,0))</f>
        <v>130</v>
      </c>
      <c r="H28" s="38">
        <f>INDEX(Kalkulation_Platten!$C$3:$AM$1001,MATCH($C28,Kalkulation_Platten!$C$3:$C$1001,0),MATCH(H$3,Kalkulation_Platten!$C$3:$AM$3,0))</f>
        <v>185</v>
      </c>
      <c r="J28" s="37" t="s">
        <v>35</v>
      </c>
      <c r="K28" s="37">
        <v>3107</v>
      </c>
      <c r="L28" s="37" t="str">
        <f>VLOOKUP($C28,Kalkulation_Platten!$C$6:$F$611,3,FALSE)&amp;" / "&amp;VLOOKUP($C28,Kalkulation_Platten!$C$6:$F$611,4,FALSE)</f>
        <v>580 / 360</v>
      </c>
      <c r="M28" s="38">
        <f t="shared" si="7"/>
        <v>49</v>
      </c>
      <c r="N28" s="38">
        <f t="shared" si="8"/>
        <v>185</v>
      </c>
      <c r="O28" s="38">
        <f t="shared" si="9"/>
        <v>150</v>
      </c>
      <c r="P28" s="38">
        <f t="shared" si="10"/>
        <v>213</v>
      </c>
      <c r="T28">
        <f t="shared" si="4"/>
        <v>118</v>
      </c>
      <c r="U28">
        <f t="shared" si="5"/>
        <v>-31</v>
      </c>
      <c r="V28">
        <f t="shared" si="6"/>
        <v>55</v>
      </c>
    </row>
    <row r="29" spans="2:22" ht="17.25" x14ac:dyDescent="0.25">
      <c r="B29" s="37" t="s">
        <v>35</v>
      </c>
      <c r="C29" s="37">
        <v>3108</v>
      </c>
      <c r="D29" s="37" t="str">
        <f>VLOOKUP($C29,Kalkulation_Platten!$C$6:$F$611,3,FALSE)&amp;" / "&amp;VLOOKUP($C29,Kalkulation_Platten!$C$6:$F$611,4,FALSE)</f>
        <v>580 / 720</v>
      </c>
      <c r="E29" s="38">
        <f>INDEX(Kalkulation_Platten!$C$3:$AM$1001,MATCH($C29,Kalkulation_Platten!$C$3:$C$1001,0),MATCH(E$3,Kalkulation_Platten!$C$3:$AM$3,0))</f>
        <v>82</v>
      </c>
      <c r="F29" s="38">
        <f>INDEX(Kalkulation_Platten!$C$3:$AM$1001,MATCH($C29,Kalkulation_Platten!$C$3:$C$1001,0),MATCH(F$3,Kalkulation_Platten!$C$3:$AM$3,0))</f>
        <v>262</v>
      </c>
      <c r="G29" s="38">
        <f>INDEX(Kalkulation_Platten!$C$3:$AM$1001,MATCH($C29,Kalkulation_Platten!$C$3:$C$1001,0),MATCH(G$3,Kalkulation_Platten!$C$3:$AM$3,0))</f>
        <v>216</v>
      </c>
      <c r="H29" s="38">
        <f>INDEX(Kalkulation_Platten!$C$3:$AM$1001,MATCH($C29,Kalkulation_Platten!$C$3:$C$1001,0),MATCH(H$3,Kalkulation_Platten!$C$3:$AM$3,0))</f>
        <v>245</v>
      </c>
      <c r="J29" s="37" t="s">
        <v>35</v>
      </c>
      <c r="K29" s="37">
        <v>3108</v>
      </c>
      <c r="L29" s="37" t="str">
        <f>VLOOKUP($C29,Kalkulation_Platten!$C$6:$F$611,3,FALSE)&amp;" / "&amp;VLOOKUP($C29,Kalkulation_Platten!$C$6:$F$611,4,FALSE)</f>
        <v>580 / 720</v>
      </c>
      <c r="M29" s="38">
        <f t="shared" si="7"/>
        <v>94</v>
      </c>
      <c r="N29" s="38">
        <f t="shared" si="8"/>
        <v>301</v>
      </c>
      <c r="O29" s="38">
        <f t="shared" si="9"/>
        <v>248</v>
      </c>
      <c r="P29" s="38">
        <f t="shared" si="10"/>
        <v>282</v>
      </c>
      <c r="T29">
        <f t="shared" si="4"/>
        <v>180</v>
      </c>
      <c r="U29">
        <f t="shared" si="5"/>
        <v>-46</v>
      </c>
      <c r="V29">
        <f t="shared" si="6"/>
        <v>29</v>
      </c>
    </row>
    <row r="30" spans="2:22" ht="17.25" x14ac:dyDescent="0.25">
      <c r="B30" s="37" t="s">
        <v>35</v>
      </c>
      <c r="C30" s="37">
        <v>3109</v>
      </c>
      <c r="D30" s="37" t="str">
        <f>VLOOKUP($C30,Kalkulation_Platten!$C$6:$F$611,3,FALSE)&amp;" / "&amp;VLOOKUP($C30,Kalkulation_Platten!$C$6:$F$611,4,FALSE)</f>
        <v>580 / 1080</v>
      </c>
      <c r="E30" s="38">
        <f>INDEX(Kalkulation_Platten!$C$3:$AM$1001,MATCH($C30,Kalkulation_Platten!$C$3:$C$1001,0),MATCH(E$3,Kalkulation_Platten!$C$3:$AM$3,0))</f>
        <v>119</v>
      </c>
      <c r="F30" s="38">
        <f>INDEX(Kalkulation_Platten!$C$3:$AM$1001,MATCH($C30,Kalkulation_Platten!$C$3:$C$1001,0),MATCH(F$3,Kalkulation_Platten!$C$3:$AM$3,0))</f>
        <v>377</v>
      </c>
      <c r="G30" s="38">
        <f>INDEX(Kalkulation_Platten!$C$3:$AM$1001,MATCH($C30,Kalkulation_Platten!$C$3:$C$1001,0),MATCH(G$3,Kalkulation_Platten!$C$3:$AM$3,0))</f>
        <v>300</v>
      </c>
      <c r="H30" s="38">
        <f>INDEX(Kalkulation_Platten!$C$3:$AM$1001,MATCH($C30,Kalkulation_Platten!$C$3:$C$1001,0),MATCH(H$3,Kalkulation_Platten!$C$3:$AM$3,0))</f>
        <v>307</v>
      </c>
      <c r="J30" s="37" t="s">
        <v>35</v>
      </c>
      <c r="K30" s="37">
        <v>3109</v>
      </c>
      <c r="L30" s="37" t="str">
        <f>VLOOKUP($C30,Kalkulation_Platten!$C$6:$F$611,3,FALSE)&amp;" / "&amp;VLOOKUP($C30,Kalkulation_Platten!$C$6:$F$611,4,FALSE)</f>
        <v>580 / 1080</v>
      </c>
      <c r="M30" s="38">
        <f t="shared" si="7"/>
        <v>137</v>
      </c>
      <c r="N30" s="38">
        <f t="shared" si="8"/>
        <v>434</v>
      </c>
      <c r="O30" s="38">
        <f t="shared" si="9"/>
        <v>345</v>
      </c>
      <c r="P30" s="38">
        <f t="shared" si="10"/>
        <v>353</v>
      </c>
      <c r="T30">
        <f t="shared" si="4"/>
        <v>258</v>
      </c>
      <c r="U30">
        <f t="shared" si="5"/>
        <v>-77</v>
      </c>
      <c r="V30">
        <f t="shared" si="6"/>
        <v>7</v>
      </c>
    </row>
    <row r="31" spans="2:22" ht="17.25" x14ac:dyDescent="0.25">
      <c r="B31" s="37" t="s">
        <v>35</v>
      </c>
      <c r="C31" s="37">
        <v>3110</v>
      </c>
      <c r="D31" s="37" t="str">
        <f>VLOOKUP($C31,Kalkulation_Platten!$C$6:$F$611,3,FALSE)&amp;" / "&amp;VLOOKUP($C31,Kalkulation_Platten!$C$6:$F$611,4,FALSE)</f>
        <v>580 / 1440</v>
      </c>
      <c r="E31" s="38">
        <f>INDEX(Kalkulation_Platten!$C$3:$AM$1001,MATCH($C31,Kalkulation_Platten!$C$3:$C$1001,0),MATCH(E$3,Kalkulation_Platten!$C$3:$AM$3,0))</f>
        <v>158</v>
      </c>
      <c r="F31" s="38">
        <f>INDEX(Kalkulation_Platten!$C$3:$AM$1001,MATCH($C31,Kalkulation_Platten!$C$3:$C$1001,0),MATCH(F$3,Kalkulation_Platten!$C$3:$AM$3,0))</f>
        <v>484</v>
      </c>
      <c r="G31" s="38">
        <f>INDEX(Kalkulation_Platten!$C$3:$AM$1001,MATCH($C31,Kalkulation_Platten!$C$3:$C$1001,0),MATCH(G$3,Kalkulation_Platten!$C$3:$AM$3,0))</f>
        <v>400</v>
      </c>
      <c r="H31" s="38">
        <f>INDEX(Kalkulation_Platten!$C$3:$AM$1001,MATCH($C31,Kalkulation_Platten!$C$3:$C$1001,0),MATCH(H$3,Kalkulation_Platten!$C$3:$AM$3,0))</f>
        <v>752</v>
      </c>
      <c r="J31" s="37" t="s">
        <v>35</v>
      </c>
      <c r="K31" s="37">
        <v>3110</v>
      </c>
      <c r="L31" s="37" t="str">
        <f>VLOOKUP($C31,Kalkulation_Platten!$C$6:$F$611,3,FALSE)&amp;" / "&amp;VLOOKUP($C31,Kalkulation_Platten!$C$6:$F$611,4,FALSE)</f>
        <v>580 / 1440</v>
      </c>
      <c r="M31" s="38">
        <f t="shared" si="7"/>
        <v>182</v>
      </c>
      <c r="N31" s="38">
        <f t="shared" si="8"/>
        <v>557</v>
      </c>
      <c r="O31" s="38">
        <f t="shared" si="9"/>
        <v>460</v>
      </c>
      <c r="P31" s="38">
        <f t="shared" si="10"/>
        <v>865</v>
      </c>
      <c r="T31">
        <f t="shared" si="4"/>
        <v>326</v>
      </c>
      <c r="U31">
        <f t="shared" si="5"/>
        <v>-84</v>
      </c>
      <c r="V31">
        <f t="shared" si="6"/>
        <v>352</v>
      </c>
    </row>
    <row r="32" spans="2:22" ht="17.25" x14ac:dyDescent="0.25">
      <c r="B32" s="37" t="s">
        <v>35</v>
      </c>
      <c r="C32" s="37">
        <v>3111</v>
      </c>
      <c r="D32" s="37" t="str">
        <f>VLOOKUP($C32,Kalkulation_Platten!$C$6:$F$611,3,FALSE)&amp;" / "&amp;VLOOKUP($C32,Kalkulation_Platten!$C$6:$F$611,4,FALSE)</f>
        <v>580 / 1800</v>
      </c>
      <c r="E32" s="38">
        <f>INDEX(Kalkulation_Platten!$C$3:$AM$1001,MATCH($C32,Kalkulation_Platten!$C$3:$C$1001,0),MATCH(E$3,Kalkulation_Platten!$C$3:$AM$3,0))</f>
        <v>197</v>
      </c>
      <c r="F32" s="38">
        <f>INDEX(Kalkulation_Platten!$C$3:$AM$1001,MATCH($C32,Kalkulation_Platten!$C$3:$C$1001,0),MATCH(F$3,Kalkulation_Platten!$C$3:$AM$3,0))</f>
        <v>388</v>
      </c>
      <c r="G32" s="38">
        <f>INDEX(Kalkulation_Platten!$C$3:$AM$1001,MATCH($C32,Kalkulation_Platten!$C$3:$C$1001,0),MATCH(G$3,Kalkulation_Platten!$C$3:$AM$3,0))</f>
        <v>467</v>
      </c>
      <c r="H32" s="38">
        <f>INDEX(Kalkulation_Platten!$C$3:$AM$1001,MATCH($C32,Kalkulation_Platten!$C$3:$C$1001,0),MATCH(H$3,Kalkulation_Platten!$C$3:$AM$3,0))</f>
        <v>879</v>
      </c>
      <c r="J32" s="37" t="s">
        <v>35</v>
      </c>
      <c r="K32" s="37">
        <v>3111</v>
      </c>
      <c r="L32" s="37" t="str">
        <f>VLOOKUP($C32,Kalkulation_Platten!$C$6:$F$611,3,FALSE)&amp;" / "&amp;VLOOKUP($C32,Kalkulation_Platten!$C$6:$F$611,4,FALSE)</f>
        <v>580 / 1800</v>
      </c>
      <c r="M32" s="38">
        <f t="shared" si="7"/>
        <v>227</v>
      </c>
      <c r="N32" s="38">
        <f t="shared" si="8"/>
        <v>446</v>
      </c>
      <c r="O32" s="38">
        <f t="shared" si="9"/>
        <v>537</v>
      </c>
      <c r="P32" s="38">
        <f t="shared" si="10"/>
        <v>1011</v>
      </c>
      <c r="T32">
        <f t="shared" si="4"/>
        <v>191</v>
      </c>
      <c r="U32">
        <f t="shared" si="5"/>
        <v>79</v>
      </c>
      <c r="V32">
        <f t="shared" si="6"/>
        <v>412</v>
      </c>
    </row>
    <row r="33" spans="2:22" ht="17.25" x14ac:dyDescent="0.25">
      <c r="B33" s="37" t="s">
        <v>35</v>
      </c>
      <c r="C33" s="37">
        <v>3112</v>
      </c>
      <c r="D33" s="37" t="str">
        <f>VLOOKUP($C33,Kalkulation_Platten!$C$6:$F$611,3,FALSE)&amp;" / "&amp;VLOOKUP($C33,Kalkulation_Platten!$C$6:$F$611,4,FALSE)</f>
        <v>180 / 780</v>
      </c>
      <c r="E33" s="38">
        <f>INDEX(Kalkulation_Platten!$C$3:$AM$1001,MATCH($C33,Kalkulation_Platten!$C$3:$C$1001,0),MATCH(E$3,Kalkulation_Platten!$C$3:$AM$3,0))</f>
        <v>56</v>
      </c>
      <c r="F33" s="38">
        <f>INDEX(Kalkulation_Platten!$C$3:$AM$1001,MATCH($C33,Kalkulation_Platten!$C$3:$C$1001,0),MATCH(F$3,Kalkulation_Platten!$C$3:$AM$3,0))</f>
        <v>185</v>
      </c>
      <c r="G33" s="38">
        <f>INDEX(Kalkulation_Platten!$C$3:$AM$1001,MATCH($C33,Kalkulation_Platten!$C$3:$C$1001,0),MATCH(G$3,Kalkulation_Platten!$C$3:$AM$3,0))</f>
        <v>144</v>
      </c>
      <c r="H33" s="38">
        <f>INDEX(Kalkulation_Platten!$C$3:$AM$1001,MATCH($C33,Kalkulation_Platten!$C$3:$C$1001,0),MATCH(H$3,Kalkulation_Platten!$C$3:$AM$3,0))</f>
        <v>212</v>
      </c>
      <c r="J33" s="37" t="s">
        <v>35</v>
      </c>
      <c r="K33" s="37">
        <v>3112</v>
      </c>
      <c r="L33" s="37" t="str">
        <f>VLOOKUP($C33,Kalkulation_Platten!$C$6:$F$611,3,FALSE)&amp;" / "&amp;VLOOKUP($C33,Kalkulation_Platten!$C$6:$F$611,4,FALSE)</f>
        <v>180 / 780</v>
      </c>
      <c r="M33" s="38">
        <f t="shared" si="7"/>
        <v>64</v>
      </c>
      <c r="N33" s="38">
        <f t="shared" si="8"/>
        <v>213</v>
      </c>
      <c r="O33" s="38">
        <f t="shared" si="9"/>
        <v>166</v>
      </c>
      <c r="P33" s="38">
        <f t="shared" si="10"/>
        <v>244</v>
      </c>
      <c r="T33">
        <f t="shared" si="4"/>
        <v>129</v>
      </c>
      <c r="U33">
        <f t="shared" si="5"/>
        <v>-41</v>
      </c>
      <c r="V33">
        <f t="shared" si="6"/>
        <v>68</v>
      </c>
    </row>
    <row r="34" spans="2:22" ht="17.25" x14ac:dyDescent="0.25">
      <c r="B34" s="37" t="s">
        <v>35</v>
      </c>
      <c r="C34" s="37">
        <v>3113</v>
      </c>
      <c r="D34" s="37" t="str">
        <f>VLOOKUP($C34,Kalkulation_Platten!$C$6:$F$611,3,FALSE)&amp;" / "&amp;VLOOKUP($C34,Kalkulation_Platten!$C$6:$F$611,4,FALSE)</f>
        <v>180 / 980</v>
      </c>
      <c r="E34" s="38">
        <f>INDEX(Kalkulation_Platten!$C$3:$AM$1001,MATCH($C34,Kalkulation_Platten!$C$3:$C$1001,0),MATCH(E$3,Kalkulation_Platten!$C$3:$AM$3,0))</f>
        <v>70</v>
      </c>
      <c r="F34" s="38">
        <f>INDEX(Kalkulation_Platten!$C$3:$AM$1001,MATCH($C34,Kalkulation_Platten!$C$3:$C$1001,0),MATCH(F$3,Kalkulation_Platten!$C$3:$AM$3,0))</f>
        <v>223</v>
      </c>
      <c r="G34" s="38">
        <f>INDEX(Kalkulation_Platten!$C$3:$AM$1001,MATCH($C34,Kalkulation_Platten!$C$3:$C$1001,0),MATCH(G$3,Kalkulation_Platten!$C$3:$AM$3,0))</f>
        <v>174</v>
      </c>
      <c r="H34" s="38">
        <f>INDEX(Kalkulation_Platten!$C$3:$AM$1001,MATCH($C34,Kalkulation_Platten!$C$3:$C$1001,0),MATCH(H$3,Kalkulation_Platten!$C$3:$AM$3,0))</f>
        <v>229</v>
      </c>
      <c r="J34" s="37" t="s">
        <v>35</v>
      </c>
      <c r="K34" s="37">
        <v>3113</v>
      </c>
      <c r="L34" s="37" t="str">
        <f>VLOOKUP($C34,Kalkulation_Platten!$C$6:$F$611,3,FALSE)&amp;" / "&amp;VLOOKUP($C34,Kalkulation_Platten!$C$6:$F$611,4,FALSE)</f>
        <v>180 / 980</v>
      </c>
      <c r="M34" s="38">
        <f t="shared" si="7"/>
        <v>81</v>
      </c>
      <c r="N34" s="38">
        <f t="shared" si="8"/>
        <v>256</v>
      </c>
      <c r="O34" s="38">
        <f t="shared" si="9"/>
        <v>200</v>
      </c>
      <c r="P34" s="38">
        <f t="shared" si="10"/>
        <v>263</v>
      </c>
      <c r="T34">
        <f t="shared" si="4"/>
        <v>153</v>
      </c>
      <c r="U34">
        <f t="shared" si="5"/>
        <v>-49</v>
      </c>
      <c r="V34">
        <f t="shared" si="6"/>
        <v>55</v>
      </c>
    </row>
    <row r="35" spans="2:22" ht="17.25" x14ac:dyDescent="0.25">
      <c r="B35" s="37" t="s">
        <v>35</v>
      </c>
      <c r="C35" s="37">
        <v>3114</v>
      </c>
      <c r="D35" s="37" t="str">
        <f>VLOOKUP($C35,Kalkulation_Platten!$C$6:$F$611,3,FALSE)&amp;" / "&amp;VLOOKUP($C35,Kalkulation_Platten!$C$6:$F$611,4,FALSE)</f>
        <v>360 / 780</v>
      </c>
      <c r="E35" s="38">
        <f>INDEX(Kalkulation_Platten!$C$3:$AM$1001,MATCH($C35,Kalkulation_Platten!$C$3:$C$1001,0),MATCH(E$3,Kalkulation_Platten!$C$3:$AM$3,0))</f>
        <v>56</v>
      </c>
      <c r="F35" s="38">
        <f>INDEX(Kalkulation_Platten!$C$3:$AM$1001,MATCH($C35,Kalkulation_Platten!$C$3:$C$1001,0),MATCH(F$3,Kalkulation_Platten!$C$3:$AM$3,0))</f>
        <v>185</v>
      </c>
      <c r="G35" s="38">
        <f>INDEX(Kalkulation_Platten!$C$3:$AM$1001,MATCH($C35,Kalkulation_Platten!$C$3:$C$1001,0),MATCH(G$3,Kalkulation_Platten!$C$3:$AM$3,0))</f>
        <v>144</v>
      </c>
      <c r="H35" s="38">
        <f>INDEX(Kalkulation_Platten!$C$3:$AM$1001,MATCH($C35,Kalkulation_Platten!$C$3:$C$1001,0),MATCH(H$3,Kalkulation_Platten!$C$3:$AM$3,0))</f>
        <v>190</v>
      </c>
      <c r="J35" s="37" t="s">
        <v>35</v>
      </c>
      <c r="K35" s="37">
        <v>3114</v>
      </c>
      <c r="L35" s="37" t="str">
        <f>VLOOKUP($C35,Kalkulation_Platten!$C$6:$F$611,3,FALSE)&amp;" / "&amp;VLOOKUP($C35,Kalkulation_Platten!$C$6:$F$611,4,FALSE)</f>
        <v>360 / 780</v>
      </c>
      <c r="M35" s="38">
        <f t="shared" si="7"/>
        <v>64</v>
      </c>
      <c r="N35" s="38">
        <f t="shared" si="8"/>
        <v>213</v>
      </c>
      <c r="O35" s="38">
        <f t="shared" si="9"/>
        <v>166</v>
      </c>
      <c r="P35" s="38">
        <f t="shared" si="10"/>
        <v>219</v>
      </c>
      <c r="T35">
        <f t="shared" si="4"/>
        <v>129</v>
      </c>
      <c r="U35">
        <f t="shared" si="5"/>
        <v>-41</v>
      </c>
      <c r="V35">
        <f t="shared" si="6"/>
        <v>46</v>
      </c>
    </row>
    <row r="36" spans="2:22" ht="17.25" x14ac:dyDescent="0.25">
      <c r="B36" s="37" t="s">
        <v>35</v>
      </c>
      <c r="C36" s="37">
        <v>3115</v>
      </c>
      <c r="D36" s="37" t="str">
        <f>VLOOKUP($C36,Kalkulation_Platten!$C$6:$F$611,3,FALSE)&amp;" / "&amp;VLOOKUP($C36,Kalkulation_Platten!$C$6:$F$611,4,FALSE)</f>
        <v>360 / 980</v>
      </c>
      <c r="E36" s="39">
        <f>INDEX(Kalkulation_Platten!$C$3:$AM$1001,MATCH($C36,Kalkulation_Platten!$C$3:$C$1001,0),MATCH(E$3,Kalkulation_Platten!$C$3:$AM$3,0))</f>
        <v>70</v>
      </c>
      <c r="F36" s="38">
        <f>INDEX(Kalkulation_Platten!$C$3:$AM$1001,MATCH($C36,Kalkulation_Platten!$C$3:$C$1001,0),MATCH(F$3,Kalkulation_Platten!$C$3:$AM$3,0))</f>
        <v>223</v>
      </c>
      <c r="G36" s="38">
        <f>INDEX(Kalkulation_Platten!$C$3:$AM$1001,MATCH($C36,Kalkulation_Platten!$C$3:$C$1001,0),MATCH(G$3,Kalkulation_Platten!$C$3:$AM$3,0))</f>
        <v>174</v>
      </c>
      <c r="H36" s="38">
        <f>INDEX(Kalkulation_Platten!$C$3:$AM$1001,MATCH($C36,Kalkulation_Platten!$C$3:$C$1001,0),MATCH(H$3,Kalkulation_Platten!$C$3:$AM$3,0))</f>
        <v>209</v>
      </c>
      <c r="J36" s="37" t="s">
        <v>35</v>
      </c>
      <c r="K36" s="37">
        <v>3115</v>
      </c>
      <c r="L36" s="37" t="str">
        <f>VLOOKUP($C36,Kalkulation_Platten!$C$6:$F$611,3,FALSE)&amp;" / "&amp;VLOOKUP($C36,Kalkulation_Platten!$C$6:$F$611,4,FALSE)</f>
        <v>360 / 980</v>
      </c>
      <c r="M36" s="39">
        <f t="shared" si="7"/>
        <v>81</v>
      </c>
      <c r="N36" s="38">
        <f t="shared" si="8"/>
        <v>256</v>
      </c>
      <c r="O36" s="38">
        <f t="shared" si="9"/>
        <v>200</v>
      </c>
      <c r="P36" s="38">
        <f t="shared" si="10"/>
        <v>240</v>
      </c>
      <c r="T36">
        <f t="shared" ref="T36:T67" si="11">IFERROR(F36-E36,"")</f>
        <v>153</v>
      </c>
      <c r="U36">
        <f t="shared" ref="U36:U67" si="12">IFERROR(G36-F36,"")</f>
        <v>-49</v>
      </c>
      <c r="V36">
        <f t="shared" ref="V36:V67" si="13">IFERROR(H36-G36,"")</f>
        <v>35</v>
      </c>
    </row>
    <row r="37" spans="2:22" ht="17.25" x14ac:dyDescent="0.25">
      <c r="B37" s="37" t="s">
        <v>35</v>
      </c>
      <c r="C37" s="37">
        <v>3116</v>
      </c>
      <c r="D37" s="37" t="str">
        <f>VLOOKUP($C37,Kalkulation_Platten!$C$6:$F$611,3,FALSE)&amp;" / "&amp;VLOOKUP($C37,Kalkulation_Platten!$C$6:$F$611,4,FALSE)</f>
        <v>720 / 780</v>
      </c>
      <c r="E37" s="39">
        <f>INDEX(Kalkulation_Platten!$C$3:$AM$1001,MATCH($C37,Kalkulation_Platten!$C$3:$C$1001,0),MATCH(E$3,Kalkulation_Platten!$C$3:$AM$3,0))</f>
        <v>107</v>
      </c>
      <c r="F37" s="38">
        <f>INDEX(Kalkulation_Platten!$C$3:$AM$1001,MATCH($C37,Kalkulation_Platten!$C$3:$C$1001,0),MATCH(F$3,Kalkulation_Platten!$C$3:$AM$3,0))</f>
        <v>355</v>
      </c>
      <c r="G37" s="38">
        <f>INDEX(Kalkulation_Platten!$C$3:$AM$1001,MATCH($C37,Kalkulation_Platten!$C$3:$C$1001,0),MATCH(G$3,Kalkulation_Platten!$C$3:$AM$3,0))</f>
        <v>277</v>
      </c>
      <c r="H37" s="38">
        <f>INDEX(Kalkulation_Platten!$C$3:$AM$1001,MATCH($C37,Kalkulation_Platten!$C$3:$C$1001,0),MATCH(H$3,Kalkulation_Platten!$C$3:$AM$3,0))</f>
        <v>268</v>
      </c>
      <c r="J37" s="37" t="s">
        <v>35</v>
      </c>
      <c r="K37" s="37">
        <v>3116</v>
      </c>
      <c r="L37" s="37" t="str">
        <f>VLOOKUP($C37,Kalkulation_Platten!$C$6:$F$611,3,FALSE)&amp;" / "&amp;VLOOKUP($C37,Kalkulation_Platten!$C$6:$F$611,4,FALSE)</f>
        <v>720 / 780</v>
      </c>
      <c r="M37" s="39">
        <f t="shared" si="7"/>
        <v>123</v>
      </c>
      <c r="N37" s="38">
        <f t="shared" si="8"/>
        <v>408</v>
      </c>
      <c r="O37" s="38">
        <f t="shared" si="9"/>
        <v>319</v>
      </c>
      <c r="P37" s="38">
        <f t="shared" si="10"/>
        <v>308</v>
      </c>
      <c r="T37">
        <f t="shared" si="11"/>
        <v>248</v>
      </c>
      <c r="U37">
        <f t="shared" si="12"/>
        <v>-78</v>
      </c>
      <c r="V37">
        <f t="shared" si="13"/>
        <v>-9</v>
      </c>
    </row>
    <row r="38" spans="2:22" ht="17.25" x14ac:dyDescent="0.25">
      <c r="B38" s="37" t="s">
        <v>35</v>
      </c>
      <c r="C38" s="37">
        <v>3117</v>
      </c>
      <c r="D38" s="37" t="str">
        <f>VLOOKUP($C38,Kalkulation_Platten!$C$6:$F$611,3,FALSE)&amp;" / "&amp;VLOOKUP($C38,Kalkulation_Platten!$C$6:$F$611,4,FALSE)</f>
        <v>720 / 980</v>
      </c>
      <c r="E38" s="39">
        <f>INDEX(Kalkulation_Platten!$C$3:$AM$1001,MATCH($C38,Kalkulation_Platten!$C$3:$C$1001,0),MATCH(E$3,Kalkulation_Platten!$C$3:$AM$3,0))</f>
        <v>134</v>
      </c>
      <c r="F38" s="38">
        <f>INDEX(Kalkulation_Platten!$C$3:$AM$1001,MATCH($C38,Kalkulation_Platten!$C$3:$C$1001,0),MATCH(F$3,Kalkulation_Platten!$C$3:$AM$3,0))</f>
        <v>406</v>
      </c>
      <c r="G38" s="38">
        <f>INDEX(Kalkulation_Platten!$C$3:$AM$1001,MATCH($C38,Kalkulation_Platten!$C$3:$C$1001,0),MATCH(G$3,Kalkulation_Platten!$C$3:$AM$3,0))</f>
        <v>320</v>
      </c>
      <c r="H38" s="38">
        <f>INDEX(Kalkulation_Platten!$C$3:$AM$1001,MATCH($C38,Kalkulation_Platten!$C$3:$C$1001,0),MATCH(H$3,Kalkulation_Platten!$C$3:$AM$3,0))</f>
        <v>329</v>
      </c>
      <c r="J38" s="37" t="s">
        <v>35</v>
      </c>
      <c r="K38" s="37">
        <v>3117</v>
      </c>
      <c r="L38" s="37" t="str">
        <f>VLOOKUP($C38,Kalkulation_Platten!$C$6:$F$611,3,FALSE)&amp;" / "&amp;VLOOKUP($C38,Kalkulation_Platten!$C$6:$F$611,4,FALSE)</f>
        <v>720 / 980</v>
      </c>
      <c r="M38" s="39">
        <f t="shared" si="7"/>
        <v>154</v>
      </c>
      <c r="N38" s="38">
        <f t="shared" si="8"/>
        <v>467</v>
      </c>
      <c r="O38" s="38">
        <f t="shared" si="9"/>
        <v>368</v>
      </c>
      <c r="P38" s="38">
        <f t="shared" si="10"/>
        <v>378</v>
      </c>
      <c r="T38">
        <f t="shared" si="11"/>
        <v>272</v>
      </c>
      <c r="U38">
        <f t="shared" si="12"/>
        <v>-86</v>
      </c>
      <c r="V38">
        <f t="shared" si="13"/>
        <v>9</v>
      </c>
    </row>
    <row r="39" spans="2:22" ht="17.25" x14ac:dyDescent="0.25">
      <c r="B39" s="37" t="s">
        <v>35</v>
      </c>
      <c r="C39" s="37">
        <v>3118</v>
      </c>
      <c r="D39" s="37" t="str">
        <f>VLOOKUP($C39,Kalkulation_Platten!$C$6:$F$611,3,FALSE)&amp;" / "&amp;VLOOKUP($C39,Kalkulation_Platten!$C$6:$F$611,4,FALSE)</f>
        <v>1080 / 780</v>
      </c>
      <c r="E39" s="39">
        <f>INDEX(Kalkulation_Platten!$C$3:$AM$1001,MATCH($C39,Kalkulation_Platten!$C$3:$C$1001,0),MATCH(E$3,Kalkulation_Platten!$C$3:$AM$3,0))</f>
        <v>161</v>
      </c>
      <c r="F39" s="38">
        <f>INDEX(Kalkulation_Platten!$C$3:$AM$1001,MATCH($C39,Kalkulation_Platten!$C$3:$C$1001,0),MATCH(F$3,Kalkulation_Platten!$C$3:$AM$3,0))</f>
        <v>517</v>
      </c>
      <c r="G39" s="38">
        <f>INDEX(Kalkulation_Platten!$C$3:$AM$1001,MATCH($C39,Kalkulation_Platten!$C$3:$C$1001,0),MATCH(G$3,Kalkulation_Platten!$C$3:$AM$3,0))</f>
        <v>409</v>
      </c>
      <c r="H39" s="38">
        <f>INDEX(Kalkulation_Platten!$C$3:$AM$1001,MATCH($C39,Kalkulation_Platten!$C$3:$C$1001,0),MATCH(H$3,Kalkulation_Platten!$C$3:$AM$3,0))</f>
        <v>385</v>
      </c>
      <c r="J39" s="37" t="s">
        <v>35</v>
      </c>
      <c r="K39" s="37">
        <v>3118</v>
      </c>
      <c r="L39" s="37" t="str">
        <f>VLOOKUP($C39,Kalkulation_Platten!$C$6:$F$611,3,FALSE)&amp;" / "&amp;VLOOKUP($C39,Kalkulation_Platten!$C$6:$F$611,4,FALSE)</f>
        <v>1080 / 780</v>
      </c>
      <c r="M39" s="39">
        <f t="shared" si="7"/>
        <v>185</v>
      </c>
      <c r="N39" s="38">
        <f t="shared" si="8"/>
        <v>595</v>
      </c>
      <c r="O39" s="38">
        <f t="shared" si="9"/>
        <v>470</v>
      </c>
      <c r="P39" s="38">
        <f t="shared" si="10"/>
        <v>443</v>
      </c>
      <c r="T39">
        <f t="shared" si="11"/>
        <v>356</v>
      </c>
      <c r="U39">
        <f t="shared" si="12"/>
        <v>-108</v>
      </c>
      <c r="V39">
        <f t="shared" si="13"/>
        <v>-24</v>
      </c>
    </row>
    <row r="40" spans="2:22" ht="17.25" x14ac:dyDescent="0.25">
      <c r="B40" s="37" t="s">
        <v>35</v>
      </c>
      <c r="C40" s="37">
        <v>3119</v>
      </c>
      <c r="D40" s="37" t="str">
        <f>VLOOKUP($C40,Kalkulation_Platten!$C$6:$F$611,3,FALSE)&amp;" / "&amp;VLOOKUP($C40,Kalkulation_Platten!$C$6:$F$611,4,FALSE)</f>
        <v>1080 / 980</v>
      </c>
      <c r="E40" s="39">
        <f>INDEX(Kalkulation_Platten!$C$3:$AM$1001,MATCH($C40,Kalkulation_Platten!$C$3:$C$1001,0),MATCH(E$3,Kalkulation_Platten!$C$3:$AM$3,0))</f>
        <v>200</v>
      </c>
      <c r="F40" s="38">
        <f>INDEX(Kalkulation_Platten!$C$3:$AM$1001,MATCH($C40,Kalkulation_Platten!$C$3:$C$1001,0),MATCH(F$3,Kalkulation_Platten!$C$3:$AM$3,0))</f>
        <v>626</v>
      </c>
      <c r="G40" s="38">
        <f>INDEX(Kalkulation_Platten!$C$3:$AM$1001,MATCH($C40,Kalkulation_Platten!$C$3:$C$1001,0),MATCH(G$3,Kalkulation_Platten!$C$3:$AM$3,0))</f>
        <v>474</v>
      </c>
      <c r="H40" s="38">
        <f>INDEX(Kalkulation_Platten!$C$3:$AM$1001,MATCH($C40,Kalkulation_Platten!$C$3:$C$1001,0),MATCH(H$3,Kalkulation_Platten!$C$3:$AM$3,0))</f>
        <v>431</v>
      </c>
      <c r="J40" s="37" t="s">
        <v>35</v>
      </c>
      <c r="K40" s="37">
        <v>3119</v>
      </c>
      <c r="L40" s="37" t="str">
        <f>VLOOKUP($C40,Kalkulation_Platten!$C$6:$F$611,3,FALSE)&amp;" / "&amp;VLOOKUP($C40,Kalkulation_Platten!$C$6:$F$611,4,FALSE)</f>
        <v>1080 / 980</v>
      </c>
      <c r="M40" s="39">
        <f t="shared" si="7"/>
        <v>230</v>
      </c>
      <c r="N40" s="38">
        <f t="shared" si="8"/>
        <v>720</v>
      </c>
      <c r="O40" s="38">
        <f t="shared" si="9"/>
        <v>545</v>
      </c>
      <c r="P40" s="38">
        <f t="shared" si="10"/>
        <v>496</v>
      </c>
      <c r="T40">
        <f t="shared" si="11"/>
        <v>426</v>
      </c>
      <c r="U40">
        <f t="shared" si="12"/>
        <v>-152</v>
      </c>
      <c r="V40">
        <f t="shared" si="13"/>
        <v>-43</v>
      </c>
    </row>
    <row r="41" spans="2:22" ht="17.25" x14ac:dyDescent="0.25">
      <c r="B41" s="37" t="s">
        <v>35</v>
      </c>
      <c r="C41" s="37">
        <v>3120</v>
      </c>
      <c r="D41" s="37" t="str">
        <f>VLOOKUP($C41,Kalkulation_Platten!$C$6:$F$611,3,FALSE)&amp;" / "&amp;VLOOKUP($C41,Kalkulation_Platten!$C$6:$F$611,4,FALSE)</f>
        <v>1440 / 780</v>
      </c>
      <c r="E41" s="39">
        <f>INDEX(Kalkulation_Platten!$C$3:$AM$1001,MATCH($C41,Kalkulation_Platten!$C$3:$C$1001,0),MATCH(E$3,Kalkulation_Platten!$C$3:$AM$3,0))</f>
        <v>211</v>
      </c>
      <c r="F41" s="38">
        <f>INDEX(Kalkulation_Platten!$C$3:$AM$1001,MATCH($C41,Kalkulation_Platten!$C$3:$C$1001,0),MATCH(F$3,Kalkulation_Platten!$C$3:$AM$3,0))</f>
        <v>630</v>
      </c>
      <c r="G41" s="38">
        <f>INDEX(Kalkulation_Platten!$C$3:$AM$1001,MATCH($C41,Kalkulation_Platten!$C$3:$C$1001,0),MATCH(G$3,Kalkulation_Platten!$C$3:$AM$3,0))</f>
        <v>499</v>
      </c>
      <c r="H41" s="38">
        <f>INDEX(Kalkulation_Platten!$C$3:$AM$1001,MATCH($C41,Kalkulation_Platten!$C$3:$C$1001,0),MATCH(H$3,Kalkulation_Platten!$C$3:$AM$3,0))</f>
        <v>939</v>
      </c>
      <c r="J41" s="37" t="s">
        <v>35</v>
      </c>
      <c r="K41" s="37">
        <v>3120</v>
      </c>
      <c r="L41" s="37" t="str">
        <f>VLOOKUP($C41,Kalkulation_Platten!$C$6:$F$611,3,FALSE)&amp;" / "&amp;VLOOKUP($C41,Kalkulation_Platten!$C$6:$F$611,4,FALSE)</f>
        <v>1440 / 780</v>
      </c>
      <c r="M41" s="39">
        <f t="shared" si="7"/>
        <v>243</v>
      </c>
      <c r="N41" s="38">
        <f t="shared" si="8"/>
        <v>725</v>
      </c>
      <c r="O41" s="38">
        <f t="shared" si="9"/>
        <v>574</v>
      </c>
      <c r="P41" s="38">
        <f t="shared" si="10"/>
        <v>1080</v>
      </c>
      <c r="T41">
        <f t="shared" si="11"/>
        <v>419</v>
      </c>
      <c r="U41">
        <f t="shared" si="12"/>
        <v>-131</v>
      </c>
      <c r="V41">
        <f t="shared" si="13"/>
        <v>440</v>
      </c>
    </row>
    <row r="42" spans="2:22" ht="17.25" x14ac:dyDescent="0.25">
      <c r="B42" s="37" t="s">
        <v>35</v>
      </c>
      <c r="C42" s="37">
        <v>3121</v>
      </c>
      <c r="D42" s="37" t="str">
        <f>VLOOKUP($C42,Kalkulation_Platten!$C$6:$F$611,3,FALSE)&amp;" / "&amp;VLOOKUP($C42,Kalkulation_Platten!$C$6:$F$611,4,FALSE)</f>
        <v>1440 / 980</v>
      </c>
      <c r="E42" s="39">
        <f>INDEX(Kalkulation_Platten!$C$3:$AM$1001,MATCH($C42,Kalkulation_Platten!$C$3:$C$1001,0),MATCH(E$3,Kalkulation_Platten!$C$3:$AM$3,0))</f>
        <v>264</v>
      </c>
      <c r="F42" s="38">
        <f>INDEX(Kalkulation_Platten!$C$3:$AM$1001,MATCH($C42,Kalkulation_Platten!$C$3:$C$1001,0),MATCH(F$3,Kalkulation_Platten!$C$3:$AM$3,0))</f>
        <v>778</v>
      </c>
      <c r="G42" s="38">
        <f>INDEX(Kalkulation_Platten!$C$3:$AM$1001,MATCH($C42,Kalkulation_Platten!$C$3:$C$1001,0),MATCH(G$3,Kalkulation_Platten!$C$3:$AM$3,0))</f>
        <v>616</v>
      </c>
      <c r="H42" s="38">
        <f>INDEX(Kalkulation_Platten!$C$3:$AM$1001,MATCH($C42,Kalkulation_Platten!$C$3:$C$1001,0),MATCH(H$3,Kalkulation_Platten!$C$3:$AM$3,0))</f>
        <v>1159</v>
      </c>
      <c r="J42" s="37" t="s">
        <v>35</v>
      </c>
      <c r="K42" s="37">
        <v>3121</v>
      </c>
      <c r="L42" s="37" t="str">
        <f>VLOOKUP($C42,Kalkulation_Platten!$C$6:$F$611,3,FALSE)&amp;" / "&amp;VLOOKUP($C42,Kalkulation_Platten!$C$6:$F$611,4,FALSE)</f>
        <v>1440 / 980</v>
      </c>
      <c r="M42" s="39">
        <f t="shared" si="7"/>
        <v>304</v>
      </c>
      <c r="N42" s="38">
        <f t="shared" si="8"/>
        <v>895</v>
      </c>
      <c r="O42" s="38">
        <f t="shared" si="9"/>
        <v>708</v>
      </c>
      <c r="P42" s="38">
        <f t="shared" si="10"/>
        <v>1333</v>
      </c>
      <c r="T42">
        <f t="shared" si="11"/>
        <v>514</v>
      </c>
      <c r="U42">
        <f t="shared" si="12"/>
        <v>-162</v>
      </c>
      <c r="V42">
        <f t="shared" si="13"/>
        <v>543</v>
      </c>
    </row>
    <row r="43" spans="2:22" ht="17.25" x14ac:dyDescent="0.25">
      <c r="B43" s="37" t="s">
        <v>35</v>
      </c>
      <c r="C43" s="37">
        <v>3122</v>
      </c>
      <c r="D43" s="37" t="str">
        <f>VLOOKUP($C43,Kalkulation_Platten!$C$6:$F$611,3,FALSE)&amp;" / "&amp;VLOOKUP($C43,Kalkulation_Platten!$C$6:$F$611,4,FALSE)</f>
        <v>1800 / 780</v>
      </c>
      <c r="E43" s="39">
        <f>INDEX(Kalkulation_Platten!$C$3:$AM$1001,MATCH($C43,Kalkulation_Platten!$C$3:$C$1001,0),MATCH(E$3,Kalkulation_Platten!$C$3:$AM$3,0))</f>
        <v>264</v>
      </c>
      <c r="F43" s="38">
        <f>INDEX(Kalkulation_Platten!$C$3:$AM$1001,MATCH($C43,Kalkulation_Platten!$C$3:$C$1001,0),MATCH(F$3,Kalkulation_Platten!$C$3:$AM$3,0))</f>
        <v>520</v>
      </c>
      <c r="G43" s="38">
        <f>INDEX(Kalkulation_Platten!$C$3:$AM$1001,MATCH($C43,Kalkulation_Platten!$C$3:$C$1001,0),MATCH(G$3,Kalkulation_Platten!$C$3:$AM$3,0))</f>
        <v>612</v>
      </c>
      <c r="H43" s="38">
        <f>INDEX(Kalkulation_Platten!$C$3:$AM$1001,MATCH($C43,Kalkulation_Platten!$C$3:$C$1001,0),MATCH(H$3,Kalkulation_Platten!$C$3:$AM$3,0))</f>
        <v>1151</v>
      </c>
      <c r="J43" s="37" t="s">
        <v>35</v>
      </c>
      <c r="K43" s="37">
        <v>3122</v>
      </c>
      <c r="L43" s="37" t="str">
        <f>VLOOKUP($C43,Kalkulation_Platten!$C$6:$F$611,3,FALSE)&amp;" / "&amp;VLOOKUP($C43,Kalkulation_Platten!$C$6:$F$611,4,FALSE)</f>
        <v>1800 / 780</v>
      </c>
      <c r="M43" s="39">
        <f t="shared" si="7"/>
        <v>304</v>
      </c>
      <c r="N43" s="38">
        <f t="shared" si="8"/>
        <v>598</v>
      </c>
      <c r="O43" s="38">
        <f t="shared" si="9"/>
        <v>704</v>
      </c>
      <c r="P43" s="38">
        <f t="shared" si="10"/>
        <v>1324</v>
      </c>
      <c r="T43">
        <f t="shared" si="11"/>
        <v>256</v>
      </c>
      <c r="U43">
        <f t="shared" si="12"/>
        <v>92</v>
      </c>
      <c r="V43">
        <f t="shared" si="13"/>
        <v>539</v>
      </c>
    </row>
    <row r="44" spans="2:22" ht="17.25" x14ac:dyDescent="0.25">
      <c r="B44" s="37" t="s">
        <v>35</v>
      </c>
      <c r="C44" s="37">
        <v>3123</v>
      </c>
      <c r="D44" s="37" t="str">
        <f>VLOOKUP($C44,Kalkulation_Platten!$C$6:$F$611,3,FALSE)&amp;" / "&amp;VLOOKUP($C44,Kalkulation_Platten!$C$6:$F$611,4,FALSE)</f>
        <v>1800 / 980</v>
      </c>
      <c r="E44" s="39">
        <f>INDEX(Kalkulation_Platten!$C$3:$AM$1001,MATCH($C44,Kalkulation_Platten!$C$3:$C$1001,0),MATCH(E$3,Kalkulation_Platten!$C$3:$AM$3,0))</f>
        <v>329</v>
      </c>
      <c r="F44" s="38">
        <f>INDEX(Kalkulation_Platten!$C$3:$AM$1001,MATCH($C44,Kalkulation_Platten!$C$3:$C$1001,0),MATCH(F$3,Kalkulation_Platten!$C$3:$AM$3,0))</f>
        <v>648</v>
      </c>
      <c r="G44" s="38">
        <f>INDEX(Kalkulation_Platten!$C$3:$AM$1001,MATCH($C44,Kalkulation_Platten!$C$3:$C$1001,0),MATCH(G$3,Kalkulation_Platten!$C$3:$AM$3,0))</f>
        <v>753</v>
      </c>
      <c r="H44" s="38">
        <f>INDEX(Kalkulation_Platten!$C$3:$AM$1001,MATCH($C44,Kalkulation_Platten!$C$3:$C$1001,0),MATCH(H$3,Kalkulation_Platten!$C$3:$AM$3,0))</f>
        <v>1417</v>
      </c>
      <c r="J44" s="37" t="s">
        <v>35</v>
      </c>
      <c r="K44" s="37">
        <v>3123</v>
      </c>
      <c r="L44" s="37" t="str">
        <f>VLOOKUP($C44,Kalkulation_Platten!$C$6:$F$611,3,FALSE)&amp;" / "&amp;VLOOKUP($C44,Kalkulation_Platten!$C$6:$F$611,4,FALSE)</f>
        <v>1800 / 980</v>
      </c>
      <c r="M44" s="39">
        <f t="shared" si="7"/>
        <v>378</v>
      </c>
      <c r="N44" s="38">
        <f t="shared" si="8"/>
        <v>745</v>
      </c>
      <c r="O44" s="38">
        <f t="shared" si="9"/>
        <v>866</v>
      </c>
      <c r="P44" s="38">
        <f t="shared" si="10"/>
        <v>1630</v>
      </c>
      <c r="T44">
        <f t="shared" si="11"/>
        <v>319</v>
      </c>
      <c r="U44">
        <f t="shared" si="12"/>
        <v>105</v>
      </c>
      <c r="V44">
        <f t="shared" si="13"/>
        <v>664</v>
      </c>
    </row>
    <row r="45" spans="2:22" ht="17.25" x14ac:dyDescent="0.25">
      <c r="B45" s="37" t="s">
        <v>35</v>
      </c>
      <c r="C45" s="37">
        <v>3124</v>
      </c>
      <c r="D45" s="37" t="str">
        <f>VLOOKUP($C45,Kalkulation_Platten!$C$6:$F$611,3,FALSE)&amp;" / "&amp;VLOOKUP($C45,Kalkulation_Platten!$C$6:$F$611,4,FALSE)</f>
        <v>580 / 580</v>
      </c>
      <c r="E45" s="39">
        <f>INDEX(Kalkulation_Platten!$C$3:$AM$1001,MATCH($C45,Kalkulation_Platten!$C$3:$C$1001,0),MATCH(E$3,Kalkulation_Platten!$C$3:$AM$3,0))</f>
        <v>67</v>
      </c>
      <c r="F45" s="38">
        <f>INDEX(Kalkulation_Platten!$C$3:$AM$1001,MATCH($C45,Kalkulation_Platten!$C$3:$C$1001,0),MATCH(F$3,Kalkulation_Platten!$C$3:$AM$3,0))</f>
        <v>228</v>
      </c>
      <c r="G45" s="38">
        <f>INDEX(Kalkulation_Platten!$C$3:$AM$1001,MATCH($C45,Kalkulation_Platten!$C$3:$C$1001,0),MATCH(G$3,Kalkulation_Platten!$C$3:$AM$3,0))</f>
        <v>183</v>
      </c>
      <c r="H45" s="38">
        <f>INDEX(Kalkulation_Platten!$C$3:$AM$1001,MATCH($C45,Kalkulation_Platten!$C$3:$C$1001,0),MATCH(H$3,Kalkulation_Platten!$C$3:$AM$3,0))</f>
        <v>191</v>
      </c>
      <c r="J45" s="37" t="s">
        <v>35</v>
      </c>
      <c r="K45" s="37">
        <v>3124</v>
      </c>
      <c r="L45" s="37" t="str">
        <f>VLOOKUP($C45,Kalkulation_Platten!$C$6:$F$611,3,FALSE)&amp;" / "&amp;VLOOKUP($C45,Kalkulation_Platten!$C$6:$F$611,4,FALSE)</f>
        <v>580 / 580</v>
      </c>
      <c r="M45" s="39">
        <f t="shared" si="7"/>
        <v>77</v>
      </c>
      <c r="N45" s="38">
        <f t="shared" si="8"/>
        <v>262</v>
      </c>
      <c r="O45" s="38">
        <f t="shared" si="9"/>
        <v>210</v>
      </c>
      <c r="P45" s="38">
        <f t="shared" si="10"/>
        <v>220</v>
      </c>
      <c r="T45">
        <f t="shared" si="11"/>
        <v>161</v>
      </c>
      <c r="U45">
        <f t="shared" si="12"/>
        <v>-45</v>
      </c>
      <c r="V45">
        <f t="shared" si="13"/>
        <v>8</v>
      </c>
    </row>
    <row r="46" spans="2:22" ht="17.25" x14ac:dyDescent="0.25">
      <c r="B46" s="37"/>
      <c r="C46" s="37"/>
      <c r="D46" s="37"/>
      <c r="E46" s="39"/>
      <c r="F46" s="38"/>
      <c r="G46" s="38"/>
      <c r="H46" s="38"/>
      <c r="J46" s="37"/>
      <c r="K46" s="37"/>
      <c r="L46" s="37"/>
      <c r="M46" s="39"/>
      <c r="N46" s="38"/>
      <c r="O46" s="38"/>
      <c r="P46" s="38"/>
      <c r="T46">
        <f t="shared" si="11"/>
        <v>0</v>
      </c>
      <c r="U46">
        <f t="shared" si="12"/>
        <v>0</v>
      </c>
      <c r="V46">
        <f t="shared" si="13"/>
        <v>0</v>
      </c>
    </row>
    <row r="47" spans="2:22" ht="18" thickBot="1" x14ac:dyDescent="0.3">
      <c r="B47" s="33" t="s">
        <v>74</v>
      </c>
      <c r="C47" s="33" t="s">
        <v>76</v>
      </c>
      <c r="D47" s="33" t="s">
        <v>75</v>
      </c>
      <c r="E47" s="34" t="s">
        <v>52</v>
      </c>
      <c r="F47" s="34" t="s">
        <v>51</v>
      </c>
      <c r="G47" s="34" t="s">
        <v>50</v>
      </c>
      <c r="H47" s="34" t="s">
        <v>49</v>
      </c>
      <c r="J47" s="33" t="s">
        <v>74</v>
      </c>
      <c r="K47" s="33" t="s">
        <v>76</v>
      </c>
      <c r="L47" s="33" t="s">
        <v>75</v>
      </c>
      <c r="M47" s="34" t="s">
        <v>52</v>
      </c>
      <c r="N47" s="34" t="s">
        <v>51</v>
      </c>
      <c r="O47" s="34" t="s">
        <v>50</v>
      </c>
      <c r="P47" s="34" t="s">
        <v>49</v>
      </c>
      <c r="T47" t="str">
        <f t="shared" si="11"/>
        <v/>
      </c>
      <c r="U47" t="str">
        <f t="shared" si="12"/>
        <v/>
      </c>
      <c r="V47" t="str">
        <f t="shared" si="13"/>
        <v/>
      </c>
    </row>
    <row r="48" spans="2:22" ht="17.25" x14ac:dyDescent="0.25">
      <c r="B48" s="35" t="s">
        <v>16</v>
      </c>
      <c r="C48" s="35">
        <v>3302</v>
      </c>
      <c r="D48" s="35" t="str">
        <f>VLOOKUP($C48,Kalkulation_Platten!$C$6:$F$611,3,FALSE)&amp;" / "&amp;VLOOKUP($C48,Kalkulation_Platten!$C$6:$F$611,4,FALSE)</f>
        <v>580 / 180</v>
      </c>
      <c r="E48" s="36">
        <f>INDEX(Kalkulation_Platten!$C$3:$AM$1001,MATCH($C48,Kalkulation_Platten!$C$3:$C$1001,0),MATCH(E$3,Kalkulation_Platten!$C$3:$AM$3,0))</f>
        <v>43</v>
      </c>
      <c r="F48" s="36">
        <f>INDEX(Kalkulation_Platten!$C$3:$AM$1001,MATCH($C48,Kalkulation_Platten!$C$3:$C$1001,0),MATCH(F$3,Kalkulation_Platten!$C$3:$AM$3,0))</f>
        <v>161</v>
      </c>
      <c r="G48" s="36">
        <f>INDEX(Kalkulation_Platten!$C$3:$AM$1001,MATCH($C48,Kalkulation_Platten!$C$3:$C$1001,0),MATCH(G$3,Kalkulation_Platten!$C$3:$AM$3,0))</f>
        <v>130</v>
      </c>
      <c r="H48" s="36">
        <f>INDEX(Kalkulation_Platten!$C$3:$AM$1001,MATCH($C48,Kalkulation_Platten!$C$3:$C$1001,0),MATCH(H$3,Kalkulation_Platten!$C$3:$AM$3,0))</f>
        <v>208</v>
      </c>
      <c r="J48" s="35" t="s">
        <v>64</v>
      </c>
      <c r="K48" s="35">
        <v>3302</v>
      </c>
      <c r="L48" s="35" t="str">
        <f>VLOOKUP($C48,Kalkulation_Platten!$C$6:$F$611,3,FALSE)&amp;" / "&amp;VLOOKUP($C48,Kalkulation_Platten!$C$6:$F$611,4,FALSE)</f>
        <v>580 / 180</v>
      </c>
      <c r="M48" s="36">
        <f t="shared" ref="M48:M75" si="14">IFERROR(ROUND(E48*(1+$R$2),0),"-")</f>
        <v>49</v>
      </c>
      <c r="N48" s="36">
        <f t="shared" ref="N48:N75" si="15">IFERROR(ROUND(F48*(1+$R$2),0),"-")</f>
        <v>185</v>
      </c>
      <c r="O48" s="36">
        <f t="shared" ref="O48:O75" si="16">IFERROR(ROUND(G48*(1+$R$2),0),"-")</f>
        <v>150</v>
      </c>
      <c r="P48" s="36">
        <f t="shared" ref="P48:P75" si="17">IFERROR(ROUND(H48*(1+$R$2),0),"-")</f>
        <v>239</v>
      </c>
      <c r="T48">
        <f t="shared" si="11"/>
        <v>118</v>
      </c>
      <c r="U48">
        <f t="shared" si="12"/>
        <v>-31</v>
      </c>
      <c r="V48">
        <f t="shared" si="13"/>
        <v>78</v>
      </c>
    </row>
    <row r="49" spans="2:22" ht="17.25" x14ac:dyDescent="0.25">
      <c r="B49" s="37" t="s">
        <v>16</v>
      </c>
      <c r="C49" s="37">
        <v>3303</v>
      </c>
      <c r="D49" s="37" t="str">
        <f>VLOOKUP($C49,Kalkulation_Platten!$C$6:$F$611,3,FALSE)&amp;" / "&amp;VLOOKUP($C49,Kalkulation_Platten!$C$6:$F$611,4,FALSE)</f>
        <v>780 / 180</v>
      </c>
      <c r="E49" s="38">
        <f>INDEX(Kalkulation_Platten!$C$3:$AM$1001,MATCH($C49,Kalkulation_Platten!$C$3:$C$1001,0),MATCH(E$3,Kalkulation_Platten!$C$3:$AM$3,0))</f>
        <v>56</v>
      </c>
      <c r="F49" s="38">
        <f>INDEX(Kalkulation_Platten!$C$3:$AM$1001,MATCH($C49,Kalkulation_Platten!$C$3:$C$1001,0),MATCH(F$3,Kalkulation_Platten!$C$3:$AM$3,0))</f>
        <v>185</v>
      </c>
      <c r="G49" s="38">
        <f>INDEX(Kalkulation_Platten!$C$3:$AM$1001,MATCH($C49,Kalkulation_Platten!$C$3:$C$1001,0),MATCH(G$3,Kalkulation_Platten!$C$3:$AM$3,0))</f>
        <v>144</v>
      </c>
      <c r="H49" s="38">
        <f>INDEX(Kalkulation_Platten!$C$3:$AM$1001,MATCH($C49,Kalkulation_Platten!$C$3:$C$1001,0),MATCH(H$3,Kalkulation_Platten!$C$3:$AM$3,0))</f>
        <v>212</v>
      </c>
      <c r="J49" s="37" t="s">
        <v>64</v>
      </c>
      <c r="K49" s="37">
        <v>3303</v>
      </c>
      <c r="L49" s="37" t="str">
        <f>VLOOKUP($C49,Kalkulation_Platten!$C$6:$F$611,3,FALSE)&amp;" / "&amp;VLOOKUP($C49,Kalkulation_Platten!$C$6:$F$611,4,FALSE)</f>
        <v>780 / 180</v>
      </c>
      <c r="M49" s="38">
        <f t="shared" si="14"/>
        <v>64</v>
      </c>
      <c r="N49" s="38">
        <f t="shared" si="15"/>
        <v>213</v>
      </c>
      <c r="O49" s="38">
        <f t="shared" si="16"/>
        <v>166</v>
      </c>
      <c r="P49" s="38">
        <f t="shared" si="17"/>
        <v>244</v>
      </c>
      <c r="T49">
        <f t="shared" si="11"/>
        <v>129</v>
      </c>
      <c r="U49">
        <f t="shared" si="12"/>
        <v>-41</v>
      </c>
      <c r="V49">
        <f t="shared" si="13"/>
        <v>68</v>
      </c>
    </row>
    <row r="50" spans="2:22" ht="17.25" x14ac:dyDescent="0.25">
      <c r="B50" s="37" t="s">
        <v>16</v>
      </c>
      <c r="C50" s="37">
        <v>3304</v>
      </c>
      <c r="D50" s="37" t="str">
        <f>VLOOKUP($C50,Kalkulation_Platten!$C$6:$F$611,3,FALSE)&amp;" / "&amp;VLOOKUP($C50,Kalkulation_Platten!$C$6:$F$611,4,FALSE)</f>
        <v>980 / 180</v>
      </c>
      <c r="E50" s="38">
        <f>INDEX(Kalkulation_Platten!$C$3:$AM$1001,MATCH($C50,Kalkulation_Platten!$C$3:$C$1001,0),MATCH(E$3,Kalkulation_Platten!$C$3:$AM$3,0))</f>
        <v>70</v>
      </c>
      <c r="F50" s="38">
        <f>INDEX(Kalkulation_Platten!$C$3:$AM$1001,MATCH($C50,Kalkulation_Platten!$C$3:$C$1001,0),MATCH(F$3,Kalkulation_Platten!$C$3:$AM$3,0))</f>
        <v>223</v>
      </c>
      <c r="G50" s="38">
        <f>INDEX(Kalkulation_Platten!$C$3:$AM$1001,MATCH($C50,Kalkulation_Platten!$C$3:$C$1001,0),MATCH(G$3,Kalkulation_Platten!$C$3:$AM$3,0))</f>
        <v>174</v>
      </c>
      <c r="H50" s="38">
        <f>INDEX(Kalkulation_Platten!$C$3:$AM$1001,MATCH($C50,Kalkulation_Platten!$C$3:$C$1001,0),MATCH(H$3,Kalkulation_Platten!$C$3:$AM$3,0))</f>
        <v>229</v>
      </c>
      <c r="J50" s="37" t="s">
        <v>64</v>
      </c>
      <c r="K50" s="37">
        <v>3304</v>
      </c>
      <c r="L50" s="37" t="str">
        <f>VLOOKUP($C50,Kalkulation_Platten!$C$6:$F$611,3,FALSE)&amp;" / "&amp;VLOOKUP($C50,Kalkulation_Platten!$C$6:$F$611,4,FALSE)</f>
        <v>980 / 180</v>
      </c>
      <c r="M50" s="38">
        <f t="shared" si="14"/>
        <v>81</v>
      </c>
      <c r="N50" s="38">
        <f t="shared" si="15"/>
        <v>256</v>
      </c>
      <c r="O50" s="38">
        <f t="shared" si="16"/>
        <v>200</v>
      </c>
      <c r="P50" s="38">
        <f t="shared" si="17"/>
        <v>263</v>
      </c>
      <c r="T50">
        <f t="shared" si="11"/>
        <v>153</v>
      </c>
      <c r="U50">
        <f t="shared" si="12"/>
        <v>-49</v>
      </c>
      <c r="V50">
        <f t="shared" si="13"/>
        <v>55</v>
      </c>
    </row>
    <row r="51" spans="2:22" ht="17.25" x14ac:dyDescent="0.25">
      <c r="B51" s="37" t="s">
        <v>16</v>
      </c>
      <c r="C51" s="37">
        <v>3305</v>
      </c>
      <c r="D51" s="37" t="str">
        <f>VLOOKUP($C51,Kalkulation_Platten!$C$6:$F$611,3,FALSE)&amp;" / "&amp;VLOOKUP($C51,Kalkulation_Platten!$C$6:$F$611,4,FALSE)</f>
        <v>360 / 360</v>
      </c>
      <c r="E51" s="38">
        <f>INDEX(Kalkulation_Platten!$C$3:$AM$1001,MATCH($C51,Kalkulation_Platten!$C$3:$C$1001,0),MATCH(E$3,Kalkulation_Platten!$C$3:$AM$3,0))</f>
        <v>34</v>
      </c>
      <c r="F51" s="38">
        <f>INDEX(Kalkulation_Platten!$C$3:$AM$1001,MATCH($C51,Kalkulation_Platten!$C$3:$C$1001,0),MATCH(F$3,Kalkulation_Platten!$C$3:$AM$3,0))</f>
        <v>114</v>
      </c>
      <c r="G51" s="38">
        <f>INDEX(Kalkulation_Platten!$C$3:$AM$1001,MATCH($C51,Kalkulation_Platten!$C$3:$C$1001,0),MATCH(G$3,Kalkulation_Platten!$C$3:$AM$3,0))</f>
        <v>89</v>
      </c>
      <c r="H51" s="38">
        <f>INDEX(Kalkulation_Platten!$C$3:$AM$1001,MATCH($C51,Kalkulation_Platten!$C$3:$C$1001,0),MATCH(H$3,Kalkulation_Platten!$C$3:$AM$3,0))</f>
        <v>177</v>
      </c>
      <c r="J51" s="37" t="s">
        <v>64</v>
      </c>
      <c r="K51" s="37">
        <v>3305</v>
      </c>
      <c r="L51" s="37" t="str">
        <f>VLOOKUP($C51,Kalkulation_Platten!$C$6:$F$611,3,FALSE)&amp;" / "&amp;VLOOKUP($C51,Kalkulation_Platten!$C$6:$F$611,4,FALSE)</f>
        <v>360 / 360</v>
      </c>
      <c r="M51" s="38">
        <f t="shared" si="14"/>
        <v>39</v>
      </c>
      <c r="N51" s="38">
        <f t="shared" si="15"/>
        <v>131</v>
      </c>
      <c r="O51" s="38">
        <f t="shared" si="16"/>
        <v>102</v>
      </c>
      <c r="P51" s="38">
        <f t="shared" si="17"/>
        <v>204</v>
      </c>
      <c r="T51">
        <f t="shared" si="11"/>
        <v>80</v>
      </c>
      <c r="U51">
        <f t="shared" si="12"/>
        <v>-25</v>
      </c>
      <c r="V51">
        <f t="shared" si="13"/>
        <v>88</v>
      </c>
    </row>
    <row r="52" spans="2:22" ht="17.25" x14ac:dyDescent="0.25">
      <c r="B52" s="37" t="s">
        <v>16</v>
      </c>
      <c r="C52" s="37">
        <v>3306</v>
      </c>
      <c r="D52" s="37" t="str">
        <f>VLOOKUP($C52,Kalkulation_Platten!$C$6:$F$611,3,FALSE)&amp;" / "&amp;VLOOKUP($C52,Kalkulation_Platten!$C$6:$F$611,4,FALSE)</f>
        <v>420 / 360</v>
      </c>
      <c r="E52" s="38">
        <f>INDEX(Kalkulation_Platten!$C$3:$AM$1001,MATCH($C52,Kalkulation_Platten!$C$3:$C$1001,0),MATCH(E$3,Kalkulation_Platten!$C$3:$AM$3,0))</f>
        <v>34</v>
      </c>
      <c r="F52" s="38">
        <f>INDEX(Kalkulation_Platten!$C$3:$AM$1001,MATCH($C52,Kalkulation_Platten!$C$3:$C$1001,0),MATCH(F$3,Kalkulation_Platten!$C$3:$AM$3,0))</f>
        <v>121</v>
      </c>
      <c r="G52" s="38">
        <f>INDEX(Kalkulation_Platten!$C$3:$AM$1001,MATCH($C52,Kalkulation_Platten!$C$3:$C$1001,0),MATCH(G$3,Kalkulation_Platten!$C$3:$AM$3,0))</f>
        <v>92</v>
      </c>
      <c r="H52" s="38">
        <f>INDEX(Kalkulation_Platten!$C$3:$AM$1001,MATCH($C52,Kalkulation_Platten!$C$3:$C$1001,0),MATCH(H$3,Kalkulation_Platten!$C$3:$AM$3,0))</f>
        <v>178</v>
      </c>
      <c r="J52" s="37" t="s">
        <v>64</v>
      </c>
      <c r="K52" s="37">
        <v>3306</v>
      </c>
      <c r="L52" s="37" t="str">
        <f>VLOOKUP($C52,Kalkulation_Platten!$C$6:$F$611,3,FALSE)&amp;" / "&amp;VLOOKUP($C52,Kalkulation_Platten!$C$6:$F$611,4,FALSE)</f>
        <v>420 / 360</v>
      </c>
      <c r="M52" s="38">
        <f t="shared" si="14"/>
        <v>39</v>
      </c>
      <c r="N52" s="38">
        <f t="shared" si="15"/>
        <v>139</v>
      </c>
      <c r="O52" s="38">
        <f t="shared" si="16"/>
        <v>106</v>
      </c>
      <c r="P52" s="38">
        <f t="shared" si="17"/>
        <v>205</v>
      </c>
      <c r="T52">
        <f t="shared" si="11"/>
        <v>87</v>
      </c>
      <c r="U52">
        <f t="shared" si="12"/>
        <v>-29</v>
      </c>
      <c r="V52">
        <f t="shared" si="13"/>
        <v>86</v>
      </c>
    </row>
    <row r="53" spans="2:22" ht="17.25" x14ac:dyDescent="0.25">
      <c r="B53" s="37" t="s">
        <v>16</v>
      </c>
      <c r="C53" s="37">
        <v>3307</v>
      </c>
      <c r="D53" s="37" t="str">
        <f>VLOOKUP($C53,Kalkulation_Platten!$C$6:$F$611,3,FALSE)&amp;" / "&amp;VLOOKUP($C53,Kalkulation_Platten!$C$6:$F$611,4,FALSE)</f>
        <v>580 / 360</v>
      </c>
      <c r="E53" s="38">
        <f>INDEX(Kalkulation_Platten!$C$3:$AM$1001,MATCH($C53,Kalkulation_Platten!$C$3:$C$1001,0),MATCH(E$3,Kalkulation_Platten!$C$3:$AM$3,0))</f>
        <v>43</v>
      </c>
      <c r="F53" s="38">
        <f>INDEX(Kalkulation_Platten!$C$3:$AM$1001,MATCH($C53,Kalkulation_Platten!$C$3:$C$1001,0),MATCH(F$3,Kalkulation_Platten!$C$3:$AM$3,0))</f>
        <v>161</v>
      </c>
      <c r="G53" s="38">
        <f>INDEX(Kalkulation_Platten!$C$3:$AM$1001,MATCH($C53,Kalkulation_Platten!$C$3:$C$1001,0),MATCH(G$3,Kalkulation_Platten!$C$3:$AM$3,0))</f>
        <v>130</v>
      </c>
      <c r="H53" s="38">
        <f>INDEX(Kalkulation_Platten!$C$3:$AM$1001,MATCH($C53,Kalkulation_Platten!$C$3:$C$1001,0),MATCH(H$3,Kalkulation_Platten!$C$3:$AM$3,0))</f>
        <v>185</v>
      </c>
      <c r="J53" s="37" t="s">
        <v>64</v>
      </c>
      <c r="K53" s="37">
        <v>3307</v>
      </c>
      <c r="L53" s="37" t="str">
        <f>VLOOKUP($C53,Kalkulation_Platten!$C$6:$F$611,3,FALSE)&amp;" / "&amp;VLOOKUP($C53,Kalkulation_Platten!$C$6:$F$611,4,FALSE)</f>
        <v>580 / 360</v>
      </c>
      <c r="M53" s="38">
        <f t="shared" si="14"/>
        <v>49</v>
      </c>
      <c r="N53" s="38">
        <f t="shared" si="15"/>
        <v>185</v>
      </c>
      <c r="O53" s="38">
        <f t="shared" si="16"/>
        <v>150</v>
      </c>
      <c r="P53" s="38">
        <f t="shared" si="17"/>
        <v>213</v>
      </c>
      <c r="T53">
        <f t="shared" si="11"/>
        <v>118</v>
      </c>
      <c r="U53">
        <f t="shared" si="12"/>
        <v>-31</v>
      </c>
      <c r="V53">
        <f t="shared" si="13"/>
        <v>55</v>
      </c>
    </row>
    <row r="54" spans="2:22" ht="17.25" x14ac:dyDescent="0.25">
      <c r="B54" s="37" t="s">
        <v>16</v>
      </c>
      <c r="C54" s="37">
        <v>3308</v>
      </c>
      <c r="D54" s="37" t="str">
        <f>VLOOKUP($C54,Kalkulation_Platten!$C$6:$F$611,3,FALSE)&amp;" / "&amp;VLOOKUP($C54,Kalkulation_Platten!$C$6:$F$611,4,FALSE)</f>
        <v>780 / 360</v>
      </c>
      <c r="E54" s="38">
        <f>INDEX(Kalkulation_Platten!$C$3:$AM$1001,MATCH($C54,Kalkulation_Platten!$C$3:$C$1001,0),MATCH(E$3,Kalkulation_Platten!$C$3:$AM$3,0))</f>
        <v>56</v>
      </c>
      <c r="F54" s="38">
        <f>INDEX(Kalkulation_Platten!$C$3:$AM$1001,MATCH($C54,Kalkulation_Platten!$C$3:$C$1001,0),MATCH(F$3,Kalkulation_Platten!$C$3:$AM$3,0))</f>
        <v>185</v>
      </c>
      <c r="G54" s="38">
        <f>INDEX(Kalkulation_Platten!$C$3:$AM$1001,MATCH($C54,Kalkulation_Platten!$C$3:$C$1001,0),MATCH(G$3,Kalkulation_Platten!$C$3:$AM$3,0))</f>
        <v>144</v>
      </c>
      <c r="H54" s="38">
        <f>INDEX(Kalkulation_Platten!$C$3:$AM$1001,MATCH($C54,Kalkulation_Platten!$C$3:$C$1001,0),MATCH(H$3,Kalkulation_Platten!$C$3:$AM$3,0))</f>
        <v>190</v>
      </c>
      <c r="J54" s="37" t="s">
        <v>64</v>
      </c>
      <c r="K54" s="37">
        <v>3308</v>
      </c>
      <c r="L54" s="37" t="str">
        <f>VLOOKUP($C54,Kalkulation_Platten!$C$6:$F$611,3,FALSE)&amp;" / "&amp;VLOOKUP($C54,Kalkulation_Platten!$C$6:$F$611,4,FALSE)</f>
        <v>780 / 360</v>
      </c>
      <c r="M54" s="38">
        <f t="shared" si="14"/>
        <v>64</v>
      </c>
      <c r="N54" s="38">
        <f t="shared" si="15"/>
        <v>213</v>
      </c>
      <c r="O54" s="38">
        <f t="shared" si="16"/>
        <v>166</v>
      </c>
      <c r="P54" s="38">
        <f t="shared" si="17"/>
        <v>219</v>
      </c>
      <c r="T54">
        <f t="shared" si="11"/>
        <v>129</v>
      </c>
      <c r="U54">
        <f t="shared" si="12"/>
        <v>-41</v>
      </c>
      <c r="V54">
        <f t="shared" si="13"/>
        <v>46</v>
      </c>
    </row>
    <row r="55" spans="2:22" ht="17.25" x14ac:dyDescent="0.25">
      <c r="B55" s="37" t="s">
        <v>16</v>
      </c>
      <c r="C55" s="37">
        <v>3309</v>
      </c>
      <c r="D55" s="37" t="str">
        <f>VLOOKUP($C55,Kalkulation_Platten!$C$6:$F$611,3,FALSE)&amp;" / "&amp;VLOOKUP($C55,Kalkulation_Platten!$C$6:$F$611,4,FALSE)</f>
        <v>980 / 360</v>
      </c>
      <c r="E55" s="38">
        <f>INDEX(Kalkulation_Platten!$C$3:$AM$1001,MATCH($C55,Kalkulation_Platten!$C$3:$C$1001,0),MATCH(E$3,Kalkulation_Platten!$C$3:$AM$3,0))</f>
        <v>70</v>
      </c>
      <c r="F55" s="38">
        <f>INDEX(Kalkulation_Platten!$C$3:$AM$1001,MATCH($C55,Kalkulation_Platten!$C$3:$C$1001,0),MATCH(F$3,Kalkulation_Platten!$C$3:$AM$3,0))</f>
        <v>223</v>
      </c>
      <c r="G55" s="38">
        <f>INDEX(Kalkulation_Platten!$C$3:$AM$1001,MATCH($C55,Kalkulation_Platten!$C$3:$C$1001,0),MATCH(G$3,Kalkulation_Platten!$C$3:$AM$3,0))</f>
        <v>174</v>
      </c>
      <c r="H55" s="38">
        <f>INDEX(Kalkulation_Platten!$C$3:$AM$1001,MATCH($C55,Kalkulation_Platten!$C$3:$C$1001,0),MATCH(H$3,Kalkulation_Platten!$C$3:$AM$3,0))</f>
        <v>209</v>
      </c>
      <c r="J55" s="37" t="s">
        <v>64</v>
      </c>
      <c r="K55" s="37">
        <v>3309</v>
      </c>
      <c r="L55" s="37" t="str">
        <f>VLOOKUP($C55,Kalkulation_Platten!$C$6:$F$611,3,FALSE)&amp;" / "&amp;VLOOKUP($C55,Kalkulation_Platten!$C$6:$F$611,4,FALSE)</f>
        <v>980 / 360</v>
      </c>
      <c r="M55" s="38">
        <f t="shared" si="14"/>
        <v>81</v>
      </c>
      <c r="N55" s="38">
        <f t="shared" si="15"/>
        <v>256</v>
      </c>
      <c r="O55" s="38">
        <f t="shared" si="16"/>
        <v>200</v>
      </c>
      <c r="P55" s="38">
        <f t="shared" si="17"/>
        <v>240</v>
      </c>
      <c r="T55">
        <f t="shared" si="11"/>
        <v>153</v>
      </c>
      <c r="U55">
        <f t="shared" si="12"/>
        <v>-49</v>
      </c>
      <c r="V55">
        <f t="shared" si="13"/>
        <v>35</v>
      </c>
    </row>
    <row r="56" spans="2:22" ht="17.25" x14ac:dyDescent="0.25">
      <c r="B56" s="37" t="s">
        <v>16</v>
      </c>
      <c r="C56" s="37">
        <v>3310</v>
      </c>
      <c r="D56" s="37" t="str">
        <f>VLOOKUP($C56,Kalkulation_Platten!$C$6:$F$611,3,FALSE)&amp;" / "&amp;VLOOKUP($C56,Kalkulation_Platten!$C$6:$F$611,4,FALSE)</f>
        <v>360 / 720</v>
      </c>
      <c r="E56" s="38">
        <f>INDEX(Kalkulation_Platten!$C$3:$AM$1001,MATCH($C56,Kalkulation_Platten!$C$3:$C$1001,0),MATCH(E$3,Kalkulation_Platten!$C$3:$AM$3,0))</f>
        <v>52</v>
      </c>
      <c r="F56" s="38">
        <f>INDEX(Kalkulation_Platten!$C$3:$AM$1001,MATCH($C56,Kalkulation_Platten!$C$3:$C$1001,0),MATCH(F$3,Kalkulation_Platten!$C$3:$AM$3,0))</f>
        <v>181</v>
      </c>
      <c r="G56" s="38">
        <f>INDEX(Kalkulation_Platten!$C$3:$AM$1001,MATCH($C56,Kalkulation_Platten!$C$3:$C$1001,0),MATCH(G$3,Kalkulation_Platten!$C$3:$AM$3,0))</f>
        <v>143</v>
      </c>
      <c r="H56" s="38">
        <f>INDEX(Kalkulation_Platten!$C$3:$AM$1001,MATCH($C56,Kalkulation_Platten!$C$3:$C$1001,0),MATCH(H$3,Kalkulation_Platten!$C$3:$AM$3,0))</f>
        <v>212</v>
      </c>
      <c r="J56" s="37" t="s">
        <v>64</v>
      </c>
      <c r="K56" s="37">
        <v>3310</v>
      </c>
      <c r="L56" s="37" t="str">
        <f>VLOOKUP($C56,Kalkulation_Platten!$C$6:$F$611,3,FALSE)&amp;" / "&amp;VLOOKUP($C56,Kalkulation_Platten!$C$6:$F$611,4,FALSE)</f>
        <v>360 / 720</v>
      </c>
      <c r="M56" s="38">
        <f t="shared" si="14"/>
        <v>60</v>
      </c>
      <c r="N56" s="38">
        <f t="shared" si="15"/>
        <v>208</v>
      </c>
      <c r="O56" s="38">
        <f t="shared" si="16"/>
        <v>164</v>
      </c>
      <c r="P56" s="38">
        <f t="shared" si="17"/>
        <v>244</v>
      </c>
      <c r="T56">
        <f t="shared" si="11"/>
        <v>129</v>
      </c>
      <c r="U56">
        <f t="shared" si="12"/>
        <v>-38</v>
      </c>
      <c r="V56">
        <f t="shared" si="13"/>
        <v>69</v>
      </c>
    </row>
    <row r="57" spans="2:22" ht="17.25" x14ac:dyDescent="0.25">
      <c r="B57" s="37" t="s">
        <v>16</v>
      </c>
      <c r="C57" s="37">
        <v>3311</v>
      </c>
      <c r="D57" s="37" t="str">
        <f>VLOOKUP($C57,Kalkulation_Platten!$C$6:$F$611,3,FALSE)&amp;" / "&amp;VLOOKUP($C57,Kalkulation_Platten!$C$6:$F$611,4,FALSE)</f>
        <v>420 / 720</v>
      </c>
      <c r="E57" s="38">
        <f>INDEX(Kalkulation_Platten!$C$3:$AM$1001,MATCH($C57,Kalkulation_Platten!$C$3:$C$1001,0),MATCH(E$3,Kalkulation_Platten!$C$3:$AM$3,0))</f>
        <v>60</v>
      </c>
      <c r="F57" s="38">
        <f>INDEX(Kalkulation_Platten!$C$3:$AM$1001,MATCH($C57,Kalkulation_Platten!$C$3:$C$1001,0),MATCH(F$3,Kalkulation_Platten!$C$3:$AM$3,0))</f>
        <v>212</v>
      </c>
      <c r="G57" s="38">
        <f>INDEX(Kalkulation_Platten!$C$3:$AM$1001,MATCH($C57,Kalkulation_Platten!$C$3:$C$1001,0),MATCH(G$3,Kalkulation_Platten!$C$3:$AM$3,0))</f>
        <v>166</v>
      </c>
      <c r="H57" s="38">
        <f>INDEX(Kalkulation_Platten!$C$3:$AM$1001,MATCH($C57,Kalkulation_Platten!$C$3:$C$1001,0),MATCH(H$3,Kalkulation_Platten!$C$3:$AM$3,0))</f>
        <v>212</v>
      </c>
      <c r="J57" s="37" t="s">
        <v>64</v>
      </c>
      <c r="K57" s="37">
        <v>3311</v>
      </c>
      <c r="L57" s="37" t="str">
        <f>VLOOKUP($C57,Kalkulation_Platten!$C$6:$F$611,3,FALSE)&amp;" / "&amp;VLOOKUP($C57,Kalkulation_Platten!$C$6:$F$611,4,FALSE)</f>
        <v>420 / 720</v>
      </c>
      <c r="M57" s="38">
        <f t="shared" si="14"/>
        <v>69</v>
      </c>
      <c r="N57" s="38">
        <f t="shared" si="15"/>
        <v>244</v>
      </c>
      <c r="O57" s="38">
        <f t="shared" si="16"/>
        <v>191</v>
      </c>
      <c r="P57" s="38">
        <f t="shared" si="17"/>
        <v>244</v>
      </c>
      <c r="T57">
        <f t="shared" si="11"/>
        <v>152</v>
      </c>
      <c r="U57">
        <f t="shared" si="12"/>
        <v>-46</v>
      </c>
      <c r="V57">
        <f t="shared" si="13"/>
        <v>46</v>
      </c>
    </row>
    <row r="58" spans="2:22" ht="17.25" x14ac:dyDescent="0.25">
      <c r="B58" s="37" t="s">
        <v>16</v>
      </c>
      <c r="C58" s="37">
        <v>3312</v>
      </c>
      <c r="D58" s="37" t="str">
        <f>VLOOKUP($C58,Kalkulation_Platten!$C$6:$F$611,3,FALSE)&amp;" / "&amp;VLOOKUP($C58,Kalkulation_Platten!$C$6:$F$611,4,FALSE)</f>
        <v>580 / 720</v>
      </c>
      <c r="E58" s="38">
        <f>INDEX(Kalkulation_Platten!$C$3:$AM$1001,MATCH($C58,Kalkulation_Platten!$C$3:$C$1001,0),MATCH(E$3,Kalkulation_Platten!$C$3:$AM$3,0))</f>
        <v>82</v>
      </c>
      <c r="F58" s="38">
        <f>INDEX(Kalkulation_Platten!$C$3:$AM$1001,MATCH($C58,Kalkulation_Platten!$C$3:$C$1001,0),MATCH(F$3,Kalkulation_Platten!$C$3:$AM$3,0))</f>
        <v>262</v>
      </c>
      <c r="G58" s="38">
        <f>INDEX(Kalkulation_Platten!$C$3:$AM$1001,MATCH($C58,Kalkulation_Platten!$C$3:$C$1001,0),MATCH(G$3,Kalkulation_Platten!$C$3:$AM$3,0))</f>
        <v>216</v>
      </c>
      <c r="H58" s="38">
        <f>INDEX(Kalkulation_Platten!$C$3:$AM$1001,MATCH($C58,Kalkulation_Platten!$C$3:$C$1001,0),MATCH(H$3,Kalkulation_Platten!$C$3:$AM$3,0))</f>
        <v>245</v>
      </c>
      <c r="J58" s="37" t="s">
        <v>64</v>
      </c>
      <c r="K58" s="37">
        <v>3312</v>
      </c>
      <c r="L58" s="37" t="str">
        <f>VLOOKUP($C58,Kalkulation_Platten!$C$6:$F$611,3,FALSE)&amp;" / "&amp;VLOOKUP($C58,Kalkulation_Platten!$C$6:$F$611,4,FALSE)</f>
        <v>580 / 720</v>
      </c>
      <c r="M58" s="38">
        <f t="shared" si="14"/>
        <v>94</v>
      </c>
      <c r="N58" s="38">
        <f t="shared" si="15"/>
        <v>301</v>
      </c>
      <c r="O58" s="38">
        <f t="shared" si="16"/>
        <v>248</v>
      </c>
      <c r="P58" s="38">
        <f t="shared" si="17"/>
        <v>282</v>
      </c>
      <c r="T58">
        <f t="shared" si="11"/>
        <v>180</v>
      </c>
      <c r="U58">
        <f t="shared" si="12"/>
        <v>-46</v>
      </c>
      <c r="V58">
        <f t="shared" si="13"/>
        <v>29</v>
      </c>
    </row>
    <row r="59" spans="2:22" ht="17.25" x14ac:dyDescent="0.25">
      <c r="B59" s="37" t="s">
        <v>16</v>
      </c>
      <c r="C59" s="37">
        <v>3313</v>
      </c>
      <c r="D59" s="37" t="str">
        <f>VLOOKUP($C59,Kalkulation_Platten!$C$6:$F$611,3,FALSE)&amp;" / "&amp;VLOOKUP($C59,Kalkulation_Platten!$C$6:$F$611,4,FALSE)</f>
        <v>780 / 720</v>
      </c>
      <c r="E59" s="38">
        <f>INDEX(Kalkulation_Platten!$C$3:$AM$1001,MATCH($C59,Kalkulation_Platten!$C$3:$C$1001,0),MATCH(E$3,Kalkulation_Platten!$C$3:$AM$3,0))</f>
        <v>107</v>
      </c>
      <c r="F59" s="38">
        <f>INDEX(Kalkulation_Platten!$C$3:$AM$1001,MATCH($C59,Kalkulation_Platten!$C$3:$C$1001,0),MATCH(F$3,Kalkulation_Platten!$C$3:$AM$3,0))</f>
        <v>355</v>
      </c>
      <c r="G59" s="38">
        <f>INDEX(Kalkulation_Platten!$C$3:$AM$1001,MATCH($C59,Kalkulation_Platten!$C$3:$C$1001,0),MATCH(G$3,Kalkulation_Platten!$C$3:$AM$3,0))</f>
        <v>277</v>
      </c>
      <c r="H59" s="38">
        <f>INDEX(Kalkulation_Platten!$C$3:$AM$1001,MATCH($C59,Kalkulation_Platten!$C$3:$C$1001,0),MATCH(H$3,Kalkulation_Platten!$C$3:$AM$3,0))</f>
        <v>268</v>
      </c>
      <c r="J59" s="37" t="s">
        <v>64</v>
      </c>
      <c r="K59" s="37">
        <v>3313</v>
      </c>
      <c r="L59" s="37" t="str">
        <f>VLOOKUP($C59,Kalkulation_Platten!$C$6:$F$611,3,FALSE)&amp;" / "&amp;VLOOKUP($C59,Kalkulation_Platten!$C$6:$F$611,4,FALSE)</f>
        <v>780 / 720</v>
      </c>
      <c r="M59" s="38">
        <f t="shared" si="14"/>
        <v>123</v>
      </c>
      <c r="N59" s="38">
        <f t="shared" si="15"/>
        <v>408</v>
      </c>
      <c r="O59" s="38">
        <f t="shared" si="16"/>
        <v>319</v>
      </c>
      <c r="P59" s="38">
        <f t="shared" si="17"/>
        <v>308</v>
      </c>
      <c r="T59">
        <f t="shared" si="11"/>
        <v>248</v>
      </c>
      <c r="U59">
        <f t="shared" si="12"/>
        <v>-78</v>
      </c>
      <c r="V59">
        <f t="shared" si="13"/>
        <v>-9</v>
      </c>
    </row>
    <row r="60" spans="2:22" ht="17.25" x14ac:dyDescent="0.25">
      <c r="B60" s="37" t="s">
        <v>16</v>
      </c>
      <c r="C60" s="37">
        <v>3314</v>
      </c>
      <c r="D60" s="37" t="str">
        <f>VLOOKUP($C60,Kalkulation_Platten!$C$6:$F$611,3,FALSE)&amp;" / "&amp;VLOOKUP($C60,Kalkulation_Platten!$C$6:$F$611,4,FALSE)</f>
        <v>980 / 720</v>
      </c>
      <c r="E60" s="38">
        <f>INDEX(Kalkulation_Platten!$C$3:$AM$1001,MATCH($C60,Kalkulation_Platten!$C$3:$C$1001,0),MATCH(E$3,Kalkulation_Platten!$C$3:$AM$3,0))</f>
        <v>134</v>
      </c>
      <c r="F60" s="38">
        <f>INDEX(Kalkulation_Platten!$C$3:$AM$1001,MATCH($C60,Kalkulation_Platten!$C$3:$C$1001,0),MATCH(F$3,Kalkulation_Platten!$C$3:$AM$3,0))</f>
        <v>406</v>
      </c>
      <c r="G60" s="38">
        <f>INDEX(Kalkulation_Platten!$C$3:$AM$1001,MATCH($C60,Kalkulation_Platten!$C$3:$C$1001,0),MATCH(G$3,Kalkulation_Platten!$C$3:$AM$3,0))</f>
        <v>320</v>
      </c>
      <c r="H60" s="38">
        <f>INDEX(Kalkulation_Platten!$C$3:$AM$1001,MATCH($C60,Kalkulation_Platten!$C$3:$C$1001,0),MATCH(H$3,Kalkulation_Platten!$C$3:$AM$3,0))</f>
        <v>329</v>
      </c>
      <c r="J60" s="37" t="s">
        <v>64</v>
      </c>
      <c r="K60" s="37">
        <v>3314</v>
      </c>
      <c r="L60" s="37" t="str">
        <f>VLOOKUP($C60,Kalkulation_Platten!$C$6:$F$611,3,FALSE)&amp;" / "&amp;VLOOKUP($C60,Kalkulation_Platten!$C$6:$F$611,4,FALSE)</f>
        <v>980 / 720</v>
      </c>
      <c r="M60" s="38">
        <f t="shared" si="14"/>
        <v>154</v>
      </c>
      <c r="N60" s="38">
        <f t="shared" si="15"/>
        <v>467</v>
      </c>
      <c r="O60" s="38">
        <f t="shared" si="16"/>
        <v>368</v>
      </c>
      <c r="P60" s="38">
        <f t="shared" si="17"/>
        <v>378</v>
      </c>
      <c r="T60">
        <f t="shared" si="11"/>
        <v>272</v>
      </c>
      <c r="U60">
        <f t="shared" si="12"/>
        <v>-86</v>
      </c>
      <c r="V60">
        <f t="shared" si="13"/>
        <v>9</v>
      </c>
    </row>
    <row r="61" spans="2:22" ht="17.25" x14ac:dyDescent="0.25">
      <c r="B61" s="37" t="s">
        <v>16</v>
      </c>
      <c r="C61" s="37">
        <v>3315</v>
      </c>
      <c r="D61" s="37" t="str">
        <f>VLOOKUP($C61,Kalkulation_Platten!$C$6:$F$611,3,FALSE)&amp;" / "&amp;VLOOKUP($C61,Kalkulation_Platten!$C$6:$F$611,4,FALSE)</f>
        <v>360 / 1080</v>
      </c>
      <c r="E61" s="38">
        <f>INDEX(Kalkulation_Platten!$C$3:$AM$1001,MATCH($C61,Kalkulation_Platten!$C$3:$C$1001,0),MATCH(E$3,Kalkulation_Platten!$C$3:$AM$3,0))</f>
        <v>88</v>
      </c>
      <c r="F61" s="38">
        <f>INDEX(Kalkulation_Platten!$C$3:$AM$1001,MATCH($C61,Kalkulation_Platten!$C$3:$C$1001,0),MATCH(F$3,Kalkulation_Platten!$C$3:$AM$3,0))</f>
        <v>267</v>
      </c>
      <c r="G61" s="38">
        <f>INDEX(Kalkulation_Platten!$C$3:$AM$1001,MATCH($C61,Kalkulation_Platten!$C$3:$C$1001,0),MATCH(G$3,Kalkulation_Platten!$C$3:$AM$3,0))</f>
        <v>222</v>
      </c>
      <c r="H61" s="38">
        <f>INDEX(Kalkulation_Platten!$C$3:$AM$1001,MATCH($C61,Kalkulation_Platten!$C$3:$C$1001,0),MATCH(H$3,Kalkulation_Platten!$C$3:$AM$3,0))</f>
        <v>240</v>
      </c>
      <c r="J61" s="37" t="s">
        <v>64</v>
      </c>
      <c r="K61" s="37">
        <v>3315</v>
      </c>
      <c r="L61" s="37" t="str">
        <f>VLOOKUP($C61,Kalkulation_Platten!$C$6:$F$611,3,FALSE)&amp;" / "&amp;VLOOKUP($C61,Kalkulation_Platten!$C$6:$F$611,4,FALSE)</f>
        <v>360 / 1080</v>
      </c>
      <c r="M61" s="38">
        <f t="shared" si="14"/>
        <v>101</v>
      </c>
      <c r="N61" s="38">
        <f t="shared" si="15"/>
        <v>307</v>
      </c>
      <c r="O61" s="38">
        <f t="shared" si="16"/>
        <v>255</v>
      </c>
      <c r="P61" s="38">
        <f t="shared" si="17"/>
        <v>276</v>
      </c>
      <c r="T61">
        <f t="shared" si="11"/>
        <v>179</v>
      </c>
      <c r="U61">
        <f t="shared" si="12"/>
        <v>-45</v>
      </c>
      <c r="V61">
        <f t="shared" si="13"/>
        <v>18</v>
      </c>
    </row>
    <row r="62" spans="2:22" ht="17.25" x14ac:dyDescent="0.25">
      <c r="B62" s="37" t="s">
        <v>16</v>
      </c>
      <c r="C62" s="37">
        <v>3316</v>
      </c>
      <c r="D62" s="37" t="str">
        <f>VLOOKUP($C62,Kalkulation_Platten!$C$6:$F$611,3,FALSE)&amp;" / "&amp;VLOOKUP($C62,Kalkulation_Platten!$C$6:$F$611,4,FALSE)</f>
        <v>420 / 1080</v>
      </c>
      <c r="E62" s="38">
        <f>INDEX(Kalkulation_Platten!$C$3:$AM$1001,MATCH($C62,Kalkulation_Platten!$C$3:$C$1001,0),MATCH(E$3,Kalkulation_Platten!$C$3:$AM$3,0))</f>
        <v>88</v>
      </c>
      <c r="F62" s="38">
        <f>INDEX(Kalkulation_Platten!$C$3:$AM$1001,MATCH($C62,Kalkulation_Platten!$C$3:$C$1001,0),MATCH(F$3,Kalkulation_Platten!$C$3:$AM$3,0))</f>
        <v>304</v>
      </c>
      <c r="G62" s="38">
        <f>INDEX(Kalkulation_Platten!$C$3:$AM$1001,MATCH($C62,Kalkulation_Platten!$C$3:$C$1001,0),MATCH(G$3,Kalkulation_Platten!$C$3:$AM$3,0))</f>
        <v>241</v>
      </c>
      <c r="H62" s="38">
        <f>INDEX(Kalkulation_Platten!$C$3:$AM$1001,MATCH($C62,Kalkulation_Platten!$C$3:$C$1001,0),MATCH(H$3,Kalkulation_Platten!$C$3:$AM$3,0))</f>
        <v>259</v>
      </c>
      <c r="J62" s="37" t="s">
        <v>64</v>
      </c>
      <c r="K62" s="37">
        <v>3316</v>
      </c>
      <c r="L62" s="37" t="str">
        <f>VLOOKUP($C62,Kalkulation_Platten!$C$6:$F$611,3,FALSE)&amp;" / "&amp;VLOOKUP($C62,Kalkulation_Platten!$C$6:$F$611,4,FALSE)</f>
        <v>420 / 1080</v>
      </c>
      <c r="M62" s="38">
        <f t="shared" si="14"/>
        <v>101</v>
      </c>
      <c r="N62" s="38">
        <f t="shared" si="15"/>
        <v>350</v>
      </c>
      <c r="O62" s="38">
        <f t="shared" si="16"/>
        <v>277</v>
      </c>
      <c r="P62" s="38">
        <f t="shared" si="17"/>
        <v>298</v>
      </c>
      <c r="T62">
        <f t="shared" si="11"/>
        <v>216</v>
      </c>
      <c r="U62">
        <f t="shared" si="12"/>
        <v>-63</v>
      </c>
      <c r="V62">
        <f t="shared" si="13"/>
        <v>18</v>
      </c>
    </row>
    <row r="63" spans="2:22" ht="17.25" x14ac:dyDescent="0.25">
      <c r="B63" s="37" t="s">
        <v>16</v>
      </c>
      <c r="C63" s="37">
        <v>3317</v>
      </c>
      <c r="D63" s="37" t="str">
        <f>VLOOKUP($C63,Kalkulation_Platten!$C$6:$F$611,3,FALSE)&amp;" / "&amp;VLOOKUP($C63,Kalkulation_Platten!$C$6:$F$611,4,FALSE)</f>
        <v>580 / 1080</v>
      </c>
      <c r="E63" s="39">
        <f>INDEX(Kalkulation_Platten!$C$3:$AM$1001,MATCH($C63,Kalkulation_Platten!$C$3:$C$1001,0),MATCH(E$3,Kalkulation_Platten!$C$3:$AM$3,0))</f>
        <v>119</v>
      </c>
      <c r="F63" s="38">
        <f>INDEX(Kalkulation_Platten!$C$3:$AM$1001,MATCH($C63,Kalkulation_Platten!$C$3:$C$1001,0),MATCH(F$3,Kalkulation_Platten!$C$3:$AM$3,0))</f>
        <v>377</v>
      </c>
      <c r="G63" s="38">
        <f>INDEX(Kalkulation_Platten!$C$3:$AM$1001,MATCH($C63,Kalkulation_Platten!$C$3:$C$1001,0),MATCH(G$3,Kalkulation_Platten!$C$3:$AM$3,0))</f>
        <v>300</v>
      </c>
      <c r="H63" s="38">
        <f>INDEX(Kalkulation_Platten!$C$3:$AM$1001,MATCH($C63,Kalkulation_Platten!$C$3:$C$1001,0),MATCH(H$3,Kalkulation_Platten!$C$3:$AM$3,0))</f>
        <v>307</v>
      </c>
      <c r="J63" s="37" t="s">
        <v>64</v>
      </c>
      <c r="K63" s="37">
        <v>3317</v>
      </c>
      <c r="L63" s="37" t="str">
        <f>VLOOKUP($C63,Kalkulation_Platten!$C$6:$F$611,3,FALSE)&amp;" / "&amp;VLOOKUP($C63,Kalkulation_Platten!$C$6:$F$611,4,FALSE)</f>
        <v>580 / 1080</v>
      </c>
      <c r="M63" s="39">
        <f t="shared" si="14"/>
        <v>137</v>
      </c>
      <c r="N63" s="38">
        <f t="shared" si="15"/>
        <v>434</v>
      </c>
      <c r="O63" s="38">
        <f t="shared" si="16"/>
        <v>345</v>
      </c>
      <c r="P63" s="38">
        <f t="shared" si="17"/>
        <v>353</v>
      </c>
      <c r="T63">
        <f t="shared" si="11"/>
        <v>258</v>
      </c>
      <c r="U63">
        <f t="shared" si="12"/>
        <v>-77</v>
      </c>
      <c r="V63">
        <f t="shared" si="13"/>
        <v>7</v>
      </c>
    </row>
    <row r="64" spans="2:22" ht="17.25" x14ac:dyDescent="0.25">
      <c r="B64" s="37" t="s">
        <v>16</v>
      </c>
      <c r="C64" s="37">
        <v>3318</v>
      </c>
      <c r="D64" s="37" t="str">
        <f>VLOOKUP($C64,Kalkulation_Platten!$C$6:$F$611,3,FALSE)&amp;" / "&amp;VLOOKUP($C64,Kalkulation_Platten!$C$6:$F$611,4,FALSE)</f>
        <v>780 / 1080</v>
      </c>
      <c r="E64" s="39">
        <f>INDEX(Kalkulation_Platten!$C$3:$AM$1001,MATCH($C64,Kalkulation_Platten!$C$3:$C$1001,0),MATCH(E$3,Kalkulation_Platten!$C$3:$AM$3,0))</f>
        <v>161</v>
      </c>
      <c r="F64" s="38">
        <f>INDEX(Kalkulation_Platten!$C$3:$AM$1001,MATCH($C64,Kalkulation_Platten!$C$3:$C$1001,0),MATCH(F$3,Kalkulation_Platten!$C$3:$AM$3,0))</f>
        <v>517</v>
      </c>
      <c r="G64" s="38">
        <f>INDEX(Kalkulation_Platten!$C$3:$AM$1001,MATCH($C64,Kalkulation_Platten!$C$3:$C$1001,0),MATCH(G$3,Kalkulation_Platten!$C$3:$AM$3,0))</f>
        <v>409</v>
      </c>
      <c r="H64" s="38">
        <f>INDEX(Kalkulation_Platten!$C$3:$AM$1001,MATCH($C64,Kalkulation_Platten!$C$3:$C$1001,0),MATCH(H$3,Kalkulation_Platten!$C$3:$AM$3,0))</f>
        <v>385</v>
      </c>
      <c r="J64" s="37" t="s">
        <v>64</v>
      </c>
      <c r="K64" s="37">
        <v>3318</v>
      </c>
      <c r="L64" s="37" t="str">
        <f>VLOOKUP($C64,Kalkulation_Platten!$C$6:$F$611,3,FALSE)&amp;" / "&amp;VLOOKUP($C64,Kalkulation_Platten!$C$6:$F$611,4,FALSE)</f>
        <v>780 / 1080</v>
      </c>
      <c r="M64" s="39">
        <f t="shared" si="14"/>
        <v>185</v>
      </c>
      <c r="N64" s="38">
        <f t="shared" si="15"/>
        <v>595</v>
      </c>
      <c r="O64" s="38">
        <f t="shared" si="16"/>
        <v>470</v>
      </c>
      <c r="P64" s="38">
        <f t="shared" si="17"/>
        <v>443</v>
      </c>
      <c r="T64">
        <f t="shared" si="11"/>
        <v>356</v>
      </c>
      <c r="U64">
        <f t="shared" si="12"/>
        <v>-108</v>
      </c>
      <c r="V64">
        <f t="shared" si="13"/>
        <v>-24</v>
      </c>
    </row>
    <row r="65" spans="2:22" ht="17.25" x14ac:dyDescent="0.25">
      <c r="B65" s="37" t="s">
        <v>16</v>
      </c>
      <c r="C65" s="37">
        <v>3319</v>
      </c>
      <c r="D65" s="37" t="str">
        <f>VLOOKUP($C65,Kalkulation_Platten!$C$6:$F$611,3,FALSE)&amp;" / "&amp;VLOOKUP($C65,Kalkulation_Platten!$C$6:$F$611,4,FALSE)</f>
        <v>980 / 1080</v>
      </c>
      <c r="E65" s="39">
        <f>INDEX(Kalkulation_Platten!$C$3:$AM$1001,MATCH($C65,Kalkulation_Platten!$C$3:$C$1001,0),MATCH(E$3,Kalkulation_Platten!$C$3:$AM$3,0))</f>
        <v>200</v>
      </c>
      <c r="F65" s="38">
        <f>INDEX(Kalkulation_Platten!$C$3:$AM$1001,MATCH($C65,Kalkulation_Platten!$C$3:$C$1001,0),MATCH(F$3,Kalkulation_Platten!$C$3:$AM$3,0))</f>
        <v>626</v>
      </c>
      <c r="G65" s="38">
        <f>INDEX(Kalkulation_Platten!$C$3:$AM$1001,MATCH($C65,Kalkulation_Platten!$C$3:$C$1001,0),MATCH(G$3,Kalkulation_Platten!$C$3:$AM$3,0))</f>
        <v>474</v>
      </c>
      <c r="H65" s="38">
        <f>INDEX(Kalkulation_Platten!$C$3:$AM$1001,MATCH($C65,Kalkulation_Platten!$C$3:$C$1001,0),MATCH(H$3,Kalkulation_Platten!$C$3:$AM$3,0))</f>
        <v>431</v>
      </c>
      <c r="J65" s="37" t="s">
        <v>64</v>
      </c>
      <c r="K65" s="37">
        <v>3319</v>
      </c>
      <c r="L65" s="37" t="str">
        <f>VLOOKUP($C65,Kalkulation_Platten!$C$6:$F$611,3,FALSE)&amp;" / "&amp;VLOOKUP($C65,Kalkulation_Platten!$C$6:$F$611,4,FALSE)</f>
        <v>980 / 1080</v>
      </c>
      <c r="M65" s="39">
        <f t="shared" si="14"/>
        <v>230</v>
      </c>
      <c r="N65" s="38">
        <f t="shared" si="15"/>
        <v>720</v>
      </c>
      <c r="O65" s="38">
        <f t="shared" si="16"/>
        <v>545</v>
      </c>
      <c r="P65" s="38">
        <f t="shared" si="17"/>
        <v>496</v>
      </c>
      <c r="T65">
        <f t="shared" si="11"/>
        <v>426</v>
      </c>
      <c r="U65">
        <f t="shared" si="12"/>
        <v>-152</v>
      </c>
      <c r="V65">
        <f t="shared" si="13"/>
        <v>-43</v>
      </c>
    </row>
    <row r="66" spans="2:22" ht="17.25" x14ac:dyDescent="0.25">
      <c r="B66" s="37" t="s">
        <v>16</v>
      </c>
      <c r="C66" s="37">
        <v>3320</v>
      </c>
      <c r="D66" s="37" t="str">
        <f>VLOOKUP($C66,Kalkulation_Platten!$C$6:$F$611,3,FALSE)&amp;" / "&amp;VLOOKUP($C66,Kalkulation_Platten!$C$6:$F$611,4,FALSE)</f>
        <v>360 / 1440</v>
      </c>
      <c r="E66" s="39">
        <f>INDEX(Kalkulation_Platten!$C$3:$AM$1001,MATCH($C66,Kalkulation_Platten!$C$3:$C$1001,0),MATCH(E$3,Kalkulation_Platten!$C$3:$AM$3,0))</f>
        <v>100</v>
      </c>
      <c r="F66" s="38">
        <f>INDEX(Kalkulation_Platten!$C$3:$AM$1001,MATCH($C66,Kalkulation_Platten!$C$3:$C$1001,0),MATCH(F$3,Kalkulation_Platten!$C$3:$AM$3,0))</f>
        <v>336</v>
      </c>
      <c r="G66" s="38">
        <f>INDEX(Kalkulation_Platten!$C$3:$AM$1001,MATCH($C66,Kalkulation_Platten!$C$3:$C$1001,0),MATCH(G$3,Kalkulation_Platten!$C$3:$AM$3,0))</f>
        <v>281</v>
      </c>
      <c r="H66" s="38">
        <f>INDEX(Kalkulation_Platten!$C$3:$AM$1001,MATCH($C66,Kalkulation_Platten!$C$3:$C$1001,0),MATCH(H$3,Kalkulation_Platten!$C$3:$AM$3,0))</f>
        <v>529</v>
      </c>
      <c r="J66" s="37" t="s">
        <v>64</v>
      </c>
      <c r="K66" s="37">
        <v>3320</v>
      </c>
      <c r="L66" s="37" t="str">
        <f>VLOOKUP($C66,Kalkulation_Platten!$C$6:$F$611,3,FALSE)&amp;" / "&amp;VLOOKUP($C66,Kalkulation_Platten!$C$6:$F$611,4,FALSE)</f>
        <v>360 / 1440</v>
      </c>
      <c r="M66" s="39">
        <f t="shared" si="14"/>
        <v>115</v>
      </c>
      <c r="N66" s="38">
        <f t="shared" si="15"/>
        <v>386</v>
      </c>
      <c r="O66" s="38">
        <f t="shared" si="16"/>
        <v>323</v>
      </c>
      <c r="P66" s="38">
        <f t="shared" si="17"/>
        <v>608</v>
      </c>
      <c r="T66">
        <f t="shared" si="11"/>
        <v>236</v>
      </c>
      <c r="U66">
        <f t="shared" si="12"/>
        <v>-55</v>
      </c>
      <c r="V66">
        <f t="shared" si="13"/>
        <v>248</v>
      </c>
    </row>
    <row r="67" spans="2:22" ht="17.25" x14ac:dyDescent="0.25">
      <c r="B67" s="37" t="s">
        <v>16</v>
      </c>
      <c r="C67" s="37">
        <v>3321</v>
      </c>
      <c r="D67" s="37" t="str">
        <f>VLOOKUP($C67,Kalkulation_Platten!$C$6:$F$611,3,FALSE)&amp;" / "&amp;VLOOKUP($C67,Kalkulation_Platten!$C$6:$F$611,4,FALSE)</f>
        <v>420 / 1440</v>
      </c>
      <c r="E67" s="39">
        <f>INDEX(Kalkulation_Platten!$C$3:$AM$1001,MATCH($C67,Kalkulation_Platten!$C$3:$C$1001,0),MATCH(E$3,Kalkulation_Platten!$C$3:$AM$3,0))</f>
        <v>115</v>
      </c>
      <c r="F67" s="38">
        <f>INDEX(Kalkulation_Platten!$C$3:$AM$1001,MATCH($C67,Kalkulation_Platten!$C$3:$C$1001,0),MATCH(F$3,Kalkulation_Platten!$C$3:$AM$3,0))</f>
        <v>365</v>
      </c>
      <c r="G67" s="38">
        <f>INDEX(Kalkulation_Platten!$C$3:$AM$1001,MATCH($C67,Kalkulation_Platten!$C$3:$C$1001,0),MATCH(G$3,Kalkulation_Platten!$C$3:$AM$3,0))</f>
        <v>291</v>
      </c>
      <c r="H67" s="38">
        <f>INDEX(Kalkulation_Platten!$C$3:$AM$1001,MATCH($C67,Kalkulation_Platten!$C$3:$C$1001,0),MATCH(H$3,Kalkulation_Platten!$C$3:$AM$3,0))</f>
        <v>547</v>
      </c>
      <c r="J67" s="37" t="s">
        <v>64</v>
      </c>
      <c r="K67" s="37">
        <v>3321</v>
      </c>
      <c r="L67" s="37" t="str">
        <f>VLOOKUP($C67,Kalkulation_Platten!$C$6:$F$611,3,FALSE)&amp;" / "&amp;VLOOKUP($C67,Kalkulation_Platten!$C$6:$F$611,4,FALSE)</f>
        <v>420 / 1440</v>
      </c>
      <c r="M67" s="39">
        <f t="shared" si="14"/>
        <v>132</v>
      </c>
      <c r="N67" s="38">
        <f t="shared" si="15"/>
        <v>420</v>
      </c>
      <c r="O67" s="38">
        <f t="shared" si="16"/>
        <v>335</v>
      </c>
      <c r="P67" s="38">
        <f t="shared" si="17"/>
        <v>629</v>
      </c>
      <c r="T67">
        <f t="shared" si="11"/>
        <v>250</v>
      </c>
      <c r="U67">
        <f t="shared" si="12"/>
        <v>-74</v>
      </c>
      <c r="V67">
        <f t="shared" si="13"/>
        <v>256</v>
      </c>
    </row>
    <row r="68" spans="2:22" ht="17.25" x14ac:dyDescent="0.25">
      <c r="B68" s="37" t="s">
        <v>16</v>
      </c>
      <c r="C68" s="37">
        <v>3322</v>
      </c>
      <c r="D68" s="37" t="str">
        <f>VLOOKUP($C68,Kalkulation_Platten!$C$6:$F$611,3,FALSE)&amp;" / "&amp;VLOOKUP($C68,Kalkulation_Platten!$C$6:$F$611,4,FALSE)</f>
        <v>580 / 1440</v>
      </c>
      <c r="E68" s="39">
        <f>INDEX(Kalkulation_Platten!$C$3:$AM$1001,MATCH($C68,Kalkulation_Platten!$C$3:$C$1001,0),MATCH(E$3,Kalkulation_Platten!$C$3:$AM$3,0))</f>
        <v>158</v>
      </c>
      <c r="F68" s="38">
        <f>INDEX(Kalkulation_Platten!$C$3:$AM$1001,MATCH($C68,Kalkulation_Platten!$C$3:$C$1001,0),MATCH(F$3,Kalkulation_Platten!$C$3:$AM$3,0))</f>
        <v>484</v>
      </c>
      <c r="G68" s="38">
        <f>INDEX(Kalkulation_Platten!$C$3:$AM$1001,MATCH($C68,Kalkulation_Platten!$C$3:$C$1001,0),MATCH(G$3,Kalkulation_Platten!$C$3:$AM$3,0))</f>
        <v>400</v>
      </c>
      <c r="H68" s="38">
        <f>INDEX(Kalkulation_Platten!$C$3:$AM$1001,MATCH($C68,Kalkulation_Platten!$C$3:$C$1001,0),MATCH(H$3,Kalkulation_Platten!$C$3:$AM$3,0))</f>
        <v>752</v>
      </c>
      <c r="J68" s="37" t="s">
        <v>64</v>
      </c>
      <c r="K68" s="37">
        <v>3322</v>
      </c>
      <c r="L68" s="37" t="str">
        <f>VLOOKUP($C68,Kalkulation_Platten!$C$6:$F$611,3,FALSE)&amp;" / "&amp;VLOOKUP($C68,Kalkulation_Platten!$C$6:$F$611,4,FALSE)</f>
        <v>580 / 1440</v>
      </c>
      <c r="M68" s="39">
        <f t="shared" si="14"/>
        <v>182</v>
      </c>
      <c r="N68" s="38">
        <f t="shared" si="15"/>
        <v>557</v>
      </c>
      <c r="O68" s="38">
        <f t="shared" si="16"/>
        <v>460</v>
      </c>
      <c r="P68" s="38">
        <f t="shared" si="17"/>
        <v>865</v>
      </c>
      <c r="T68">
        <f t="shared" ref="T68:T99" si="18">IFERROR(F68-E68,"")</f>
        <v>326</v>
      </c>
      <c r="U68">
        <f t="shared" ref="U68:U99" si="19">IFERROR(G68-F68,"")</f>
        <v>-84</v>
      </c>
      <c r="V68">
        <f t="shared" ref="V68:V99" si="20">IFERROR(H68-G68,"")</f>
        <v>352</v>
      </c>
    </row>
    <row r="69" spans="2:22" ht="17.25" x14ac:dyDescent="0.25">
      <c r="B69" s="37" t="s">
        <v>16</v>
      </c>
      <c r="C69" s="37">
        <v>3323</v>
      </c>
      <c r="D69" s="37" t="str">
        <f>VLOOKUP($C69,Kalkulation_Platten!$C$6:$F$611,3,FALSE)&amp;" / "&amp;VLOOKUP($C69,Kalkulation_Platten!$C$6:$F$611,4,FALSE)</f>
        <v>780 / 1440</v>
      </c>
      <c r="E69" s="39">
        <f>INDEX(Kalkulation_Platten!$C$3:$AM$1001,MATCH($C69,Kalkulation_Platten!$C$3:$C$1001,0),MATCH(E$3,Kalkulation_Platten!$C$3:$AM$3,0))</f>
        <v>211</v>
      </c>
      <c r="F69" s="38">
        <f>INDEX(Kalkulation_Platten!$C$3:$AM$1001,MATCH($C69,Kalkulation_Platten!$C$3:$C$1001,0),MATCH(F$3,Kalkulation_Platten!$C$3:$AM$3,0))</f>
        <v>630</v>
      </c>
      <c r="G69" s="38">
        <f>INDEX(Kalkulation_Platten!$C$3:$AM$1001,MATCH($C69,Kalkulation_Platten!$C$3:$C$1001,0),MATCH(G$3,Kalkulation_Platten!$C$3:$AM$3,0))</f>
        <v>499</v>
      </c>
      <c r="H69" s="38">
        <f>INDEX(Kalkulation_Platten!$C$3:$AM$1001,MATCH($C69,Kalkulation_Platten!$C$3:$C$1001,0),MATCH(H$3,Kalkulation_Platten!$C$3:$AM$3,0))</f>
        <v>939</v>
      </c>
      <c r="J69" s="37" t="s">
        <v>64</v>
      </c>
      <c r="K69" s="37">
        <v>3323</v>
      </c>
      <c r="L69" s="37" t="str">
        <f>VLOOKUP($C69,Kalkulation_Platten!$C$6:$F$611,3,FALSE)&amp;" / "&amp;VLOOKUP($C69,Kalkulation_Platten!$C$6:$F$611,4,FALSE)</f>
        <v>780 / 1440</v>
      </c>
      <c r="M69" s="39">
        <f t="shared" si="14"/>
        <v>243</v>
      </c>
      <c r="N69" s="38">
        <f t="shared" si="15"/>
        <v>725</v>
      </c>
      <c r="O69" s="38">
        <f t="shared" si="16"/>
        <v>574</v>
      </c>
      <c r="P69" s="38">
        <f t="shared" si="17"/>
        <v>1080</v>
      </c>
      <c r="T69">
        <f t="shared" si="18"/>
        <v>419</v>
      </c>
      <c r="U69">
        <f t="shared" si="19"/>
        <v>-131</v>
      </c>
      <c r="V69">
        <f t="shared" si="20"/>
        <v>440</v>
      </c>
    </row>
    <row r="70" spans="2:22" ht="17.25" x14ac:dyDescent="0.25">
      <c r="B70" s="37" t="s">
        <v>16</v>
      </c>
      <c r="C70" s="37">
        <v>3324</v>
      </c>
      <c r="D70" s="37" t="str">
        <f>VLOOKUP($C70,Kalkulation_Platten!$C$6:$F$611,3,FALSE)&amp;" / "&amp;VLOOKUP($C70,Kalkulation_Platten!$C$6:$F$611,4,FALSE)</f>
        <v>980 / 1440</v>
      </c>
      <c r="E70" s="39">
        <f>INDEX(Kalkulation_Platten!$C$3:$AM$1001,MATCH($C70,Kalkulation_Platten!$C$3:$C$1001,0),MATCH(E$3,Kalkulation_Platten!$C$3:$AM$3,0))</f>
        <v>264</v>
      </c>
      <c r="F70" s="38">
        <f>INDEX(Kalkulation_Platten!$C$3:$AM$1001,MATCH($C70,Kalkulation_Platten!$C$3:$C$1001,0),MATCH(F$3,Kalkulation_Platten!$C$3:$AM$3,0))</f>
        <v>778</v>
      </c>
      <c r="G70" s="38">
        <f>INDEX(Kalkulation_Platten!$C$3:$AM$1001,MATCH($C70,Kalkulation_Platten!$C$3:$C$1001,0),MATCH(G$3,Kalkulation_Platten!$C$3:$AM$3,0))</f>
        <v>616</v>
      </c>
      <c r="H70" s="38">
        <f>INDEX(Kalkulation_Platten!$C$3:$AM$1001,MATCH($C70,Kalkulation_Platten!$C$3:$C$1001,0),MATCH(H$3,Kalkulation_Platten!$C$3:$AM$3,0))</f>
        <v>1159</v>
      </c>
      <c r="J70" s="37" t="s">
        <v>64</v>
      </c>
      <c r="K70" s="37">
        <v>3324</v>
      </c>
      <c r="L70" s="37" t="str">
        <f>VLOOKUP($C70,Kalkulation_Platten!$C$6:$F$611,3,FALSE)&amp;" / "&amp;VLOOKUP($C70,Kalkulation_Platten!$C$6:$F$611,4,FALSE)</f>
        <v>980 / 1440</v>
      </c>
      <c r="M70" s="39">
        <f t="shared" si="14"/>
        <v>304</v>
      </c>
      <c r="N70" s="38">
        <f t="shared" si="15"/>
        <v>895</v>
      </c>
      <c r="O70" s="38">
        <f t="shared" si="16"/>
        <v>708</v>
      </c>
      <c r="P70" s="38">
        <f t="shared" si="17"/>
        <v>1333</v>
      </c>
      <c r="T70">
        <f t="shared" si="18"/>
        <v>514</v>
      </c>
      <c r="U70">
        <f t="shared" si="19"/>
        <v>-162</v>
      </c>
      <c r="V70">
        <f t="shared" si="20"/>
        <v>543</v>
      </c>
    </row>
    <row r="71" spans="2:22" ht="17.25" x14ac:dyDescent="0.25">
      <c r="B71" s="37" t="s">
        <v>16</v>
      </c>
      <c r="C71" s="37">
        <v>3325</v>
      </c>
      <c r="D71" s="37" t="str">
        <f>VLOOKUP($C71,Kalkulation_Platten!$C$6:$F$611,3,FALSE)&amp;" / "&amp;VLOOKUP($C71,Kalkulation_Platten!$C$6:$F$611,4,FALSE)</f>
        <v>360 / 1800</v>
      </c>
      <c r="E71" s="39">
        <f>INDEX(Kalkulation_Platten!$C$3:$AM$1001,MATCH($C71,Kalkulation_Platten!$C$3:$C$1001,0),MATCH(E$3,Kalkulation_Platten!$C$3:$AM$3,0))</f>
        <v>125</v>
      </c>
      <c r="F71" s="38">
        <f>INDEX(Kalkulation_Platten!$C$3:$AM$1001,MATCH($C71,Kalkulation_Platten!$C$3:$C$1001,0),MATCH(F$3,Kalkulation_Platten!$C$3:$AM$3,0))</f>
        <v>246</v>
      </c>
      <c r="G71" s="38">
        <f>INDEX(Kalkulation_Platten!$C$3:$AM$1001,MATCH($C71,Kalkulation_Platten!$C$3:$C$1001,0),MATCH(G$3,Kalkulation_Platten!$C$3:$AM$3,0))</f>
        <v>343</v>
      </c>
      <c r="H71" s="38">
        <f>INDEX(Kalkulation_Platten!$C$3:$AM$1001,MATCH($C71,Kalkulation_Platten!$C$3:$C$1001,0),MATCH(H$3,Kalkulation_Platten!$C$3:$AM$3,0))</f>
        <v>645</v>
      </c>
      <c r="J71" s="37" t="s">
        <v>64</v>
      </c>
      <c r="K71" s="37">
        <v>3325</v>
      </c>
      <c r="L71" s="37" t="str">
        <f>VLOOKUP($C71,Kalkulation_Platten!$C$6:$F$611,3,FALSE)&amp;" / "&amp;VLOOKUP($C71,Kalkulation_Platten!$C$6:$F$611,4,FALSE)</f>
        <v>360 / 1800</v>
      </c>
      <c r="M71" s="39">
        <f t="shared" si="14"/>
        <v>144</v>
      </c>
      <c r="N71" s="38">
        <f t="shared" si="15"/>
        <v>283</v>
      </c>
      <c r="O71" s="38">
        <f t="shared" si="16"/>
        <v>394</v>
      </c>
      <c r="P71" s="38">
        <f t="shared" si="17"/>
        <v>742</v>
      </c>
      <c r="T71">
        <f t="shared" si="18"/>
        <v>121</v>
      </c>
      <c r="U71">
        <f t="shared" si="19"/>
        <v>97</v>
      </c>
      <c r="V71">
        <f t="shared" si="20"/>
        <v>302</v>
      </c>
    </row>
    <row r="72" spans="2:22" ht="17.25" x14ac:dyDescent="0.25">
      <c r="B72" s="37" t="s">
        <v>16</v>
      </c>
      <c r="C72" s="37">
        <v>3326</v>
      </c>
      <c r="D72" s="37" t="str">
        <f>VLOOKUP($C72,Kalkulation_Platten!$C$6:$F$611,3,FALSE)&amp;" / "&amp;VLOOKUP($C72,Kalkulation_Platten!$C$6:$F$611,4,FALSE)</f>
        <v>420 / 1800</v>
      </c>
      <c r="E72" s="39">
        <f>INDEX(Kalkulation_Platten!$C$3:$AM$1001,MATCH($C72,Kalkulation_Platten!$C$3:$C$1001,0),MATCH(E$3,Kalkulation_Platten!$C$3:$AM$3,0))</f>
        <v>143</v>
      </c>
      <c r="F72" s="38">
        <f>INDEX(Kalkulation_Platten!$C$3:$AM$1001,MATCH($C72,Kalkulation_Platten!$C$3:$C$1001,0),MATCH(F$3,Kalkulation_Platten!$C$3:$AM$3,0))</f>
        <v>281</v>
      </c>
      <c r="G72" s="38">
        <f>INDEX(Kalkulation_Platten!$C$3:$AM$1001,MATCH($C72,Kalkulation_Platten!$C$3:$C$1001,0),MATCH(G$3,Kalkulation_Platten!$C$3:$AM$3,0))</f>
        <v>350</v>
      </c>
      <c r="H72" s="38">
        <f>INDEX(Kalkulation_Platten!$C$3:$AM$1001,MATCH($C72,Kalkulation_Platten!$C$3:$C$1001,0),MATCH(H$3,Kalkulation_Platten!$C$3:$AM$3,0))</f>
        <v>658</v>
      </c>
      <c r="J72" s="37" t="s">
        <v>64</v>
      </c>
      <c r="K72" s="37">
        <v>3326</v>
      </c>
      <c r="L72" s="37" t="str">
        <f>VLOOKUP($C72,Kalkulation_Platten!$C$6:$F$611,3,FALSE)&amp;" / "&amp;VLOOKUP($C72,Kalkulation_Platten!$C$6:$F$611,4,FALSE)</f>
        <v>420 / 1800</v>
      </c>
      <c r="M72" s="39">
        <f t="shared" si="14"/>
        <v>164</v>
      </c>
      <c r="N72" s="38">
        <f t="shared" si="15"/>
        <v>323</v>
      </c>
      <c r="O72" s="38">
        <f t="shared" si="16"/>
        <v>403</v>
      </c>
      <c r="P72" s="38">
        <f t="shared" si="17"/>
        <v>757</v>
      </c>
      <c r="T72">
        <f t="shared" si="18"/>
        <v>138</v>
      </c>
      <c r="U72">
        <f t="shared" si="19"/>
        <v>69</v>
      </c>
      <c r="V72">
        <f t="shared" si="20"/>
        <v>308</v>
      </c>
    </row>
    <row r="73" spans="2:22" ht="17.25" x14ac:dyDescent="0.25">
      <c r="B73" s="37" t="s">
        <v>16</v>
      </c>
      <c r="C73" s="37">
        <v>3327</v>
      </c>
      <c r="D73" s="37" t="str">
        <f>VLOOKUP($C73,Kalkulation_Platten!$C$6:$F$611,3,FALSE)&amp;" / "&amp;VLOOKUP($C73,Kalkulation_Platten!$C$6:$F$611,4,FALSE)</f>
        <v>580 / 1800</v>
      </c>
      <c r="E73" s="39">
        <f>INDEX(Kalkulation_Platten!$C$3:$AM$1001,MATCH($C73,Kalkulation_Platten!$C$3:$C$1001,0),MATCH(E$3,Kalkulation_Platten!$C$3:$AM$3,0))</f>
        <v>197</v>
      </c>
      <c r="F73" s="38">
        <f>INDEX(Kalkulation_Platten!$C$3:$AM$1001,MATCH($C73,Kalkulation_Platten!$C$3:$C$1001,0),MATCH(F$3,Kalkulation_Platten!$C$3:$AM$3,0))</f>
        <v>388</v>
      </c>
      <c r="G73" s="38">
        <f>INDEX(Kalkulation_Platten!$C$3:$AM$1001,MATCH($C73,Kalkulation_Platten!$C$3:$C$1001,0),MATCH(G$3,Kalkulation_Platten!$C$3:$AM$3,0))</f>
        <v>467</v>
      </c>
      <c r="H73" s="38">
        <f>INDEX(Kalkulation_Platten!$C$3:$AM$1001,MATCH($C73,Kalkulation_Platten!$C$3:$C$1001,0),MATCH(H$3,Kalkulation_Platten!$C$3:$AM$3,0))</f>
        <v>879</v>
      </c>
      <c r="J73" s="37" t="s">
        <v>64</v>
      </c>
      <c r="K73" s="37">
        <v>3327</v>
      </c>
      <c r="L73" s="37" t="str">
        <f>VLOOKUP($C73,Kalkulation_Platten!$C$6:$F$611,3,FALSE)&amp;" / "&amp;VLOOKUP($C73,Kalkulation_Platten!$C$6:$F$611,4,FALSE)</f>
        <v>580 / 1800</v>
      </c>
      <c r="M73" s="39">
        <f t="shared" si="14"/>
        <v>227</v>
      </c>
      <c r="N73" s="38">
        <f t="shared" si="15"/>
        <v>446</v>
      </c>
      <c r="O73" s="38">
        <f t="shared" si="16"/>
        <v>537</v>
      </c>
      <c r="P73" s="38">
        <f t="shared" si="17"/>
        <v>1011</v>
      </c>
      <c r="T73">
        <f t="shared" si="18"/>
        <v>191</v>
      </c>
      <c r="U73">
        <f t="shared" si="19"/>
        <v>79</v>
      </c>
      <c r="V73">
        <f t="shared" si="20"/>
        <v>412</v>
      </c>
    </row>
    <row r="74" spans="2:22" ht="17.25" x14ac:dyDescent="0.25">
      <c r="B74" s="37" t="s">
        <v>16</v>
      </c>
      <c r="C74" s="37">
        <v>3328</v>
      </c>
      <c r="D74" s="37" t="str">
        <f>VLOOKUP($C74,Kalkulation_Platten!$C$6:$F$611,3,FALSE)&amp;" / "&amp;VLOOKUP($C74,Kalkulation_Platten!$C$6:$F$611,4,FALSE)</f>
        <v>780 / 1800</v>
      </c>
      <c r="E74" s="39">
        <f>INDEX(Kalkulation_Platten!$C$3:$AM$1001,MATCH($C74,Kalkulation_Platten!$C$3:$C$1001,0),MATCH(E$3,Kalkulation_Platten!$C$3:$AM$3,0))</f>
        <v>264</v>
      </c>
      <c r="F74" s="38">
        <f>INDEX(Kalkulation_Platten!$C$3:$AM$1001,MATCH($C74,Kalkulation_Platten!$C$3:$C$1001,0),MATCH(F$3,Kalkulation_Platten!$C$3:$AM$3,0))</f>
        <v>520</v>
      </c>
      <c r="G74" s="38">
        <f>INDEX(Kalkulation_Platten!$C$3:$AM$1001,MATCH($C74,Kalkulation_Platten!$C$3:$C$1001,0),MATCH(G$3,Kalkulation_Platten!$C$3:$AM$3,0))</f>
        <v>612</v>
      </c>
      <c r="H74" s="38">
        <f>INDEX(Kalkulation_Platten!$C$3:$AM$1001,MATCH($C74,Kalkulation_Platten!$C$3:$C$1001,0),MATCH(H$3,Kalkulation_Platten!$C$3:$AM$3,0))</f>
        <v>1151</v>
      </c>
      <c r="J74" s="37" t="s">
        <v>64</v>
      </c>
      <c r="K74" s="37">
        <v>3328</v>
      </c>
      <c r="L74" s="37" t="str">
        <f>VLOOKUP($C74,Kalkulation_Platten!$C$6:$F$611,3,FALSE)&amp;" / "&amp;VLOOKUP($C74,Kalkulation_Platten!$C$6:$F$611,4,FALSE)</f>
        <v>780 / 1800</v>
      </c>
      <c r="M74" s="39">
        <f t="shared" si="14"/>
        <v>304</v>
      </c>
      <c r="N74" s="38">
        <f t="shared" si="15"/>
        <v>598</v>
      </c>
      <c r="O74" s="38">
        <f t="shared" si="16"/>
        <v>704</v>
      </c>
      <c r="P74" s="38">
        <f t="shared" si="17"/>
        <v>1324</v>
      </c>
      <c r="T74">
        <f t="shared" si="18"/>
        <v>256</v>
      </c>
      <c r="U74">
        <f t="shared" si="19"/>
        <v>92</v>
      </c>
      <c r="V74">
        <f t="shared" si="20"/>
        <v>539</v>
      </c>
    </row>
    <row r="75" spans="2:22" ht="17.25" x14ac:dyDescent="0.25">
      <c r="B75" s="37" t="s">
        <v>16</v>
      </c>
      <c r="C75" s="37">
        <v>3329</v>
      </c>
      <c r="D75" s="37" t="str">
        <f>VLOOKUP($C75,Kalkulation_Platten!$C$6:$F$611,3,FALSE)&amp;" / "&amp;VLOOKUP($C75,Kalkulation_Platten!$C$6:$F$611,4,FALSE)</f>
        <v>980 / 1800</v>
      </c>
      <c r="E75" s="39">
        <f>INDEX(Kalkulation_Platten!$C$3:$AM$1001,MATCH($C75,Kalkulation_Platten!$C$3:$C$1001,0),MATCH(E$3,Kalkulation_Platten!$C$3:$AM$3,0))</f>
        <v>329</v>
      </c>
      <c r="F75" s="38">
        <f>INDEX(Kalkulation_Platten!$C$3:$AM$1001,MATCH($C75,Kalkulation_Platten!$C$3:$C$1001,0),MATCH(F$3,Kalkulation_Platten!$C$3:$AM$3,0))</f>
        <v>648</v>
      </c>
      <c r="G75" s="38">
        <f>INDEX(Kalkulation_Platten!$C$3:$AM$1001,MATCH($C75,Kalkulation_Platten!$C$3:$C$1001,0),MATCH(G$3,Kalkulation_Platten!$C$3:$AM$3,0))</f>
        <v>753</v>
      </c>
      <c r="H75" s="38">
        <f>INDEX(Kalkulation_Platten!$C$3:$AM$1001,MATCH($C75,Kalkulation_Platten!$C$3:$C$1001,0),MATCH(H$3,Kalkulation_Platten!$C$3:$AM$3,0))</f>
        <v>1417</v>
      </c>
      <c r="J75" s="37" t="s">
        <v>64</v>
      </c>
      <c r="K75" s="37">
        <v>3329</v>
      </c>
      <c r="L75" s="37" t="str">
        <f>VLOOKUP($C75,Kalkulation_Platten!$C$6:$F$611,3,FALSE)&amp;" / "&amp;VLOOKUP($C75,Kalkulation_Platten!$C$6:$F$611,4,FALSE)</f>
        <v>980 / 1800</v>
      </c>
      <c r="M75" s="39">
        <f t="shared" si="14"/>
        <v>378</v>
      </c>
      <c r="N75" s="38">
        <f t="shared" si="15"/>
        <v>745</v>
      </c>
      <c r="O75" s="38">
        <f t="shared" si="16"/>
        <v>866</v>
      </c>
      <c r="P75" s="38">
        <f t="shared" si="17"/>
        <v>1630</v>
      </c>
      <c r="T75">
        <f t="shared" si="18"/>
        <v>319</v>
      </c>
      <c r="U75">
        <f t="shared" si="19"/>
        <v>105</v>
      </c>
      <c r="V75">
        <f t="shared" si="20"/>
        <v>664</v>
      </c>
    </row>
    <row r="76" spans="2:22" x14ac:dyDescent="0.25">
      <c r="T76">
        <f t="shared" si="18"/>
        <v>0</v>
      </c>
      <c r="U76">
        <f t="shared" si="19"/>
        <v>0</v>
      </c>
      <c r="V76">
        <f t="shared" si="20"/>
        <v>0</v>
      </c>
    </row>
    <row r="77" spans="2:22" ht="18" thickBot="1" x14ac:dyDescent="0.3">
      <c r="B77" s="33" t="s">
        <v>74</v>
      </c>
      <c r="C77" s="33" t="s">
        <v>76</v>
      </c>
      <c r="D77" s="33" t="s">
        <v>75</v>
      </c>
      <c r="E77" s="34" t="s">
        <v>52</v>
      </c>
      <c r="F77" s="34" t="s">
        <v>51</v>
      </c>
      <c r="G77" s="34" t="s">
        <v>50</v>
      </c>
      <c r="H77" s="34" t="s">
        <v>49</v>
      </c>
      <c r="J77" s="33" t="s">
        <v>74</v>
      </c>
      <c r="K77" s="33" t="s">
        <v>76</v>
      </c>
      <c r="L77" s="33" t="s">
        <v>75</v>
      </c>
      <c r="M77" s="34" t="s">
        <v>52</v>
      </c>
      <c r="N77" s="34" t="s">
        <v>51</v>
      </c>
      <c r="O77" s="34" t="s">
        <v>50</v>
      </c>
      <c r="P77" s="34" t="s">
        <v>49</v>
      </c>
      <c r="T77" t="str">
        <f t="shared" si="18"/>
        <v/>
      </c>
      <c r="U77" t="str">
        <f t="shared" si="19"/>
        <v/>
      </c>
      <c r="V77" t="str">
        <f t="shared" si="20"/>
        <v/>
      </c>
    </row>
    <row r="78" spans="2:22" ht="17.25" x14ac:dyDescent="0.25">
      <c r="B78" s="35" t="s">
        <v>33</v>
      </c>
      <c r="C78" s="35">
        <v>3700</v>
      </c>
      <c r="D78" s="35" t="str">
        <f>VLOOKUP($C78,Kalkulation_Platten!$C$6:$F$611,3,FALSE)&amp;" / "&amp;VLOOKUP($C78,Kalkulation_Platten!$C$6:$F$611,4,FALSE)</f>
        <v>360 / 360</v>
      </c>
      <c r="E78" s="39">
        <f>INDEX(Kalkulation_Platten!$C$3:$AM$1001,MATCH($C78,Kalkulation_Platten!$C$3:$C$1001,0),MATCH(E$3,Kalkulation_Platten!$C$3:$AM$3,0))</f>
        <v>34</v>
      </c>
      <c r="F78" s="36">
        <f>INDEX(Kalkulation_Platten!$C$3:$AM$1001,MATCH($C78,Kalkulation_Platten!$C$3:$C$1001,0),MATCH(F$3,Kalkulation_Platten!$C$3:$AM$3,0))</f>
        <v>114</v>
      </c>
      <c r="G78" s="36">
        <f>INDEX(Kalkulation_Platten!$C$3:$AM$1001,MATCH($C78,Kalkulation_Platten!$C$3:$C$1001,0),MATCH(G$3,Kalkulation_Platten!$C$3:$AM$3,0))</f>
        <v>89</v>
      </c>
      <c r="H78" s="36">
        <f>INDEX(Kalkulation_Platten!$C$3:$AM$1001,MATCH($C78,Kalkulation_Platten!$C$3:$C$1001,0),MATCH(H$3,Kalkulation_Platten!$C$3:$AM$3,0))</f>
        <v>177</v>
      </c>
      <c r="J78" s="35" t="s">
        <v>33</v>
      </c>
      <c r="K78" s="35">
        <v>3700</v>
      </c>
      <c r="L78" s="35" t="str">
        <f>VLOOKUP($C78,Kalkulation_Platten!$C$6:$F$611,3,FALSE)&amp;" / "&amp;VLOOKUP($C78,Kalkulation_Platten!$C$6:$F$611,4,FALSE)</f>
        <v>360 / 360</v>
      </c>
      <c r="M78" s="36">
        <f t="shared" ref="M78:M90" si="21">IFERROR(ROUND(E78*(1+$R$2),0),"-")</f>
        <v>39</v>
      </c>
      <c r="N78" s="36">
        <f t="shared" ref="N78:N90" si="22">IFERROR(ROUND(F78*(1+$R$2),0),"-")</f>
        <v>131</v>
      </c>
      <c r="O78" s="36">
        <f t="shared" ref="O78:O90" si="23">IFERROR(ROUND(G78*(1+$R$2),0),"-")</f>
        <v>102</v>
      </c>
      <c r="P78" s="36">
        <f t="shared" ref="P78:P90" si="24">IFERROR(ROUND(H78*(1+$R$2),0),"-")</f>
        <v>204</v>
      </c>
      <c r="T78">
        <f t="shared" si="18"/>
        <v>80</v>
      </c>
      <c r="U78">
        <f t="shared" si="19"/>
        <v>-25</v>
      </c>
      <c r="V78">
        <f t="shared" si="20"/>
        <v>88</v>
      </c>
    </row>
    <row r="79" spans="2:22" ht="17.25" x14ac:dyDescent="0.25">
      <c r="B79" s="37" t="s">
        <v>33</v>
      </c>
      <c r="C79" s="37">
        <v>3701</v>
      </c>
      <c r="D79" s="37" t="str">
        <f>VLOOKUP($C79,Kalkulation_Platten!$C$6:$F$611,3,FALSE)&amp;" / "&amp;VLOOKUP($C79,Kalkulation_Platten!$C$6:$F$611,4,FALSE)</f>
        <v>420 / 360</v>
      </c>
      <c r="E79" s="38">
        <f>INDEX(Kalkulation_Platten!$C$3:$AM$1001,MATCH($C79,Kalkulation_Platten!$C$3:$C$1001,0),MATCH(E$3,Kalkulation_Platten!$C$3:$AM$3,0))</f>
        <v>34</v>
      </c>
      <c r="F79" s="38">
        <f>INDEX(Kalkulation_Platten!$C$3:$AM$1001,MATCH($C79,Kalkulation_Platten!$C$3:$C$1001,0),MATCH(F$3,Kalkulation_Platten!$C$3:$AM$3,0))</f>
        <v>121</v>
      </c>
      <c r="G79" s="38">
        <f>INDEX(Kalkulation_Platten!$C$3:$AM$1001,MATCH($C79,Kalkulation_Platten!$C$3:$C$1001,0),MATCH(G$3,Kalkulation_Platten!$C$3:$AM$3,0))</f>
        <v>92</v>
      </c>
      <c r="H79" s="38">
        <f>INDEX(Kalkulation_Platten!$C$3:$AM$1001,MATCH($C79,Kalkulation_Platten!$C$3:$C$1001,0),MATCH(H$3,Kalkulation_Platten!$C$3:$AM$3,0))</f>
        <v>178</v>
      </c>
      <c r="J79" s="37" t="s">
        <v>33</v>
      </c>
      <c r="K79" s="37">
        <v>3701</v>
      </c>
      <c r="L79" s="37" t="str">
        <f>VLOOKUP($C79,Kalkulation_Platten!$C$6:$F$611,3,FALSE)&amp;" / "&amp;VLOOKUP($C79,Kalkulation_Platten!$C$6:$F$611,4,FALSE)</f>
        <v>420 / 360</v>
      </c>
      <c r="M79" s="38">
        <f t="shared" si="21"/>
        <v>39</v>
      </c>
      <c r="N79" s="38">
        <f t="shared" si="22"/>
        <v>139</v>
      </c>
      <c r="O79" s="38">
        <f t="shared" si="23"/>
        <v>106</v>
      </c>
      <c r="P79" s="38">
        <f t="shared" si="24"/>
        <v>205</v>
      </c>
      <c r="T79">
        <f t="shared" si="18"/>
        <v>87</v>
      </c>
      <c r="U79">
        <f t="shared" si="19"/>
        <v>-29</v>
      </c>
      <c r="V79">
        <f t="shared" si="20"/>
        <v>86</v>
      </c>
    </row>
    <row r="80" spans="2:22" ht="17.25" x14ac:dyDescent="0.25">
      <c r="B80" s="37" t="s">
        <v>33</v>
      </c>
      <c r="C80" s="37">
        <v>3702</v>
      </c>
      <c r="D80" s="37" t="str">
        <f>VLOOKUP($C80,Kalkulation_Platten!$C$6:$F$611,3,FALSE)&amp;" / "&amp;VLOOKUP($C80,Kalkulation_Platten!$C$6:$F$611,4,FALSE)</f>
        <v>580 / 360</v>
      </c>
      <c r="E80" s="38">
        <f>INDEX(Kalkulation_Platten!$C$3:$AM$1001,MATCH($C80,Kalkulation_Platten!$C$3:$C$1001,0),MATCH(E$3,Kalkulation_Platten!$C$3:$AM$3,0))</f>
        <v>43</v>
      </c>
      <c r="F80" s="38">
        <f>INDEX(Kalkulation_Platten!$C$3:$AM$1001,MATCH($C80,Kalkulation_Platten!$C$3:$C$1001,0),MATCH(F$3,Kalkulation_Platten!$C$3:$AM$3,0))</f>
        <v>161</v>
      </c>
      <c r="G80" s="38">
        <f>INDEX(Kalkulation_Platten!$C$3:$AM$1001,MATCH($C80,Kalkulation_Platten!$C$3:$C$1001,0),MATCH(G$3,Kalkulation_Platten!$C$3:$AM$3,0))</f>
        <v>130</v>
      </c>
      <c r="H80" s="38">
        <f>INDEX(Kalkulation_Platten!$C$3:$AM$1001,MATCH($C80,Kalkulation_Platten!$C$3:$C$1001,0),MATCH(H$3,Kalkulation_Platten!$C$3:$AM$3,0))</f>
        <v>185</v>
      </c>
      <c r="J80" s="37" t="s">
        <v>33</v>
      </c>
      <c r="K80" s="37">
        <v>3702</v>
      </c>
      <c r="L80" s="37" t="str">
        <f>VLOOKUP($C80,Kalkulation_Platten!$C$6:$F$611,3,FALSE)&amp;" / "&amp;VLOOKUP($C80,Kalkulation_Platten!$C$6:$F$611,4,FALSE)</f>
        <v>580 / 360</v>
      </c>
      <c r="M80" s="38">
        <f t="shared" si="21"/>
        <v>49</v>
      </c>
      <c r="N80" s="38">
        <f t="shared" si="22"/>
        <v>185</v>
      </c>
      <c r="O80" s="38">
        <f t="shared" si="23"/>
        <v>150</v>
      </c>
      <c r="P80" s="38">
        <f t="shared" si="24"/>
        <v>213</v>
      </c>
      <c r="T80">
        <f t="shared" si="18"/>
        <v>118</v>
      </c>
      <c r="U80">
        <f t="shared" si="19"/>
        <v>-31</v>
      </c>
      <c r="V80">
        <f t="shared" si="20"/>
        <v>55</v>
      </c>
    </row>
    <row r="81" spans="2:22" ht="17.25" x14ac:dyDescent="0.25">
      <c r="B81" s="37" t="s">
        <v>33</v>
      </c>
      <c r="C81" s="37">
        <v>3703</v>
      </c>
      <c r="D81" s="37" t="str">
        <f>VLOOKUP($C81,Kalkulation_Platten!$C$6:$F$611,3,FALSE)&amp;" / "&amp;VLOOKUP($C81,Kalkulation_Platten!$C$6:$F$611,4,FALSE)</f>
        <v>780 / 360</v>
      </c>
      <c r="E81" s="38">
        <f>INDEX(Kalkulation_Platten!$C$3:$AM$1001,MATCH($C81,Kalkulation_Platten!$C$3:$C$1001,0),MATCH(E$3,Kalkulation_Platten!$C$3:$AM$3,0))</f>
        <v>56</v>
      </c>
      <c r="F81" s="38">
        <f>INDEX(Kalkulation_Platten!$C$3:$AM$1001,MATCH($C81,Kalkulation_Platten!$C$3:$C$1001,0),MATCH(F$3,Kalkulation_Platten!$C$3:$AM$3,0))</f>
        <v>185</v>
      </c>
      <c r="G81" s="38">
        <f>INDEX(Kalkulation_Platten!$C$3:$AM$1001,MATCH($C81,Kalkulation_Platten!$C$3:$C$1001,0),MATCH(G$3,Kalkulation_Platten!$C$3:$AM$3,0))</f>
        <v>144</v>
      </c>
      <c r="H81" s="38">
        <f>INDEX(Kalkulation_Platten!$C$3:$AM$1001,MATCH($C81,Kalkulation_Platten!$C$3:$C$1001,0),MATCH(H$3,Kalkulation_Platten!$C$3:$AM$3,0))</f>
        <v>190</v>
      </c>
      <c r="J81" s="37" t="s">
        <v>33</v>
      </c>
      <c r="K81" s="37">
        <v>3703</v>
      </c>
      <c r="L81" s="37" t="str">
        <f>VLOOKUP($C81,Kalkulation_Platten!$C$6:$F$611,3,FALSE)&amp;" / "&amp;VLOOKUP($C81,Kalkulation_Platten!$C$6:$F$611,4,FALSE)</f>
        <v>780 / 360</v>
      </c>
      <c r="M81" s="38">
        <f t="shared" si="21"/>
        <v>64</v>
      </c>
      <c r="N81" s="38">
        <f t="shared" si="22"/>
        <v>213</v>
      </c>
      <c r="O81" s="38">
        <f t="shared" si="23"/>
        <v>166</v>
      </c>
      <c r="P81" s="38">
        <f t="shared" si="24"/>
        <v>219</v>
      </c>
      <c r="T81">
        <f t="shared" si="18"/>
        <v>129</v>
      </c>
      <c r="U81">
        <f t="shared" si="19"/>
        <v>-41</v>
      </c>
      <c r="V81">
        <f t="shared" si="20"/>
        <v>46</v>
      </c>
    </row>
    <row r="82" spans="2:22" ht="17.25" x14ac:dyDescent="0.25">
      <c r="B82" s="37" t="s">
        <v>33</v>
      </c>
      <c r="C82" s="37">
        <v>3704</v>
      </c>
      <c r="D82" s="37" t="str">
        <f>VLOOKUP($C82,Kalkulation_Platten!$C$6:$F$611,3,FALSE)&amp;" / "&amp;VLOOKUP($C82,Kalkulation_Platten!$C$6:$F$611,4,FALSE)</f>
        <v>980 / 360</v>
      </c>
      <c r="E82" s="38">
        <f>INDEX(Kalkulation_Platten!$C$3:$AM$1001,MATCH($C82,Kalkulation_Platten!$C$3:$C$1001,0),MATCH(E$3,Kalkulation_Platten!$C$3:$AM$3,0))</f>
        <v>70</v>
      </c>
      <c r="F82" s="38">
        <f>INDEX(Kalkulation_Platten!$C$3:$AM$1001,MATCH($C82,Kalkulation_Platten!$C$3:$C$1001,0),MATCH(F$3,Kalkulation_Platten!$C$3:$AM$3,0))</f>
        <v>223</v>
      </c>
      <c r="G82" s="38">
        <f>INDEX(Kalkulation_Platten!$C$3:$AM$1001,MATCH($C82,Kalkulation_Platten!$C$3:$C$1001,0),MATCH(G$3,Kalkulation_Platten!$C$3:$AM$3,0))</f>
        <v>174</v>
      </c>
      <c r="H82" s="38">
        <f>INDEX(Kalkulation_Platten!$C$3:$AM$1001,MATCH($C82,Kalkulation_Platten!$C$3:$C$1001,0),MATCH(H$3,Kalkulation_Platten!$C$3:$AM$3,0))</f>
        <v>209</v>
      </c>
      <c r="J82" s="37" t="s">
        <v>33</v>
      </c>
      <c r="K82" s="37">
        <v>3704</v>
      </c>
      <c r="L82" s="37" t="str">
        <f>VLOOKUP($C82,Kalkulation_Platten!$C$6:$F$611,3,FALSE)&amp;" / "&amp;VLOOKUP($C82,Kalkulation_Platten!$C$6:$F$611,4,FALSE)</f>
        <v>980 / 360</v>
      </c>
      <c r="M82" s="38">
        <f t="shared" si="21"/>
        <v>81</v>
      </c>
      <c r="N82" s="38">
        <f t="shared" si="22"/>
        <v>256</v>
      </c>
      <c r="O82" s="38">
        <f t="shared" si="23"/>
        <v>200</v>
      </c>
      <c r="P82" s="38">
        <f t="shared" si="24"/>
        <v>240</v>
      </c>
      <c r="T82">
        <f t="shared" si="18"/>
        <v>153</v>
      </c>
      <c r="U82">
        <f t="shared" si="19"/>
        <v>-49</v>
      </c>
      <c r="V82">
        <f t="shared" si="20"/>
        <v>35</v>
      </c>
    </row>
    <row r="83" spans="2:22" ht="17.25" x14ac:dyDescent="0.25">
      <c r="B83" s="37" t="s">
        <v>33</v>
      </c>
      <c r="C83" s="37">
        <v>3705</v>
      </c>
      <c r="D83" s="37" t="str">
        <f>VLOOKUP($C83,Kalkulation_Platten!$C$6:$F$611,3,FALSE)&amp;" / "&amp;VLOOKUP($C83,Kalkulation_Platten!$C$6:$F$611,4,FALSE)</f>
        <v>360 / 580</v>
      </c>
      <c r="E83" s="38">
        <f>INDEX(Kalkulation_Platten!$C$3:$AM$1001,MATCH($C83,Kalkulation_Platten!$C$3:$C$1001,0),MATCH(E$3,Kalkulation_Platten!$C$3:$AM$3,0))</f>
        <v>43</v>
      </c>
      <c r="F83" s="38">
        <f>INDEX(Kalkulation_Platten!$C$3:$AM$1001,MATCH($C83,Kalkulation_Platten!$C$3:$C$1001,0),MATCH(F$3,Kalkulation_Platten!$C$3:$AM$3,0))</f>
        <v>161</v>
      </c>
      <c r="G83" s="38">
        <f>INDEX(Kalkulation_Platten!$C$3:$AM$1001,MATCH($C83,Kalkulation_Platten!$C$3:$C$1001,0),MATCH(G$3,Kalkulation_Platten!$C$3:$AM$3,0))</f>
        <v>130</v>
      </c>
      <c r="H83" s="38">
        <f>INDEX(Kalkulation_Platten!$C$3:$AM$1001,MATCH($C83,Kalkulation_Platten!$C$3:$C$1001,0),MATCH(H$3,Kalkulation_Platten!$C$3:$AM$3,0))</f>
        <v>185</v>
      </c>
      <c r="J83" s="37" t="s">
        <v>33</v>
      </c>
      <c r="K83" s="37">
        <v>3705</v>
      </c>
      <c r="L83" s="37" t="str">
        <f>VLOOKUP($C83,Kalkulation_Platten!$C$6:$F$611,3,FALSE)&amp;" / "&amp;VLOOKUP($C83,Kalkulation_Platten!$C$6:$F$611,4,FALSE)</f>
        <v>360 / 580</v>
      </c>
      <c r="M83" s="38">
        <f t="shared" si="21"/>
        <v>49</v>
      </c>
      <c r="N83" s="38">
        <f t="shared" si="22"/>
        <v>185</v>
      </c>
      <c r="O83" s="38">
        <f t="shared" si="23"/>
        <v>150</v>
      </c>
      <c r="P83" s="38">
        <f t="shared" si="24"/>
        <v>213</v>
      </c>
      <c r="T83">
        <f t="shared" si="18"/>
        <v>118</v>
      </c>
      <c r="U83">
        <f t="shared" si="19"/>
        <v>-31</v>
      </c>
      <c r="V83">
        <f t="shared" si="20"/>
        <v>55</v>
      </c>
    </row>
    <row r="84" spans="2:22" ht="17.25" x14ac:dyDescent="0.25">
      <c r="B84" s="37" t="s">
        <v>33</v>
      </c>
      <c r="C84" s="37">
        <v>3706</v>
      </c>
      <c r="D84" s="37" t="str">
        <f>VLOOKUP($C84,Kalkulation_Platten!$C$6:$F$611,3,FALSE)&amp;" / "&amp;VLOOKUP($C84,Kalkulation_Platten!$C$6:$F$611,4,FALSE)</f>
        <v>420 / 580</v>
      </c>
      <c r="E84" s="38">
        <f>INDEX(Kalkulation_Platten!$C$3:$AM$1001,MATCH($C84,Kalkulation_Platten!$C$3:$C$1001,0),MATCH(E$3,Kalkulation_Platten!$C$3:$AM$3,0))</f>
        <v>49</v>
      </c>
      <c r="F84" s="38">
        <f>INDEX(Kalkulation_Platten!$C$3:$AM$1001,MATCH($C84,Kalkulation_Platten!$C$3:$C$1001,0),MATCH(F$3,Kalkulation_Platten!$C$3:$AM$3,0))</f>
        <v>181</v>
      </c>
      <c r="G84" s="38">
        <f>INDEX(Kalkulation_Platten!$C$3:$AM$1001,MATCH($C84,Kalkulation_Platten!$C$3:$C$1001,0),MATCH(G$3,Kalkulation_Platten!$C$3:$AM$3,0))</f>
        <v>147</v>
      </c>
      <c r="H84" s="38">
        <f>INDEX(Kalkulation_Platten!$C$3:$AM$1001,MATCH($C84,Kalkulation_Platten!$C$3:$C$1001,0),MATCH(H$3,Kalkulation_Platten!$C$3:$AM$3,0))</f>
        <v>186</v>
      </c>
      <c r="J84" s="37" t="s">
        <v>33</v>
      </c>
      <c r="K84" s="37">
        <v>3706</v>
      </c>
      <c r="L84" s="37" t="str">
        <f>VLOOKUP($C84,Kalkulation_Platten!$C$6:$F$611,3,FALSE)&amp;" / "&amp;VLOOKUP($C84,Kalkulation_Platten!$C$6:$F$611,4,FALSE)</f>
        <v>420 / 580</v>
      </c>
      <c r="M84" s="38">
        <f t="shared" si="21"/>
        <v>56</v>
      </c>
      <c r="N84" s="38">
        <f t="shared" si="22"/>
        <v>208</v>
      </c>
      <c r="O84" s="38">
        <f t="shared" si="23"/>
        <v>169</v>
      </c>
      <c r="P84" s="38">
        <f t="shared" si="24"/>
        <v>214</v>
      </c>
      <c r="T84">
        <f t="shared" si="18"/>
        <v>132</v>
      </c>
      <c r="U84">
        <f t="shared" si="19"/>
        <v>-34</v>
      </c>
      <c r="V84">
        <f t="shared" si="20"/>
        <v>39</v>
      </c>
    </row>
    <row r="85" spans="2:22" ht="17.25" x14ac:dyDescent="0.25">
      <c r="B85" s="37" t="s">
        <v>33</v>
      </c>
      <c r="C85" s="37">
        <v>3707</v>
      </c>
      <c r="D85" s="37" t="str">
        <f>VLOOKUP($C85,Kalkulation_Platten!$C$6:$F$611,3,FALSE)&amp;" / "&amp;VLOOKUP($C85,Kalkulation_Platten!$C$6:$F$611,4,FALSE)</f>
        <v>580 / 580</v>
      </c>
      <c r="E85" s="38">
        <f>INDEX(Kalkulation_Platten!$C$3:$AM$1001,MATCH($C85,Kalkulation_Platten!$C$3:$C$1001,0),MATCH(E$3,Kalkulation_Platten!$C$3:$AM$3,0))</f>
        <v>67</v>
      </c>
      <c r="F85" s="38">
        <f>INDEX(Kalkulation_Platten!$C$3:$AM$1001,MATCH($C85,Kalkulation_Platten!$C$3:$C$1001,0),MATCH(F$3,Kalkulation_Platten!$C$3:$AM$3,0))</f>
        <v>228</v>
      </c>
      <c r="G85" s="38">
        <f>INDEX(Kalkulation_Platten!$C$3:$AM$1001,MATCH($C85,Kalkulation_Platten!$C$3:$C$1001,0),MATCH(G$3,Kalkulation_Platten!$C$3:$AM$3,0))</f>
        <v>183</v>
      </c>
      <c r="H85" s="38">
        <f>INDEX(Kalkulation_Platten!$C$3:$AM$1001,MATCH($C85,Kalkulation_Platten!$C$3:$C$1001,0),MATCH(H$3,Kalkulation_Platten!$C$3:$AM$3,0))</f>
        <v>191</v>
      </c>
      <c r="J85" s="37" t="s">
        <v>33</v>
      </c>
      <c r="K85" s="37">
        <v>3707</v>
      </c>
      <c r="L85" s="37" t="str">
        <f>VLOOKUP($C85,Kalkulation_Platten!$C$6:$F$611,3,FALSE)&amp;" / "&amp;VLOOKUP($C85,Kalkulation_Platten!$C$6:$F$611,4,FALSE)</f>
        <v>580 / 580</v>
      </c>
      <c r="M85" s="38">
        <f t="shared" si="21"/>
        <v>77</v>
      </c>
      <c r="N85" s="38">
        <f t="shared" si="22"/>
        <v>262</v>
      </c>
      <c r="O85" s="38">
        <f t="shared" si="23"/>
        <v>210</v>
      </c>
      <c r="P85" s="38">
        <f t="shared" si="24"/>
        <v>220</v>
      </c>
      <c r="T85">
        <f t="shared" si="18"/>
        <v>161</v>
      </c>
      <c r="U85">
        <f t="shared" si="19"/>
        <v>-45</v>
      </c>
      <c r="V85">
        <f t="shared" si="20"/>
        <v>8</v>
      </c>
    </row>
    <row r="86" spans="2:22" ht="17.25" x14ac:dyDescent="0.25">
      <c r="B86" s="37" t="s">
        <v>33</v>
      </c>
      <c r="C86" s="37">
        <v>3708</v>
      </c>
      <c r="D86" s="37" t="str">
        <f>VLOOKUP($C86,Kalkulation_Platten!$C$6:$F$611,3,FALSE)&amp;" / "&amp;VLOOKUP($C86,Kalkulation_Platten!$C$6:$F$611,4,FALSE)</f>
        <v>780 / 580</v>
      </c>
      <c r="E86" s="38">
        <f>INDEX(Kalkulation_Platten!$C$3:$AM$1001,MATCH($C86,Kalkulation_Platten!$C$3:$C$1001,0),MATCH(E$3,Kalkulation_Platten!$C$3:$AM$3,0))</f>
        <v>87</v>
      </c>
      <c r="F86" s="38">
        <f>INDEX(Kalkulation_Platten!$C$3:$AM$1001,MATCH($C86,Kalkulation_Platten!$C$3:$C$1001,0),MATCH(F$3,Kalkulation_Platten!$C$3:$AM$3,0))</f>
        <v>275</v>
      </c>
      <c r="G86" s="38">
        <f>INDEX(Kalkulation_Platten!$C$3:$AM$1001,MATCH($C86,Kalkulation_Platten!$C$3:$C$1001,0),MATCH(G$3,Kalkulation_Platten!$C$3:$AM$3,0))</f>
        <v>225</v>
      </c>
      <c r="H86" s="38">
        <f>INDEX(Kalkulation_Platten!$C$3:$AM$1001,MATCH($C86,Kalkulation_Platten!$C$3:$C$1001,0),MATCH(H$3,Kalkulation_Platten!$C$3:$AM$3,0))</f>
        <v>237</v>
      </c>
      <c r="J86" s="37" t="s">
        <v>33</v>
      </c>
      <c r="K86" s="37">
        <v>3708</v>
      </c>
      <c r="L86" s="37" t="str">
        <f>VLOOKUP($C86,Kalkulation_Platten!$C$6:$F$611,3,FALSE)&amp;" / "&amp;VLOOKUP($C86,Kalkulation_Platten!$C$6:$F$611,4,FALSE)</f>
        <v>780 / 580</v>
      </c>
      <c r="M86" s="38">
        <f t="shared" si="21"/>
        <v>100</v>
      </c>
      <c r="N86" s="38">
        <f t="shared" si="22"/>
        <v>316</v>
      </c>
      <c r="O86" s="38">
        <f t="shared" si="23"/>
        <v>259</v>
      </c>
      <c r="P86" s="38">
        <f t="shared" si="24"/>
        <v>273</v>
      </c>
      <c r="T86">
        <f t="shared" si="18"/>
        <v>188</v>
      </c>
      <c r="U86">
        <f t="shared" si="19"/>
        <v>-50</v>
      </c>
      <c r="V86">
        <f t="shared" si="20"/>
        <v>12</v>
      </c>
    </row>
    <row r="87" spans="2:22" ht="17.25" x14ac:dyDescent="0.25">
      <c r="B87" s="37" t="s">
        <v>33</v>
      </c>
      <c r="C87" s="37">
        <v>3709</v>
      </c>
      <c r="D87" s="37" t="str">
        <f>VLOOKUP($C87,Kalkulation_Platten!$C$6:$F$611,3,FALSE)&amp;" / "&amp;VLOOKUP($C87,Kalkulation_Platten!$C$6:$F$611,4,FALSE)</f>
        <v>980 / 580</v>
      </c>
      <c r="E87" s="38">
        <f>INDEX(Kalkulation_Platten!$C$3:$AM$1001,MATCH($C87,Kalkulation_Platten!$C$3:$C$1001,0),MATCH(E$3,Kalkulation_Platten!$C$3:$AM$3,0))</f>
        <v>110</v>
      </c>
      <c r="F87" s="38">
        <f>INDEX(Kalkulation_Platten!$C$3:$AM$1001,MATCH($C87,Kalkulation_Platten!$C$3:$C$1001,0),MATCH(F$3,Kalkulation_Platten!$C$3:$AM$3,0))</f>
        <v>355</v>
      </c>
      <c r="G87" s="38">
        <f>INDEX(Kalkulation_Platten!$C$3:$AM$1001,MATCH($C87,Kalkulation_Platten!$C$3:$C$1001,0),MATCH(G$3,Kalkulation_Platten!$C$3:$AM$3,0))</f>
        <v>286</v>
      </c>
      <c r="H87" s="38">
        <f>INDEX(Kalkulation_Platten!$C$3:$AM$1001,MATCH($C87,Kalkulation_Platten!$C$3:$C$1001,0),MATCH(H$3,Kalkulation_Platten!$C$3:$AM$3,0))</f>
        <v>276</v>
      </c>
      <c r="J87" s="37" t="s">
        <v>33</v>
      </c>
      <c r="K87" s="37">
        <v>3709</v>
      </c>
      <c r="L87" s="37" t="str">
        <f>VLOOKUP($C87,Kalkulation_Platten!$C$6:$F$611,3,FALSE)&amp;" / "&amp;VLOOKUP($C87,Kalkulation_Platten!$C$6:$F$611,4,FALSE)</f>
        <v>980 / 580</v>
      </c>
      <c r="M87" s="38">
        <f t="shared" si="21"/>
        <v>127</v>
      </c>
      <c r="N87" s="38">
        <f t="shared" si="22"/>
        <v>408</v>
      </c>
      <c r="O87" s="38">
        <f t="shared" si="23"/>
        <v>329</v>
      </c>
      <c r="P87" s="38">
        <f t="shared" si="24"/>
        <v>317</v>
      </c>
      <c r="T87">
        <f t="shared" si="18"/>
        <v>245</v>
      </c>
      <c r="U87">
        <f t="shared" si="19"/>
        <v>-69</v>
      </c>
      <c r="V87">
        <f t="shared" si="20"/>
        <v>-10</v>
      </c>
    </row>
    <row r="88" spans="2:22" ht="17.25" x14ac:dyDescent="0.25">
      <c r="B88" s="37" t="s">
        <v>33</v>
      </c>
      <c r="C88" s="37">
        <v>3710</v>
      </c>
      <c r="D88" s="37" t="str">
        <f>VLOOKUP($C88,Kalkulation_Platten!$C$6:$F$611,3,FALSE)&amp;" / "&amp;VLOOKUP($C88,Kalkulation_Platten!$C$6:$F$611,4,FALSE)</f>
        <v>780 / 780</v>
      </c>
      <c r="E88" s="38">
        <f>INDEX(Kalkulation_Platten!$C$3:$AM$1001,MATCH($C88,Kalkulation_Platten!$C$3:$C$1001,0),MATCH(E$3,Kalkulation_Platten!$C$3:$AM$3,0))</f>
        <v>110</v>
      </c>
      <c r="F88" s="38">
        <f>INDEX(Kalkulation_Platten!$C$3:$AM$1001,MATCH($C88,Kalkulation_Platten!$C$3:$C$1001,0),MATCH(F$3,Kalkulation_Platten!$C$3:$AM$3,0))</f>
        <v>302</v>
      </c>
      <c r="G88" s="38">
        <f>INDEX(Kalkulation_Platten!$C$3:$AM$1001,MATCH($C88,Kalkulation_Platten!$C$3:$C$1001,0),MATCH(G$3,Kalkulation_Platten!$C$3:$AM$3,0))</f>
        <v>272</v>
      </c>
      <c r="H88" s="38">
        <f>INDEX(Kalkulation_Platten!$C$3:$AM$1001,MATCH($C88,Kalkulation_Platten!$C$3:$C$1001,0),MATCH(H$3,Kalkulation_Platten!$C$3:$AM$3,0))</f>
        <v>295</v>
      </c>
      <c r="J88" s="37" t="s">
        <v>33</v>
      </c>
      <c r="K88" s="37">
        <v>3710</v>
      </c>
      <c r="L88" s="37" t="str">
        <f>VLOOKUP($C88,Kalkulation_Platten!$C$6:$F$611,3,FALSE)&amp;" / "&amp;VLOOKUP($C88,Kalkulation_Platten!$C$6:$F$611,4,FALSE)</f>
        <v>780 / 780</v>
      </c>
      <c r="M88" s="38">
        <f t="shared" si="21"/>
        <v>127</v>
      </c>
      <c r="N88" s="38">
        <f t="shared" si="22"/>
        <v>347</v>
      </c>
      <c r="O88" s="38">
        <f t="shared" si="23"/>
        <v>313</v>
      </c>
      <c r="P88" s="38">
        <f t="shared" si="24"/>
        <v>339</v>
      </c>
      <c r="T88">
        <f t="shared" si="18"/>
        <v>192</v>
      </c>
      <c r="U88">
        <f t="shared" si="19"/>
        <v>-30</v>
      </c>
      <c r="V88">
        <f t="shared" si="20"/>
        <v>23</v>
      </c>
    </row>
    <row r="89" spans="2:22" ht="17.25" x14ac:dyDescent="0.25">
      <c r="B89" s="37" t="s">
        <v>33</v>
      </c>
      <c r="C89" s="37">
        <v>3711</v>
      </c>
      <c r="D89" s="37" t="str">
        <f>VLOOKUP($C89,Kalkulation_Platten!$C$6:$F$611,3,FALSE)&amp;" / "&amp;VLOOKUP($C89,Kalkulation_Platten!$C$6:$F$611,4,FALSE)</f>
        <v>980 / 780</v>
      </c>
      <c r="E89" s="38">
        <f>INDEX(Kalkulation_Platten!$C$3:$AM$1001,MATCH($C89,Kalkulation_Platten!$C$3:$C$1001,0),MATCH(E$3,Kalkulation_Platten!$C$3:$AM$3,0))</f>
        <v>138</v>
      </c>
      <c r="F89" s="38">
        <f>INDEX(Kalkulation_Platten!$C$3:$AM$1001,MATCH($C89,Kalkulation_Platten!$C$3:$C$1001,0),MATCH(F$3,Kalkulation_Platten!$C$3:$AM$3,0))</f>
        <v>272</v>
      </c>
      <c r="G89" s="38">
        <f>INDEX(Kalkulation_Platten!$C$3:$AM$1001,MATCH($C89,Kalkulation_Platten!$C$3:$C$1001,0),MATCH(G$3,Kalkulation_Platten!$C$3:$AM$3,0))</f>
        <v>10</v>
      </c>
      <c r="H89" s="38">
        <f>INDEX(Kalkulation_Platten!$C$3:$AM$1001,MATCH($C89,Kalkulation_Platten!$C$3:$C$1001,0),MATCH(H$3,Kalkulation_Platten!$C$3:$AM$3,0))</f>
        <v>0</v>
      </c>
      <c r="J89" s="37" t="s">
        <v>33</v>
      </c>
      <c r="K89" s="37">
        <v>3711</v>
      </c>
      <c r="L89" s="37" t="str">
        <f>VLOOKUP($C89,Kalkulation_Platten!$C$6:$F$611,3,FALSE)&amp;" / "&amp;VLOOKUP($C89,Kalkulation_Platten!$C$6:$F$611,4,FALSE)</f>
        <v>980 / 780</v>
      </c>
      <c r="M89" s="38">
        <f t="shared" si="21"/>
        <v>159</v>
      </c>
      <c r="N89" s="38">
        <f t="shared" si="22"/>
        <v>313</v>
      </c>
      <c r="O89" s="38">
        <f t="shared" si="23"/>
        <v>12</v>
      </c>
      <c r="P89" s="38">
        <f t="shared" si="24"/>
        <v>0</v>
      </c>
      <c r="T89">
        <f t="shared" si="18"/>
        <v>134</v>
      </c>
      <c r="U89">
        <f t="shared" si="19"/>
        <v>-262</v>
      </c>
      <c r="V89">
        <f t="shared" si="20"/>
        <v>-10</v>
      </c>
    </row>
    <row r="90" spans="2:22" ht="17.25" x14ac:dyDescent="0.25">
      <c r="B90" s="37" t="s">
        <v>33</v>
      </c>
      <c r="C90" s="37">
        <v>3712</v>
      </c>
      <c r="D90" s="37" t="str">
        <f>VLOOKUP($C90,Kalkulation_Platten!$C$6:$F$611,3,FALSE)&amp;" / "&amp;VLOOKUP($C90,Kalkulation_Platten!$C$6:$F$611,4,FALSE)</f>
        <v>980 / 980</v>
      </c>
      <c r="E90" s="38">
        <f>INDEX(Kalkulation_Platten!$C$3:$AM$1001,MATCH($C90,Kalkulation_Platten!$C$3:$C$1001,0),MATCH(E$3,Kalkulation_Platten!$C$3:$AM$3,0))</f>
        <v>166</v>
      </c>
      <c r="F90" s="38">
        <f>INDEX(Kalkulation_Platten!$C$3:$AM$1001,MATCH($C90,Kalkulation_Platten!$C$3:$C$1001,0),MATCH(F$3,Kalkulation_Platten!$C$3:$AM$3,0))</f>
        <v>327</v>
      </c>
      <c r="G90" s="38">
        <f>INDEX(Kalkulation_Platten!$C$3:$AM$1001,MATCH($C90,Kalkulation_Platten!$C$3:$C$1001,0),MATCH(G$3,Kalkulation_Platten!$C$3:$AM$3,0))</f>
        <v>10</v>
      </c>
      <c r="H90" s="38">
        <f>INDEX(Kalkulation_Platten!$C$3:$AM$1001,MATCH($C90,Kalkulation_Platten!$C$3:$C$1001,0),MATCH(H$3,Kalkulation_Platten!$C$3:$AM$3,0))</f>
        <v>0</v>
      </c>
      <c r="J90" s="37" t="s">
        <v>33</v>
      </c>
      <c r="K90" s="37">
        <v>3712</v>
      </c>
      <c r="L90" s="37" t="str">
        <f>VLOOKUP($C90,Kalkulation_Platten!$C$6:$F$611,3,FALSE)&amp;" / "&amp;VLOOKUP($C90,Kalkulation_Platten!$C$6:$F$611,4,FALSE)</f>
        <v>980 / 980</v>
      </c>
      <c r="M90" s="38">
        <f t="shared" si="21"/>
        <v>191</v>
      </c>
      <c r="N90" s="38">
        <f t="shared" si="22"/>
        <v>376</v>
      </c>
      <c r="O90" s="38">
        <f t="shared" si="23"/>
        <v>12</v>
      </c>
      <c r="P90" s="38">
        <f t="shared" si="24"/>
        <v>0</v>
      </c>
      <c r="T90">
        <f t="shared" si="18"/>
        <v>161</v>
      </c>
      <c r="U90">
        <f t="shared" si="19"/>
        <v>-317</v>
      </c>
      <c r="V90">
        <f t="shared" si="20"/>
        <v>-10</v>
      </c>
    </row>
    <row r="91" spans="2:22" ht="17.25" x14ac:dyDescent="0.25">
      <c r="B91" s="37"/>
      <c r="C91" s="37"/>
      <c r="D91" s="37"/>
      <c r="E91" s="38"/>
      <c r="F91" s="38"/>
      <c r="G91" s="38"/>
      <c r="H91" s="38"/>
      <c r="J91" s="37"/>
      <c r="K91" s="37"/>
      <c r="L91" s="37"/>
      <c r="M91" s="38"/>
      <c r="N91" s="38"/>
      <c r="O91" s="38"/>
      <c r="P91" s="38"/>
      <c r="T91">
        <f t="shared" si="18"/>
        <v>0</v>
      </c>
      <c r="U91">
        <f t="shared" si="19"/>
        <v>0</v>
      </c>
      <c r="V91">
        <f t="shared" si="20"/>
        <v>0</v>
      </c>
    </row>
    <row r="92" spans="2:22" ht="18" thickBot="1" x14ac:dyDescent="0.3">
      <c r="B92" s="33" t="s">
        <v>74</v>
      </c>
      <c r="C92" s="33" t="s">
        <v>76</v>
      </c>
      <c r="D92" s="33" t="s">
        <v>75</v>
      </c>
      <c r="E92" s="34" t="s">
        <v>52</v>
      </c>
      <c r="F92" s="34" t="s">
        <v>51</v>
      </c>
      <c r="G92" s="34" t="s">
        <v>50</v>
      </c>
      <c r="H92" s="34" t="s">
        <v>49</v>
      </c>
      <c r="J92" s="33" t="s">
        <v>74</v>
      </c>
      <c r="K92" s="33" t="s">
        <v>76</v>
      </c>
      <c r="L92" s="33" t="s">
        <v>75</v>
      </c>
      <c r="M92" s="34" t="s">
        <v>52</v>
      </c>
      <c r="N92" s="34" t="s">
        <v>51</v>
      </c>
      <c r="O92" s="34" t="s">
        <v>50</v>
      </c>
      <c r="P92" s="34" t="s">
        <v>49</v>
      </c>
      <c r="T92" t="str">
        <f t="shared" si="18"/>
        <v/>
      </c>
      <c r="U92" t="str">
        <f t="shared" si="19"/>
        <v/>
      </c>
      <c r="V92" t="str">
        <f t="shared" si="20"/>
        <v/>
      </c>
    </row>
    <row r="93" spans="2:22" ht="17.25" x14ac:dyDescent="0.25">
      <c r="B93" s="35" t="s">
        <v>2</v>
      </c>
      <c r="C93" s="35">
        <v>5000</v>
      </c>
      <c r="D93" s="35" t="str">
        <f>VLOOKUP($C93,Kalkulation_Platten!$C$6:$F$611,3,FALSE)&amp;" / "&amp;VLOOKUP($C93,Kalkulation_Platten!$C$6:$F$611,4,FALSE)</f>
        <v>420 / 180</v>
      </c>
      <c r="E93" s="36">
        <f>INDEX(Kalkulation_Platten!$C$3:$AM$1001,MATCH($C93,Kalkulation_Platten!$C$3:$C$1001,0),MATCH(E$3,Kalkulation_Platten!$C$3:$AM$3,0))</f>
        <v>169</v>
      </c>
      <c r="F93" s="36">
        <f>INDEX(Kalkulation_Platten!$C$3:$AM$1001,MATCH($C93,Kalkulation_Platten!$C$3:$C$1001,0),MATCH(F$3,Kalkulation_Platten!$C$3:$AM$3,0))</f>
        <v>255</v>
      </c>
      <c r="G93" s="36">
        <f>INDEX(Kalkulation_Platten!$C$3:$AM$1001,MATCH($C93,Kalkulation_Platten!$C$3:$C$1001,0),MATCH(G$3,Kalkulation_Platten!$C$3:$AM$3,0))</f>
        <v>237</v>
      </c>
      <c r="H93" s="36">
        <f>INDEX(Kalkulation_Platten!$C$3:$AM$1001,MATCH($C93,Kalkulation_Platten!$C$3:$C$1001,0),MATCH(H$3,Kalkulation_Platten!$C$3:$AM$3,0))</f>
        <v>446</v>
      </c>
      <c r="J93" s="35" t="s">
        <v>2</v>
      </c>
      <c r="K93" s="35">
        <v>5000</v>
      </c>
      <c r="L93" s="35" t="str">
        <f>VLOOKUP($C93,Kalkulation_Platten!$C$6:$F$611,3,FALSE)&amp;" / "&amp;VLOOKUP($C93,Kalkulation_Platten!$C$6:$F$611,4,FALSE)</f>
        <v>420 / 180</v>
      </c>
      <c r="M93" s="36">
        <f t="shared" ref="M93:M102" si="25">IFERROR(ROUND(E93*(1+$R$2),0),"-")</f>
        <v>194</v>
      </c>
      <c r="N93" s="36">
        <f t="shared" ref="N93:N102" si="26">IFERROR(ROUND(F93*(1+$R$2),0),"-")</f>
        <v>293</v>
      </c>
      <c r="O93" s="36">
        <f t="shared" ref="O93:O102" si="27">IFERROR(ROUND(G93*(1+$R$2),0),"-")</f>
        <v>273</v>
      </c>
      <c r="P93" s="36">
        <f t="shared" ref="P93:P102" si="28">IFERROR(ROUND(H93*(1+$R$2),0),"-")</f>
        <v>513</v>
      </c>
      <c r="T93">
        <f t="shared" si="18"/>
        <v>86</v>
      </c>
      <c r="U93">
        <f t="shared" si="19"/>
        <v>-18</v>
      </c>
      <c r="V93">
        <f t="shared" si="20"/>
        <v>209</v>
      </c>
    </row>
    <row r="94" spans="2:22" ht="17.25" x14ac:dyDescent="0.25">
      <c r="B94" s="37" t="s">
        <v>2</v>
      </c>
      <c r="C94" s="37">
        <v>5001</v>
      </c>
      <c r="D94" s="37" t="str">
        <f>VLOOKUP($C94,Kalkulation_Platten!$C$6:$F$611,3,FALSE)&amp;" / "&amp;VLOOKUP($C94,Kalkulation_Platten!$C$6:$F$611,4,FALSE)</f>
        <v>420 / 360</v>
      </c>
      <c r="E94" s="38">
        <f>INDEX(Kalkulation_Platten!$C$3:$AM$1001,MATCH($C94,Kalkulation_Platten!$C$3:$C$1001,0),MATCH(E$3,Kalkulation_Platten!$C$3:$AM$3,0))</f>
        <v>169</v>
      </c>
      <c r="F94" s="38">
        <f>INDEX(Kalkulation_Platten!$C$3:$AM$1001,MATCH($C94,Kalkulation_Platten!$C$3:$C$1001,0),MATCH(F$3,Kalkulation_Platten!$C$3:$AM$3,0))</f>
        <v>255</v>
      </c>
      <c r="G94" s="38">
        <f>INDEX(Kalkulation_Platten!$C$3:$AM$1001,MATCH($C94,Kalkulation_Platten!$C$3:$C$1001,0),MATCH(G$3,Kalkulation_Platten!$C$3:$AM$3,0))</f>
        <v>237</v>
      </c>
      <c r="H94" s="38">
        <f>INDEX(Kalkulation_Platten!$C$3:$AM$1001,MATCH($C94,Kalkulation_Platten!$C$3:$C$1001,0),MATCH(H$3,Kalkulation_Platten!$C$3:$AM$3,0))</f>
        <v>446</v>
      </c>
      <c r="J94" s="37" t="s">
        <v>2</v>
      </c>
      <c r="K94" s="37">
        <v>5001</v>
      </c>
      <c r="L94" s="37" t="str">
        <f>VLOOKUP($C94,Kalkulation_Platten!$C$6:$F$611,3,FALSE)&amp;" / "&amp;VLOOKUP($C94,Kalkulation_Platten!$C$6:$F$611,4,FALSE)</f>
        <v>420 / 360</v>
      </c>
      <c r="M94" s="38">
        <f t="shared" si="25"/>
        <v>194</v>
      </c>
      <c r="N94" s="38">
        <f t="shared" si="26"/>
        <v>293</v>
      </c>
      <c r="O94" s="38">
        <f t="shared" si="27"/>
        <v>273</v>
      </c>
      <c r="P94" s="38">
        <f t="shared" si="28"/>
        <v>513</v>
      </c>
      <c r="T94">
        <f t="shared" si="18"/>
        <v>86</v>
      </c>
      <c r="U94">
        <f t="shared" si="19"/>
        <v>-18</v>
      </c>
      <c r="V94">
        <f t="shared" si="20"/>
        <v>209</v>
      </c>
    </row>
    <row r="95" spans="2:22" ht="17.25" x14ac:dyDescent="0.25">
      <c r="B95" s="37" t="s">
        <v>2</v>
      </c>
      <c r="C95" s="37">
        <v>5002</v>
      </c>
      <c r="D95" s="37" t="str">
        <f>VLOOKUP($C95,Kalkulation_Platten!$C$6:$F$611,3,FALSE)&amp;" / "&amp;VLOOKUP($C95,Kalkulation_Platten!$C$6:$F$611,4,FALSE)</f>
        <v>580 / 180</v>
      </c>
      <c r="E95" s="38">
        <f>INDEX(Kalkulation_Platten!$C$3:$AM$1001,MATCH($C95,Kalkulation_Platten!$C$3:$C$1001,0),MATCH(E$3,Kalkulation_Platten!$C$3:$AM$3,0))</f>
        <v>184</v>
      </c>
      <c r="F95" s="38">
        <f>INDEX(Kalkulation_Platten!$C$3:$AM$1001,MATCH($C95,Kalkulation_Platten!$C$3:$C$1001,0),MATCH(F$3,Kalkulation_Platten!$C$3:$AM$3,0))</f>
        <v>283</v>
      </c>
      <c r="G95" s="38">
        <f>INDEX(Kalkulation_Platten!$C$3:$AM$1001,MATCH($C95,Kalkulation_Platten!$C$3:$C$1001,0),MATCH(G$3,Kalkulation_Platten!$C$3:$AM$3,0))</f>
        <v>259</v>
      </c>
      <c r="H95" s="38">
        <f>INDEX(Kalkulation_Platten!$C$3:$AM$1001,MATCH($C95,Kalkulation_Platten!$C$3:$C$1001,0),MATCH(H$3,Kalkulation_Platten!$C$3:$AM$3,0))</f>
        <v>487</v>
      </c>
      <c r="J95" s="37" t="s">
        <v>2</v>
      </c>
      <c r="K95" s="37">
        <v>5002</v>
      </c>
      <c r="L95" s="37" t="str">
        <f>VLOOKUP($C95,Kalkulation_Platten!$C$6:$F$611,3,FALSE)&amp;" / "&amp;VLOOKUP($C95,Kalkulation_Platten!$C$6:$F$611,4,FALSE)</f>
        <v>580 / 180</v>
      </c>
      <c r="M95" s="38">
        <f t="shared" si="25"/>
        <v>212</v>
      </c>
      <c r="N95" s="38">
        <f t="shared" si="26"/>
        <v>325</v>
      </c>
      <c r="O95" s="38">
        <f t="shared" si="27"/>
        <v>298</v>
      </c>
      <c r="P95" s="38">
        <f t="shared" si="28"/>
        <v>560</v>
      </c>
      <c r="T95">
        <f t="shared" si="18"/>
        <v>99</v>
      </c>
      <c r="U95">
        <f t="shared" si="19"/>
        <v>-24</v>
      </c>
      <c r="V95">
        <f t="shared" si="20"/>
        <v>228</v>
      </c>
    </row>
    <row r="96" spans="2:22" ht="17.25" x14ac:dyDescent="0.25">
      <c r="B96" s="37" t="s">
        <v>2</v>
      </c>
      <c r="C96" s="37">
        <v>5003</v>
      </c>
      <c r="D96" s="37" t="str">
        <f>VLOOKUP($C96,Kalkulation_Platten!$C$6:$F$611,3,FALSE)&amp;" / "&amp;VLOOKUP($C96,Kalkulation_Platten!$C$6:$F$611,4,FALSE)</f>
        <v>580 / 360</v>
      </c>
      <c r="E96" s="38">
        <f>INDEX(Kalkulation_Platten!$C$3:$AM$1001,MATCH($C96,Kalkulation_Platten!$C$3:$C$1001,0),MATCH(E$3,Kalkulation_Platten!$C$3:$AM$3,0))</f>
        <v>184</v>
      </c>
      <c r="F96" s="38">
        <f>INDEX(Kalkulation_Platten!$C$3:$AM$1001,MATCH($C96,Kalkulation_Platten!$C$3:$C$1001,0),MATCH(F$3,Kalkulation_Platten!$C$3:$AM$3,0))</f>
        <v>283</v>
      </c>
      <c r="G96" s="38">
        <f>INDEX(Kalkulation_Platten!$C$3:$AM$1001,MATCH($C96,Kalkulation_Platten!$C$3:$C$1001,0),MATCH(G$3,Kalkulation_Platten!$C$3:$AM$3,0))</f>
        <v>259</v>
      </c>
      <c r="H96" s="38">
        <f>INDEX(Kalkulation_Platten!$C$3:$AM$1001,MATCH($C96,Kalkulation_Platten!$C$3:$C$1001,0),MATCH(H$3,Kalkulation_Platten!$C$3:$AM$3,0))</f>
        <v>487</v>
      </c>
      <c r="J96" s="37" t="s">
        <v>2</v>
      </c>
      <c r="K96" s="37">
        <v>5003</v>
      </c>
      <c r="L96" s="37" t="str">
        <f>VLOOKUP($C96,Kalkulation_Platten!$C$6:$F$611,3,FALSE)&amp;" / "&amp;VLOOKUP($C96,Kalkulation_Platten!$C$6:$F$611,4,FALSE)</f>
        <v>580 / 360</v>
      </c>
      <c r="M96" s="38">
        <f t="shared" si="25"/>
        <v>212</v>
      </c>
      <c r="N96" s="38">
        <f t="shared" si="26"/>
        <v>325</v>
      </c>
      <c r="O96" s="38">
        <f t="shared" si="27"/>
        <v>298</v>
      </c>
      <c r="P96" s="38">
        <f t="shared" si="28"/>
        <v>560</v>
      </c>
      <c r="T96">
        <f t="shared" si="18"/>
        <v>99</v>
      </c>
      <c r="U96">
        <f t="shared" si="19"/>
        <v>-24</v>
      </c>
      <c r="V96">
        <f t="shared" si="20"/>
        <v>228</v>
      </c>
    </row>
    <row r="97" spans="2:22" ht="17.25" x14ac:dyDescent="0.25">
      <c r="B97" s="37" t="s">
        <v>2</v>
      </c>
      <c r="C97" s="37">
        <v>5004</v>
      </c>
      <c r="D97" s="37" t="str">
        <f>VLOOKUP($C97,Kalkulation_Platten!$C$6:$F$611,3,FALSE)&amp;" / "&amp;VLOOKUP($C97,Kalkulation_Platten!$C$6:$F$611,4,FALSE)</f>
        <v>780 / 180</v>
      </c>
      <c r="E97" s="38">
        <f>INDEX(Kalkulation_Platten!$C$3:$AM$1001,MATCH($C97,Kalkulation_Platten!$C$3:$C$1001,0),MATCH(E$3,Kalkulation_Platten!$C$3:$AM$3,0))</f>
        <v>198</v>
      </c>
      <c r="F97" s="38">
        <f>INDEX(Kalkulation_Platten!$C$3:$AM$1001,MATCH($C97,Kalkulation_Platten!$C$3:$C$1001,0),MATCH(F$3,Kalkulation_Platten!$C$3:$AM$3,0))</f>
        <v>310</v>
      </c>
      <c r="G97" s="38">
        <f>INDEX(Kalkulation_Platten!$C$3:$AM$1001,MATCH($C97,Kalkulation_Platten!$C$3:$C$1001,0),MATCH(G$3,Kalkulation_Platten!$C$3:$AM$3,0))</f>
        <v>280</v>
      </c>
      <c r="H97" s="38">
        <f>INDEX(Kalkulation_Platten!$C$3:$AM$1001,MATCH($C97,Kalkulation_Platten!$C$3:$C$1001,0),MATCH(H$3,Kalkulation_Platten!$C$3:$AM$3,0))</f>
        <v>527</v>
      </c>
      <c r="J97" s="37" t="s">
        <v>2</v>
      </c>
      <c r="K97" s="37">
        <v>5004</v>
      </c>
      <c r="L97" s="37" t="str">
        <f>VLOOKUP($C97,Kalkulation_Platten!$C$6:$F$611,3,FALSE)&amp;" / "&amp;VLOOKUP($C97,Kalkulation_Platten!$C$6:$F$611,4,FALSE)</f>
        <v>780 / 180</v>
      </c>
      <c r="M97" s="38">
        <f t="shared" si="25"/>
        <v>228</v>
      </c>
      <c r="N97" s="38">
        <f t="shared" si="26"/>
        <v>357</v>
      </c>
      <c r="O97" s="38">
        <f t="shared" si="27"/>
        <v>322</v>
      </c>
      <c r="P97" s="38">
        <f t="shared" si="28"/>
        <v>606</v>
      </c>
      <c r="T97">
        <f t="shared" si="18"/>
        <v>112</v>
      </c>
      <c r="U97">
        <f t="shared" si="19"/>
        <v>-30</v>
      </c>
      <c r="V97">
        <f t="shared" si="20"/>
        <v>247</v>
      </c>
    </row>
    <row r="98" spans="2:22" ht="17.25" x14ac:dyDescent="0.25">
      <c r="B98" s="37" t="s">
        <v>2</v>
      </c>
      <c r="C98" s="37">
        <v>5005</v>
      </c>
      <c r="D98" s="37" t="str">
        <f>VLOOKUP($C98,Kalkulation_Platten!$C$6:$F$611,3,FALSE)&amp;" / "&amp;VLOOKUP($C98,Kalkulation_Platten!$C$6:$F$611,4,FALSE)</f>
        <v>780 / 360</v>
      </c>
      <c r="E98" s="38">
        <f>INDEX(Kalkulation_Platten!$C$3:$AM$1001,MATCH($C98,Kalkulation_Platten!$C$3:$C$1001,0),MATCH(E$3,Kalkulation_Platten!$C$3:$AM$3,0))</f>
        <v>198</v>
      </c>
      <c r="F98" s="38">
        <f>INDEX(Kalkulation_Platten!$C$3:$AM$1001,MATCH($C98,Kalkulation_Platten!$C$3:$C$1001,0),MATCH(F$3,Kalkulation_Platten!$C$3:$AM$3,0))</f>
        <v>310</v>
      </c>
      <c r="G98" s="38">
        <f>INDEX(Kalkulation_Platten!$C$3:$AM$1001,MATCH($C98,Kalkulation_Platten!$C$3:$C$1001,0),MATCH(G$3,Kalkulation_Platten!$C$3:$AM$3,0))</f>
        <v>280</v>
      </c>
      <c r="H98" s="38">
        <f>INDEX(Kalkulation_Platten!$C$3:$AM$1001,MATCH($C98,Kalkulation_Platten!$C$3:$C$1001,0),MATCH(H$3,Kalkulation_Platten!$C$3:$AM$3,0))</f>
        <v>527</v>
      </c>
      <c r="J98" s="37" t="s">
        <v>2</v>
      </c>
      <c r="K98" s="37">
        <v>5005</v>
      </c>
      <c r="L98" s="37" t="str">
        <f>VLOOKUP($C98,Kalkulation_Platten!$C$6:$F$611,3,FALSE)&amp;" / "&amp;VLOOKUP($C98,Kalkulation_Platten!$C$6:$F$611,4,FALSE)</f>
        <v>780 / 360</v>
      </c>
      <c r="M98" s="38">
        <f t="shared" si="25"/>
        <v>228</v>
      </c>
      <c r="N98" s="38">
        <f t="shared" si="26"/>
        <v>357</v>
      </c>
      <c r="O98" s="38">
        <f t="shared" si="27"/>
        <v>322</v>
      </c>
      <c r="P98" s="38">
        <f t="shared" si="28"/>
        <v>606</v>
      </c>
      <c r="T98">
        <f t="shared" si="18"/>
        <v>112</v>
      </c>
      <c r="U98">
        <f t="shared" si="19"/>
        <v>-30</v>
      </c>
      <c r="V98">
        <f t="shared" si="20"/>
        <v>247</v>
      </c>
    </row>
    <row r="99" spans="2:22" ht="17.25" x14ac:dyDescent="0.25">
      <c r="B99" s="37" t="s">
        <v>2</v>
      </c>
      <c r="C99" s="37">
        <v>5006</v>
      </c>
      <c r="D99" s="37" t="str">
        <f>VLOOKUP($C99,Kalkulation_Platten!$C$6:$F$611,3,FALSE)&amp;" / "&amp;VLOOKUP($C99,Kalkulation_Platten!$C$6:$F$611,4,FALSE)</f>
        <v>980 / 180</v>
      </c>
      <c r="E99" s="38">
        <f>INDEX(Kalkulation_Platten!$C$3:$AM$1001,MATCH($C99,Kalkulation_Platten!$C$3:$C$1001,0),MATCH(E$3,Kalkulation_Platten!$C$3:$AM$3,0))</f>
        <v>250</v>
      </c>
      <c r="F99" s="38">
        <f>INDEX(Kalkulation_Platten!$C$3:$AM$1001,MATCH($C99,Kalkulation_Platten!$C$3:$C$1001,0),MATCH(F$3,Kalkulation_Platten!$C$3:$AM$3,0))</f>
        <v>369</v>
      </c>
      <c r="G99" s="38">
        <f>INDEX(Kalkulation_Platten!$C$3:$AM$1001,MATCH($C99,Kalkulation_Platten!$C$3:$C$1001,0),MATCH(G$3,Kalkulation_Platten!$C$3:$AM$3,0))</f>
        <v>345</v>
      </c>
      <c r="H99" s="38">
        <f>INDEX(Kalkulation_Platten!$C$3:$AM$1001,MATCH($C99,Kalkulation_Platten!$C$3:$C$1001,0),MATCH(H$3,Kalkulation_Platten!$C$3:$AM$3,0))</f>
        <v>649</v>
      </c>
      <c r="J99" s="37" t="s">
        <v>2</v>
      </c>
      <c r="K99" s="37">
        <v>5006</v>
      </c>
      <c r="L99" s="37" t="str">
        <f>VLOOKUP($C99,Kalkulation_Platten!$C$6:$F$611,3,FALSE)&amp;" / "&amp;VLOOKUP($C99,Kalkulation_Platten!$C$6:$F$611,4,FALSE)</f>
        <v>980 / 180</v>
      </c>
      <c r="M99" s="38">
        <f t="shared" si="25"/>
        <v>288</v>
      </c>
      <c r="N99" s="38">
        <f t="shared" si="26"/>
        <v>424</v>
      </c>
      <c r="O99" s="38">
        <f t="shared" si="27"/>
        <v>397</v>
      </c>
      <c r="P99" s="38">
        <f t="shared" si="28"/>
        <v>746</v>
      </c>
      <c r="T99">
        <f t="shared" si="18"/>
        <v>119</v>
      </c>
      <c r="U99">
        <f t="shared" si="19"/>
        <v>-24</v>
      </c>
      <c r="V99">
        <f t="shared" si="20"/>
        <v>304</v>
      </c>
    </row>
    <row r="100" spans="2:22" ht="17.25" x14ac:dyDescent="0.25">
      <c r="B100" s="37" t="s">
        <v>2</v>
      </c>
      <c r="C100" s="37">
        <v>5007</v>
      </c>
      <c r="D100" s="37" t="str">
        <f>VLOOKUP($C100,Kalkulation_Platten!$C$6:$F$611,3,FALSE)&amp;" / "&amp;VLOOKUP($C100,Kalkulation_Platten!$C$6:$F$611,4,FALSE)</f>
        <v>980 / 360</v>
      </c>
      <c r="E100" s="38">
        <f>INDEX(Kalkulation_Platten!$C$3:$AM$1001,MATCH($C100,Kalkulation_Platten!$C$3:$C$1001,0),MATCH(E$3,Kalkulation_Platten!$C$3:$AM$3,0))</f>
        <v>250</v>
      </c>
      <c r="F100" s="38">
        <f>INDEX(Kalkulation_Platten!$C$3:$AM$1001,MATCH($C100,Kalkulation_Platten!$C$3:$C$1001,0),MATCH(F$3,Kalkulation_Platten!$C$3:$AM$3,0))</f>
        <v>369</v>
      </c>
      <c r="G100" s="38">
        <f>INDEX(Kalkulation_Platten!$C$3:$AM$1001,MATCH($C100,Kalkulation_Platten!$C$3:$C$1001,0),MATCH(G$3,Kalkulation_Platten!$C$3:$AM$3,0))</f>
        <v>345</v>
      </c>
      <c r="H100" s="38">
        <f>INDEX(Kalkulation_Platten!$C$3:$AM$1001,MATCH($C100,Kalkulation_Platten!$C$3:$C$1001,0),MATCH(H$3,Kalkulation_Platten!$C$3:$AM$3,0))</f>
        <v>649</v>
      </c>
      <c r="J100" s="37" t="s">
        <v>2</v>
      </c>
      <c r="K100" s="37">
        <v>5007</v>
      </c>
      <c r="L100" s="37" t="str">
        <f>VLOOKUP($C100,Kalkulation_Platten!$C$6:$F$611,3,FALSE)&amp;" / "&amp;VLOOKUP($C100,Kalkulation_Platten!$C$6:$F$611,4,FALSE)</f>
        <v>980 / 360</v>
      </c>
      <c r="M100" s="38">
        <f t="shared" si="25"/>
        <v>288</v>
      </c>
      <c r="N100" s="38">
        <f t="shared" si="26"/>
        <v>424</v>
      </c>
      <c r="O100" s="38">
        <f t="shared" si="27"/>
        <v>397</v>
      </c>
      <c r="P100" s="38">
        <f t="shared" si="28"/>
        <v>746</v>
      </c>
      <c r="T100">
        <f t="shared" ref="T100:T131" si="29">IFERROR(F100-E100,"")</f>
        <v>119</v>
      </c>
      <c r="U100">
        <f t="shared" ref="U100:U131" si="30">IFERROR(G100-F100,"")</f>
        <v>-24</v>
      </c>
      <c r="V100">
        <f t="shared" ref="V100:V131" si="31">IFERROR(H100-G100,"")</f>
        <v>304</v>
      </c>
    </row>
    <row r="101" spans="2:22" ht="17.25" x14ac:dyDescent="0.25">
      <c r="B101" s="37" t="s">
        <v>2</v>
      </c>
      <c r="C101" s="37">
        <v>5008</v>
      </c>
      <c r="D101" s="37" t="str">
        <f>VLOOKUP($C101,Kalkulation_Platten!$C$6:$F$611,3,FALSE)&amp;" / "&amp;VLOOKUP($C101,Kalkulation_Platten!$C$6:$F$611,4,FALSE)</f>
        <v>360 / 360</v>
      </c>
      <c r="E101" s="38">
        <f>INDEX(Kalkulation_Platten!$C$3:$AM$1001,MATCH($C101,Kalkulation_Platten!$C$3:$C$1001,0),MATCH(E$3,Kalkulation_Platten!$C$3:$AM$3,0))</f>
        <v>169</v>
      </c>
      <c r="F101" s="38">
        <f>INDEX(Kalkulation_Platten!$C$3:$AM$1001,MATCH($C101,Kalkulation_Platten!$C$3:$C$1001,0),MATCH(F$3,Kalkulation_Platten!$C$3:$AM$3,0))</f>
        <v>333</v>
      </c>
      <c r="G101" s="38">
        <f>INDEX(Kalkulation_Platten!$C$3:$AM$1001,MATCH($C101,Kalkulation_Platten!$C$3:$C$1001,0),MATCH(G$3,Kalkulation_Platten!$C$3:$AM$3,0))</f>
        <v>345</v>
      </c>
      <c r="H101" s="38">
        <f>INDEX(Kalkulation_Platten!$C$3:$AM$1001,MATCH($C101,Kalkulation_Platten!$C$3:$C$1001,0),MATCH(H$3,Kalkulation_Platten!$C$3:$AM$3,0))</f>
        <v>649</v>
      </c>
      <c r="J101" s="37" t="s">
        <v>2</v>
      </c>
      <c r="K101" s="37">
        <v>5008</v>
      </c>
      <c r="L101" s="37" t="str">
        <f>VLOOKUP($C101,Kalkulation_Platten!$C$6:$F$611,3,FALSE)&amp;" / "&amp;VLOOKUP($C101,Kalkulation_Platten!$C$6:$F$611,4,FALSE)</f>
        <v>360 / 360</v>
      </c>
      <c r="M101" s="38">
        <f t="shared" si="25"/>
        <v>194</v>
      </c>
      <c r="N101" s="38">
        <f t="shared" si="26"/>
        <v>383</v>
      </c>
      <c r="O101" s="38">
        <f t="shared" si="27"/>
        <v>397</v>
      </c>
      <c r="P101" s="38">
        <f t="shared" si="28"/>
        <v>746</v>
      </c>
      <c r="T101">
        <f t="shared" si="29"/>
        <v>164</v>
      </c>
      <c r="U101">
        <f t="shared" si="30"/>
        <v>12</v>
      </c>
      <c r="V101">
        <f t="shared" si="31"/>
        <v>304</v>
      </c>
    </row>
    <row r="102" spans="2:22" ht="17.25" x14ac:dyDescent="0.25">
      <c r="B102" s="37" t="s">
        <v>2</v>
      </c>
      <c r="C102" s="37">
        <v>5009</v>
      </c>
      <c r="D102" s="37" t="str">
        <f>VLOOKUP($C102,Kalkulation_Platten!$C$6:$F$611,3,FALSE)&amp;" / "&amp;VLOOKUP($C102,Kalkulation_Platten!$C$6:$F$611,4,FALSE)</f>
        <v>360 / 180</v>
      </c>
      <c r="E102" s="38">
        <f>INDEX(Kalkulation_Platten!$C$3:$AM$1001,MATCH($C102,Kalkulation_Platten!$C$3:$C$1001,0),MATCH(E$3,Kalkulation_Platten!$C$3:$AM$3,0))</f>
        <v>169</v>
      </c>
      <c r="F102" s="38">
        <f>INDEX(Kalkulation_Platten!$C$3:$AM$1001,MATCH($C102,Kalkulation_Platten!$C$3:$C$1001,0),MATCH(F$3,Kalkulation_Platten!$C$3:$AM$3,0))</f>
        <v>333</v>
      </c>
      <c r="G102" s="38">
        <f>INDEX(Kalkulation_Platten!$C$3:$AM$1001,MATCH($C102,Kalkulation_Platten!$C$3:$C$1001,0),MATCH(G$3,Kalkulation_Platten!$C$3:$AM$3,0))</f>
        <v>345</v>
      </c>
      <c r="H102" s="38">
        <f>INDEX(Kalkulation_Platten!$C$3:$AM$1001,MATCH($C102,Kalkulation_Platten!$C$3:$C$1001,0),MATCH(H$3,Kalkulation_Platten!$C$3:$AM$3,0))</f>
        <v>649</v>
      </c>
      <c r="J102" s="37" t="s">
        <v>2</v>
      </c>
      <c r="K102" s="37">
        <v>5009</v>
      </c>
      <c r="L102" s="37" t="str">
        <f>VLOOKUP($C102,Kalkulation_Platten!$C$6:$F$611,3,FALSE)&amp;" / "&amp;VLOOKUP($C102,Kalkulation_Platten!$C$6:$F$611,4,FALSE)</f>
        <v>360 / 180</v>
      </c>
      <c r="M102" s="38">
        <f t="shared" si="25"/>
        <v>194</v>
      </c>
      <c r="N102" s="38">
        <f t="shared" si="26"/>
        <v>383</v>
      </c>
      <c r="O102" s="38">
        <f t="shared" si="27"/>
        <v>397</v>
      </c>
      <c r="P102" s="38">
        <f t="shared" si="28"/>
        <v>746</v>
      </c>
      <c r="T102">
        <f t="shared" si="29"/>
        <v>164</v>
      </c>
      <c r="U102">
        <f t="shared" si="30"/>
        <v>12</v>
      </c>
      <c r="V102">
        <f t="shared" si="31"/>
        <v>304</v>
      </c>
    </row>
    <row r="103" spans="2:22" ht="17.25" x14ac:dyDescent="0.25">
      <c r="B103" s="37"/>
      <c r="C103" s="37"/>
      <c r="D103" s="37"/>
      <c r="E103" s="38"/>
      <c r="F103" s="38"/>
      <c r="G103" s="38"/>
      <c r="H103" s="38"/>
      <c r="J103" s="37"/>
      <c r="K103" s="37"/>
      <c r="L103" s="37"/>
      <c r="M103" s="38"/>
      <c r="N103" s="38"/>
      <c r="O103" s="38"/>
      <c r="P103" s="38"/>
      <c r="T103">
        <f t="shared" si="29"/>
        <v>0</v>
      </c>
      <c r="U103">
        <f t="shared" si="30"/>
        <v>0</v>
      </c>
      <c r="V103">
        <f t="shared" si="31"/>
        <v>0</v>
      </c>
    </row>
    <row r="104" spans="2:22" ht="18" thickBot="1" x14ac:dyDescent="0.3">
      <c r="B104" s="33" t="s">
        <v>74</v>
      </c>
      <c r="C104" s="33" t="s">
        <v>76</v>
      </c>
      <c r="D104" s="33" t="s">
        <v>75</v>
      </c>
      <c r="E104" s="34" t="s">
        <v>52</v>
      </c>
      <c r="F104" s="34" t="s">
        <v>51</v>
      </c>
      <c r="G104" s="34" t="s">
        <v>50</v>
      </c>
      <c r="H104" s="34" t="s">
        <v>49</v>
      </c>
      <c r="J104" s="33" t="s">
        <v>74</v>
      </c>
      <c r="K104" s="33" t="s">
        <v>76</v>
      </c>
      <c r="L104" s="33" t="s">
        <v>75</v>
      </c>
      <c r="M104" s="34" t="s">
        <v>52</v>
      </c>
      <c r="N104" s="34" t="s">
        <v>51</v>
      </c>
      <c r="O104" s="34" t="s">
        <v>50</v>
      </c>
      <c r="P104" s="34" t="s">
        <v>49</v>
      </c>
      <c r="T104" t="str">
        <f t="shared" si="29"/>
        <v/>
      </c>
      <c r="U104" t="str">
        <f t="shared" si="30"/>
        <v/>
      </c>
      <c r="V104" t="str">
        <f t="shared" si="31"/>
        <v/>
      </c>
    </row>
    <row r="105" spans="2:22" ht="17.25" x14ac:dyDescent="0.25">
      <c r="B105" s="35" t="s">
        <v>1</v>
      </c>
      <c r="C105" s="35">
        <v>5100</v>
      </c>
      <c r="D105" s="35" t="str">
        <f>VLOOKUP($C105,Kalkulation_Platten!$C$6:$F$611,3,FALSE)&amp;" / "&amp;VLOOKUP($C105,Kalkulation_Platten!$C$6:$F$611,4,FALSE)</f>
        <v>420 / 360</v>
      </c>
      <c r="E105" s="36">
        <f>INDEX(Kalkulation_Platten!$C$3:$AM$1001,MATCH($C105,Kalkulation_Platten!$C$3:$C$1001,0),MATCH(E$3,Kalkulation_Platten!$C$3:$AM$3,0))</f>
        <v>136</v>
      </c>
      <c r="F105" s="36">
        <f>INDEX(Kalkulation_Platten!$C$3:$AM$1001,MATCH($C105,Kalkulation_Platten!$C$3:$C$1001,0),MATCH(F$3,Kalkulation_Platten!$C$3:$AM$3,0))</f>
        <v>205</v>
      </c>
      <c r="G105" s="36">
        <f>INDEX(Kalkulation_Platten!$C$3:$AM$1001,MATCH($C105,Kalkulation_Platten!$C$3:$C$1001,0),MATCH(G$3,Kalkulation_Platten!$C$3:$AM$3,0))</f>
        <v>182</v>
      </c>
      <c r="H105" s="36">
        <f>INDEX(Kalkulation_Platten!$C$3:$AM$1001,MATCH($C105,Kalkulation_Platten!$C$3:$C$1001,0),MATCH(H$3,Kalkulation_Platten!$C$3:$AM$3,0))</f>
        <v>479</v>
      </c>
      <c r="J105" s="35" t="s">
        <v>65</v>
      </c>
      <c r="K105" s="35">
        <v>5100</v>
      </c>
      <c r="L105" s="35" t="str">
        <f>VLOOKUP($C105,Kalkulation_Platten!$C$6:$F$611,3,FALSE)&amp;" / "&amp;VLOOKUP($C105,Kalkulation_Platten!$C$6:$F$611,4,FALSE)</f>
        <v>420 / 360</v>
      </c>
      <c r="M105" s="36">
        <f t="shared" ref="M105:M120" si="32">IFERROR(ROUND(E105*(1+$R$2),0),"-")</f>
        <v>156</v>
      </c>
      <c r="N105" s="36">
        <f t="shared" ref="N105:N120" si="33">IFERROR(ROUND(F105*(1+$R$2),0),"-")</f>
        <v>236</v>
      </c>
      <c r="O105" s="36">
        <f t="shared" ref="O105:O120" si="34">IFERROR(ROUND(G105*(1+$R$2),0),"-")</f>
        <v>209</v>
      </c>
      <c r="P105" s="36">
        <f t="shared" ref="P105:P120" si="35">IFERROR(ROUND(H105*(1+$R$2),0),"-")</f>
        <v>551</v>
      </c>
      <c r="T105">
        <f t="shared" si="29"/>
        <v>69</v>
      </c>
      <c r="U105">
        <f t="shared" si="30"/>
        <v>-23</v>
      </c>
      <c r="V105">
        <f t="shared" si="31"/>
        <v>297</v>
      </c>
    </row>
    <row r="106" spans="2:22" ht="17.25" x14ac:dyDescent="0.25">
      <c r="B106" s="37" t="s">
        <v>1</v>
      </c>
      <c r="C106" s="37">
        <v>5101</v>
      </c>
      <c r="D106" s="37" t="str">
        <f>VLOOKUP($C106,Kalkulation_Platten!$C$6:$F$611,3,FALSE)&amp;" / "&amp;VLOOKUP($C106,Kalkulation_Platten!$C$6:$F$611,4,FALSE)</f>
        <v>420 / 720</v>
      </c>
      <c r="E106" s="38">
        <f>INDEX(Kalkulation_Platten!$C$3:$AM$1001,MATCH($C106,Kalkulation_Platten!$C$3:$C$1001,0),MATCH(E$3,Kalkulation_Platten!$C$3:$AM$3,0))</f>
        <v>159</v>
      </c>
      <c r="F106" s="38">
        <f>INDEX(Kalkulation_Platten!$C$3:$AM$1001,MATCH($C106,Kalkulation_Platten!$C$3:$C$1001,0),MATCH(F$3,Kalkulation_Platten!$C$3:$AM$3,0))</f>
        <v>270</v>
      </c>
      <c r="G106" s="38">
        <f>INDEX(Kalkulation_Platten!$C$3:$AM$1001,MATCH($C106,Kalkulation_Platten!$C$3:$C$1001,0),MATCH(G$3,Kalkulation_Platten!$C$3:$AM$3,0))</f>
        <v>230</v>
      </c>
      <c r="H106" s="38">
        <f>INDEX(Kalkulation_Platten!$C$3:$AM$1001,MATCH($C106,Kalkulation_Platten!$C$3:$C$1001,0),MATCH(H$3,Kalkulation_Platten!$C$3:$AM$3,0))</f>
        <v>544</v>
      </c>
      <c r="J106" s="37" t="s">
        <v>65</v>
      </c>
      <c r="K106" s="37">
        <v>5101</v>
      </c>
      <c r="L106" s="37" t="str">
        <f>VLOOKUP($C106,Kalkulation_Platten!$C$6:$F$611,3,FALSE)&amp;" / "&amp;VLOOKUP($C106,Kalkulation_Platten!$C$6:$F$611,4,FALSE)</f>
        <v>420 / 720</v>
      </c>
      <c r="M106" s="38">
        <f t="shared" si="32"/>
        <v>183</v>
      </c>
      <c r="N106" s="38">
        <f t="shared" si="33"/>
        <v>311</v>
      </c>
      <c r="O106" s="38">
        <f t="shared" si="34"/>
        <v>265</v>
      </c>
      <c r="P106" s="38">
        <f t="shared" si="35"/>
        <v>626</v>
      </c>
      <c r="T106">
        <f t="shared" si="29"/>
        <v>111</v>
      </c>
      <c r="U106">
        <f t="shared" si="30"/>
        <v>-40</v>
      </c>
      <c r="V106">
        <f t="shared" si="31"/>
        <v>314</v>
      </c>
    </row>
    <row r="107" spans="2:22" ht="17.25" x14ac:dyDescent="0.25">
      <c r="B107" s="37" t="s">
        <v>1</v>
      </c>
      <c r="C107" s="37">
        <v>5102</v>
      </c>
      <c r="D107" s="37" t="str">
        <f>VLOOKUP($C107,Kalkulation_Platten!$C$6:$F$611,3,FALSE)&amp;" / "&amp;VLOOKUP($C107,Kalkulation_Platten!$C$6:$F$611,4,FALSE)</f>
        <v>420 / 1080</v>
      </c>
      <c r="E107" s="38">
        <f>INDEX(Kalkulation_Platten!$C$3:$AM$1001,MATCH($C107,Kalkulation_Platten!$C$3:$C$1001,0),MATCH(E$3,Kalkulation_Platten!$C$3:$AM$3,0))</f>
        <v>235</v>
      </c>
      <c r="F107" s="38">
        <f>INDEX(Kalkulation_Platten!$C$3:$AM$1001,MATCH($C107,Kalkulation_Platten!$C$3:$C$1001,0),MATCH(F$3,Kalkulation_Platten!$C$3:$AM$3,0))</f>
        <v>373</v>
      </c>
      <c r="G107" s="38">
        <f>INDEX(Kalkulation_Platten!$C$3:$AM$1001,MATCH($C107,Kalkulation_Platten!$C$3:$C$1001,0),MATCH(G$3,Kalkulation_Platten!$C$3:$AM$3,0))</f>
        <v>339</v>
      </c>
      <c r="H107" s="38">
        <f>INDEX(Kalkulation_Platten!$C$3:$AM$1001,MATCH($C107,Kalkulation_Platten!$C$3:$C$1001,0),MATCH(H$3,Kalkulation_Platten!$C$3:$AM$3,0))</f>
        <v>643</v>
      </c>
      <c r="J107" s="37" t="s">
        <v>65</v>
      </c>
      <c r="K107" s="37">
        <v>5102</v>
      </c>
      <c r="L107" s="37" t="str">
        <f>VLOOKUP($C107,Kalkulation_Platten!$C$6:$F$611,3,FALSE)&amp;" / "&amp;VLOOKUP($C107,Kalkulation_Platten!$C$6:$F$611,4,FALSE)</f>
        <v>420 / 1080</v>
      </c>
      <c r="M107" s="38">
        <f t="shared" si="32"/>
        <v>270</v>
      </c>
      <c r="N107" s="38">
        <f t="shared" si="33"/>
        <v>429</v>
      </c>
      <c r="O107" s="38">
        <f t="shared" si="34"/>
        <v>390</v>
      </c>
      <c r="P107" s="38">
        <f t="shared" si="35"/>
        <v>739</v>
      </c>
      <c r="T107">
        <f t="shared" si="29"/>
        <v>138</v>
      </c>
      <c r="U107">
        <f t="shared" si="30"/>
        <v>-34</v>
      </c>
      <c r="V107">
        <f t="shared" si="31"/>
        <v>304</v>
      </c>
    </row>
    <row r="108" spans="2:22" ht="17.25" x14ac:dyDescent="0.25">
      <c r="B108" s="37" t="s">
        <v>1</v>
      </c>
      <c r="C108" s="37">
        <v>5103</v>
      </c>
      <c r="D108" s="37" t="str">
        <f>VLOOKUP($C108,Kalkulation_Platten!$C$6:$F$611,3,FALSE)&amp;" / "&amp;VLOOKUP($C108,Kalkulation_Platten!$C$6:$F$611,4,FALSE)</f>
        <v>420 / 1440</v>
      </c>
      <c r="E108" s="38">
        <f>INDEX(Kalkulation_Platten!$C$3:$AM$1001,MATCH($C108,Kalkulation_Platten!$C$3:$C$1001,0),MATCH(E$3,Kalkulation_Platten!$C$3:$AM$3,0))</f>
        <v>257</v>
      </c>
      <c r="F108" s="38">
        <f>INDEX(Kalkulation_Platten!$C$3:$AM$1001,MATCH($C108,Kalkulation_Platten!$C$3:$C$1001,0),MATCH(F$3,Kalkulation_Platten!$C$3:$AM$3,0))</f>
        <v>472</v>
      </c>
      <c r="G108" s="38">
        <f>INDEX(Kalkulation_Platten!$C$3:$AM$1001,MATCH($C108,Kalkulation_Platten!$C$3:$C$1001,0),MATCH(G$3,Kalkulation_Platten!$C$3:$AM$3,0))</f>
        <v>402</v>
      </c>
      <c r="H108" s="38">
        <f>INDEX(Kalkulation_Platten!$C$3:$AM$1001,MATCH($C108,Kalkulation_Platten!$C$3:$C$1001,0),MATCH(H$3,Kalkulation_Platten!$C$3:$AM$3,0))</f>
        <v>712</v>
      </c>
      <c r="J108" s="37" t="s">
        <v>65</v>
      </c>
      <c r="K108" s="37">
        <v>5103</v>
      </c>
      <c r="L108" s="37" t="str">
        <f>VLOOKUP($C108,Kalkulation_Platten!$C$6:$F$611,3,FALSE)&amp;" / "&amp;VLOOKUP($C108,Kalkulation_Platten!$C$6:$F$611,4,FALSE)</f>
        <v>420 / 1440</v>
      </c>
      <c r="M108" s="38">
        <f t="shared" si="32"/>
        <v>296</v>
      </c>
      <c r="N108" s="38">
        <f t="shared" si="33"/>
        <v>543</v>
      </c>
      <c r="O108" s="38">
        <f t="shared" si="34"/>
        <v>462</v>
      </c>
      <c r="P108" s="38">
        <f t="shared" si="35"/>
        <v>819</v>
      </c>
      <c r="T108">
        <f t="shared" si="29"/>
        <v>215</v>
      </c>
      <c r="U108">
        <f t="shared" si="30"/>
        <v>-70</v>
      </c>
      <c r="V108">
        <f t="shared" si="31"/>
        <v>310</v>
      </c>
    </row>
    <row r="109" spans="2:22" ht="17.25" x14ac:dyDescent="0.25">
      <c r="B109" s="37" t="s">
        <v>1</v>
      </c>
      <c r="C109" s="37">
        <v>5104</v>
      </c>
      <c r="D109" s="37" t="str">
        <f>VLOOKUP($C109,Kalkulation_Platten!$C$6:$F$611,3,FALSE)&amp;" / "&amp;VLOOKUP($C109,Kalkulation_Platten!$C$6:$F$611,4,FALSE)</f>
        <v>420 / 1800</v>
      </c>
      <c r="E109" s="38">
        <f>INDEX(Kalkulation_Platten!$C$3:$AM$1001,MATCH($C109,Kalkulation_Platten!$C$3:$C$1001,0),MATCH(E$3,Kalkulation_Platten!$C$3:$AM$3,0))</f>
        <v>340</v>
      </c>
      <c r="F109" s="38">
        <f>INDEX(Kalkulation_Platten!$C$3:$AM$1001,MATCH($C109,Kalkulation_Platten!$C$3:$C$1001,0),MATCH(F$3,Kalkulation_Platten!$C$3:$AM$3,0))</f>
        <v>669</v>
      </c>
      <c r="G109" s="38">
        <f>INDEX(Kalkulation_Platten!$C$3:$AM$1001,MATCH($C109,Kalkulation_Platten!$C$3:$C$1001,0),MATCH(G$3,Kalkulation_Platten!$C$3:$AM$3,0))</f>
        <v>494</v>
      </c>
      <c r="H109" s="38">
        <f>INDEX(Kalkulation_Platten!$C$3:$AM$1001,MATCH($C109,Kalkulation_Platten!$C$3:$C$1001,0),MATCH(H$3,Kalkulation_Platten!$C$3:$AM$3,0))</f>
        <v>834</v>
      </c>
      <c r="J109" s="37" t="s">
        <v>65</v>
      </c>
      <c r="K109" s="37">
        <v>5104</v>
      </c>
      <c r="L109" s="37" t="str">
        <f>VLOOKUP($C109,Kalkulation_Platten!$C$6:$F$611,3,FALSE)&amp;" / "&amp;VLOOKUP($C109,Kalkulation_Platten!$C$6:$F$611,4,FALSE)</f>
        <v>420 / 1800</v>
      </c>
      <c r="M109" s="38">
        <f t="shared" si="32"/>
        <v>391</v>
      </c>
      <c r="N109" s="38">
        <f t="shared" si="33"/>
        <v>769</v>
      </c>
      <c r="O109" s="38">
        <f t="shared" si="34"/>
        <v>568</v>
      </c>
      <c r="P109" s="38">
        <f t="shared" si="35"/>
        <v>959</v>
      </c>
      <c r="T109">
        <f t="shared" si="29"/>
        <v>329</v>
      </c>
      <c r="U109">
        <f t="shared" si="30"/>
        <v>-175</v>
      </c>
      <c r="V109">
        <f t="shared" si="31"/>
        <v>340</v>
      </c>
    </row>
    <row r="110" spans="2:22" ht="17.25" x14ac:dyDescent="0.25">
      <c r="B110" s="37" t="s">
        <v>1</v>
      </c>
      <c r="C110" s="37">
        <v>5105</v>
      </c>
      <c r="D110" s="37" t="str">
        <f>VLOOKUP($C110,Kalkulation_Platten!$C$6:$F$611,3,FALSE)&amp;" / "&amp;VLOOKUP($C110,Kalkulation_Platten!$C$6:$F$611,4,FALSE)</f>
        <v>580 / 360</v>
      </c>
      <c r="E110" s="38">
        <f>INDEX(Kalkulation_Platten!$C$3:$AM$1001,MATCH($C110,Kalkulation_Platten!$C$3:$C$1001,0),MATCH(E$3,Kalkulation_Platten!$C$3:$AM$3,0))</f>
        <v>153</v>
      </c>
      <c r="F110" s="38">
        <f>INDEX(Kalkulation_Platten!$C$3:$AM$1001,MATCH($C110,Kalkulation_Platten!$C$3:$C$1001,0),MATCH(F$3,Kalkulation_Platten!$C$3:$AM$3,0))</f>
        <v>228</v>
      </c>
      <c r="G110" s="38">
        <f>INDEX(Kalkulation_Platten!$C$3:$AM$1001,MATCH($C110,Kalkulation_Platten!$C$3:$C$1001,0),MATCH(G$3,Kalkulation_Platten!$C$3:$AM$3,0))</f>
        <v>208</v>
      </c>
      <c r="H110" s="38">
        <f>INDEX(Kalkulation_Platten!$C$3:$AM$1001,MATCH($C110,Kalkulation_Platten!$C$3:$C$1001,0),MATCH(H$3,Kalkulation_Platten!$C$3:$AM$3,0))</f>
        <v>509</v>
      </c>
      <c r="J110" s="37" t="s">
        <v>65</v>
      </c>
      <c r="K110" s="37">
        <v>5105</v>
      </c>
      <c r="L110" s="37" t="str">
        <f>VLOOKUP($C110,Kalkulation_Platten!$C$6:$F$611,3,FALSE)&amp;" / "&amp;VLOOKUP($C110,Kalkulation_Platten!$C$6:$F$611,4,FALSE)</f>
        <v>580 / 360</v>
      </c>
      <c r="M110" s="38">
        <f t="shared" si="32"/>
        <v>176</v>
      </c>
      <c r="N110" s="38">
        <f t="shared" si="33"/>
        <v>262</v>
      </c>
      <c r="O110" s="38">
        <f t="shared" si="34"/>
        <v>239</v>
      </c>
      <c r="P110" s="38">
        <f t="shared" si="35"/>
        <v>585</v>
      </c>
      <c r="T110">
        <f t="shared" si="29"/>
        <v>75</v>
      </c>
      <c r="U110">
        <f t="shared" si="30"/>
        <v>-20</v>
      </c>
      <c r="V110">
        <f t="shared" si="31"/>
        <v>301</v>
      </c>
    </row>
    <row r="111" spans="2:22" ht="17.25" x14ac:dyDescent="0.25">
      <c r="B111" s="37" t="s">
        <v>1</v>
      </c>
      <c r="C111" s="37">
        <v>5106</v>
      </c>
      <c r="D111" s="37" t="str">
        <f>VLOOKUP($C111,Kalkulation_Platten!$C$6:$F$611,3,FALSE)&amp;" / "&amp;VLOOKUP($C111,Kalkulation_Platten!$C$6:$F$611,4,FALSE)</f>
        <v>580 / 720</v>
      </c>
      <c r="E111" s="38">
        <f>INDEX(Kalkulation_Platten!$C$3:$AM$1001,MATCH($C111,Kalkulation_Platten!$C$3:$C$1001,0),MATCH(E$3,Kalkulation_Platten!$C$3:$AM$3,0))</f>
        <v>210</v>
      </c>
      <c r="F111" s="38">
        <f>INDEX(Kalkulation_Platten!$C$3:$AM$1001,MATCH($C111,Kalkulation_Platten!$C$3:$C$1001,0),MATCH(F$3,Kalkulation_Platten!$C$3:$AM$3,0))</f>
        <v>332</v>
      </c>
      <c r="G111" s="38">
        <f>INDEX(Kalkulation_Platten!$C$3:$AM$1001,MATCH($C111,Kalkulation_Platten!$C$3:$C$1001,0),MATCH(G$3,Kalkulation_Platten!$C$3:$AM$3,0))</f>
        <v>306</v>
      </c>
      <c r="H111" s="38">
        <f>INDEX(Kalkulation_Platten!$C$3:$AM$1001,MATCH($C111,Kalkulation_Platten!$C$3:$C$1001,0),MATCH(H$3,Kalkulation_Platten!$C$3:$AM$3,0))</f>
        <v>585</v>
      </c>
      <c r="J111" s="37" t="s">
        <v>65</v>
      </c>
      <c r="K111" s="37">
        <v>5106</v>
      </c>
      <c r="L111" s="37" t="str">
        <f>VLOOKUP($C111,Kalkulation_Platten!$C$6:$F$611,3,FALSE)&amp;" / "&amp;VLOOKUP($C111,Kalkulation_Platten!$C$6:$F$611,4,FALSE)</f>
        <v>580 / 720</v>
      </c>
      <c r="M111" s="38">
        <f t="shared" si="32"/>
        <v>242</v>
      </c>
      <c r="N111" s="38">
        <f t="shared" si="33"/>
        <v>382</v>
      </c>
      <c r="O111" s="38">
        <f t="shared" si="34"/>
        <v>352</v>
      </c>
      <c r="P111" s="38">
        <f t="shared" si="35"/>
        <v>673</v>
      </c>
      <c r="T111">
        <f t="shared" si="29"/>
        <v>122</v>
      </c>
      <c r="U111">
        <f t="shared" si="30"/>
        <v>-26</v>
      </c>
      <c r="V111">
        <f t="shared" si="31"/>
        <v>279</v>
      </c>
    </row>
    <row r="112" spans="2:22" ht="17.25" x14ac:dyDescent="0.25">
      <c r="B112" s="37" t="s">
        <v>1</v>
      </c>
      <c r="C112" s="37">
        <v>5107</v>
      </c>
      <c r="D112" s="37" t="str">
        <f>VLOOKUP($C112,Kalkulation_Platten!$C$6:$F$611,3,FALSE)&amp;" / "&amp;VLOOKUP($C112,Kalkulation_Platten!$C$6:$F$611,4,FALSE)</f>
        <v>580 / 1080</v>
      </c>
      <c r="E112" s="38">
        <f>INDEX(Kalkulation_Platten!$C$3:$AM$1001,MATCH($C112,Kalkulation_Platten!$C$3:$C$1001,0),MATCH(E$3,Kalkulation_Platten!$C$3:$AM$3,0))</f>
        <v>278</v>
      </c>
      <c r="F112" s="38">
        <f>INDEX(Kalkulation_Platten!$C$3:$AM$1001,MATCH($C112,Kalkulation_Platten!$C$3:$C$1001,0),MATCH(F$3,Kalkulation_Platten!$C$3:$AM$3,0))</f>
        <v>459</v>
      </c>
      <c r="G112" s="38">
        <f>INDEX(Kalkulation_Platten!$C$3:$AM$1001,MATCH($C112,Kalkulation_Platten!$C$3:$C$1001,0),MATCH(G$3,Kalkulation_Platten!$C$3:$AM$3,0))</f>
        <v>415</v>
      </c>
      <c r="H112" s="38">
        <f>INDEX(Kalkulation_Platten!$C$3:$AM$1001,MATCH($C112,Kalkulation_Platten!$C$3:$C$1001,0),MATCH(H$3,Kalkulation_Platten!$C$3:$AM$3,0))</f>
        <v>709</v>
      </c>
      <c r="J112" s="37" t="s">
        <v>65</v>
      </c>
      <c r="K112" s="37">
        <v>5107</v>
      </c>
      <c r="L112" s="37" t="str">
        <f>VLOOKUP($C112,Kalkulation_Platten!$C$6:$F$611,3,FALSE)&amp;" / "&amp;VLOOKUP($C112,Kalkulation_Platten!$C$6:$F$611,4,FALSE)</f>
        <v>580 / 1080</v>
      </c>
      <c r="M112" s="38">
        <f t="shared" si="32"/>
        <v>320</v>
      </c>
      <c r="N112" s="38">
        <f t="shared" si="33"/>
        <v>528</v>
      </c>
      <c r="O112" s="38">
        <f t="shared" si="34"/>
        <v>477</v>
      </c>
      <c r="P112" s="38">
        <f t="shared" si="35"/>
        <v>815</v>
      </c>
      <c r="T112">
        <f t="shared" si="29"/>
        <v>181</v>
      </c>
      <c r="U112">
        <f t="shared" si="30"/>
        <v>-44</v>
      </c>
      <c r="V112">
        <f t="shared" si="31"/>
        <v>294</v>
      </c>
    </row>
    <row r="113" spans="2:22" ht="17.25" x14ac:dyDescent="0.25">
      <c r="B113" s="37" t="s">
        <v>1</v>
      </c>
      <c r="C113" s="37">
        <v>5108</v>
      </c>
      <c r="D113" s="37" t="str">
        <f>VLOOKUP($C113,Kalkulation_Platten!$C$6:$F$611,3,FALSE)&amp;" / "&amp;VLOOKUP($C113,Kalkulation_Platten!$C$6:$F$611,4,FALSE)</f>
        <v>580 / 1440</v>
      </c>
      <c r="E113" s="38">
        <f>INDEX(Kalkulation_Platten!$C$3:$AM$1001,MATCH($C113,Kalkulation_Platten!$C$3:$C$1001,0),MATCH(E$3,Kalkulation_Platten!$C$3:$AM$3,0))</f>
        <v>337</v>
      </c>
      <c r="F113" s="38">
        <f>INDEX(Kalkulation_Platten!$C$3:$AM$1001,MATCH($C113,Kalkulation_Platten!$C$3:$C$1001,0),MATCH(F$3,Kalkulation_Platten!$C$3:$AM$3,0))</f>
        <v>560</v>
      </c>
      <c r="G113" s="38">
        <f>INDEX(Kalkulation_Platten!$C$3:$AM$1001,MATCH($C113,Kalkulation_Platten!$C$3:$C$1001,0),MATCH(G$3,Kalkulation_Platten!$C$3:$AM$3,0))</f>
        <v>503</v>
      </c>
      <c r="H113" s="38">
        <f>INDEX(Kalkulation_Platten!$C$3:$AM$1001,MATCH($C113,Kalkulation_Platten!$C$3:$C$1001,0),MATCH(H$3,Kalkulation_Platten!$C$3:$AM$3,0))</f>
        <v>946</v>
      </c>
      <c r="J113" s="37" t="s">
        <v>65</v>
      </c>
      <c r="K113" s="37">
        <v>5108</v>
      </c>
      <c r="L113" s="37" t="str">
        <f>VLOOKUP($C113,Kalkulation_Platten!$C$6:$F$611,3,FALSE)&amp;" / "&amp;VLOOKUP($C113,Kalkulation_Platten!$C$6:$F$611,4,FALSE)</f>
        <v>580 / 1440</v>
      </c>
      <c r="M113" s="38">
        <f t="shared" si="32"/>
        <v>388</v>
      </c>
      <c r="N113" s="38">
        <f t="shared" si="33"/>
        <v>644</v>
      </c>
      <c r="O113" s="38">
        <f t="shared" si="34"/>
        <v>578</v>
      </c>
      <c r="P113" s="38">
        <f t="shared" si="35"/>
        <v>1088</v>
      </c>
      <c r="T113">
        <f t="shared" si="29"/>
        <v>223</v>
      </c>
      <c r="U113">
        <f t="shared" si="30"/>
        <v>-57</v>
      </c>
      <c r="V113">
        <f t="shared" si="31"/>
        <v>443</v>
      </c>
    </row>
    <row r="114" spans="2:22" ht="17.25" x14ac:dyDescent="0.25">
      <c r="B114" s="37" t="s">
        <v>1</v>
      </c>
      <c r="C114" s="37">
        <v>5109</v>
      </c>
      <c r="D114" s="37" t="str">
        <f>VLOOKUP($C114,Kalkulation_Platten!$C$6:$F$611,3,FALSE)&amp;" / "&amp;VLOOKUP($C114,Kalkulation_Platten!$C$6:$F$611,4,FALSE)</f>
        <v>580 / 1800</v>
      </c>
      <c r="E114" s="38">
        <f>INDEX(Kalkulation_Platten!$C$3:$AM$1001,MATCH($C114,Kalkulation_Platten!$C$3:$C$1001,0),MATCH(E$3,Kalkulation_Platten!$C$3:$AM$3,0))</f>
        <v>417</v>
      </c>
      <c r="F114" s="38">
        <f>INDEX(Kalkulation_Platten!$C$3:$AM$1001,MATCH($C114,Kalkulation_Platten!$C$3:$C$1001,0),MATCH(F$3,Kalkulation_Platten!$C$3:$AM$3,0))</f>
        <v>821</v>
      </c>
      <c r="G114" s="38">
        <f>INDEX(Kalkulation_Platten!$C$3:$AM$1001,MATCH($C114,Kalkulation_Platten!$C$3:$C$1001,0),MATCH(G$3,Kalkulation_Platten!$C$3:$AM$3,0))</f>
        <v>619</v>
      </c>
      <c r="H114" s="38">
        <f>INDEX(Kalkulation_Platten!$C$3:$AM$1001,MATCH($C114,Kalkulation_Platten!$C$3:$C$1001,0),MATCH(H$3,Kalkulation_Platten!$C$3:$AM$3,0))</f>
        <v>1164</v>
      </c>
      <c r="J114" s="37" t="s">
        <v>65</v>
      </c>
      <c r="K114" s="37">
        <v>5109</v>
      </c>
      <c r="L114" s="37" t="str">
        <f>VLOOKUP($C114,Kalkulation_Platten!$C$6:$F$611,3,FALSE)&amp;" / "&amp;VLOOKUP($C114,Kalkulation_Platten!$C$6:$F$611,4,FALSE)</f>
        <v>580 / 1800</v>
      </c>
      <c r="M114" s="38">
        <f t="shared" si="32"/>
        <v>480</v>
      </c>
      <c r="N114" s="38">
        <f t="shared" si="33"/>
        <v>944</v>
      </c>
      <c r="O114" s="38">
        <f t="shared" si="34"/>
        <v>712</v>
      </c>
      <c r="P114" s="38">
        <f t="shared" si="35"/>
        <v>1339</v>
      </c>
      <c r="T114">
        <f t="shared" si="29"/>
        <v>404</v>
      </c>
      <c r="U114">
        <f t="shared" si="30"/>
        <v>-202</v>
      </c>
      <c r="V114">
        <f t="shared" si="31"/>
        <v>545</v>
      </c>
    </row>
    <row r="115" spans="2:22" ht="17.25" x14ac:dyDescent="0.25">
      <c r="B115" s="37" t="s">
        <v>1</v>
      </c>
      <c r="C115" s="37">
        <v>5110</v>
      </c>
      <c r="D115" s="37" t="str">
        <f>VLOOKUP($C115,Kalkulation_Platten!$C$6:$F$611,3,FALSE)&amp;" / "&amp;VLOOKUP($C115,Kalkulation_Platten!$C$6:$F$611,4,FALSE)</f>
        <v>360 / 360</v>
      </c>
      <c r="E115" s="39">
        <f>INDEX(Kalkulation_Platten!$C$3:$AM$1001,MATCH($C115,Kalkulation_Platten!$C$3:$C$1001,0),MATCH(E$3,Kalkulation_Platten!$C$3:$AM$3,0))</f>
        <v>136</v>
      </c>
      <c r="F115" s="38">
        <f>INDEX(Kalkulation_Platten!$C$3:$AM$1001,MATCH($C115,Kalkulation_Platten!$C$3:$C$1001,0),MATCH(F$3,Kalkulation_Platten!$C$3:$AM$3,0))</f>
        <v>268</v>
      </c>
      <c r="G115" s="38">
        <f>INDEX(Kalkulation_Platten!$C$3:$AM$1001,MATCH($C115,Kalkulation_Platten!$C$3:$C$1001,0),MATCH(G$3,Kalkulation_Platten!$C$3:$AM$3,0))</f>
        <v>237</v>
      </c>
      <c r="H115" s="38">
        <f>INDEX(Kalkulation_Platten!$C$3:$AM$1001,MATCH($C115,Kalkulation_Platten!$C$3:$C$1001,0),MATCH(H$3,Kalkulation_Platten!$C$3:$AM$3,0))</f>
        <v>446</v>
      </c>
      <c r="J115" s="37" t="s">
        <v>65</v>
      </c>
      <c r="K115" s="37">
        <v>5110</v>
      </c>
      <c r="L115" s="37" t="str">
        <f>VLOOKUP($C115,Kalkulation_Platten!$C$6:$F$611,3,FALSE)&amp;" / "&amp;VLOOKUP($C115,Kalkulation_Platten!$C$6:$F$611,4,FALSE)</f>
        <v>360 / 360</v>
      </c>
      <c r="M115" s="39">
        <f t="shared" si="32"/>
        <v>156</v>
      </c>
      <c r="N115" s="38">
        <f t="shared" si="33"/>
        <v>308</v>
      </c>
      <c r="O115" s="38">
        <f t="shared" si="34"/>
        <v>273</v>
      </c>
      <c r="P115" s="38">
        <f t="shared" si="35"/>
        <v>513</v>
      </c>
      <c r="T115">
        <f t="shared" si="29"/>
        <v>132</v>
      </c>
      <c r="U115">
        <f t="shared" si="30"/>
        <v>-31</v>
      </c>
      <c r="V115">
        <f t="shared" si="31"/>
        <v>209</v>
      </c>
    </row>
    <row r="116" spans="2:22" ht="17.25" x14ac:dyDescent="0.25">
      <c r="B116" s="37" t="s">
        <v>1</v>
      </c>
      <c r="C116" s="37">
        <v>5111</v>
      </c>
      <c r="D116" s="37" t="str">
        <f>VLOOKUP($C116,Kalkulation_Platten!$C$6:$F$611,3,FALSE)&amp;" / "&amp;VLOOKUP($C116,Kalkulation_Platten!$C$6:$F$611,4,FALSE)</f>
        <v>780 / 360</v>
      </c>
      <c r="E116" s="39">
        <f>INDEX(Kalkulation_Platten!$C$3:$AM$1001,MATCH($C116,Kalkulation_Platten!$C$3:$C$1001,0),MATCH(E$3,Kalkulation_Platten!$C$3:$AM$3,0))</f>
        <v>0</v>
      </c>
      <c r="F116" s="38">
        <f>INDEX(Kalkulation_Platten!$C$3:$AM$1001,MATCH($C116,Kalkulation_Platten!$C$3:$C$1001,0),MATCH(F$3,Kalkulation_Platten!$C$3:$AM$3,0))</f>
        <v>0</v>
      </c>
      <c r="G116" s="38">
        <f>INDEX(Kalkulation_Platten!$C$3:$AM$1001,MATCH($C116,Kalkulation_Platten!$C$3:$C$1001,0),MATCH(G$3,Kalkulation_Platten!$C$3:$AM$3,0))</f>
        <v>259</v>
      </c>
      <c r="H116" s="38">
        <f>INDEX(Kalkulation_Platten!$C$3:$AM$1001,MATCH($C116,Kalkulation_Platten!$C$3:$C$1001,0),MATCH(H$3,Kalkulation_Platten!$C$3:$AM$3,0))</f>
        <v>487</v>
      </c>
      <c r="J116" s="37" t="s">
        <v>65</v>
      </c>
      <c r="K116" s="37">
        <v>5111</v>
      </c>
      <c r="L116" s="37" t="str">
        <f>VLOOKUP($C116,Kalkulation_Platten!$C$6:$F$611,3,FALSE)&amp;" / "&amp;VLOOKUP($C116,Kalkulation_Platten!$C$6:$F$611,4,FALSE)</f>
        <v>780 / 360</v>
      </c>
      <c r="M116" s="39">
        <f t="shared" si="32"/>
        <v>0</v>
      </c>
      <c r="N116" s="38">
        <f t="shared" si="33"/>
        <v>0</v>
      </c>
      <c r="O116" s="38">
        <f t="shared" si="34"/>
        <v>298</v>
      </c>
      <c r="P116" s="38">
        <f t="shared" si="35"/>
        <v>560</v>
      </c>
      <c r="T116">
        <f t="shared" si="29"/>
        <v>0</v>
      </c>
      <c r="U116">
        <f t="shared" si="30"/>
        <v>259</v>
      </c>
      <c r="V116">
        <f t="shared" si="31"/>
        <v>228</v>
      </c>
    </row>
    <row r="117" spans="2:22" ht="17.25" x14ac:dyDescent="0.25">
      <c r="B117" s="37" t="s">
        <v>1</v>
      </c>
      <c r="C117" s="37">
        <v>5112</v>
      </c>
      <c r="D117" s="37" t="str">
        <f>VLOOKUP($C117,Kalkulation_Platten!$C$6:$F$611,3,FALSE)&amp;" / "&amp;VLOOKUP($C117,Kalkulation_Platten!$C$6:$F$611,4,FALSE)</f>
        <v>780 / 720</v>
      </c>
      <c r="E117" s="39">
        <f>INDEX(Kalkulation_Platten!$C$3:$AM$1001,MATCH($C117,Kalkulation_Platten!$C$3:$C$1001,0),MATCH(E$3,Kalkulation_Platten!$C$3:$AM$3,0))</f>
        <v>0</v>
      </c>
      <c r="F117" s="38">
        <f>INDEX(Kalkulation_Platten!$C$3:$AM$1001,MATCH($C117,Kalkulation_Platten!$C$3:$C$1001,0),MATCH(F$3,Kalkulation_Platten!$C$3:$AM$3,0))</f>
        <v>0</v>
      </c>
      <c r="G117" s="38">
        <f>INDEX(Kalkulation_Platten!$C$3:$AM$1001,MATCH($C117,Kalkulation_Platten!$C$3:$C$1001,0),MATCH(G$3,Kalkulation_Platten!$C$3:$AM$3,0))</f>
        <v>10</v>
      </c>
      <c r="H117" s="38">
        <f>INDEX(Kalkulation_Platten!$C$3:$AM$1001,MATCH($C117,Kalkulation_Platten!$C$3:$C$1001,0),MATCH(H$3,Kalkulation_Platten!$C$3:$AM$3,0))</f>
        <v>19</v>
      </c>
      <c r="J117" s="37" t="s">
        <v>65</v>
      </c>
      <c r="K117" s="37">
        <v>5112</v>
      </c>
      <c r="L117" s="37" t="str">
        <f>VLOOKUP($C117,Kalkulation_Platten!$C$6:$F$611,3,FALSE)&amp;" / "&amp;VLOOKUP($C117,Kalkulation_Platten!$C$6:$F$611,4,FALSE)</f>
        <v>780 / 720</v>
      </c>
      <c r="M117" s="39">
        <f t="shared" si="32"/>
        <v>0</v>
      </c>
      <c r="N117" s="38">
        <f t="shared" si="33"/>
        <v>0</v>
      </c>
      <c r="O117" s="38">
        <f t="shared" si="34"/>
        <v>12</v>
      </c>
      <c r="P117" s="38">
        <f t="shared" si="35"/>
        <v>22</v>
      </c>
      <c r="T117">
        <f t="shared" si="29"/>
        <v>0</v>
      </c>
      <c r="U117">
        <f t="shared" si="30"/>
        <v>10</v>
      </c>
      <c r="V117">
        <f t="shared" si="31"/>
        <v>9</v>
      </c>
    </row>
    <row r="118" spans="2:22" ht="17.25" x14ac:dyDescent="0.25">
      <c r="B118" s="37" t="s">
        <v>1</v>
      </c>
      <c r="C118" s="37">
        <v>5113</v>
      </c>
      <c r="D118" s="37" t="str">
        <f>VLOOKUP($C118,Kalkulation_Platten!$C$6:$F$611,3,FALSE)&amp;" / "&amp;VLOOKUP($C118,Kalkulation_Platten!$C$6:$F$611,4,FALSE)</f>
        <v>780 / 1080</v>
      </c>
      <c r="E118" s="39">
        <f>INDEX(Kalkulation_Platten!$C$3:$AM$1001,MATCH($C118,Kalkulation_Platten!$C$3:$C$1001,0),MATCH(E$3,Kalkulation_Platten!$C$3:$AM$3,0))</f>
        <v>0</v>
      </c>
      <c r="F118" s="38">
        <f>INDEX(Kalkulation_Platten!$C$3:$AM$1001,MATCH($C118,Kalkulation_Platten!$C$3:$C$1001,0),MATCH(F$3,Kalkulation_Platten!$C$3:$AM$3,0))</f>
        <v>0</v>
      </c>
      <c r="G118" s="38">
        <f>INDEX(Kalkulation_Platten!$C$3:$AM$1001,MATCH($C118,Kalkulation_Platten!$C$3:$C$1001,0),MATCH(G$3,Kalkulation_Platten!$C$3:$AM$3,0))</f>
        <v>10</v>
      </c>
      <c r="H118" s="38">
        <f>INDEX(Kalkulation_Platten!$C$3:$AM$1001,MATCH($C118,Kalkulation_Platten!$C$3:$C$1001,0),MATCH(H$3,Kalkulation_Platten!$C$3:$AM$3,0))</f>
        <v>19</v>
      </c>
      <c r="J118" s="37" t="s">
        <v>65</v>
      </c>
      <c r="K118" s="37">
        <v>5113</v>
      </c>
      <c r="L118" s="37" t="str">
        <f>VLOOKUP($C118,Kalkulation_Platten!$C$6:$F$611,3,FALSE)&amp;" / "&amp;VLOOKUP($C118,Kalkulation_Platten!$C$6:$F$611,4,FALSE)</f>
        <v>780 / 1080</v>
      </c>
      <c r="M118" s="39">
        <f t="shared" si="32"/>
        <v>0</v>
      </c>
      <c r="N118" s="38">
        <f t="shared" si="33"/>
        <v>0</v>
      </c>
      <c r="O118" s="38">
        <f t="shared" si="34"/>
        <v>12</v>
      </c>
      <c r="P118" s="38">
        <f t="shared" si="35"/>
        <v>22</v>
      </c>
      <c r="T118">
        <f t="shared" si="29"/>
        <v>0</v>
      </c>
      <c r="U118">
        <f t="shared" si="30"/>
        <v>10</v>
      </c>
      <c r="V118">
        <f t="shared" si="31"/>
        <v>9</v>
      </c>
    </row>
    <row r="119" spans="2:22" ht="17.25" x14ac:dyDescent="0.25">
      <c r="B119" s="37" t="s">
        <v>1</v>
      </c>
      <c r="C119" s="37">
        <v>5114</v>
      </c>
      <c r="D119" s="37" t="str">
        <f>VLOOKUP($C119,Kalkulation_Platten!$C$6:$F$611,3,FALSE)&amp;" / "&amp;VLOOKUP($C119,Kalkulation_Platten!$C$6:$F$611,4,FALSE)</f>
        <v>780 / 1440</v>
      </c>
      <c r="E119" s="39">
        <f>INDEX(Kalkulation_Platten!$C$3:$AM$1001,MATCH($C119,Kalkulation_Platten!$C$3:$C$1001,0),MATCH(E$3,Kalkulation_Platten!$C$3:$AM$3,0))</f>
        <v>0</v>
      </c>
      <c r="F119" s="38">
        <f>INDEX(Kalkulation_Platten!$C$3:$AM$1001,MATCH($C119,Kalkulation_Platten!$C$3:$C$1001,0),MATCH(F$3,Kalkulation_Platten!$C$3:$AM$3,0))</f>
        <v>0</v>
      </c>
      <c r="G119" s="38">
        <f>INDEX(Kalkulation_Platten!$C$3:$AM$1001,MATCH($C119,Kalkulation_Platten!$C$3:$C$1001,0),MATCH(G$3,Kalkulation_Platten!$C$3:$AM$3,0))</f>
        <v>10</v>
      </c>
      <c r="H119" s="38">
        <f>INDEX(Kalkulation_Platten!$C$3:$AM$1001,MATCH($C119,Kalkulation_Platten!$C$3:$C$1001,0),MATCH(H$3,Kalkulation_Platten!$C$3:$AM$3,0))</f>
        <v>19</v>
      </c>
      <c r="J119" s="37" t="s">
        <v>65</v>
      </c>
      <c r="K119" s="37">
        <v>5114</v>
      </c>
      <c r="L119" s="37" t="str">
        <f>VLOOKUP($C119,Kalkulation_Platten!$C$6:$F$611,3,FALSE)&amp;" / "&amp;VLOOKUP($C119,Kalkulation_Platten!$C$6:$F$611,4,FALSE)</f>
        <v>780 / 1440</v>
      </c>
      <c r="M119" s="39">
        <f t="shared" si="32"/>
        <v>0</v>
      </c>
      <c r="N119" s="38">
        <f t="shared" si="33"/>
        <v>0</v>
      </c>
      <c r="O119" s="38">
        <f t="shared" si="34"/>
        <v>12</v>
      </c>
      <c r="P119" s="38">
        <f t="shared" si="35"/>
        <v>22</v>
      </c>
      <c r="T119">
        <f t="shared" si="29"/>
        <v>0</v>
      </c>
      <c r="U119">
        <f t="shared" si="30"/>
        <v>10</v>
      </c>
      <c r="V119">
        <f t="shared" si="31"/>
        <v>9</v>
      </c>
    </row>
    <row r="120" spans="2:22" ht="17.25" x14ac:dyDescent="0.25">
      <c r="B120" s="37" t="s">
        <v>1</v>
      </c>
      <c r="C120" s="37">
        <v>5115</v>
      </c>
      <c r="D120" s="37" t="str">
        <f>VLOOKUP($C120,Kalkulation_Platten!$C$6:$F$611,3,FALSE)&amp;" / "&amp;VLOOKUP($C120,Kalkulation_Platten!$C$6:$F$611,4,FALSE)</f>
        <v>780 / 1800</v>
      </c>
      <c r="E120" s="39">
        <f>INDEX(Kalkulation_Platten!$C$3:$AM$1001,MATCH($C120,Kalkulation_Platten!$C$3:$C$1001,0),MATCH(E$3,Kalkulation_Platten!$C$3:$AM$3,0))</f>
        <v>0</v>
      </c>
      <c r="F120" s="38">
        <f>INDEX(Kalkulation_Platten!$C$3:$AM$1001,MATCH($C120,Kalkulation_Platten!$C$3:$C$1001,0),MATCH(F$3,Kalkulation_Platten!$C$3:$AM$3,0))</f>
        <v>0</v>
      </c>
      <c r="G120" s="38">
        <f>INDEX(Kalkulation_Platten!$C$3:$AM$1001,MATCH($C120,Kalkulation_Platten!$C$3:$C$1001,0),MATCH(G$3,Kalkulation_Platten!$C$3:$AM$3,0))</f>
        <v>10</v>
      </c>
      <c r="H120" s="38">
        <f>INDEX(Kalkulation_Platten!$C$3:$AM$1001,MATCH($C120,Kalkulation_Platten!$C$3:$C$1001,0),MATCH(H$3,Kalkulation_Platten!$C$3:$AM$3,0))</f>
        <v>19</v>
      </c>
      <c r="J120" s="37" t="s">
        <v>65</v>
      </c>
      <c r="K120" s="37">
        <v>5115</v>
      </c>
      <c r="L120" s="37" t="str">
        <f>VLOOKUP($C120,Kalkulation_Platten!$C$6:$F$611,3,FALSE)&amp;" / "&amp;VLOOKUP($C120,Kalkulation_Platten!$C$6:$F$611,4,FALSE)</f>
        <v>780 / 1800</v>
      </c>
      <c r="M120" s="39">
        <f t="shared" si="32"/>
        <v>0</v>
      </c>
      <c r="N120" s="38">
        <f t="shared" si="33"/>
        <v>0</v>
      </c>
      <c r="O120" s="38">
        <f t="shared" si="34"/>
        <v>12</v>
      </c>
      <c r="P120" s="38">
        <f t="shared" si="35"/>
        <v>22</v>
      </c>
      <c r="T120">
        <f t="shared" si="29"/>
        <v>0</v>
      </c>
      <c r="U120">
        <f t="shared" si="30"/>
        <v>10</v>
      </c>
      <c r="V120">
        <f t="shared" si="31"/>
        <v>9</v>
      </c>
    </row>
    <row r="121" spans="2:22" x14ac:dyDescent="0.25">
      <c r="T121">
        <f t="shared" si="29"/>
        <v>0</v>
      </c>
      <c r="U121">
        <f t="shared" si="30"/>
        <v>0</v>
      </c>
      <c r="V121">
        <f t="shared" si="31"/>
        <v>0</v>
      </c>
    </row>
    <row r="122" spans="2:22" ht="18" thickBot="1" x14ac:dyDescent="0.3">
      <c r="B122" s="33" t="s">
        <v>74</v>
      </c>
      <c r="C122" s="33" t="s">
        <v>76</v>
      </c>
      <c r="D122" s="33" t="s">
        <v>75</v>
      </c>
      <c r="E122" s="34" t="s">
        <v>52</v>
      </c>
      <c r="F122" s="34" t="s">
        <v>51</v>
      </c>
      <c r="G122" s="34" t="s">
        <v>50</v>
      </c>
      <c r="H122" s="34" t="s">
        <v>49</v>
      </c>
      <c r="J122" s="33" t="s">
        <v>74</v>
      </c>
      <c r="K122" s="33" t="s">
        <v>76</v>
      </c>
      <c r="L122" s="33" t="s">
        <v>75</v>
      </c>
      <c r="M122" s="34" t="s">
        <v>52</v>
      </c>
      <c r="N122" s="34" t="s">
        <v>51</v>
      </c>
      <c r="O122" s="34" t="s">
        <v>50</v>
      </c>
      <c r="P122" s="34" t="s">
        <v>49</v>
      </c>
      <c r="T122" t="str">
        <f t="shared" si="29"/>
        <v/>
      </c>
      <c r="U122" t="str">
        <f t="shared" si="30"/>
        <v/>
      </c>
      <c r="V122" t="str">
        <f t="shared" si="31"/>
        <v/>
      </c>
    </row>
    <row r="123" spans="2:22" ht="17.25" x14ac:dyDescent="0.25">
      <c r="B123" s="35" t="s">
        <v>0</v>
      </c>
      <c r="C123" s="35">
        <v>5200</v>
      </c>
      <c r="D123" s="35" t="str">
        <f>VLOOKUP($C123,Kalkulation_Platten!$C$6:$F$611,3,FALSE)&amp;" / "&amp;VLOOKUP($C123,Kalkulation_Platten!$C$6:$F$611,4,FALSE)</f>
        <v>780 / 360</v>
      </c>
      <c r="E123" s="36">
        <f>INDEX(Kalkulation_Platten!$C$3:$AM$1001,MATCH($C123,Kalkulation_Platten!$C$3:$C$1001,0),MATCH(E$3,Kalkulation_Platten!$C$3:$AM$3,0))</f>
        <v>255</v>
      </c>
      <c r="F123" s="36">
        <f>INDEX(Kalkulation_Platten!$C$3:$AM$1001,MATCH($C123,Kalkulation_Platten!$C$3:$C$1001,0),MATCH(F$3,Kalkulation_Platten!$C$3:$AM$3,0))</f>
        <v>367</v>
      </c>
      <c r="G123" s="36">
        <f>INDEX(Kalkulation_Platten!$C$3:$AM$1001,MATCH($C123,Kalkulation_Platten!$C$3:$C$1001,0),MATCH(G$3,Kalkulation_Platten!$C$3:$AM$3,0))</f>
        <v>334</v>
      </c>
      <c r="H123" s="36">
        <f>INDEX(Kalkulation_Platten!$C$3:$AM$1001,MATCH($C123,Kalkulation_Platten!$C$3:$C$1001,0),MATCH(H$3,Kalkulation_Platten!$C$3:$AM$3,0))</f>
        <v>867</v>
      </c>
      <c r="J123" s="35" t="s">
        <v>66</v>
      </c>
      <c r="K123" s="35">
        <v>5200</v>
      </c>
      <c r="L123" s="35" t="str">
        <f>VLOOKUP($C123,Kalkulation_Platten!$C$6:$F$611,3,FALSE)&amp;" / "&amp;VLOOKUP($C123,Kalkulation_Platten!$C$6:$F$611,4,FALSE)</f>
        <v>780 / 360</v>
      </c>
      <c r="M123" s="36">
        <f t="shared" ref="M123:M138" si="36">IFERROR(ROUND(E123*(1+$R$2),0),"-")</f>
        <v>293</v>
      </c>
      <c r="N123" s="36">
        <f t="shared" ref="N123:N138" si="37">IFERROR(ROUND(F123*(1+$R$2),0),"-")</f>
        <v>422</v>
      </c>
      <c r="O123" s="36">
        <f t="shared" ref="O123:O138" si="38">IFERROR(ROUND(G123*(1+$R$2),0),"-")</f>
        <v>384</v>
      </c>
      <c r="P123" s="36">
        <f t="shared" ref="P123:P138" si="39">IFERROR(ROUND(H123*(1+$R$2),0),"-")</f>
        <v>997</v>
      </c>
      <c r="T123">
        <f t="shared" si="29"/>
        <v>112</v>
      </c>
      <c r="U123">
        <f t="shared" si="30"/>
        <v>-33</v>
      </c>
      <c r="V123">
        <f t="shared" si="31"/>
        <v>533</v>
      </c>
    </row>
    <row r="124" spans="2:22" ht="17.25" x14ac:dyDescent="0.25">
      <c r="B124" s="37" t="s">
        <v>0</v>
      </c>
      <c r="C124" s="37">
        <v>5210</v>
      </c>
      <c r="D124" s="37" t="str">
        <f>VLOOKUP($C124,Kalkulation_Platten!$C$6:$F$611,3,FALSE)&amp;" / "&amp;VLOOKUP($C124,Kalkulation_Platten!$C$6:$F$611,4,FALSE)</f>
        <v>780 / 660</v>
      </c>
      <c r="E124" s="38">
        <f>INDEX(Kalkulation_Platten!$C$3:$AM$1001,MATCH($C124,Kalkulation_Platten!$C$3:$C$1001,0),MATCH(E$3,Kalkulation_Platten!$C$3:$AM$3,0))</f>
        <v>314</v>
      </c>
      <c r="F124" s="38">
        <f>INDEX(Kalkulation_Platten!$C$3:$AM$1001,MATCH($C124,Kalkulation_Platten!$C$3:$C$1001,0),MATCH(F$3,Kalkulation_Platten!$C$3:$AM$3,0))</f>
        <v>618</v>
      </c>
      <c r="G124" s="38">
        <f>INDEX(Kalkulation_Platten!$C$3:$AM$1001,MATCH($C124,Kalkulation_Platten!$C$3:$C$1001,0),MATCH(G$3,Kalkulation_Platten!$C$3:$AM$3,0))</f>
        <v>423</v>
      </c>
      <c r="H124" s="38">
        <f>INDEX(Kalkulation_Platten!$C$3:$AM$1001,MATCH($C124,Kalkulation_Platten!$C$3:$C$1001,0),MATCH(H$3,Kalkulation_Platten!$C$3:$AM$3,0))</f>
        <v>796</v>
      </c>
      <c r="J124" s="37" t="s">
        <v>66</v>
      </c>
      <c r="K124" s="37">
        <v>5210</v>
      </c>
      <c r="L124" s="37" t="str">
        <f>VLOOKUP($C124,Kalkulation_Platten!$C$6:$F$611,3,FALSE)&amp;" / "&amp;VLOOKUP($C124,Kalkulation_Platten!$C$6:$F$611,4,FALSE)</f>
        <v>780 / 660</v>
      </c>
      <c r="M124" s="38">
        <f t="shared" si="36"/>
        <v>361</v>
      </c>
      <c r="N124" s="38">
        <f t="shared" si="37"/>
        <v>711</v>
      </c>
      <c r="O124" s="38">
        <f t="shared" si="38"/>
        <v>486</v>
      </c>
      <c r="P124" s="38">
        <f t="shared" si="39"/>
        <v>915</v>
      </c>
      <c r="T124">
        <f t="shared" si="29"/>
        <v>304</v>
      </c>
      <c r="U124">
        <f t="shared" si="30"/>
        <v>-195</v>
      </c>
      <c r="V124">
        <f t="shared" si="31"/>
        <v>373</v>
      </c>
    </row>
    <row r="125" spans="2:22" ht="17.25" x14ac:dyDescent="0.25">
      <c r="B125" s="37" t="s">
        <v>0</v>
      </c>
      <c r="C125" s="37">
        <v>5201</v>
      </c>
      <c r="D125" s="37" t="str">
        <f>VLOOKUP($C125,Kalkulation_Platten!$C$6:$F$611,3,FALSE)&amp;" / "&amp;VLOOKUP($C125,Kalkulation_Platten!$C$6:$F$611,4,FALSE)</f>
        <v>780 / 720</v>
      </c>
      <c r="E125" s="38">
        <f>INDEX(Kalkulation_Platten!$C$3:$AM$1001,MATCH($C125,Kalkulation_Platten!$C$3:$C$1001,0),MATCH(E$3,Kalkulation_Platten!$C$3:$AM$3,0))</f>
        <v>314</v>
      </c>
      <c r="F125" s="38">
        <f>INDEX(Kalkulation_Platten!$C$3:$AM$1001,MATCH($C125,Kalkulation_Platten!$C$3:$C$1001,0),MATCH(F$3,Kalkulation_Platten!$C$3:$AM$3,0))</f>
        <v>484</v>
      </c>
      <c r="G125" s="38">
        <f>INDEX(Kalkulation_Platten!$C$3:$AM$1001,MATCH($C125,Kalkulation_Platten!$C$3:$C$1001,0),MATCH(G$3,Kalkulation_Platten!$C$3:$AM$3,0))</f>
        <v>423</v>
      </c>
      <c r="H125" s="38">
        <f>INDEX(Kalkulation_Platten!$C$3:$AM$1001,MATCH($C125,Kalkulation_Platten!$C$3:$C$1001,0),MATCH(H$3,Kalkulation_Platten!$C$3:$AM$3,0))</f>
        <v>902</v>
      </c>
      <c r="J125" s="37" t="s">
        <v>66</v>
      </c>
      <c r="K125" s="37">
        <v>5201</v>
      </c>
      <c r="L125" s="37" t="str">
        <f>VLOOKUP($C125,Kalkulation_Platten!$C$6:$F$611,3,FALSE)&amp;" / "&amp;VLOOKUP($C125,Kalkulation_Platten!$C$6:$F$611,4,FALSE)</f>
        <v>780 / 720</v>
      </c>
      <c r="M125" s="38">
        <f t="shared" si="36"/>
        <v>361</v>
      </c>
      <c r="N125" s="38">
        <f t="shared" si="37"/>
        <v>557</v>
      </c>
      <c r="O125" s="38">
        <f t="shared" si="38"/>
        <v>486</v>
      </c>
      <c r="P125" s="38">
        <f t="shared" si="39"/>
        <v>1037</v>
      </c>
      <c r="T125">
        <f t="shared" si="29"/>
        <v>170</v>
      </c>
      <c r="U125">
        <f t="shared" si="30"/>
        <v>-61</v>
      </c>
      <c r="V125">
        <f t="shared" si="31"/>
        <v>479</v>
      </c>
    </row>
    <row r="126" spans="2:22" ht="17.25" x14ac:dyDescent="0.25">
      <c r="B126" s="37" t="s">
        <v>0</v>
      </c>
      <c r="C126" s="37">
        <v>5202</v>
      </c>
      <c r="D126" s="37" t="str">
        <f>VLOOKUP($C126,Kalkulation_Platten!$C$6:$F$611,3,FALSE)&amp;" / "&amp;VLOOKUP($C126,Kalkulation_Platten!$C$6:$F$611,4,FALSE)</f>
        <v>780 / 1080</v>
      </c>
      <c r="E126" s="38">
        <f>INDEX(Kalkulation_Platten!$C$3:$AM$1001,MATCH($C126,Kalkulation_Platten!$C$3:$C$1001,0),MATCH(E$3,Kalkulation_Platten!$C$3:$AM$3,0))</f>
        <v>464</v>
      </c>
      <c r="F126" s="38">
        <f>INDEX(Kalkulation_Platten!$C$3:$AM$1001,MATCH($C126,Kalkulation_Platten!$C$3:$C$1001,0),MATCH(F$3,Kalkulation_Platten!$C$3:$AM$3,0))</f>
        <v>716</v>
      </c>
      <c r="G126" s="38">
        <f>INDEX(Kalkulation_Platten!$C$3:$AM$1001,MATCH($C126,Kalkulation_Platten!$C$3:$C$1001,0),MATCH(G$3,Kalkulation_Platten!$C$3:$AM$3,0))</f>
        <v>624</v>
      </c>
      <c r="H126" s="38">
        <f>INDEX(Kalkulation_Platten!$C$3:$AM$1001,MATCH($C126,Kalkulation_Platten!$C$3:$C$1001,0),MATCH(H$3,Kalkulation_Platten!$C$3:$AM$3,0))</f>
        <v>1139</v>
      </c>
      <c r="J126" s="37" t="s">
        <v>66</v>
      </c>
      <c r="K126" s="37">
        <v>5202</v>
      </c>
      <c r="L126" s="37" t="str">
        <f>VLOOKUP($C126,Kalkulation_Platten!$C$6:$F$611,3,FALSE)&amp;" / "&amp;VLOOKUP($C126,Kalkulation_Platten!$C$6:$F$611,4,FALSE)</f>
        <v>780 / 1080</v>
      </c>
      <c r="M126" s="38">
        <f t="shared" si="36"/>
        <v>534</v>
      </c>
      <c r="N126" s="38">
        <f t="shared" si="37"/>
        <v>823</v>
      </c>
      <c r="O126" s="38">
        <f t="shared" si="38"/>
        <v>718</v>
      </c>
      <c r="P126" s="38">
        <f t="shared" si="39"/>
        <v>1310</v>
      </c>
      <c r="T126">
        <f t="shared" si="29"/>
        <v>252</v>
      </c>
      <c r="U126">
        <f t="shared" si="30"/>
        <v>-92</v>
      </c>
      <c r="V126">
        <f t="shared" si="31"/>
        <v>515</v>
      </c>
    </row>
    <row r="127" spans="2:22" ht="17.25" x14ac:dyDescent="0.25">
      <c r="B127" s="37" t="s">
        <v>0</v>
      </c>
      <c r="C127" s="37">
        <v>5203</v>
      </c>
      <c r="D127" s="37" t="str">
        <f>VLOOKUP($C127,Kalkulation_Platten!$C$6:$F$611,3,FALSE)&amp;" / "&amp;VLOOKUP($C127,Kalkulation_Platten!$C$6:$F$611,4,FALSE)</f>
        <v>780 / 1440</v>
      </c>
      <c r="E127" s="38">
        <f>INDEX(Kalkulation_Platten!$C$3:$AM$1001,MATCH($C127,Kalkulation_Platten!$C$3:$C$1001,0),MATCH(E$3,Kalkulation_Platten!$C$3:$AM$3,0))</f>
        <v>542</v>
      </c>
      <c r="F127" s="38">
        <f>INDEX(Kalkulation_Platten!$C$3:$AM$1001,MATCH($C127,Kalkulation_Platten!$C$3:$C$1001,0),MATCH(F$3,Kalkulation_Platten!$C$3:$AM$3,0))</f>
        <v>863</v>
      </c>
      <c r="G127" s="38">
        <f>INDEX(Kalkulation_Platten!$C$3:$AM$1001,MATCH($C127,Kalkulation_Platten!$C$3:$C$1001,0),MATCH(G$3,Kalkulation_Platten!$C$3:$AM$3,0))</f>
        <v>746</v>
      </c>
      <c r="H127" s="38">
        <f>INDEX(Kalkulation_Platten!$C$3:$AM$1001,MATCH($C127,Kalkulation_Platten!$C$3:$C$1001,0),MATCH(H$3,Kalkulation_Platten!$C$3:$AM$3,0))</f>
        <v>1265</v>
      </c>
      <c r="J127" s="37" t="s">
        <v>66</v>
      </c>
      <c r="K127" s="37">
        <v>5203</v>
      </c>
      <c r="L127" s="37" t="str">
        <f>VLOOKUP($C127,Kalkulation_Platten!$C$6:$F$611,3,FALSE)&amp;" / "&amp;VLOOKUP($C127,Kalkulation_Platten!$C$6:$F$611,4,FALSE)</f>
        <v>780 / 1440</v>
      </c>
      <c r="M127" s="38">
        <f t="shared" si="36"/>
        <v>623</v>
      </c>
      <c r="N127" s="38">
        <f t="shared" si="37"/>
        <v>992</v>
      </c>
      <c r="O127" s="38">
        <f t="shared" si="38"/>
        <v>858</v>
      </c>
      <c r="P127" s="38">
        <f t="shared" si="39"/>
        <v>1455</v>
      </c>
      <c r="T127">
        <f t="shared" si="29"/>
        <v>321</v>
      </c>
      <c r="U127">
        <f t="shared" si="30"/>
        <v>-117</v>
      </c>
      <c r="V127">
        <f t="shared" si="31"/>
        <v>519</v>
      </c>
    </row>
    <row r="128" spans="2:22" ht="17.25" x14ac:dyDescent="0.25">
      <c r="B128" s="37" t="s">
        <v>0</v>
      </c>
      <c r="C128" s="37">
        <v>5204</v>
      </c>
      <c r="D128" s="37" t="str">
        <f>VLOOKUP($C128,Kalkulation_Platten!$C$6:$F$611,3,FALSE)&amp;" / "&amp;VLOOKUP($C128,Kalkulation_Platten!$C$6:$F$611,4,FALSE)</f>
        <v>780 / 1800</v>
      </c>
      <c r="E128" s="38">
        <f>INDEX(Kalkulation_Platten!$C$3:$AM$1001,MATCH($C128,Kalkulation_Platten!$C$3:$C$1001,0),MATCH(E$3,Kalkulation_Platten!$C$3:$AM$3,0))</f>
        <v>668</v>
      </c>
      <c r="F128" s="38">
        <f>INDEX(Kalkulation_Platten!$C$3:$AM$1001,MATCH($C128,Kalkulation_Platten!$C$3:$C$1001,0),MATCH(F$3,Kalkulation_Platten!$C$3:$AM$3,0))</f>
        <v>1315</v>
      </c>
      <c r="G128" s="38">
        <f>INDEX(Kalkulation_Platten!$C$3:$AM$1001,MATCH($C128,Kalkulation_Platten!$C$3:$C$1001,0),MATCH(G$3,Kalkulation_Platten!$C$3:$AM$3,0))</f>
        <v>917</v>
      </c>
      <c r="H128" s="38">
        <f>INDEX(Kalkulation_Platten!$C$3:$AM$1001,MATCH($C128,Kalkulation_Platten!$C$3:$C$1001,0),MATCH(H$3,Kalkulation_Platten!$C$3:$AM$3,0))</f>
        <v>1496</v>
      </c>
      <c r="J128" s="37" t="s">
        <v>66</v>
      </c>
      <c r="K128" s="37">
        <v>5204</v>
      </c>
      <c r="L128" s="37" t="str">
        <f>VLOOKUP($C128,Kalkulation_Platten!$C$6:$F$611,3,FALSE)&amp;" / "&amp;VLOOKUP($C128,Kalkulation_Platten!$C$6:$F$611,4,FALSE)</f>
        <v>780 / 1800</v>
      </c>
      <c r="M128" s="38">
        <f t="shared" si="36"/>
        <v>768</v>
      </c>
      <c r="N128" s="38">
        <f t="shared" si="37"/>
        <v>1512</v>
      </c>
      <c r="O128" s="38">
        <f t="shared" si="38"/>
        <v>1055</v>
      </c>
      <c r="P128" s="38">
        <f t="shared" si="39"/>
        <v>1720</v>
      </c>
      <c r="T128">
        <f t="shared" si="29"/>
        <v>647</v>
      </c>
      <c r="U128">
        <f t="shared" si="30"/>
        <v>-398</v>
      </c>
      <c r="V128">
        <f t="shared" si="31"/>
        <v>579</v>
      </c>
    </row>
    <row r="129" spans="2:22" ht="17.25" x14ac:dyDescent="0.25">
      <c r="B129" s="37" t="s">
        <v>0</v>
      </c>
      <c r="C129" s="37">
        <v>5205</v>
      </c>
      <c r="D129" s="37" t="str">
        <f>VLOOKUP($C129,Kalkulation_Platten!$C$6:$F$611,3,FALSE)&amp;" / "&amp;VLOOKUP($C129,Kalkulation_Platten!$C$6:$F$611,4,FALSE)</f>
        <v>980 / 360</v>
      </c>
      <c r="E129" s="38">
        <f>INDEX(Kalkulation_Platten!$C$3:$AM$1001,MATCH($C129,Kalkulation_Platten!$C$3:$C$1001,0),MATCH(E$3,Kalkulation_Platten!$C$3:$AM$3,0))</f>
        <v>269</v>
      </c>
      <c r="F129" s="38">
        <f>INDEX(Kalkulation_Platten!$C$3:$AM$1001,MATCH($C129,Kalkulation_Platten!$C$3:$C$1001,0),MATCH(F$3,Kalkulation_Platten!$C$3:$AM$3,0))</f>
        <v>406</v>
      </c>
      <c r="G129" s="38">
        <f>INDEX(Kalkulation_Platten!$C$3:$AM$1001,MATCH($C129,Kalkulation_Platten!$C$3:$C$1001,0),MATCH(G$3,Kalkulation_Platten!$C$3:$AM$3,0))</f>
        <v>363</v>
      </c>
      <c r="H129" s="38">
        <f>INDEX(Kalkulation_Platten!$C$3:$AM$1001,MATCH($C129,Kalkulation_Platten!$C$3:$C$1001,0),MATCH(H$3,Kalkulation_Platten!$C$3:$AM$3,0))</f>
        <v>888</v>
      </c>
      <c r="J129" s="37" t="s">
        <v>66</v>
      </c>
      <c r="K129" s="37">
        <v>5205</v>
      </c>
      <c r="L129" s="37" t="str">
        <f>VLOOKUP($C129,Kalkulation_Platten!$C$6:$F$611,3,FALSE)&amp;" / "&amp;VLOOKUP($C129,Kalkulation_Platten!$C$6:$F$611,4,FALSE)</f>
        <v>980 / 360</v>
      </c>
      <c r="M129" s="38">
        <f t="shared" si="36"/>
        <v>309</v>
      </c>
      <c r="N129" s="38">
        <f t="shared" si="37"/>
        <v>467</v>
      </c>
      <c r="O129" s="38">
        <f t="shared" si="38"/>
        <v>417</v>
      </c>
      <c r="P129" s="38">
        <f t="shared" si="39"/>
        <v>1021</v>
      </c>
      <c r="T129">
        <f t="shared" si="29"/>
        <v>137</v>
      </c>
      <c r="U129">
        <f t="shared" si="30"/>
        <v>-43</v>
      </c>
      <c r="V129">
        <f t="shared" si="31"/>
        <v>525</v>
      </c>
    </row>
    <row r="130" spans="2:22" ht="17.25" x14ac:dyDescent="0.25">
      <c r="B130" s="37" t="s">
        <v>0</v>
      </c>
      <c r="C130" s="37">
        <v>5206</v>
      </c>
      <c r="D130" s="37" t="str">
        <f>VLOOKUP($C130,Kalkulation_Platten!$C$6:$F$611,3,FALSE)&amp;" / "&amp;VLOOKUP($C130,Kalkulation_Platten!$C$6:$F$611,4,FALSE)</f>
        <v>980 / 720</v>
      </c>
      <c r="E130" s="38">
        <f>INDEX(Kalkulation_Platten!$C$3:$AM$1001,MATCH($C130,Kalkulation_Platten!$C$3:$C$1001,0),MATCH(E$3,Kalkulation_Platten!$C$3:$AM$3,0))</f>
        <v>375</v>
      </c>
      <c r="F130" s="38">
        <f>INDEX(Kalkulation_Platten!$C$3:$AM$1001,MATCH($C130,Kalkulation_Platten!$C$3:$C$1001,0),MATCH(F$3,Kalkulation_Platten!$C$3:$AM$3,0))</f>
        <v>587</v>
      </c>
      <c r="G130" s="38">
        <f>INDEX(Kalkulation_Platten!$C$3:$AM$1001,MATCH($C130,Kalkulation_Platten!$C$3:$C$1001,0),MATCH(G$3,Kalkulation_Platten!$C$3:$AM$3,0))</f>
        <v>517</v>
      </c>
      <c r="H130" s="38">
        <f>INDEX(Kalkulation_Platten!$C$3:$AM$1001,MATCH($C130,Kalkulation_Platten!$C$3:$C$1001,0),MATCH(H$3,Kalkulation_Platten!$C$3:$AM$3,0))</f>
        <v>944</v>
      </c>
      <c r="J130" s="37" t="s">
        <v>66</v>
      </c>
      <c r="K130" s="37">
        <v>5206</v>
      </c>
      <c r="L130" s="37" t="str">
        <f>VLOOKUP($C130,Kalkulation_Platten!$C$6:$F$611,3,FALSE)&amp;" / "&amp;VLOOKUP($C130,Kalkulation_Platten!$C$6:$F$611,4,FALSE)</f>
        <v>980 / 720</v>
      </c>
      <c r="M130" s="38">
        <f t="shared" si="36"/>
        <v>431</v>
      </c>
      <c r="N130" s="38">
        <f t="shared" si="37"/>
        <v>675</v>
      </c>
      <c r="O130" s="38">
        <f t="shared" si="38"/>
        <v>595</v>
      </c>
      <c r="P130" s="38">
        <f t="shared" si="39"/>
        <v>1086</v>
      </c>
      <c r="T130">
        <f t="shared" si="29"/>
        <v>212</v>
      </c>
      <c r="U130">
        <f t="shared" si="30"/>
        <v>-70</v>
      </c>
      <c r="V130">
        <f t="shared" si="31"/>
        <v>427</v>
      </c>
    </row>
    <row r="131" spans="2:22" ht="17.25" x14ac:dyDescent="0.25">
      <c r="B131" s="37" t="s">
        <v>0</v>
      </c>
      <c r="C131" s="37">
        <v>5207</v>
      </c>
      <c r="D131" s="37" t="str">
        <f>VLOOKUP($C131,Kalkulation_Platten!$C$6:$F$611,3,FALSE)&amp;" / "&amp;VLOOKUP($C131,Kalkulation_Platten!$C$6:$F$611,4,FALSE)</f>
        <v>980 / 1080</v>
      </c>
      <c r="E131" s="38">
        <f>INDEX(Kalkulation_Platten!$C$3:$AM$1001,MATCH($C131,Kalkulation_Platten!$C$3:$C$1001,0),MATCH(E$3,Kalkulation_Platten!$C$3:$AM$3,0))</f>
        <v>523</v>
      </c>
      <c r="F131" s="38">
        <f>INDEX(Kalkulation_Platten!$C$3:$AM$1001,MATCH($C131,Kalkulation_Platten!$C$3:$C$1001,0),MATCH(F$3,Kalkulation_Platten!$C$3:$AM$3,0))</f>
        <v>817</v>
      </c>
      <c r="G131" s="38">
        <f>INDEX(Kalkulation_Platten!$C$3:$AM$1001,MATCH($C131,Kalkulation_Platten!$C$3:$C$1001,0),MATCH(G$3,Kalkulation_Platten!$C$3:$AM$3,0))</f>
        <v>717</v>
      </c>
      <c r="H131" s="38">
        <f>INDEX(Kalkulation_Platten!$C$3:$AM$1001,MATCH($C131,Kalkulation_Platten!$C$3:$C$1001,0),MATCH(H$3,Kalkulation_Platten!$C$3:$AM$3,0))</f>
        <v>1349</v>
      </c>
      <c r="J131" s="37" t="s">
        <v>66</v>
      </c>
      <c r="K131" s="37">
        <v>5207</v>
      </c>
      <c r="L131" s="37" t="str">
        <f>VLOOKUP($C131,Kalkulation_Platten!$C$6:$F$611,3,FALSE)&amp;" / "&amp;VLOOKUP($C131,Kalkulation_Platten!$C$6:$F$611,4,FALSE)</f>
        <v>980 / 1080</v>
      </c>
      <c r="M131" s="38">
        <f t="shared" si="36"/>
        <v>601</v>
      </c>
      <c r="N131" s="38">
        <f t="shared" si="37"/>
        <v>940</v>
      </c>
      <c r="O131" s="38">
        <f t="shared" si="38"/>
        <v>825</v>
      </c>
      <c r="P131" s="38">
        <f t="shared" si="39"/>
        <v>1551</v>
      </c>
      <c r="T131">
        <f t="shared" si="29"/>
        <v>294</v>
      </c>
      <c r="U131">
        <f t="shared" si="30"/>
        <v>-100</v>
      </c>
      <c r="V131">
        <f t="shared" si="31"/>
        <v>632</v>
      </c>
    </row>
    <row r="132" spans="2:22" ht="17.25" x14ac:dyDescent="0.25">
      <c r="B132" s="37" t="s">
        <v>0</v>
      </c>
      <c r="C132" s="37">
        <v>5208</v>
      </c>
      <c r="D132" s="37" t="str">
        <f>VLOOKUP($C132,Kalkulation_Platten!$C$6:$F$611,3,FALSE)&amp;" / "&amp;VLOOKUP($C132,Kalkulation_Platten!$C$6:$F$611,4,FALSE)</f>
        <v>980 / 1440</v>
      </c>
      <c r="E132" s="38">
        <f>INDEX(Kalkulation_Platten!$C$3:$AM$1001,MATCH($C132,Kalkulation_Platten!$C$3:$C$1001,0),MATCH(E$3,Kalkulation_Platten!$C$3:$AM$3,0))</f>
        <v>625</v>
      </c>
      <c r="F132" s="38">
        <f>INDEX(Kalkulation_Platten!$C$3:$AM$1001,MATCH($C132,Kalkulation_Platten!$C$3:$C$1001,0),MATCH(F$3,Kalkulation_Platten!$C$3:$AM$3,0))</f>
        <v>998</v>
      </c>
      <c r="G132" s="38">
        <f>INDEX(Kalkulation_Platten!$C$3:$AM$1001,MATCH($C132,Kalkulation_Platten!$C$3:$C$1001,0),MATCH(G$3,Kalkulation_Platten!$C$3:$AM$3,0))</f>
        <v>869</v>
      </c>
      <c r="H132" s="38">
        <f>INDEX(Kalkulation_Platten!$C$3:$AM$1001,MATCH($C132,Kalkulation_Platten!$C$3:$C$1001,0),MATCH(H$3,Kalkulation_Platten!$C$3:$AM$3,0))</f>
        <v>1635</v>
      </c>
      <c r="J132" s="37" t="s">
        <v>66</v>
      </c>
      <c r="K132" s="37">
        <v>5208</v>
      </c>
      <c r="L132" s="37" t="str">
        <f>VLOOKUP($C132,Kalkulation_Platten!$C$6:$F$611,3,FALSE)&amp;" / "&amp;VLOOKUP($C132,Kalkulation_Platten!$C$6:$F$611,4,FALSE)</f>
        <v>980 / 1440</v>
      </c>
      <c r="M132" s="38">
        <f t="shared" si="36"/>
        <v>719</v>
      </c>
      <c r="N132" s="38">
        <f t="shared" si="37"/>
        <v>1148</v>
      </c>
      <c r="O132" s="38">
        <f t="shared" si="38"/>
        <v>999</v>
      </c>
      <c r="P132" s="38">
        <f t="shared" si="39"/>
        <v>1880</v>
      </c>
      <c r="T132">
        <f t="shared" ref="T132:T148" si="40">IFERROR(F132-E132,"")</f>
        <v>373</v>
      </c>
      <c r="U132">
        <f t="shared" ref="U132:U148" si="41">IFERROR(G132-F132,"")</f>
        <v>-129</v>
      </c>
      <c r="V132">
        <f t="shared" ref="V132:V148" si="42">IFERROR(H132-G132,"")</f>
        <v>766</v>
      </c>
    </row>
    <row r="133" spans="2:22" ht="17.25" x14ac:dyDescent="0.25">
      <c r="B133" s="37" t="s">
        <v>0</v>
      </c>
      <c r="C133" s="37">
        <v>5209</v>
      </c>
      <c r="D133" s="37" t="str">
        <f>VLOOKUP($C133,Kalkulation_Platten!$C$6:$F$611,3,FALSE)&amp;" / "&amp;VLOOKUP($C133,Kalkulation_Platten!$C$6:$F$611,4,FALSE)</f>
        <v>980 / 1800</v>
      </c>
      <c r="E133" s="39">
        <f>INDEX(Kalkulation_Platten!$C$3:$AM$1001,MATCH($C133,Kalkulation_Platten!$C$3:$C$1001,0),MATCH(E$3,Kalkulation_Platten!$C$3:$AM$3,0))</f>
        <v>769</v>
      </c>
      <c r="F133" s="38">
        <f>INDEX(Kalkulation_Platten!$C$3:$AM$1001,MATCH($C133,Kalkulation_Platten!$C$3:$C$1001,0),MATCH(F$3,Kalkulation_Platten!$C$3:$AM$3,0))</f>
        <v>1514</v>
      </c>
      <c r="G133" s="38">
        <f>INDEX(Kalkulation_Platten!$C$3:$AM$1001,MATCH($C133,Kalkulation_Platten!$C$3:$C$1001,0),MATCH(G$3,Kalkulation_Platten!$C$3:$AM$3,0))</f>
        <v>1072</v>
      </c>
      <c r="H133" s="38">
        <f>INDEX(Kalkulation_Platten!$C$3:$AM$1001,MATCH($C133,Kalkulation_Platten!$C$3:$C$1001,0),MATCH(H$3,Kalkulation_Platten!$C$3:$AM$3,0))</f>
        <v>2017</v>
      </c>
      <c r="J133" s="37" t="s">
        <v>66</v>
      </c>
      <c r="K133" s="37">
        <v>5209</v>
      </c>
      <c r="L133" s="37" t="str">
        <f>VLOOKUP($C133,Kalkulation_Platten!$C$6:$F$611,3,FALSE)&amp;" / "&amp;VLOOKUP($C133,Kalkulation_Platten!$C$6:$F$611,4,FALSE)</f>
        <v>980 / 1800</v>
      </c>
      <c r="M133" s="39">
        <f t="shared" si="36"/>
        <v>884</v>
      </c>
      <c r="N133" s="38">
        <f t="shared" si="37"/>
        <v>1741</v>
      </c>
      <c r="O133" s="38">
        <f t="shared" si="38"/>
        <v>1233</v>
      </c>
      <c r="P133" s="38">
        <f t="shared" si="39"/>
        <v>2320</v>
      </c>
      <c r="T133">
        <f t="shared" si="40"/>
        <v>745</v>
      </c>
      <c r="U133">
        <f t="shared" si="41"/>
        <v>-442</v>
      </c>
      <c r="V133">
        <f t="shared" si="42"/>
        <v>945</v>
      </c>
    </row>
    <row r="134" spans="2:22" ht="17.25" x14ac:dyDescent="0.25">
      <c r="B134" s="37" t="s">
        <v>0</v>
      </c>
      <c r="C134" s="37">
        <v>5111</v>
      </c>
      <c r="D134" s="37" t="str">
        <f>VLOOKUP($C134,Kalkulation_Platten!$C$6:$F$611,3,FALSE)&amp;" / "&amp;VLOOKUP($C134,Kalkulation_Platten!$C$6:$F$611,4,FALSE)</f>
        <v>780 / 360</v>
      </c>
      <c r="E134" s="39">
        <f>INDEX(Kalkulation_Platten!$C$3:$AM$1001,MATCH($C134,Kalkulation_Platten!$C$3:$C$1001,0),MATCH(E$3,Kalkulation_Platten!$C$3:$AM$3,0))</f>
        <v>0</v>
      </c>
      <c r="F134" s="38">
        <f>INDEX(Kalkulation_Platten!$C$3:$AM$1001,MATCH($C134,Kalkulation_Platten!$C$3:$C$1001,0),MATCH(F$3,Kalkulation_Platten!$C$3:$AM$3,0))</f>
        <v>0</v>
      </c>
      <c r="G134" s="38">
        <f>INDEX(Kalkulation_Platten!$C$3:$AM$1001,MATCH($C134,Kalkulation_Platten!$C$3:$C$1001,0),MATCH(G$3,Kalkulation_Platten!$C$3:$AM$3,0))</f>
        <v>259</v>
      </c>
      <c r="H134" s="38">
        <f>INDEX(Kalkulation_Platten!$C$3:$AM$1001,MATCH($C134,Kalkulation_Platten!$C$3:$C$1001,0),MATCH(H$3,Kalkulation_Platten!$C$3:$AM$3,0))</f>
        <v>487</v>
      </c>
      <c r="J134" s="37" t="s">
        <v>66</v>
      </c>
      <c r="K134" s="37">
        <v>5111</v>
      </c>
      <c r="L134" s="37" t="str">
        <f>VLOOKUP($C134,Kalkulation_Platten!$C$6:$F$611,3,FALSE)&amp;" / "&amp;VLOOKUP($C134,Kalkulation_Platten!$C$6:$F$611,4,FALSE)</f>
        <v>780 / 360</v>
      </c>
      <c r="M134" s="39">
        <f t="shared" si="36"/>
        <v>0</v>
      </c>
      <c r="N134" s="38">
        <f t="shared" si="37"/>
        <v>0</v>
      </c>
      <c r="O134" s="38">
        <f t="shared" si="38"/>
        <v>298</v>
      </c>
      <c r="P134" s="38">
        <f t="shared" si="39"/>
        <v>560</v>
      </c>
      <c r="T134">
        <f t="shared" si="40"/>
        <v>0</v>
      </c>
      <c r="U134">
        <f t="shared" si="41"/>
        <v>259</v>
      </c>
      <c r="V134">
        <f t="shared" si="42"/>
        <v>228</v>
      </c>
    </row>
    <row r="135" spans="2:22" ht="17.25" x14ac:dyDescent="0.25">
      <c r="B135" s="37" t="s">
        <v>0</v>
      </c>
      <c r="C135" s="37">
        <v>5112</v>
      </c>
      <c r="D135" s="37" t="str">
        <f>VLOOKUP($C135,Kalkulation_Platten!$C$6:$F$611,3,FALSE)&amp;" / "&amp;VLOOKUP($C135,Kalkulation_Platten!$C$6:$F$611,4,FALSE)</f>
        <v>780 / 720</v>
      </c>
      <c r="E135" s="39">
        <f>INDEX(Kalkulation_Platten!$C$3:$AM$1001,MATCH($C135,Kalkulation_Platten!$C$3:$C$1001,0),MATCH(E$3,Kalkulation_Platten!$C$3:$AM$3,0))</f>
        <v>0</v>
      </c>
      <c r="F135" s="38">
        <f>INDEX(Kalkulation_Platten!$C$3:$AM$1001,MATCH($C135,Kalkulation_Platten!$C$3:$C$1001,0),MATCH(F$3,Kalkulation_Platten!$C$3:$AM$3,0))</f>
        <v>0</v>
      </c>
      <c r="G135" s="38">
        <f>INDEX(Kalkulation_Platten!$C$3:$AM$1001,MATCH($C135,Kalkulation_Platten!$C$3:$C$1001,0),MATCH(G$3,Kalkulation_Platten!$C$3:$AM$3,0))</f>
        <v>10</v>
      </c>
      <c r="H135" s="38">
        <f>INDEX(Kalkulation_Platten!$C$3:$AM$1001,MATCH($C135,Kalkulation_Platten!$C$3:$C$1001,0),MATCH(H$3,Kalkulation_Platten!$C$3:$AM$3,0))</f>
        <v>19</v>
      </c>
      <c r="J135" s="37" t="s">
        <v>66</v>
      </c>
      <c r="K135" s="37">
        <v>5112</v>
      </c>
      <c r="L135" s="37" t="str">
        <f>VLOOKUP($C135,Kalkulation_Platten!$C$6:$F$611,3,FALSE)&amp;" / "&amp;VLOOKUP($C135,Kalkulation_Platten!$C$6:$F$611,4,FALSE)</f>
        <v>780 / 720</v>
      </c>
      <c r="M135" s="39">
        <f t="shared" si="36"/>
        <v>0</v>
      </c>
      <c r="N135" s="38">
        <f t="shared" si="37"/>
        <v>0</v>
      </c>
      <c r="O135" s="38">
        <f t="shared" si="38"/>
        <v>12</v>
      </c>
      <c r="P135" s="38">
        <f t="shared" si="39"/>
        <v>22</v>
      </c>
      <c r="T135">
        <f t="shared" si="40"/>
        <v>0</v>
      </c>
      <c r="U135">
        <f t="shared" si="41"/>
        <v>10</v>
      </c>
      <c r="V135">
        <f t="shared" si="42"/>
        <v>9</v>
      </c>
    </row>
    <row r="136" spans="2:22" ht="17.25" x14ac:dyDescent="0.25">
      <c r="B136" s="37" t="s">
        <v>0</v>
      </c>
      <c r="C136" s="37">
        <v>5113</v>
      </c>
      <c r="D136" s="37" t="str">
        <f>VLOOKUP($C136,Kalkulation_Platten!$C$6:$F$611,3,FALSE)&amp;" / "&amp;VLOOKUP($C136,Kalkulation_Platten!$C$6:$F$611,4,FALSE)</f>
        <v>780 / 1080</v>
      </c>
      <c r="E136" s="39">
        <f>INDEX(Kalkulation_Platten!$C$3:$AM$1001,MATCH($C136,Kalkulation_Platten!$C$3:$C$1001,0),MATCH(E$3,Kalkulation_Platten!$C$3:$AM$3,0))</f>
        <v>0</v>
      </c>
      <c r="F136" s="38">
        <f>INDEX(Kalkulation_Platten!$C$3:$AM$1001,MATCH($C136,Kalkulation_Platten!$C$3:$C$1001,0),MATCH(F$3,Kalkulation_Platten!$C$3:$AM$3,0))</f>
        <v>0</v>
      </c>
      <c r="G136" s="38">
        <f>INDEX(Kalkulation_Platten!$C$3:$AM$1001,MATCH($C136,Kalkulation_Platten!$C$3:$C$1001,0),MATCH(G$3,Kalkulation_Platten!$C$3:$AM$3,0))</f>
        <v>10</v>
      </c>
      <c r="H136" s="38">
        <f>INDEX(Kalkulation_Platten!$C$3:$AM$1001,MATCH($C136,Kalkulation_Platten!$C$3:$C$1001,0),MATCH(H$3,Kalkulation_Platten!$C$3:$AM$3,0))</f>
        <v>19</v>
      </c>
      <c r="J136" s="37" t="s">
        <v>66</v>
      </c>
      <c r="K136" s="37">
        <v>5113</v>
      </c>
      <c r="L136" s="37" t="str">
        <f>VLOOKUP($C136,Kalkulation_Platten!$C$6:$F$611,3,FALSE)&amp;" / "&amp;VLOOKUP($C136,Kalkulation_Platten!$C$6:$F$611,4,FALSE)</f>
        <v>780 / 1080</v>
      </c>
      <c r="M136" s="39">
        <f t="shared" si="36"/>
        <v>0</v>
      </c>
      <c r="N136" s="38">
        <f t="shared" si="37"/>
        <v>0</v>
      </c>
      <c r="O136" s="38">
        <f t="shared" si="38"/>
        <v>12</v>
      </c>
      <c r="P136" s="38">
        <f t="shared" si="39"/>
        <v>22</v>
      </c>
      <c r="T136">
        <f t="shared" si="40"/>
        <v>0</v>
      </c>
      <c r="U136">
        <f t="shared" si="41"/>
        <v>10</v>
      </c>
      <c r="V136">
        <f t="shared" si="42"/>
        <v>9</v>
      </c>
    </row>
    <row r="137" spans="2:22" ht="17.25" x14ac:dyDescent="0.25">
      <c r="B137" s="37" t="s">
        <v>0</v>
      </c>
      <c r="C137" s="37">
        <v>5114</v>
      </c>
      <c r="D137" s="37" t="str">
        <f>VLOOKUP($C137,Kalkulation_Platten!$C$6:$F$611,3,FALSE)&amp;" / "&amp;VLOOKUP($C137,Kalkulation_Platten!$C$6:$F$611,4,FALSE)</f>
        <v>780 / 1440</v>
      </c>
      <c r="E137" s="39">
        <f>INDEX(Kalkulation_Platten!$C$3:$AM$1001,MATCH($C137,Kalkulation_Platten!$C$3:$C$1001,0),MATCH(E$3,Kalkulation_Platten!$C$3:$AM$3,0))</f>
        <v>0</v>
      </c>
      <c r="F137" s="38">
        <f>INDEX(Kalkulation_Platten!$C$3:$AM$1001,MATCH($C137,Kalkulation_Platten!$C$3:$C$1001,0),MATCH(F$3,Kalkulation_Platten!$C$3:$AM$3,0))</f>
        <v>0</v>
      </c>
      <c r="G137" s="38">
        <f>INDEX(Kalkulation_Platten!$C$3:$AM$1001,MATCH($C137,Kalkulation_Platten!$C$3:$C$1001,0),MATCH(G$3,Kalkulation_Platten!$C$3:$AM$3,0))</f>
        <v>10</v>
      </c>
      <c r="H137" s="38">
        <f>INDEX(Kalkulation_Platten!$C$3:$AM$1001,MATCH($C137,Kalkulation_Platten!$C$3:$C$1001,0),MATCH(H$3,Kalkulation_Platten!$C$3:$AM$3,0))</f>
        <v>19</v>
      </c>
      <c r="J137" s="37" t="s">
        <v>66</v>
      </c>
      <c r="K137" s="37">
        <v>5114</v>
      </c>
      <c r="L137" s="37" t="str">
        <f>VLOOKUP($C137,Kalkulation_Platten!$C$6:$F$611,3,FALSE)&amp;" / "&amp;VLOOKUP($C137,Kalkulation_Platten!$C$6:$F$611,4,FALSE)</f>
        <v>780 / 1440</v>
      </c>
      <c r="M137" s="39">
        <f t="shared" si="36"/>
        <v>0</v>
      </c>
      <c r="N137" s="38">
        <f t="shared" si="37"/>
        <v>0</v>
      </c>
      <c r="O137" s="38">
        <f t="shared" si="38"/>
        <v>12</v>
      </c>
      <c r="P137" s="38">
        <f t="shared" si="39"/>
        <v>22</v>
      </c>
      <c r="T137">
        <f t="shared" si="40"/>
        <v>0</v>
      </c>
      <c r="U137">
        <f t="shared" si="41"/>
        <v>10</v>
      </c>
      <c r="V137">
        <f t="shared" si="42"/>
        <v>9</v>
      </c>
    </row>
    <row r="138" spans="2:22" ht="17.25" x14ac:dyDescent="0.25">
      <c r="B138" s="37" t="s">
        <v>0</v>
      </c>
      <c r="C138" s="37">
        <v>5115</v>
      </c>
      <c r="D138" s="37" t="str">
        <f>VLOOKUP($C138,Kalkulation_Platten!$C$6:$F$611,3,FALSE)&amp;" / "&amp;VLOOKUP($C138,Kalkulation_Platten!$C$6:$F$611,4,FALSE)</f>
        <v>780 / 1800</v>
      </c>
      <c r="E138" s="39">
        <f>INDEX(Kalkulation_Platten!$C$3:$AM$1001,MATCH($C138,Kalkulation_Platten!$C$3:$C$1001,0),MATCH(E$3,Kalkulation_Platten!$C$3:$AM$3,0))</f>
        <v>0</v>
      </c>
      <c r="F138" s="38">
        <f>INDEX(Kalkulation_Platten!$C$3:$AM$1001,MATCH($C138,Kalkulation_Platten!$C$3:$C$1001,0),MATCH(F$3,Kalkulation_Platten!$C$3:$AM$3,0))</f>
        <v>0</v>
      </c>
      <c r="G138" s="38">
        <f>INDEX(Kalkulation_Platten!$C$3:$AM$1001,MATCH($C138,Kalkulation_Platten!$C$3:$C$1001,0),MATCH(G$3,Kalkulation_Platten!$C$3:$AM$3,0))</f>
        <v>10</v>
      </c>
      <c r="H138" s="38">
        <f>INDEX(Kalkulation_Platten!$C$3:$AM$1001,MATCH($C138,Kalkulation_Platten!$C$3:$C$1001,0),MATCH(H$3,Kalkulation_Platten!$C$3:$AM$3,0))</f>
        <v>19</v>
      </c>
      <c r="J138" s="37" t="s">
        <v>66</v>
      </c>
      <c r="K138" s="37">
        <v>5115</v>
      </c>
      <c r="L138" s="37" t="str">
        <f>VLOOKUP($C138,Kalkulation_Platten!$C$6:$F$611,3,FALSE)&amp;" / "&amp;VLOOKUP($C138,Kalkulation_Platten!$C$6:$F$611,4,FALSE)</f>
        <v>780 / 1800</v>
      </c>
      <c r="M138" s="39">
        <f t="shared" si="36"/>
        <v>0</v>
      </c>
      <c r="N138" s="38">
        <f t="shared" si="37"/>
        <v>0</v>
      </c>
      <c r="O138" s="38">
        <f t="shared" si="38"/>
        <v>12</v>
      </c>
      <c r="P138" s="38">
        <f t="shared" si="39"/>
        <v>22</v>
      </c>
      <c r="T138">
        <f t="shared" si="40"/>
        <v>0</v>
      </c>
      <c r="U138">
        <f t="shared" si="41"/>
        <v>10</v>
      </c>
      <c r="V138">
        <f t="shared" si="42"/>
        <v>9</v>
      </c>
    </row>
    <row r="139" spans="2:22" x14ac:dyDescent="0.25">
      <c r="T139">
        <f t="shared" si="40"/>
        <v>0</v>
      </c>
      <c r="U139">
        <f t="shared" si="41"/>
        <v>0</v>
      </c>
      <c r="V139">
        <f t="shared" si="42"/>
        <v>0</v>
      </c>
    </row>
    <row r="140" spans="2:22" ht="18" thickBot="1" x14ac:dyDescent="0.3">
      <c r="B140" s="33" t="s">
        <v>74</v>
      </c>
      <c r="C140" s="33" t="s">
        <v>76</v>
      </c>
      <c r="D140" s="33" t="s">
        <v>75</v>
      </c>
      <c r="E140" s="34" t="s">
        <v>52</v>
      </c>
      <c r="F140" s="34" t="s">
        <v>51</v>
      </c>
      <c r="G140" s="34" t="s">
        <v>50</v>
      </c>
      <c r="H140" s="34" t="s">
        <v>49</v>
      </c>
      <c r="J140" s="33" t="s">
        <v>74</v>
      </c>
      <c r="K140" s="33" t="s">
        <v>76</v>
      </c>
      <c r="L140" s="33" t="s">
        <v>75</v>
      </c>
      <c r="M140" s="34" t="s">
        <v>52</v>
      </c>
      <c r="N140" s="34" t="s">
        <v>51</v>
      </c>
      <c r="O140" s="34" t="s">
        <v>50</v>
      </c>
      <c r="P140" s="34" t="s">
        <v>49</v>
      </c>
      <c r="T140" t="str">
        <f t="shared" si="40"/>
        <v/>
      </c>
      <c r="U140" t="str">
        <f t="shared" si="41"/>
        <v/>
      </c>
      <c r="V140" t="str">
        <f t="shared" si="42"/>
        <v/>
      </c>
    </row>
    <row r="141" spans="2:22" ht="17.25" x14ac:dyDescent="0.25">
      <c r="B141" s="35" t="s">
        <v>61</v>
      </c>
      <c r="C141" s="35">
        <v>5300</v>
      </c>
      <c r="D141" s="35" t="str">
        <f>VLOOKUP($C141,Kalkulation_Platten!$C$6:$F$611,3,FALSE)&amp;" / "&amp;VLOOKUP($C141,Kalkulation_Platten!$C$6:$F$611,4,FALSE)</f>
        <v>420 / 180</v>
      </c>
      <c r="E141" s="36">
        <f>INDEX(Kalkulation_Platten!$C$3:$AM$1001,MATCH($C141,Kalkulation_Platten!$C$3:$C$1001,0),MATCH(E$3,Kalkulation_Platten!$C$3:$AM$3,0))</f>
        <v>285</v>
      </c>
      <c r="F141" s="36">
        <f>INDEX(Kalkulation_Platten!$C$3:$AM$1001,MATCH($C141,Kalkulation_Platten!$C$3:$C$1001,0),MATCH(F$3,Kalkulation_Platten!$C$3:$AM$3,0))</f>
        <v>345</v>
      </c>
      <c r="G141" s="36">
        <f>INDEX(Kalkulation_Platten!$C$3:$AM$1001,MATCH($C141,Kalkulation_Platten!$C$3:$C$1001,0),MATCH(G$3,Kalkulation_Platten!$C$3:$AM$3,0))</f>
        <v>329</v>
      </c>
      <c r="H141" s="36">
        <f>INDEX(Kalkulation_Platten!$C$3:$AM$1001,MATCH($C141,Kalkulation_Platten!$C$3:$C$1001,0),MATCH(H$3,Kalkulation_Platten!$C$3:$AM$3,0))</f>
        <v>619</v>
      </c>
      <c r="J141" s="35" t="s">
        <v>67</v>
      </c>
      <c r="K141" s="35">
        <v>5300</v>
      </c>
      <c r="L141" s="35" t="str">
        <f>VLOOKUP($C141,Kalkulation_Platten!$C$6:$F$611,3,FALSE)&amp;" / "&amp;VLOOKUP($C141,Kalkulation_Platten!$C$6:$F$611,4,FALSE)</f>
        <v>420 / 180</v>
      </c>
      <c r="M141" s="36">
        <f t="shared" ref="M141:P148" si="43">IFERROR(ROUND(E141*(1+$R$2),0),"-")</f>
        <v>328</v>
      </c>
      <c r="N141" s="36">
        <f t="shared" si="43"/>
        <v>397</v>
      </c>
      <c r="O141" s="36">
        <f t="shared" si="43"/>
        <v>378</v>
      </c>
      <c r="P141" s="36">
        <f t="shared" si="43"/>
        <v>712</v>
      </c>
      <c r="T141">
        <f t="shared" si="40"/>
        <v>60</v>
      </c>
      <c r="U141">
        <f t="shared" si="41"/>
        <v>-16</v>
      </c>
      <c r="V141">
        <f t="shared" si="42"/>
        <v>290</v>
      </c>
    </row>
    <row r="142" spans="2:22" ht="17.25" x14ac:dyDescent="0.25">
      <c r="B142" s="37" t="s">
        <v>61</v>
      </c>
      <c r="C142" s="37">
        <v>5301</v>
      </c>
      <c r="D142" s="37" t="str">
        <f>VLOOKUP($C142,Kalkulation_Platten!$C$6:$F$611,3,FALSE)&amp;" / "&amp;VLOOKUP($C142,Kalkulation_Platten!$C$6:$F$611,4,FALSE)</f>
        <v>420 / 360</v>
      </c>
      <c r="E142" s="38">
        <f>INDEX(Kalkulation_Platten!$C$3:$AM$1001,MATCH($C142,Kalkulation_Platten!$C$3:$C$1001,0),MATCH(E$3,Kalkulation_Platten!$C$3:$AM$3,0))</f>
        <v>352</v>
      </c>
      <c r="F142" s="38">
        <f>INDEX(Kalkulation_Platten!$C$3:$AM$1001,MATCH($C142,Kalkulation_Platten!$C$3:$C$1001,0),MATCH(F$3,Kalkulation_Platten!$C$3:$AM$3,0))</f>
        <v>439</v>
      </c>
      <c r="G142" s="38">
        <f>INDEX(Kalkulation_Platten!$C$3:$AM$1001,MATCH($C142,Kalkulation_Platten!$C$3:$C$1001,0),MATCH(G$3,Kalkulation_Platten!$C$3:$AM$3,0))</f>
        <v>420</v>
      </c>
      <c r="H142" s="38">
        <f>INDEX(Kalkulation_Platten!$C$3:$AM$1001,MATCH($C142,Kalkulation_Platten!$C$3:$C$1001,0),MATCH(H$3,Kalkulation_Platten!$C$3:$AM$3,0))</f>
        <v>429</v>
      </c>
      <c r="J142" s="37" t="s">
        <v>67</v>
      </c>
      <c r="K142" s="37">
        <v>5301</v>
      </c>
      <c r="L142" s="37" t="str">
        <f>VLOOKUP($C142,Kalkulation_Platten!$C$6:$F$611,3,FALSE)&amp;" / "&amp;VLOOKUP($C142,Kalkulation_Platten!$C$6:$F$611,4,FALSE)</f>
        <v>420 / 360</v>
      </c>
      <c r="M142" s="38">
        <f t="shared" si="43"/>
        <v>405</v>
      </c>
      <c r="N142" s="38">
        <f t="shared" si="43"/>
        <v>505</v>
      </c>
      <c r="O142" s="38">
        <f t="shared" si="43"/>
        <v>483</v>
      </c>
      <c r="P142" s="38">
        <f t="shared" si="43"/>
        <v>493</v>
      </c>
      <c r="T142">
        <f t="shared" si="40"/>
        <v>87</v>
      </c>
      <c r="U142">
        <f t="shared" si="41"/>
        <v>-19</v>
      </c>
      <c r="V142">
        <f t="shared" si="42"/>
        <v>9</v>
      </c>
    </row>
    <row r="143" spans="2:22" ht="17.25" x14ac:dyDescent="0.25">
      <c r="B143" s="37" t="s">
        <v>61</v>
      </c>
      <c r="C143" s="37">
        <v>5302</v>
      </c>
      <c r="D143" s="37" t="str">
        <f>VLOOKUP($C143,Kalkulation_Platten!$C$6:$F$611,3,FALSE)&amp;" / "&amp;VLOOKUP($C143,Kalkulation_Platten!$C$6:$F$611,4,FALSE)</f>
        <v>580 / 180</v>
      </c>
      <c r="E143" s="38">
        <f>INDEX(Kalkulation_Platten!$C$3:$AM$1001,MATCH($C143,Kalkulation_Platten!$C$3:$C$1001,0),MATCH(E$3,Kalkulation_Platten!$C$3:$AM$3,0))</f>
        <v>298</v>
      </c>
      <c r="F143" s="38">
        <f>INDEX(Kalkulation_Platten!$C$3:$AM$1001,MATCH($C143,Kalkulation_Platten!$C$3:$C$1001,0),MATCH(F$3,Kalkulation_Platten!$C$3:$AM$3,0))</f>
        <v>368</v>
      </c>
      <c r="G143" s="38">
        <f>INDEX(Kalkulation_Platten!$C$3:$AM$1001,MATCH($C143,Kalkulation_Platten!$C$3:$C$1001,0),MATCH(G$3,Kalkulation_Platten!$C$3:$AM$3,0))</f>
        <v>351</v>
      </c>
      <c r="H143" s="38">
        <f>INDEX(Kalkulation_Platten!$C$3:$AM$1001,MATCH($C143,Kalkulation_Platten!$C$3:$C$1001,0),MATCH(H$3,Kalkulation_Platten!$C$3:$AM$3,0))</f>
        <v>358</v>
      </c>
      <c r="J143" s="37" t="s">
        <v>67</v>
      </c>
      <c r="K143" s="37">
        <v>5302</v>
      </c>
      <c r="L143" s="37" t="str">
        <f>VLOOKUP($C143,Kalkulation_Platten!$C$6:$F$611,3,FALSE)&amp;" / "&amp;VLOOKUP($C143,Kalkulation_Platten!$C$6:$F$611,4,FALSE)</f>
        <v>580 / 180</v>
      </c>
      <c r="M143" s="38">
        <f t="shared" si="43"/>
        <v>343</v>
      </c>
      <c r="N143" s="38">
        <f t="shared" si="43"/>
        <v>423</v>
      </c>
      <c r="O143" s="38">
        <f t="shared" si="43"/>
        <v>404</v>
      </c>
      <c r="P143" s="38">
        <f t="shared" si="43"/>
        <v>412</v>
      </c>
      <c r="T143">
        <f t="shared" si="40"/>
        <v>70</v>
      </c>
      <c r="U143">
        <f t="shared" si="41"/>
        <v>-17</v>
      </c>
      <c r="V143">
        <f t="shared" si="42"/>
        <v>7</v>
      </c>
    </row>
    <row r="144" spans="2:22" ht="17.25" x14ac:dyDescent="0.25">
      <c r="B144" s="37" t="s">
        <v>61</v>
      </c>
      <c r="C144" s="37">
        <v>5303</v>
      </c>
      <c r="D144" s="37" t="str">
        <f>VLOOKUP($C144,Kalkulation_Platten!$C$6:$F$611,3,FALSE)&amp;" / "&amp;VLOOKUP($C144,Kalkulation_Platten!$C$6:$F$611,4,FALSE)</f>
        <v>580 / 360</v>
      </c>
      <c r="E144" s="38">
        <f>INDEX(Kalkulation_Platten!$C$3:$AM$1001,MATCH($C144,Kalkulation_Platten!$C$3:$C$1001,0),MATCH(E$3,Kalkulation_Platten!$C$3:$AM$3,0))</f>
        <v>353</v>
      </c>
      <c r="F144" s="38">
        <f>INDEX(Kalkulation_Platten!$C$3:$AM$1001,MATCH($C144,Kalkulation_Platten!$C$3:$C$1001,0),MATCH(F$3,Kalkulation_Platten!$C$3:$AM$3,0))</f>
        <v>470</v>
      </c>
      <c r="G144" s="38">
        <f>INDEX(Kalkulation_Platten!$C$3:$AM$1001,MATCH($C144,Kalkulation_Platten!$C$3:$C$1001,0),MATCH(G$3,Kalkulation_Platten!$C$3:$AM$3,0))</f>
        <v>445</v>
      </c>
      <c r="H144" s="38">
        <f>INDEX(Kalkulation_Platten!$C$3:$AM$1001,MATCH($C144,Kalkulation_Platten!$C$3:$C$1001,0),MATCH(H$3,Kalkulation_Platten!$C$3:$AM$3,0))</f>
        <v>460</v>
      </c>
      <c r="J144" s="37" t="s">
        <v>67</v>
      </c>
      <c r="K144" s="37">
        <v>5303</v>
      </c>
      <c r="L144" s="37" t="str">
        <f>VLOOKUP($C144,Kalkulation_Platten!$C$6:$F$611,3,FALSE)&amp;" / "&amp;VLOOKUP($C144,Kalkulation_Platten!$C$6:$F$611,4,FALSE)</f>
        <v>580 / 360</v>
      </c>
      <c r="M144" s="38">
        <f t="shared" si="43"/>
        <v>406</v>
      </c>
      <c r="N144" s="38">
        <f t="shared" si="43"/>
        <v>541</v>
      </c>
      <c r="O144" s="38">
        <f t="shared" si="43"/>
        <v>512</v>
      </c>
      <c r="P144" s="38">
        <f t="shared" si="43"/>
        <v>529</v>
      </c>
      <c r="T144">
        <f t="shared" si="40"/>
        <v>117</v>
      </c>
      <c r="U144">
        <f t="shared" si="41"/>
        <v>-25</v>
      </c>
      <c r="V144">
        <f t="shared" si="42"/>
        <v>15</v>
      </c>
    </row>
    <row r="145" spans="2:22" ht="17.25" x14ac:dyDescent="0.25">
      <c r="B145" s="37" t="s">
        <v>61</v>
      </c>
      <c r="C145" s="37">
        <v>5304</v>
      </c>
      <c r="D145" s="37" t="str">
        <f>VLOOKUP($C145,Kalkulation_Platten!$C$6:$F$611,3,FALSE)&amp;" / "&amp;VLOOKUP($C145,Kalkulation_Platten!$C$6:$F$611,4,FALSE)</f>
        <v>780 / 180</v>
      </c>
      <c r="E145" s="38">
        <f>INDEX(Kalkulation_Platten!$C$3:$AM$1001,MATCH($C145,Kalkulation_Platten!$C$3:$C$1001,0),MATCH(E$3,Kalkulation_Platten!$C$3:$AM$3,0))</f>
        <v>309</v>
      </c>
      <c r="F145" s="38">
        <f>INDEX(Kalkulation_Platten!$C$3:$AM$1001,MATCH($C145,Kalkulation_Platten!$C$3:$C$1001,0),MATCH(F$3,Kalkulation_Platten!$C$3:$AM$3,0))</f>
        <v>391</v>
      </c>
      <c r="G145" s="38">
        <f>INDEX(Kalkulation_Platten!$C$3:$AM$1001,MATCH($C145,Kalkulation_Platten!$C$3:$C$1001,0),MATCH(G$3,Kalkulation_Platten!$C$3:$AM$3,0))</f>
        <v>372</v>
      </c>
      <c r="H145" s="38">
        <f>INDEX(Kalkulation_Platten!$C$3:$AM$1001,MATCH($C145,Kalkulation_Platten!$C$3:$C$1001,0),MATCH(H$3,Kalkulation_Platten!$C$3:$AM$3,0))</f>
        <v>381</v>
      </c>
      <c r="J145" s="37" t="s">
        <v>67</v>
      </c>
      <c r="K145" s="37">
        <v>5304</v>
      </c>
      <c r="L145" s="37" t="str">
        <f>VLOOKUP($C145,Kalkulation_Platten!$C$6:$F$611,3,FALSE)&amp;" / "&amp;VLOOKUP($C145,Kalkulation_Platten!$C$6:$F$611,4,FALSE)</f>
        <v>780 / 180</v>
      </c>
      <c r="M145" s="38">
        <f t="shared" si="43"/>
        <v>355</v>
      </c>
      <c r="N145" s="38">
        <f t="shared" si="43"/>
        <v>450</v>
      </c>
      <c r="O145" s="38">
        <f t="shared" si="43"/>
        <v>428</v>
      </c>
      <c r="P145" s="38">
        <f t="shared" si="43"/>
        <v>438</v>
      </c>
      <c r="T145">
        <f t="shared" si="40"/>
        <v>82</v>
      </c>
      <c r="U145">
        <f t="shared" si="41"/>
        <v>-19</v>
      </c>
      <c r="V145">
        <f t="shared" si="42"/>
        <v>9</v>
      </c>
    </row>
    <row r="146" spans="2:22" ht="17.25" x14ac:dyDescent="0.25">
      <c r="B146" s="37" t="s">
        <v>61</v>
      </c>
      <c r="C146" s="37">
        <v>5305</v>
      </c>
      <c r="D146" s="37" t="str">
        <f>VLOOKUP($C146,Kalkulation_Platten!$C$6:$F$611,3,FALSE)&amp;" / "&amp;VLOOKUP($C146,Kalkulation_Platten!$C$6:$F$611,4,FALSE)</f>
        <v>780 / 360</v>
      </c>
      <c r="E146" s="38">
        <f>INDEX(Kalkulation_Platten!$C$3:$AM$1001,MATCH($C146,Kalkulation_Platten!$C$3:$C$1001,0),MATCH(E$3,Kalkulation_Platten!$C$3:$AM$3,0))</f>
        <v>356</v>
      </c>
      <c r="F146" s="38">
        <f>INDEX(Kalkulation_Platten!$C$3:$AM$1001,MATCH($C146,Kalkulation_Platten!$C$3:$C$1001,0),MATCH(F$3,Kalkulation_Platten!$C$3:$AM$3,0))</f>
        <v>501</v>
      </c>
      <c r="G146" s="38">
        <f>INDEX(Kalkulation_Platten!$C$3:$AM$1001,MATCH($C146,Kalkulation_Platten!$C$3:$C$1001,0),MATCH(G$3,Kalkulation_Platten!$C$3:$AM$3,0))</f>
        <v>471</v>
      </c>
      <c r="H146" s="38">
        <f>INDEX(Kalkulation_Platten!$C$3:$AM$1001,MATCH($C146,Kalkulation_Platten!$C$3:$C$1001,0),MATCH(H$3,Kalkulation_Platten!$C$3:$AM$3,0))</f>
        <v>491</v>
      </c>
      <c r="J146" s="37" t="s">
        <v>67</v>
      </c>
      <c r="K146" s="37">
        <v>5305</v>
      </c>
      <c r="L146" s="37" t="str">
        <f>VLOOKUP($C146,Kalkulation_Platten!$C$6:$F$611,3,FALSE)&amp;" / "&amp;VLOOKUP($C146,Kalkulation_Platten!$C$6:$F$611,4,FALSE)</f>
        <v>780 / 360</v>
      </c>
      <c r="M146" s="38">
        <f t="shared" si="43"/>
        <v>409</v>
      </c>
      <c r="N146" s="38">
        <f t="shared" si="43"/>
        <v>576</v>
      </c>
      <c r="O146" s="38">
        <f t="shared" si="43"/>
        <v>542</v>
      </c>
      <c r="P146" s="38">
        <f t="shared" si="43"/>
        <v>565</v>
      </c>
      <c r="T146">
        <f t="shared" si="40"/>
        <v>145</v>
      </c>
      <c r="U146">
        <f t="shared" si="41"/>
        <v>-30</v>
      </c>
      <c r="V146">
        <f t="shared" si="42"/>
        <v>20</v>
      </c>
    </row>
    <row r="147" spans="2:22" ht="17.25" x14ac:dyDescent="0.25">
      <c r="B147" s="37" t="s">
        <v>61</v>
      </c>
      <c r="C147" s="37">
        <v>5306</v>
      </c>
      <c r="D147" s="37" t="str">
        <f>VLOOKUP($C147,Kalkulation_Platten!$C$6:$F$611,3,FALSE)&amp;" / "&amp;VLOOKUP($C147,Kalkulation_Platten!$C$6:$F$611,4,FALSE)</f>
        <v>980 / 180</v>
      </c>
      <c r="E147" s="38">
        <f>INDEX(Kalkulation_Platten!$C$3:$AM$1001,MATCH($C147,Kalkulation_Platten!$C$3:$C$1001,0),MATCH(E$3,Kalkulation_Platten!$C$3:$AM$3,0))</f>
        <v>348</v>
      </c>
      <c r="F147" s="38">
        <f>INDEX(Kalkulation_Platten!$C$3:$AM$1001,MATCH($C147,Kalkulation_Platten!$C$3:$C$1001,0),MATCH(F$3,Kalkulation_Platten!$C$3:$AM$3,0))</f>
        <v>474</v>
      </c>
      <c r="G147" s="38">
        <f>INDEX(Kalkulation_Platten!$C$3:$AM$1001,MATCH($C147,Kalkulation_Platten!$C$3:$C$1001,0),MATCH(G$3,Kalkulation_Platten!$C$3:$AM$3,0))</f>
        <v>417</v>
      </c>
      <c r="H147" s="38">
        <f>INDEX(Kalkulation_Platten!$C$3:$AM$1001,MATCH($C147,Kalkulation_Platten!$C$3:$C$1001,0),MATCH(H$3,Kalkulation_Platten!$C$3:$AM$3,0))</f>
        <v>464</v>
      </c>
      <c r="J147" s="37" t="s">
        <v>67</v>
      </c>
      <c r="K147" s="37">
        <v>5306</v>
      </c>
      <c r="L147" s="37" t="str">
        <f>VLOOKUP($C147,Kalkulation_Platten!$C$6:$F$611,3,FALSE)&amp;" / "&amp;VLOOKUP($C147,Kalkulation_Platten!$C$6:$F$611,4,FALSE)</f>
        <v>980 / 180</v>
      </c>
      <c r="M147" s="38">
        <f t="shared" si="43"/>
        <v>400</v>
      </c>
      <c r="N147" s="38">
        <f t="shared" si="43"/>
        <v>545</v>
      </c>
      <c r="O147" s="38">
        <f t="shared" si="43"/>
        <v>480</v>
      </c>
      <c r="P147" s="38">
        <f t="shared" si="43"/>
        <v>534</v>
      </c>
      <c r="T147">
        <f t="shared" si="40"/>
        <v>126</v>
      </c>
      <c r="U147">
        <f t="shared" si="41"/>
        <v>-57</v>
      </c>
      <c r="V147">
        <f t="shared" si="42"/>
        <v>47</v>
      </c>
    </row>
    <row r="148" spans="2:22" ht="17.25" x14ac:dyDescent="0.25">
      <c r="B148" s="37" t="s">
        <v>61</v>
      </c>
      <c r="C148" s="37">
        <v>5307</v>
      </c>
      <c r="D148" s="37" t="str">
        <f>VLOOKUP($C148,Kalkulation_Platten!$C$6:$F$611,3,FALSE)&amp;" / "&amp;VLOOKUP($C148,Kalkulation_Platten!$C$6:$F$611,4,FALSE)</f>
        <v>980 / 360</v>
      </c>
      <c r="E148" s="38">
        <f>INDEX(Kalkulation_Platten!$C$3:$AM$1001,MATCH($C148,Kalkulation_Platten!$C$3:$C$1001,0),MATCH(E$3,Kalkulation_Platten!$C$3:$AM$3,0))</f>
        <v>429</v>
      </c>
      <c r="F148" s="38">
        <f>INDEX(Kalkulation_Platten!$C$3:$AM$1001,MATCH($C148,Kalkulation_Platten!$C$3:$C$1001,0),MATCH(F$3,Kalkulation_Platten!$C$3:$AM$3,0))</f>
        <v>610</v>
      </c>
      <c r="G148" s="38">
        <f>INDEX(Kalkulation_Platten!$C$3:$AM$1001,MATCH($C148,Kalkulation_Platten!$C$3:$C$1001,0),MATCH(G$3,Kalkulation_Platten!$C$3:$AM$3,0))</f>
        <v>553</v>
      </c>
      <c r="H148" s="38">
        <f>INDEX(Kalkulation_Platten!$C$3:$AM$1001,MATCH($C148,Kalkulation_Platten!$C$3:$C$1001,0),MATCH(H$3,Kalkulation_Platten!$C$3:$AM$3,0))</f>
        <v>600</v>
      </c>
      <c r="J148" s="37" t="s">
        <v>67</v>
      </c>
      <c r="K148" s="37">
        <v>5307</v>
      </c>
      <c r="L148" s="37" t="str">
        <f>VLOOKUP($C148,Kalkulation_Platten!$C$6:$F$611,3,FALSE)&amp;" / "&amp;VLOOKUP($C148,Kalkulation_Platten!$C$6:$F$611,4,FALSE)</f>
        <v>980 / 360</v>
      </c>
      <c r="M148" s="38">
        <f t="shared" si="43"/>
        <v>493</v>
      </c>
      <c r="N148" s="38">
        <f t="shared" si="43"/>
        <v>702</v>
      </c>
      <c r="O148" s="38">
        <f t="shared" si="43"/>
        <v>636</v>
      </c>
      <c r="P148" s="38">
        <f t="shared" si="43"/>
        <v>690</v>
      </c>
      <c r="T148">
        <f t="shared" si="40"/>
        <v>181</v>
      </c>
      <c r="U148">
        <f t="shared" si="41"/>
        <v>-57</v>
      </c>
      <c r="V148">
        <f t="shared" si="42"/>
        <v>47</v>
      </c>
    </row>
    <row r="149" spans="2:22" ht="17.25" x14ac:dyDescent="0.25">
      <c r="B149" s="37"/>
      <c r="C149" s="37"/>
      <c r="D149" s="37"/>
      <c r="E149" s="38"/>
      <c r="F149" s="38"/>
      <c r="G149" s="38"/>
      <c r="H149" s="38"/>
      <c r="J149" s="37"/>
      <c r="K149" s="37"/>
      <c r="L149" s="37"/>
      <c r="M149" s="38"/>
      <c r="N149" s="38"/>
      <c r="O149" s="38"/>
      <c r="P149" s="38"/>
    </row>
    <row r="150" spans="2:22" ht="17.25" x14ac:dyDescent="0.25">
      <c r="B150" s="37"/>
      <c r="C150" s="37"/>
      <c r="D150" s="37"/>
      <c r="E150" s="38"/>
      <c r="F150" s="38"/>
      <c r="G150" s="38"/>
      <c r="H150" s="38"/>
      <c r="J150" s="37"/>
      <c r="K150" s="37"/>
      <c r="L150" s="37"/>
      <c r="M150" s="38"/>
      <c r="N150" s="38"/>
      <c r="O150" s="38"/>
      <c r="P150" s="38"/>
    </row>
    <row r="151" spans="2:22" ht="17.25" x14ac:dyDescent="0.25">
      <c r="B151" s="37"/>
      <c r="C151" s="37"/>
      <c r="D151" s="37"/>
      <c r="E151" s="39"/>
      <c r="F151" s="38"/>
      <c r="G151" s="38"/>
      <c r="H151" s="38"/>
      <c r="J151" s="37"/>
      <c r="K151" s="37"/>
      <c r="L151" s="37"/>
      <c r="M151" s="39"/>
      <c r="N151" s="38"/>
      <c r="O151" s="38"/>
      <c r="P151" s="38"/>
    </row>
    <row r="152" spans="2:22" ht="17.25" x14ac:dyDescent="0.25">
      <c r="B152" s="37"/>
      <c r="C152" s="37"/>
      <c r="D152" s="37"/>
      <c r="E152" s="39"/>
      <c r="F152" s="38"/>
      <c r="G152" s="38"/>
      <c r="H152" s="38"/>
      <c r="J152" s="37"/>
      <c r="K152" s="37"/>
      <c r="L152" s="37"/>
      <c r="M152" s="39"/>
      <c r="N152" s="38"/>
      <c r="O152" s="38"/>
      <c r="P152" s="38"/>
    </row>
    <row r="153" spans="2:22" ht="17.25" x14ac:dyDescent="0.25">
      <c r="B153" s="37"/>
      <c r="C153" s="37"/>
      <c r="D153" s="37"/>
      <c r="E153" s="39"/>
      <c r="F153" s="38"/>
      <c r="G153" s="38"/>
      <c r="H153" s="38"/>
      <c r="J153" s="37"/>
      <c r="K153" s="37"/>
      <c r="L153" s="37"/>
      <c r="M153" s="39"/>
      <c r="N153" s="38"/>
      <c r="O153" s="38"/>
      <c r="P153" s="38"/>
    </row>
    <row r="154" spans="2:22" ht="17.25" x14ac:dyDescent="0.25">
      <c r="B154" s="37"/>
      <c r="C154" s="37"/>
      <c r="D154" s="37"/>
      <c r="E154" s="39"/>
      <c r="F154" s="38"/>
      <c r="G154" s="38"/>
      <c r="H154" s="38"/>
      <c r="J154" s="37"/>
      <c r="K154" s="37"/>
      <c r="L154" s="37"/>
      <c r="M154" s="39"/>
      <c r="N154" s="38"/>
      <c r="O154" s="38"/>
      <c r="P154" s="38"/>
    </row>
    <row r="155" spans="2:22" ht="17.25" x14ac:dyDescent="0.25">
      <c r="B155" s="37"/>
      <c r="C155" s="37"/>
      <c r="D155" s="37"/>
      <c r="E155" s="39"/>
      <c r="F155" s="38"/>
      <c r="G155" s="38"/>
      <c r="H155" s="38"/>
      <c r="J155" s="37"/>
      <c r="K155" s="37"/>
      <c r="L155" s="37"/>
      <c r="M155" s="39"/>
      <c r="N155" s="38"/>
      <c r="O155" s="38"/>
      <c r="P155" s="38"/>
    </row>
    <row r="156" spans="2:22" ht="17.25" x14ac:dyDescent="0.25">
      <c r="B156" s="37"/>
      <c r="C156" s="37"/>
      <c r="D156" s="37"/>
      <c r="E156" s="39"/>
      <c r="F156" s="38"/>
      <c r="G156" s="38"/>
      <c r="H156" s="38"/>
      <c r="J156" s="37"/>
      <c r="K156" s="37"/>
      <c r="L156" s="37"/>
      <c r="M156" s="39"/>
      <c r="N156" s="38"/>
      <c r="O156" s="38"/>
      <c r="P156" s="38"/>
    </row>
  </sheetData>
  <mergeCells count="2">
    <mergeCell ref="B1:H1"/>
    <mergeCell ref="J1:P1"/>
  </mergeCells>
  <conditionalFormatting sqref="T4:V14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{0CA4B0CD-3B22-4745-AD05-4630B984DA4B}</x14:id>
        </ext>
      </extLst>
    </cfRule>
  </conditionalFormatting>
  <pageMargins left="0.7" right="0.7" top="0.78740157499999996" bottom="0.78740157499999996" header="0.3" footer="0.3"/>
  <pageSetup paperSize="9" orientation="portrait" r:id="rId1"/>
  <tableParts count="1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A4B0CD-3B22-4745-AD05-4630B984DA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T4:V148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AN611"/>
  <sheetViews>
    <sheetView zoomScale="85" zoomScaleNormal="85" workbookViewId="0">
      <pane xSplit="6" ySplit="5" topLeftCell="G518" activePane="bottomRight" state="frozen"/>
      <selection pane="topRight" activeCell="G1" sqref="G1"/>
      <selection pane="bottomLeft" activeCell="A6" sqref="A6"/>
      <selection pane="bottomRight" activeCell="B551" sqref="B551"/>
    </sheetView>
  </sheetViews>
  <sheetFormatPr baseColWidth="10" defaultColWidth="11.42578125" defaultRowHeight="15" outlineLevelRow="1" outlineLevelCol="1" x14ac:dyDescent="0.25"/>
  <cols>
    <col min="1" max="1" width="11.28515625" bestFit="1" customWidth="1"/>
    <col min="2" max="2" width="28.7109375" bestFit="1" customWidth="1"/>
    <col min="3" max="3" width="11.42578125" customWidth="1"/>
    <col min="4" max="4" width="26.140625" customWidth="1"/>
    <col min="5" max="6" width="5.28515625" customWidth="1"/>
    <col min="7" max="7" width="5.140625" customWidth="1"/>
    <col min="8" max="8" width="5.5703125" customWidth="1"/>
    <col min="9" max="9" width="9.28515625" style="43" customWidth="1" outlineLevel="1"/>
    <col min="10" max="10" width="8.5703125" style="43" customWidth="1" outlineLevel="1"/>
    <col min="11" max="11" width="11.42578125" style="1" customWidth="1" outlineLevel="1"/>
    <col min="12" max="15" width="13.42578125" customWidth="1" outlineLevel="1"/>
    <col min="16" max="16" width="9" style="17" bestFit="1" customWidth="1"/>
    <col min="17" max="17" width="11.42578125" style="1" customWidth="1" outlineLevel="1"/>
    <col min="18" max="21" width="13.42578125" customWidth="1" outlineLevel="1"/>
    <col min="22" max="22" width="13.42578125" customWidth="1"/>
    <col min="23" max="23" width="11.42578125" style="1" customWidth="1" outlineLevel="1"/>
    <col min="24" max="27" width="13.42578125" customWidth="1" outlineLevel="1"/>
    <col min="28" max="28" width="9.42578125" customWidth="1"/>
    <col min="29" max="29" width="11.42578125" style="1" customWidth="1" outlineLevel="1"/>
    <col min="30" max="33" width="13.42578125" customWidth="1" outlineLevel="1"/>
    <col min="34" max="34" width="9.5703125" customWidth="1" outlineLevel="1"/>
    <col min="35" max="35" width="8" bestFit="1" customWidth="1"/>
    <col min="36" max="37" width="13.42578125" customWidth="1" outlineLevel="1"/>
    <col min="38" max="38" width="11.42578125" customWidth="1" outlineLevel="1"/>
    <col min="39" max="39" width="13.42578125" customWidth="1" outlineLevel="1"/>
    <col min="40" max="40" width="4" customWidth="1"/>
    <col min="41" max="43" width="2.5703125" customWidth="1"/>
  </cols>
  <sheetData>
    <row r="1" spans="1:40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12</v>
      </c>
      <c r="L1">
        <v>13</v>
      </c>
      <c r="M1">
        <v>14</v>
      </c>
      <c r="N1">
        <v>15</v>
      </c>
      <c r="O1">
        <v>16</v>
      </c>
      <c r="P1">
        <v>17</v>
      </c>
      <c r="Q1">
        <v>21</v>
      </c>
      <c r="R1">
        <v>22</v>
      </c>
      <c r="S1">
        <v>23</v>
      </c>
      <c r="T1">
        <v>24</v>
      </c>
      <c r="U1">
        <v>25</v>
      </c>
      <c r="V1">
        <v>26</v>
      </c>
      <c r="W1">
        <v>30</v>
      </c>
      <c r="X1">
        <v>31</v>
      </c>
      <c r="Y1">
        <v>32</v>
      </c>
      <c r="Z1">
        <v>33</v>
      </c>
      <c r="AA1">
        <v>34</v>
      </c>
      <c r="AB1">
        <v>35</v>
      </c>
      <c r="AC1">
        <v>36</v>
      </c>
      <c r="AD1">
        <v>37</v>
      </c>
      <c r="AE1">
        <v>38</v>
      </c>
      <c r="AF1">
        <v>39</v>
      </c>
      <c r="AG1">
        <v>40</v>
      </c>
      <c r="AH1">
        <v>41</v>
      </c>
      <c r="AI1">
        <v>42</v>
      </c>
      <c r="AJ1">
        <v>43</v>
      </c>
      <c r="AK1">
        <v>44</v>
      </c>
      <c r="AL1">
        <v>45</v>
      </c>
      <c r="AM1">
        <v>46</v>
      </c>
      <c r="AN1">
        <v>47</v>
      </c>
    </row>
    <row r="2" spans="1:40" x14ac:dyDescent="0.25">
      <c r="I2" s="43" t="s">
        <v>178</v>
      </c>
      <c r="J2" s="98">
        <v>5</v>
      </c>
      <c r="K2" t="s">
        <v>179</v>
      </c>
      <c r="L2" s="89">
        <v>0.03</v>
      </c>
      <c r="M2" t="s">
        <v>180</v>
      </c>
      <c r="N2" s="27">
        <v>10</v>
      </c>
      <c r="P2" s="43" t="s">
        <v>178</v>
      </c>
      <c r="Q2" s="98">
        <v>20</v>
      </c>
      <c r="R2" t="s">
        <v>179</v>
      </c>
      <c r="S2" s="89">
        <v>0.03</v>
      </c>
      <c r="T2" t="s">
        <v>180</v>
      </c>
      <c r="U2" s="27">
        <v>10</v>
      </c>
      <c r="V2" s="43" t="s">
        <v>178</v>
      </c>
      <c r="W2" s="98">
        <v>10</v>
      </c>
      <c r="X2" t="s">
        <v>179</v>
      </c>
      <c r="Y2" s="89">
        <v>0.03</v>
      </c>
      <c r="Z2" t="s">
        <v>180</v>
      </c>
      <c r="AA2" s="27">
        <v>10</v>
      </c>
      <c r="AB2" s="43" t="s">
        <v>178</v>
      </c>
      <c r="AC2" s="98">
        <v>10</v>
      </c>
      <c r="AD2" t="s">
        <v>179</v>
      </c>
      <c r="AE2" s="89">
        <v>0.03</v>
      </c>
      <c r="AF2" t="s">
        <v>180</v>
      </c>
      <c r="AG2" s="27">
        <v>10</v>
      </c>
      <c r="AJ2" s="19">
        <v>0.1</v>
      </c>
      <c r="AK2" s="19">
        <v>0.1</v>
      </c>
      <c r="AL2" s="19">
        <v>0.1</v>
      </c>
      <c r="AM2" s="19">
        <v>0.1</v>
      </c>
    </row>
    <row r="3" spans="1:40" x14ac:dyDescent="0.25">
      <c r="I3" s="91"/>
      <c r="J3" s="91"/>
      <c r="K3" s="91" t="s">
        <v>52</v>
      </c>
      <c r="L3" s="112" t="s">
        <v>147</v>
      </c>
      <c r="M3" s="112"/>
      <c r="N3" s="112"/>
      <c r="O3" s="112"/>
      <c r="P3" s="10"/>
      <c r="Q3" s="91" t="s">
        <v>51</v>
      </c>
      <c r="R3" s="112" t="s">
        <v>181</v>
      </c>
      <c r="S3" s="112"/>
      <c r="T3" s="112"/>
      <c r="U3" s="112"/>
      <c r="V3" s="95"/>
      <c r="W3" s="91" t="s">
        <v>50</v>
      </c>
      <c r="X3" s="112" t="s">
        <v>149</v>
      </c>
      <c r="Y3" s="112"/>
      <c r="Z3" s="112"/>
      <c r="AA3" s="112"/>
      <c r="AB3" s="10"/>
      <c r="AC3" s="92" t="s">
        <v>49</v>
      </c>
      <c r="AD3" s="113" t="s">
        <v>150</v>
      </c>
      <c r="AE3" s="113"/>
      <c r="AF3" s="113"/>
      <c r="AG3" s="113"/>
      <c r="AH3" s="10"/>
      <c r="AI3" s="10"/>
      <c r="AJ3" s="10" t="s">
        <v>60</v>
      </c>
      <c r="AK3" s="10" t="s">
        <v>60</v>
      </c>
      <c r="AL3" s="10" t="s">
        <v>60</v>
      </c>
      <c r="AM3" s="10" t="s">
        <v>60</v>
      </c>
    </row>
    <row r="4" spans="1:40" s="53" customFormat="1" x14ac:dyDescent="0.25">
      <c r="A4" s="54" t="s">
        <v>182</v>
      </c>
      <c r="B4" s="54" t="s">
        <v>58</v>
      </c>
      <c r="C4" s="54" t="s">
        <v>59</v>
      </c>
      <c r="D4" s="54" t="s">
        <v>57</v>
      </c>
      <c r="E4" s="54" t="s">
        <v>56</v>
      </c>
      <c r="F4" s="54" t="s">
        <v>55</v>
      </c>
      <c r="G4" s="54"/>
      <c r="H4" s="54"/>
      <c r="I4" s="55" t="s">
        <v>54</v>
      </c>
      <c r="J4" s="55" t="s">
        <v>53</v>
      </c>
      <c r="K4" s="56" t="s">
        <v>89</v>
      </c>
      <c r="L4" s="57" t="s">
        <v>62</v>
      </c>
      <c r="M4" s="57" t="s">
        <v>69</v>
      </c>
      <c r="N4" s="57" t="s">
        <v>70</v>
      </c>
      <c r="O4" s="58" t="s">
        <v>71</v>
      </c>
      <c r="P4" s="59"/>
      <c r="Q4" s="56" t="s">
        <v>89</v>
      </c>
      <c r="R4" s="57" t="s">
        <v>62</v>
      </c>
      <c r="S4" s="57" t="s">
        <v>69</v>
      </c>
      <c r="T4" s="57" t="s">
        <v>70</v>
      </c>
      <c r="U4" s="58" t="s">
        <v>71</v>
      </c>
      <c r="V4" s="59">
        <f>AVERAGE(R6:R611)/AVERAGE(L6:L611)</f>
        <v>1.9682651700016267</v>
      </c>
      <c r="W4" s="56" t="s">
        <v>89</v>
      </c>
      <c r="X4" s="57" t="s">
        <v>62</v>
      </c>
      <c r="Y4" s="57" t="s">
        <v>69</v>
      </c>
      <c r="Z4" s="57" t="s">
        <v>70</v>
      </c>
      <c r="AA4" s="58" t="s">
        <v>71</v>
      </c>
      <c r="AB4" s="59">
        <f>AVERAGE(X6:X611)/AVERAGE(R6:R611)</f>
        <v>0.51822192871691986</v>
      </c>
      <c r="AC4" s="56" t="s">
        <v>89</v>
      </c>
      <c r="AD4" s="57" t="s">
        <v>62</v>
      </c>
      <c r="AE4" s="57" t="s">
        <v>69</v>
      </c>
      <c r="AF4" s="57" t="s">
        <v>70</v>
      </c>
      <c r="AG4" s="58" t="s">
        <v>71</v>
      </c>
      <c r="AH4" s="59">
        <f>AVERAGE(AD6:AD611)/AVERAGE(X6:X611)</f>
        <v>1.8811600534810027</v>
      </c>
      <c r="AI4" s="59"/>
      <c r="AJ4" s="60" t="s">
        <v>52</v>
      </c>
      <c r="AK4" s="60" t="s">
        <v>51</v>
      </c>
      <c r="AL4" s="61" t="s">
        <v>50</v>
      </c>
      <c r="AM4" s="61" t="s">
        <v>49</v>
      </c>
    </row>
    <row r="5" spans="1:40" s="14" customFormat="1" x14ac:dyDescent="0.25">
      <c r="A5" s="32"/>
      <c r="B5" s="5" t="s">
        <v>38</v>
      </c>
      <c r="C5" s="5"/>
      <c r="D5" s="5"/>
      <c r="E5" s="5"/>
      <c r="F5" s="5"/>
      <c r="G5" s="5"/>
      <c r="H5" s="5"/>
      <c r="I5" s="41">
        <f>AVERAGE(I$6:I$56)</f>
        <v>0.38635000000000003</v>
      </c>
      <c r="J5" s="103">
        <v>34</v>
      </c>
      <c r="K5" s="41">
        <f>AVERAGE(K$6:K$56)</f>
        <v>24.313725490196077</v>
      </c>
      <c r="L5" s="11"/>
      <c r="M5" s="15">
        <f>AVERAGE(M6:M56)</f>
        <v>0.48864829945905569</v>
      </c>
      <c r="N5" s="15"/>
      <c r="O5" s="15"/>
      <c r="P5" s="15"/>
      <c r="Q5" s="15"/>
      <c r="R5" s="15"/>
      <c r="S5" s="15">
        <f>AVERAGE(S6:S56)</f>
        <v>0.49431021384176355</v>
      </c>
      <c r="T5" s="15"/>
      <c r="U5" s="15"/>
      <c r="V5" s="15"/>
      <c r="W5" s="15"/>
      <c r="X5" s="15"/>
      <c r="Y5" s="15">
        <f>AVERAGE(Y6:Y56)</f>
        <v>0.44184308983895076</v>
      </c>
      <c r="Z5" s="15"/>
      <c r="AA5" s="15"/>
      <c r="AB5" s="52"/>
      <c r="AC5" s="31">
        <v>0.45</v>
      </c>
      <c r="AD5" s="15"/>
      <c r="AE5" s="15"/>
      <c r="AF5" s="15"/>
      <c r="AG5" s="15"/>
      <c r="AH5" s="52"/>
      <c r="AI5" s="63"/>
      <c r="AJ5" s="4"/>
      <c r="AK5" s="4"/>
      <c r="AL5" s="4"/>
      <c r="AM5" s="4"/>
      <c r="AN5" s="32"/>
    </row>
    <row r="6" spans="1:40" outlineLevel="1" x14ac:dyDescent="0.25">
      <c r="A6" t="s">
        <v>38</v>
      </c>
      <c r="B6" s="7" t="str">
        <f t="shared" ref="B6:B37" si="0">IF(OR(E6="-",F6="-"),"-",D6&amp;" ("&amp;E6&amp;"x"&amp;F6&amp;")")</f>
        <v>Boden (360x360)</v>
      </c>
      <c r="C6">
        <v>3000</v>
      </c>
      <c r="D6" s="7" t="s">
        <v>38</v>
      </c>
      <c r="E6" s="9">
        <v>360</v>
      </c>
      <c r="F6" s="9">
        <v>360</v>
      </c>
      <c r="G6" s="9"/>
      <c r="H6" s="9"/>
      <c r="I6" s="45">
        <f>+IF($E6="","",MAX($E6,360)/1000*MAX($F6,360)/1000)</f>
        <v>0.12959999999999999</v>
      </c>
      <c r="J6" s="46">
        <f>IF($F6="","",2*MAX($E6,360)/1000+2*MAX($F6,360)/1000)</f>
        <v>1.44</v>
      </c>
      <c r="K6" s="62">
        <f>+IFERROR(MAX($J$5,ROUND(L6*(1+L$2)^N$2+J$2,0)),0)</f>
        <v>34</v>
      </c>
      <c r="L6" s="28">
        <v>18</v>
      </c>
      <c r="M6" s="13">
        <f t="shared" ref="M6:M37" si="1">IFERROR(K6/L6-1,"-")</f>
        <v>0.88888888888888884</v>
      </c>
      <c r="N6" s="12">
        <f t="shared" ref="N6:N69" si="2">IFERROR(K6-L6,"-")</f>
        <v>16</v>
      </c>
      <c r="O6" s="30" t="s">
        <v>72</v>
      </c>
      <c r="Q6" s="62">
        <f>+IFERROR(IF(AND(R6="-",K6&gt;0),ROUND(V$4*K6,0),ROUND(R6*(1+S$2)^U$2+Q$2,0)),0)</f>
        <v>114</v>
      </c>
      <c r="R6" s="28">
        <v>70</v>
      </c>
      <c r="S6" s="13">
        <f t="shared" ref="S6:S37" si="3">IFERROR(Q6/R6-1,"-")</f>
        <v>0.62857142857142856</v>
      </c>
      <c r="T6" s="12">
        <f t="shared" ref="T6:T68" si="4">IFERROR(Q6-R6,"-")</f>
        <v>44</v>
      </c>
      <c r="U6" s="30" t="s">
        <v>72</v>
      </c>
      <c r="V6" s="30"/>
      <c r="W6" s="62">
        <f>+IFERROR(IF(AND(X6="-",Q6&gt;0),ROUND(AB$4*Q6,0),ROUND(X6*(1+Y$2)^AA$2+W$2,0)),0)</f>
        <v>89</v>
      </c>
      <c r="X6" s="28">
        <v>59</v>
      </c>
      <c r="Y6" s="13">
        <f t="shared" ref="Y6:Y37" si="5">IFERROR(W6/X6-1,"-")</f>
        <v>0.50847457627118642</v>
      </c>
      <c r="Z6" s="12">
        <f t="shared" ref="Z6:Z69" si="6">IFERROR(W6-X6,"-")</f>
        <v>30</v>
      </c>
      <c r="AA6" s="30" t="s">
        <v>72</v>
      </c>
      <c r="AB6" s="64">
        <f>+AC6-W6</f>
        <v>88</v>
      </c>
      <c r="AC6" s="62">
        <f>+IFERROR(IF(AND(AD6="-",W6&gt;0),ROUND(AH$4*W6,0),ROUND(AD6*(1+AE$2)^AG$2+AC$2,0)),0)</f>
        <v>177</v>
      </c>
      <c r="AD6" s="28">
        <v>124</v>
      </c>
      <c r="AE6" s="13">
        <f t="shared" ref="AE6:AE37" si="7">IFERROR(AC6/AD6-1,"-")</f>
        <v>0.42741935483870974</v>
      </c>
      <c r="AF6" s="12">
        <f t="shared" ref="AF6:AF69" si="8">IFERROR(AC6-AD6,"-")</f>
        <v>53</v>
      </c>
      <c r="AG6" s="30" t="s">
        <v>72</v>
      </c>
      <c r="AH6" s="17"/>
      <c r="AI6" s="17"/>
      <c r="AJ6" s="2">
        <f t="shared" ref="AJ6:AJ34" si="9">+IFERROR(ROUND(K6*(1+AJ$2),0),"-")</f>
        <v>37</v>
      </c>
      <c r="AK6" s="2">
        <f t="shared" ref="AK6:AK34" si="10">+IFERROR(ROUND(Q6*(1+AK$2),0),"-")</f>
        <v>125</v>
      </c>
      <c r="AL6" s="2">
        <f t="shared" ref="AL6:AL34" si="11">+IFERROR(ROUND(AC6*(1+AL$2),0),"-")</f>
        <v>195</v>
      </c>
      <c r="AM6" s="2">
        <f t="shared" ref="AM6:AM34" si="12">+IFERROR(ROUND(W6*(1+AM$2),0),"-")</f>
        <v>98</v>
      </c>
    </row>
    <row r="7" spans="1:40" outlineLevel="1" x14ac:dyDescent="0.25">
      <c r="A7" t="s">
        <v>38</v>
      </c>
      <c r="B7" s="7" t="str">
        <f t="shared" si="0"/>
        <v>Boden (420x360)</v>
      </c>
      <c r="C7">
        <v>3001</v>
      </c>
      <c r="D7" s="7" t="s">
        <v>38</v>
      </c>
      <c r="E7" s="9">
        <v>420</v>
      </c>
      <c r="F7" s="9">
        <v>360</v>
      </c>
      <c r="G7" s="9"/>
      <c r="H7" s="9"/>
      <c r="I7" s="45">
        <f t="shared" ref="I7:I70" si="13">+IF($E7="","",MAX($E7,360)/1000*MAX($F7,360)/1000)</f>
        <v>0.1512</v>
      </c>
      <c r="J7" s="46">
        <f t="shared" ref="J7:J70" si="14">IF($F7="","",2*MAX($E7,360)/1000+2*MAX($F7,360)/1000)</f>
        <v>1.56</v>
      </c>
      <c r="K7" s="62">
        <f t="shared" ref="K7:K70" si="15">+IFERROR(MAX($J$5,ROUND(L7*(1+L$2)^N$2+J$2,0)),0)</f>
        <v>34</v>
      </c>
      <c r="L7" s="28">
        <v>21</v>
      </c>
      <c r="M7" s="13">
        <f t="shared" si="1"/>
        <v>0.61904761904761907</v>
      </c>
      <c r="N7" s="12">
        <f t="shared" si="2"/>
        <v>13</v>
      </c>
      <c r="O7" s="30" t="s">
        <v>72</v>
      </c>
      <c r="Q7" s="62">
        <f t="shared" ref="Q7:Q70" si="16">+IFERROR(IF(AND(R7="-",K7&gt;0),ROUND(V$4*K7,0),ROUND(R7*(1+S$2)^U$2+Q$2,0)),0)</f>
        <v>121</v>
      </c>
      <c r="R7" s="28">
        <v>75</v>
      </c>
      <c r="S7" s="13">
        <f t="shared" si="3"/>
        <v>0.61333333333333329</v>
      </c>
      <c r="T7" s="12">
        <f t="shared" si="4"/>
        <v>46</v>
      </c>
      <c r="U7" s="30" t="s">
        <v>72</v>
      </c>
      <c r="V7" s="30"/>
      <c r="W7" s="62">
        <f t="shared" ref="W7:W70" si="17">+IFERROR(IF(AND(X7="-",Q7&gt;0),ROUND(AB$4*Q7,0),ROUND(X7*(1+Y$2)^AA$2+W$2,0)),0)</f>
        <v>92</v>
      </c>
      <c r="X7" s="28">
        <v>61</v>
      </c>
      <c r="Y7" s="13">
        <f t="shared" si="5"/>
        <v>0.50819672131147531</v>
      </c>
      <c r="Z7" s="12">
        <f t="shared" si="6"/>
        <v>31</v>
      </c>
      <c r="AA7" s="30" t="s">
        <v>72</v>
      </c>
      <c r="AB7" s="64">
        <f t="shared" ref="AB7:AB21" si="18">+AC7-W7</f>
        <v>86</v>
      </c>
      <c r="AC7" s="62">
        <f t="shared" ref="AC7:AC70" si="19">+IFERROR(IF(AND(AD7="-",W7&gt;0),ROUND(AH$4*W7,0),ROUND(AD7*(1+AE$2)^AG$2+AC$2,0)),0)</f>
        <v>178</v>
      </c>
      <c r="AD7" s="28">
        <v>125</v>
      </c>
      <c r="AE7" s="13">
        <f t="shared" si="7"/>
        <v>0.42399999999999993</v>
      </c>
      <c r="AF7" s="12">
        <f t="shared" si="8"/>
        <v>53</v>
      </c>
      <c r="AG7" s="30" t="s">
        <v>72</v>
      </c>
      <c r="AH7" s="17"/>
      <c r="AI7" s="17"/>
      <c r="AJ7" s="2">
        <f t="shared" si="9"/>
        <v>37</v>
      </c>
      <c r="AK7" s="2">
        <f t="shared" si="10"/>
        <v>133</v>
      </c>
      <c r="AL7" s="2">
        <f t="shared" si="11"/>
        <v>196</v>
      </c>
      <c r="AM7" s="2">
        <f t="shared" si="12"/>
        <v>101</v>
      </c>
    </row>
    <row r="8" spans="1:40" outlineLevel="1" x14ac:dyDescent="0.25">
      <c r="A8" t="s">
        <v>38</v>
      </c>
      <c r="B8" s="7" t="str">
        <f t="shared" si="0"/>
        <v>Boden (580x360)</v>
      </c>
      <c r="C8">
        <v>3002</v>
      </c>
      <c r="D8" s="7" t="s">
        <v>38</v>
      </c>
      <c r="E8" s="9">
        <v>580</v>
      </c>
      <c r="F8" s="9">
        <v>360</v>
      </c>
      <c r="G8" s="9"/>
      <c r="H8" s="9"/>
      <c r="I8" s="45">
        <f t="shared" si="13"/>
        <v>0.20879999999999999</v>
      </c>
      <c r="J8" s="46">
        <f t="shared" si="14"/>
        <v>1.88</v>
      </c>
      <c r="K8" s="62">
        <f t="shared" si="15"/>
        <v>43</v>
      </c>
      <c r="L8" s="28">
        <v>28</v>
      </c>
      <c r="M8" s="13">
        <f t="shared" si="1"/>
        <v>0.53571428571428581</v>
      </c>
      <c r="N8" s="12">
        <f t="shared" si="2"/>
        <v>15</v>
      </c>
      <c r="O8" s="30" t="s">
        <v>72</v>
      </c>
      <c r="Q8" s="62">
        <f t="shared" si="16"/>
        <v>161</v>
      </c>
      <c r="R8" s="28">
        <v>105</v>
      </c>
      <c r="S8" s="13">
        <f t="shared" si="3"/>
        <v>0.53333333333333344</v>
      </c>
      <c r="T8" s="12">
        <f t="shared" si="4"/>
        <v>56</v>
      </c>
      <c r="U8" s="30" t="s">
        <v>72</v>
      </c>
      <c r="V8" s="30"/>
      <c r="W8" s="62">
        <f>+IFERROR(IF(AND(X8="-",Q8&gt;0),ROUND(AB$4*Q8,0),ROUND(X8*(1+Y$2)^AA$2+W$2,0)),0)</f>
        <v>130</v>
      </c>
      <c r="X8" s="28">
        <v>89</v>
      </c>
      <c r="Y8" s="13">
        <f t="shared" si="5"/>
        <v>0.4606741573033708</v>
      </c>
      <c r="Z8" s="12">
        <f t="shared" si="6"/>
        <v>41</v>
      </c>
      <c r="AA8" s="30" t="s">
        <v>72</v>
      </c>
      <c r="AB8" s="64">
        <f t="shared" si="18"/>
        <v>55</v>
      </c>
      <c r="AC8" s="62">
        <f>+IFERROR(IF(AND(AD8="-",W8&gt;0),ROUND(AH$4*W8,0),ROUND(AD8*(1+AE$2)^AG$2+AC$2,0)),0)</f>
        <v>185</v>
      </c>
      <c r="AD8" s="28">
        <v>130</v>
      </c>
      <c r="AE8" s="13">
        <f t="shared" si="7"/>
        <v>0.42307692307692313</v>
      </c>
      <c r="AF8" s="12">
        <f t="shared" si="8"/>
        <v>55</v>
      </c>
      <c r="AG8" s="30" t="s">
        <v>72</v>
      </c>
      <c r="AH8" s="17"/>
      <c r="AI8" s="17"/>
      <c r="AJ8" s="2">
        <f t="shared" si="9"/>
        <v>47</v>
      </c>
      <c r="AK8" s="2">
        <f t="shared" si="10"/>
        <v>177</v>
      </c>
      <c r="AL8" s="2">
        <f t="shared" si="11"/>
        <v>204</v>
      </c>
      <c r="AM8" s="2">
        <f t="shared" si="12"/>
        <v>143</v>
      </c>
    </row>
    <row r="9" spans="1:40" outlineLevel="1" x14ac:dyDescent="0.25">
      <c r="A9" t="s">
        <v>38</v>
      </c>
      <c r="B9" s="7" t="str">
        <f t="shared" si="0"/>
        <v>Boden (780x360)</v>
      </c>
      <c r="C9">
        <v>3003</v>
      </c>
      <c r="D9" s="7" t="s">
        <v>38</v>
      </c>
      <c r="E9" s="9">
        <v>780</v>
      </c>
      <c r="F9" s="9">
        <v>360</v>
      </c>
      <c r="G9" s="9"/>
      <c r="H9" s="9"/>
      <c r="I9" s="45">
        <f t="shared" si="13"/>
        <v>0.28079999999999999</v>
      </c>
      <c r="J9" s="46">
        <f t="shared" si="14"/>
        <v>2.2800000000000002</v>
      </c>
      <c r="K9" s="62">
        <f t="shared" si="15"/>
        <v>56</v>
      </c>
      <c r="L9" s="28">
        <v>38</v>
      </c>
      <c r="M9" s="13">
        <f t="shared" si="1"/>
        <v>0.47368421052631571</v>
      </c>
      <c r="N9" s="12">
        <f t="shared" si="2"/>
        <v>18</v>
      </c>
      <c r="O9" s="30" t="s">
        <v>72</v>
      </c>
      <c r="Q9" s="62">
        <f t="shared" si="16"/>
        <v>185</v>
      </c>
      <c r="R9" s="28">
        <v>123</v>
      </c>
      <c r="S9" s="13">
        <f t="shared" si="3"/>
        <v>0.50406504065040658</v>
      </c>
      <c r="T9" s="12">
        <f t="shared" si="4"/>
        <v>62</v>
      </c>
      <c r="U9" s="30" t="s">
        <v>72</v>
      </c>
      <c r="V9" s="30"/>
      <c r="W9" s="62">
        <f>+IFERROR(IF(AND(X9="-",Q9&gt;0),ROUND(AB$4*Q9,0),ROUND(X9*(1+Y$2)^AA$2+W$2,0)),0)</f>
        <v>144</v>
      </c>
      <c r="X9" s="28">
        <v>100</v>
      </c>
      <c r="Y9" s="13">
        <f t="shared" si="5"/>
        <v>0.43999999999999995</v>
      </c>
      <c r="Z9" s="12">
        <f t="shared" si="6"/>
        <v>44</v>
      </c>
      <c r="AA9" s="30" t="s">
        <v>72</v>
      </c>
      <c r="AB9" s="64">
        <f t="shared" si="18"/>
        <v>46</v>
      </c>
      <c r="AC9" s="62">
        <f>+IFERROR(IF(AND(AD9="-",W9&gt;0),ROUND(AH$4*W9,0),ROUND(AD9*(1+AE$2)^AG$2+AC$2,0)),0)</f>
        <v>190</v>
      </c>
      <c r="AD9" s="28">
        <v>134</v>
      </c>
      <c r="AE9" s="13">
        <f t="shared" si="7"/>
        <v>0.41791044776119413</v>
      </c>
      <c r="AF9" s="12">
        <f t="shared" si="8"/>
        <v>56</v>
      </c>
      <c r="AG9" s="30" t="s">
        <v>72</v>
      </c>
      <c r="AH9" s="17"/>
      <c r="AI9" s="17"/>
      <c r="AJ9" s="2">
        <f t="shared" si="9"/>
        <v>62</v>
      </c>
      <c r="AK9" s="2">
        <f t="shared" si="10"/>
        <v>204</v>
      </c>
      <c r="AL9" s="2">
        <f t="shared" si="11"/>
        <v>209</v>
      </c>
      <c r="AM9" s="2">
        <f t="shared" si="12"/>
        <v>158</v>
      </c>
    </row>
    <row r="10" spans="1:40" outlineLevel="1" x14ac:dyDescent="0.25">
      <c r="A10" t="s">
        <v>38</v>
      </c>
      <c r="B10" s="7" t="str">
        <f t="shared" si="0"/>
        <v>Boden (980x360)</v>
      </c>
      <c r="C10">
        <v>3004</v>
      </c>
      <c r="D10" s="7" t="s">
        <v>38</v>
      </c>
      <c r="E10" s="9">
        <v>980</v>
      </c>
      <c r="F10" s="9">
        <v>360</v>
      </c>
      <c r="G10" s="9"/>
      <c r="H10" s="9"/>
      <c r="I10" s="45">
        <f t="shared" si="13"/>
        <v>0.3528</v>
      </c>
      <c r="J10" s="46">
        <f t="shared" si="14"/>
        <v>2.6799999999999997</v>
      </c>
      <c r="K10" s="62">
        <f t="shared" si="15"/>
        <v>70</v>
      </c>
      <c r="L10" s="28">
        <v>48</v>
      </c>
      <c r="M10" s="13">
        <f t="shared" si="1"/>
        <v>0.45833333333333326</v>
      </c>
      <c r="N10" s="12">
        <f t="shared" si="2"/>
        <v>22</v>
      </c>
      <c r="O10" s="30" t="s">
        <v>72</v>
      </c>
      <c r="Q10" s="62">
        <f t="shared" si="16"/>
        <v>223</v>
      </c>
      <c r="R10" s="28">
        <v>151</v>
      </c>
      <c r="S10" s="13">
        <f t="shared" si="3"/>
        <v>0.47682119205298013</v>
      </c>
      <c r="T10" s="12">
        <f t="shared" si="4"/>
        <v>72</v>
      </c>
      <c r="U10" s="30" t="s">
        <v>72</v>
      </c>
      <c r="V10" s="30"/>
      <c r="W10" s="62">
        <f t="shared" si="17"/>
        <v>174</v>
      </c>
      <c r="X10" s="28">
        <v>122</v>
      </c>
      <c r="Y10" s="13">
        <f t="shared" si="5"/>
        <v>0.42622950819672134</v>
      </c>
      <c r="Z10" s="12">
        <f t="shared" si="6"/>
        <v>52</v>
      </c>
      <c r="AA10" s="30" t="s">
        <v>72</v>
      </c>
      <c r="AB10" s="64">
        <f t="shared" si="18"/>
        <v>35</v>
      </c>
      <c r="AC10" s="62">
        <f t="shared" si="19"/>
        <v>209</v>
      </c>
      <c r="AD10" s="28">
        <v>148</v>
      </c>
      <c r="AE10" s="13">
        <f t="shared" si="7"/>
        <v>0.41216216216216206</v>
      </c>
      <c r="AF10" s="12">
        <f t="shared" si="8"/>
        <v>61</v>
      </c>
      <c r="AG10" s="30" t="s">
        <v>72</v>
      </c>
      <c r="AH10" s="17"/>
      <c r="AI10" s="17"/>
      <c r="AJ10" s="2">
        <f t="shared" si="9"/>
        <v>77</v>
      </c>
      <c r="AK10" s="2">
        <f t="shared" si="10"/>
        <v>245</v>
      </c>
      <c r="AL10" s="2">
        <f t="shared" si="11"/>
        <v>230</v>
      </c>
      <c r="AM10" s="2">
        <f t="shared" si="12"/>
        <v>191</v>
      </c>
    </row>
    <row r="11" spans="1:40" outlineLevel="1" x14ac:dyDescent="0.25">
      <c r="A11" t="s">
        <v>38</v>
      </c>
      <c r="B11" s="7" t="str">
        <f t="shared" si="0"/>
        <v>Boden (360x580)</v>
      </c>
      <c r="C11">
        <v>3005</v>
      </c>
      <c r="D11" s="7" t="s">
        <v>38</v>
      </c>
      <c r="E11" s="9">
        <v>360</v>
      </c>
      <c r="F11" s="9">
        <v>580</v>
      </c>
      <c r="G11" s="9"/>
      <c r="H11" s="9"/>
      <c r="I11" s="45">
        <f t="shared" si="13"/>
        <v>0.20879999999999999</v>
      </c>
      <c r="J11" s="46">
        <f t="shared" si="14"/>
        <v>1.88</v>
      </c>
      <c r="K11" s="62">
        <f t="shared" si="15"/>
        <v>43</v>
      </c>
      <c r="L11" s="28">
        <v>28</v>
      </c>
      <c r="M11" s="13">
        <f t="shared" si="1"/>
        <v>0.53571428571428581</v>
      </c>
      <c r="N11" s="12">
        <f t="shared" si="2"/>
        <v>15</v>
      </c>
      <c r="O11" s="30" t="s">
        <v>72</v>
      </c>
      <c r="Q11" s="62">
        <f t="shared" si="16"/>
        <v>161</v>
      </c>
      <c r="R11" s="28">
        <v>105</v>
      </c>
      <c r="S11" s="13">
        <f t="shared" si="3"/>
        <v>0.53333333333333344</v>
      </c>
      <c r="T11" s="12">
        <f t="shared" si="4"/>
        <v>56</v>
      </c>
      <c r="U11" s="30" t="s">
        <v>72</v>
      </c>
      <c r="V11" s="30"/>
      <c r="W11" s="62">
        <f t="shared" si="17"/>
        <v>130</v>
      </c>
      <c r="X11" s="28">
        <v>89</v>
      </c>
      <c r="Y11" s="13">
        <f t="shared" si="5"/>
        <v>0.4606741573033708</v>
      </c>
      <c r="Z11" s="12">
        <f t="shared" si="6"/>
        <v>41</v>
      </c>
      <c r="AA11" s="30" t="s">
        <v>72</v>
      </c>
      <c r="AB11" s="64">
        <f t="shared" si="18"/>
        <v>55</v>
      </c>
      <c r="AC11" s="62">
        <f t="shared" si="19"/>
        <v>185</v>
      </c>
      <c r="AD11" s="28">
        <v>130</v>
      </c>
      <c r="AE11" s="13">
        <f t="shared" si="7"/>
        <v>0.42307692307692313</v>
      </c>
      <c r="AF11" s="12">
        <f t="shared" si="8"/>
        <v>55</v>
      </c>
      <c r="AG11" s="30" t="s">
        <v>72</v>
      </c>
      <c r="AH11" s="17"/>
      <c r="AI11" s="17"/>
      <c r="AJ11" s="2">
        <f t="shared" si="9"/>
        <v>47</v>
      </c>
      <c r="AK11" s="2">
        <f t="shared" si="10"/>
        <v>177</v>
      </c>
      <c r="AL11" s="2">
        <f t="shared" si="11"/>
        <v>204</v>
      </c>
      <c r="AM11" s="2">
        <f t="shared" si="12"/>
        <v>143</v>
      </c>
    </row>
    <row r="12" spans="1:40" outlineLevel="1" x14ac:dyDescent="0.25">
      <c r="A12" t="s">
        <v>38</v>
      </c>
      <c r="B12" s="7" t="str">
        <f t="shared" si="0"/>
        <v>Boden (420x580)</v>
      </c>
      <c r="C12">
        <v>3006</v>
      </c>
      <c r="D12" s="7" t="s">
        <v>38</v>
      </c>
      <c r="E12" s="9">
        <v>420</v>
      </c>
      <c r="F12" s="9">
        <v>580</v>
      </c>
      <c r="G12" s="9"/>
      <c r="H12" s="9"/>
      <c r="I12" s="45">
        <f t="shared" si="13"/>
        <v>0.24359999999999998</v>
      </c>
      <c r="J12" s="46">
        <f t="shared" si="14"/>
        <v>2</v>
      </c>
      <c r="K12" s="62">
        <f t="shared" si="15"/>
        <v>49</v>
      </c>
      <c r="L12" s="28">
        <v>33</v>
      </c>
      <c r="M12" s="13">
        <f t="shared" si="1"/>
        <v>0.48484848484848486</v>
      </c>
      <c r="N12" s="12">
        <f t="shared" si="2"/>
        <v>16</v>
      </c>
      <c r="O12" s="30" t="s">
        <v>72</v>
      </c>
      <c r="Q12" s="62">
        <f t="shared" si="16"/>
        <v>181</v>
      </c>
      <c r="R12" s="28">
        <v>120</v>
      </c>
      <c r="S12" s="13">
        <f t="shared" si="3"/>
        <v>0.5083333333333333</v>
      </c>
      <c r="T12" s="12">
        <f t="shared" si="4"/>
        <v>61</v>
      </c>
      <c r="U12" s="30" t="s">
        <v>72</v>
      </c>
      <c r="V12" s="30"/>
      <c r="W12" s="62">
        <f t="shared" si="17"/>
        <v>147</v>
      </c>
      <c r="X12" s="28">
        <v>102</v>
      </c>
      <c r="Y12" s="13">
        <f t="shared" si="5"/>
        <v>0.44117647058823528</v>
      </c>
      <c r="Z12" s="12">
        <f t="shared" si="6"/>
        <v>45</v>
      </c>
      <c r="AA12" s="30" t="s">
        <v>72</v>
      </c>
      <c r="AB12" s="64">
        <f t="shared" si="18"/>
        <v>39</v>
      </c>
      <c r="AC12" s="62">
        <f t="shared" si="19"/>
        <v>186</v>
      </c>
      <c r="AD12" s="28">
        <v>131</v>
      </c>
      <c r="AE12" s="13">
        <f t="shared" si="7"/>
        <v>0.41984732824427473</v>
      </c>
      <c r="AF12" s="12">
        <f t="shared" si="8"/>
        <v>55</v>
      </c>
      <c r="AG12" s="30" t="s">
        <v>72</v>
      </c>
      <c r="AH12" s="17"/>
      <c r="AI12" s="17"/>
      <c r="AJ12" s="2">
        <f t="shared" si="9"/>
        <v>54</v>
      </c>
      <c r="AK12" s="2">
        <f t="shared" si="10"/>
        <v>199</v>
      </c>
      <c r="AL12" s="2">
        <f t="shared" si="11"/>
        <v>205</v>
      </c>
      <c r="AM12" s="2">
        <f t="shared" si="12"/>
        <v>162</v>
      </c>
    </row>
    <row r="13" spans="1:40" outlineLevel="1" x14ac:dyDescent="0.25">
      <c r="A13" t="s">
        <v>38</v>
      </c>
      <c r="B13" s="7" t="str">
        <f t="shared" si="0"/>
        <v>Boden (580x580)</v>
      </c>
      <c r="C13">
        <v>3007</v>
      </c>
      <c r="D13" s="7" t="s">
        <v>38</v>
      </c>
      <c r="E13" s="40">
        <v>580</v>
      </c>
      <c r="F13" s="40">
        <v>580</v>
      </c>
      <c r="G13" s="9"/>
      <c r="H13" s="9"/>
      <c r="I13" s="45">
        <f t="shared" si="13"/>
        <v>0.33639999999999998</v>
      </c>
      <c r="J13" s="46">
        <f t="shared" si="14"/>
        <v>2.3199999999999998</v>
      </c>
      <c r="K13" s="62">
        <f t="shared" si="15"/>
        <v>67</v>
      </c>
      <c r="L13" s="28">
        <v>46</v>
      </c>
      <c r="M13" s="13">
        <f t="shared" si="1"/>
        <v>0.45652173913043481</v>
      </c>
      <c r="N13" s="12">
        <f t="shared" si="2"/>
        <v>21</v>
      </c>
      <c r="O13" s="30" t="s">
        <v>72</v>
      </c>
      <c r="Q13" s="62">
        <f t="shared" si="16"/>
        <v>228</v>
      </c>
      <c r="R13" s="28">
        <v>155</v>
      </c>
      <c r="S13" s="13">
        <f t="shared" si="3"/>
        <v>0.47096774193548385</v>
      </c>
      <c r="T13" s="12">
        <f t="shared" si="4"/>
        <v>73</v>
      </c>
      <c r="U13" s="30" t="s">
        <v>72</v>
      </c>
      <c r="V13" s="30"/>
      <c r="W13" s="62">
        <f t="shared" si="17"/>
        <v>183</v>
      </c>
      <c r="X13" s="28">
        <v>129</v>
      </c>
      <c r="Y13" s="13">
        <f t="shared" si="5"/>
        <v>0.41860465116279078</v>
      </c>
      <c r="Z13" s="12">
        <f t="shared" si="6"/>
        <v>54</v>
      </c>
      <c r="AA13" s="30" t="s">
        <v>72</v>
      </c>
      <c r="AB13" s="64">
        <f t="shared" si="18"/>
        <v>8</v>
      </c>
      <c r="AC13" s="62">
        <f t="shared" si="19"/>
        <v>191</v>
      </c>
      <c r="AD13" s="28">
        <v>135</v>
      </c>
      <c r="AE13" s="13">
        <f t="shared" si="7"/>
        <v>0.41481481481481475</v>
      </c>
      <c r="AF13" s="12">
        <f t="shared" si="8"/>
        <v>56</v>
      </c>
      <c r="AG13" s="30" t="s">
        <v>72</v>
      </c>
      <c r="AH13" s="17"/>
      <c r="AI13" s="17"/>
      <c r="AJ13" s="2">
        <f t="shared" si="9"/>
        <v>74</v>
      </c>
      <c r="AK13" s="2">
        <f t="shared" si="10"/>
        <v>251</v>
      </c>
      <c r="AL13" s="2">
        <f t="shared" si="11"/>
        <v>210</v>
      </c>
      <c r="AM13" s="2">
        <f t="shared" si="12"/>
        <v>201</v>
      </c>
    </row>
    <row r="14" spans="1:40" outlineLevel="1" x14ac:dyDescent="0.25">
      <c r="A14" t="s">
        <v>38</v>
      </c>
      <c r="B14" s="7" t="str">
        <f t="shared" si="0"/>
        <v>Boden (780x580)</v>
      </c>
      <c r="C14">
        <v>3008</v>
      </c>
      <c r="D14" s="7" t="s">
        <v>38</v>
      </c>
      <c r="E14" s="9">
        <v>780</v>
      </c>
      <c r="F14" s="9">
        <v>580</v>
      </c>
      <c r="G14" s="9"/>
      <c r="H14" s="9"/>
      <c r="I14" s="45">
        <f t="shared" si="13"/>
        <v>0.45240000000000002</v>
      </c>
      <c r="J14" s="46">
        <f t="shared" si="14"/>
        <v>2.7199999999999998</v>
      </c>
      <c r="K14" s="62">
        <f t="shared" si="15"/>
        <v>87</v>
      </c>
      <c r="L14" s="28">
        <v>61</v>
      </c>
      <c r="M14" s="13">
        <f t="shared" si="1"/>
        <v>0.42622950819672134</v>
      </c>
      <c r="N14" s="12">
        <f t="shared" si="2"/>
        <v>26</v>
      </c>
      <c r="O14" s="30" t="s">
        <v>72</v>
      </c>
      <c r="Q14" s="62">
        <f t="shared" si="16"/>
        <v>275</v>
      </c>
      <c r="R14" s="28">
        <v>190</v>
      </c>
      <c r="S14" s="13">
        <f t="shared" si="3"/>
        <v>0.44736842105263164</v>
      </c>
      <c r="T14" s="12">
        <f t="shared" si="4"/>
        <v>85</v>
      </c>
      <c r="U14" s="30" t="s">
        <v>72</v>
      </c>
      <c r="V14" s="30"/>
      <c r="W14" s="62">
        <f t="shared" si="17"/>
        <v>225</v>
      </c>
      <c r="X14" s="28">
        <v>160</v>
      </c>
      <c r="Y14" s="13">
        <f t="shared" si="5"/>
        <v>0.40625</v>
      </c>
      <c r="Z14" s="12">
        <f t="shared" si="6"/>
        <v>65</v>
      </c>
      <c r="AA14" s="30" t="s">
        <v>72</v>
      </c>
      <c r="AB14" s="64">
        <f t="shared" si="18"/>
        <v>12</v>
      </c>
      <c r="AC14" s="62">
        <f t="shared" si="19"/>
        <v>237</v>
      </c>
      <c r="AD14" s="28">
        <v>169</v>
      </c>
      <c r="AE14" s="13">
        <f t="shared" si="7"/>
        <v>0.4023668639053255</v>
      </c>
      <c r="AF14" s="12">
        <f t="shared" si="8"/>
        <v>68</v>
      </c>
      <c r="AG14" s="30" t="s">
        <v>72</v>
      </c>
      <c r="AH14" s="17"/>
      <c r="AI14" s="17"/>
      <c r="AJ14" s="2">
        <f t="shared" si="9"/>
        <v>96</v>
      </c>
      <c r="AK14" s="2">
        <f t="shared" si="10"/>
        <v>303</v>
      </c>
      <c r="AL14" s="2">
        <f t="shared" si="11"/>
        <v>261</v>
      </c>
      <c r="AM14" s="2">
        <f t="shared" si="12"/>
        <v>248</v>
      </c>
    </row>
    <row r="15" spans="1:40" outlineLevel="1" x14ac:dyDescent="0.25">
      <c r="A15" t="s">
        <v>38</v>
      </c>
      <c r="B15" s="7" t="str">
        <f t="shared" si="0"/>
        <v>Boden (980x580)</v>
      </c>
      <c r="C15">
        <v>3009</v>
      </c>
      <c r="D15" s="7" t="s">
        <v>38</v>
      </c>
      <c r="E15" s="9">
        <v>980</v>
      </c>
      <c r="F15" s="9">
        <v>580</v>
      </c>
      <c r="G15" s="9"/>
      <c r="H15" s="9"/>
      <c r="I15" s="45">
        <f t="shared" si="13"/>
        <v>0.56840000000000002</v>
      </c>
      <c r="J15" s="46">
        <f t="shared" si="14"/>
        <v>3.12</v>
      </c>
      <c r="K15" s="62">
        <f t="shared" si="15"/>
        <v>110</v>
      </c>
      <c r="L15" s="28">
        <v>78</v>
      </c>
      <c r="M15" s="13">
        <f t="shared" si="1"/>
        <v>0.41025641025641035</v>
      </c>
      <c r="N15" s="12">
        <f t="shared" si="2"/>
        <v>32</v>
      </c>
      <c r="O15" s="30" t="s">
        <v>72</v>
      </c>
      <c r="Q15" s="62">
        <f t="shared" si="16"/>
        <v>355</v>
      </c>
      <c r="R15" s="28">
        <v>249</v>
      </c>
      <c r="S15" s="13">
        <f t="shared" si="3"/>
        <v>0.42570281124497988</v>
      </c>
      <c r="T15" s="12">
        <f t="shared" si="4"/>
        <v>106</v>
      </c>
      <c r="U15" s="30" t="s">
        <v>72</v>
      </c>
      <c r="V15" s="30"/>
      <c r="W15" s="62">
        <f t="shared" si="17"/>
        <v>286</v>
      </c>
      <c r="X15" s="28">
        <v>205</v>
      </c>
      <c r="Y15" s="13">
        <f t="shared" si="5"/>
        <v>0.3951219512195121</v>
      </c>
      <c r="Z15" s="12">
        <f t="shared" si="6"/>
        <v>81</v>
      </c>
      <c r="AA15" s="30" t="s">
        <v>72</v>
      </c>
      <c r="AB15" s="64">
        <f t="shared" si="18"/>
        <v>-10</v>
      </c>
      <c r="AC15" s="62">
        <f t="shared" si="19"/>
        <v>276</v>
      </c>
      <c r="AD15" s="28">
        <v>198</v>
      </c>
      <c r="AE15" s="13">
        <f t="shared" si="7"/>
        <v>0.39393939393939403</v>
      </c>
      <c r="AF15" s="12">
        <f t="shared" si="8"/>
        <v>78</v>
      </c>
      <c r="AG15" s="30" t="s">
        <v>72</v>
      </c>
      <c r="AH15" s="17"/>
      <c r="AI15" s="17"/>
      <c r="AJ15" s="2">
        <f t="shared" si="9"/>
        <v>121</v>
      </c>
      <c r="AK15" s="2">
        <f t="shared" si="10"/>
        <v>391</v>
      </c>
      <c r="AL15" s="2">
        <f t="shared" si="11"/>
        <v>304</v>
      </c>
      <c r="AM15" s="2">
        <f t="shared" si="12"/>
        <v>315</v>
      </c>
    </row>
    <row r="16" spans="1:40" outlineLevel="1" x14ac:dyDescent="0.25">
      <c r="A16" t="s">
        <v>38</v>
      </c>
      <c r="B16" s="7" t="str">
        <f t="shared" si="0"/>
        <v>Boden (780x780)</v>
      </c>
      <c r="C16">
        <v>3010</v>
      </c>
      <c r="D16" s="7" t="s">
        <v>38</v>
      </c>
      <c r="E16" s="9">
        <v>780</v>
      </c>
      <c r="F16" s="9">
        <v>780</v>
      </c>
      <c r="G16" s="9"/>
      <c r="H16" s="9"/>
      <c r="I16" s="45">
        <f t="shared" si="13"/>
        <v>0.60839999999999994</v>
      </c>
      <c r="J16" s="46">
        <f t="shared" si="14"/>
        <v>3.12</v>
      </c>
      <c r="K16" s="62">
        <f t="shared" si="15"/>
        <v>113</v>
      </c>
      <c r="L16" s="28">
        <v>80</v>
      </c>
      <c r="M16" s="13">
        <f t="shared" si="1"/>
        <v>0.41250000000000009</v>
      </c>
      <c r="N16" s="12">
        <f t="shared" si="2"/>
        <v>33</v>
      </c>
      <c r="O16" s="30" t="s">
        <v>72</v>
      </c>
      <c r="Q16" s="62">
        <f t="shared" si="16"/>
        <v>302</v>
      </c>
      <c r="R16" s="28">
        <v>210</v>
      </c>
      <c r="S16" s="13">
        <f t="shared" si="3"/>
        <v>0.43809523809523809</v>
      </c>
      <c r="T16" s="12">
        <f t="shared" si="4"/>
        <v>92</v>
      </c>
      <c r="U16" s="30" t="s">
        <v>72</v>
      </c>
      <c r="V16" s="30"/>
      <c r="W16" s="62">
        <f t="shared" si="17"/>
        <v>272</v>
      </c>
      <c r="X16" s="28">
        <v>195</v>
      </c>
      <c r="Y16" s="13">
        <f t="shared" si="5"/>
        <v>0.3948717948717948</v>
      </c>
      <c r="Z16" s="12">
        <f t="shared" si="6"/>
        <v>77</v>
      </c>
      <c r="AA16" s="30" t="s">
        <v>72</v>
      </c>
      <c r="AB16" s="64">
        <f t="shared" si="18"/>
        <v>23</v>
      </c>
      <c r="AC16" s="62">
        <f t="shared" si="19"/>
        <v>295</v>
      </c>
      <c r="AD16" s="28">
        <v>212</v>
      </c>
      <c r="AE16" s="13">
        <f t="shared" si="7"/>
        <v>0.39150943396226423</v>
      </c>
      <c r="AF16" s="12">
        <f t="shared" si="8"/>
        <v>83</v>
      </c>
      <c r="AG16" s="12"/>
      <c r="AH16" s="17"/>
      <c r="AI16" s="17"/>
      <c r="AJ16" s="2">
        <f t="shared" si="9"/>
        <v>124</v>
      </c>
      <c r="AK16" s="2">
        <f t="shared" si="10"/>
        <v>332</v>
      </c>
      <c r="AL16" s="2">
        <f t="shared" si="11"/>
        <v>325</v>
      </c>
      <c r="AM16" s="2">
        <f t="shared" si="12"/>
        <v>299</v>
      </c>
    </row>
    <row r="17" spans="1:39" outlineLevel="1" x14ac:dyDescent="0.25">
      <c r="A17" t="s">
        <v>38</v>
      </c>
      <c r="B17" s="7" t="str">
        <f t="shared" si="0"/>
        <v>Boden (980x780)</v>
      </c>
      <c r="C17">
        <v>3011</v>
      </c>
      <c r="D17" s="7" t="s">
        <v>38</v>
      </c>
      <c r="E17" s="9">
        <v>980</v>
      </c>
      <c r="F17" s="9">
        <v>780</v>
      </c>
      <c r="G17" s="9"/>
      <c r="H17" s="9"/>
      <c r="I17" s="45">
        <f t="shared" si="13"/>
        <v>0.76439999999999997</v>
      </c>
      <c r="J17" s="46">
        <f t="shared" si="14"/>
        <v>3.52</v>
      </c>
      <c r="K17" s="62">
        <f t="shared" si="15"/>
        <v>139</v>
      </c>
      <c r="L17" s="28">
        <v>100</v>
      </c>
      <c r="M17" s="13">
        <f t="shared" si="1"/>
        <v>0.3899999999999999</v>
      </c>
      <c r="N17" s="12">
        <f t="shared" si="2"/>
        <v>39</v>
      </c>
      <c r="O17" s="30" t="s">
        <v>72</v>
      </c>
      <c r="Q17" s="62">
        <f t="shared" si="16"/>
        <v>416</v>
      </c>
      <c r="R17" s="28">
        <v>295</v>
      </c>
      <c r="S17" s="13">
        <f t="shared" si="3"/>
        <v>0.4101694915254237</v>
      </c>
      <c r="T17" s="12">
        <f t="shared" si="4"/>
        <v>121</v>
      </c>
      <c r="U17" s="30" t="s">
        <v>72</v>
      </c>
      <c r="V17" s="30"/>
      <c r="W17" s="62">
        <f t="shared" si="17"/>
        <v>216</v>
      </c>
      <c r="X17" s="28" t="s">
        <v>63</v>
      </c>
      <c r="Y17" s="13" t="str">
        <f t="shared" si="5"/>
        <v>-</v>
      </c>
      <c r="Z17" s="12" t="str">
        <f t="shared" si="6"/>
        <v>-</v>
      </c>
      <c r="AA17" s="30" t="s">
        <v>72</v>
      </c>
      <c r="AB17" s="64">
        <f t="shared" si="18"/>
        <v>190</v>
      </c>
      <c r="AC17" s="62">
        <f t="shared" si="19"/>
        <v>406</v>
      </c>
      <c r="AD17" s="28" t="s">
        <v>63</v>
      </c>
      <c r="AE17" s="13" t="str">
        <f t="shared" ref="AE17:AE21" si="20">IFERROR(AC17/AD17-1,"-")</f>
        <v>-</v>
      </c>
      <c r="AF17" s="12" t="str">
        <f t="shared" ref="AF17:AF21" si="21">IFERROR(AC17-AD17,"-")</f>
        <v>-</v>
      </c>
      <c r="AG17" s="12"/>
      <c r="AH17" s="17"/>
      <c r="AI17" s="17"/>
      <c r="AJ17" s="2">
        <f t="shared" si="9"/>
        <v>153</v>
      </c>
      <c r="AK17" s="2">
        <f t="shared" si="10"/>
        <v>458</v>
      </c>
      <c r="AL17" s="2">
        <f t="shared" si="11"/>
        <v>447</v>
      </c>
      <c r="AM17" s="2">
        <f t="shared" si="12"/>
        <v>238</v>
      </c>
    </row>
    <row r="18" spans="1:39" outlineLevel="1" x14ac:dyDescent="0.25">
      <c r="A18" t="s">
        <v>38</v>
      </c>
      <c r="B18" s="7" t="str">
        <f t="shared" si="0"/>
        <v>Boden (980x980)</v>
      </c>
      <c r="C18">
        <v>3012</v>
      </c>
      <c r="D18" s="7" t="s">
        <v>38</v>
      </c>
      <c r="E18" s="9">
        <v>980</v>
      </c>
      <c r="F18" s="9">
        <v>980</v>
      </c>
      <c r="G18" s="9"/>
      <c r="H18" s="9"/>
      <c r="I18" s="45">
        <f t="shared" si="13"/>
        <v>0.96040000000000003</v>
      </c>
      <c r="J18" s="46">
        <f t="shared" si="14"/>
        <v>3.92</v>
      </c>
      <c r="K18" s="62">
        <f t="shared" si="15"/>
        <v>180</v>
      </c>
      <c r="L18" s="28">
        <v>130</v>
      </c>
      <c r="M18" s="13">
        <f t="shared" si="1"/>
        <v>0.38461538461538458</v>
      </c>
      <c r="N18" s="12">
        <f t="shared" si="2"/>
        <v>50</v>
      </c>
      <c r="O18" s="30" t="s">
        <v>72</v>
      </c>
      <c r="Q18" s="62">
        <f t="shared" si="16"/>
        <v>496</v>
      </c>
      <c r="R18" s="28">
        <v>354</v>
      </c>
      <c r="S18" s="13">
        <f t="shared" si="3"/>
        <v>0.40112994350282483</v>
      </c>
      <c r="T18" s="12">
        <f t="shared" si="4"/>
        <v>142</v>
      </c>
      <c r="U18" s="30" t="s">
        <v>72</v>
      </c>
      <c r="V18" s="30"/>
      <c r="W18" s="62">
        <f t="shared" si="17"/>
        <v>257</v>
      </c>
      <c r="X18" s="28" t="s">
        <v>63</v>
      </c>
      <c r="Y18" s="13" t="str">
        <f t="shared" si="5"/>
        <v>-</v>
      </c>
      <c r="Z18" s="12" t="str">
        <f t="shared" si="6"/>
        <v>-</v>
      </c>
      <c r="AA18" s="30" t="s">
        <v>72</v>
      </c>
      <c r="AB18" s="64">
        <f t="shared" si="18"/>
        <v>226</v>
      </c>
      <c r="AC18" s="62">
        <f t="shared" si="19"/>
        <v>483</v>
      </c>
      <c r="AD18" s="28" t="s">
        <v>63</v>
      </c>
      <c r="AE18" s="13" t="str">
        <f t="shared" si="20"/>
        <v>-</v>
      </c>
      <c r="AF18" s="12" t="str">
        <f t="shared" si="21"/>
        <v>-</v>
      </c>
      <c r="AG18" s="12"/>
      <c r="AH18" s="17"/>
      <c r="AI18" s="17"/>
      <c r="AJ18" s="2">
        <f t="shared" si="9"/>
        <v>198</v>
      </c>
      <c r="AK18" s="2">
        <f t="shared" si="10"/>
        <v>546</v>
      </c>
      <c r="AL18" s="2">
        <f t="shared" si="11"/>
        <v>531</v>
      </c>
      <c r="AM18" s="2">
        <f t="shared" si="12"/>
        <v>283</v>
      </c>
    </row>
    <row r="19" spans="1:39" outlineLevel="1" x14ac:dyDescent="0.25">
      <c r="A19" t="s">
        <v>38</v>
      </c>
      <c r="B19" s="7" t="str">
        <f t="shared" si="0"/>
        <v>Boden (420x780)</v>
      </c>
      <c r="C19">
        <v>3013</v>
      </c>
      <c r="D19" s="7" t="s">
        <v>38</v>
      </c>
      <c r="E19" s="9">
        <v>420</v>
      </c>
      <c r="F19" s="9">
        <v>780</v>
      </c>
      <c r="G19" s="9"/>
      <c r="H19" s="9"/>
      <c r="I19" s="45">
        <f t="shared" si="13"/>
        <v>0.32759999999999995</v>
      </c>
      <c r="J19" s="46">
        <f t="shared" si="14"/>
        <v>2.4</v>
      </c>
      <c r="K19" s="62">
        <f t="shared" si="15"/>
        <v>71</v>
      </c>
      <c r="L19" s="28">
        <v>49</v>
      </c>
      <c r="M19" s="13">
        <f t="shared" si="1"/>
        <v>0.44897959183673475</v>
      </c>
      <c r="N19" s="12">
        <f t="shared" si="2"/>
        <v>22</v>
      </c>
      <c r="O19" s="30" t="s">
        <v>72</v>
      </c>
      <c r="Q19" s="62">
        <f t="shared" si="16"/>
        <v>219</v>
      </c>
      <c r="R19" s="28">
        <v>148</v>
      </c>
      <c r="S19" s="13">
        <f t="shared" si="3"/>
        <v>0.47972972972972983</v>
      </c>
      <c r="T19" s="12">
        <f t="shared" si="4"/>
        <v>71</v>
      </c>
      <c r="U19" s="30" t="s">
        <v>72</v>
      </c>
      <c r="V19" s="30"/>
      <c r="W19" s="62">
        <f t="shared" si="17"/>
        <v>113</v>
      </c>
      <c r="X19" s="28" t="s">
        <v>63</v>
      </c>
      <c r="Y19" s="13" t="str">
        <f t="shared" si="5"/>
        <v>-</v>
      </c>
      <c r="Z19" s="12" t="str">
        <f t="shared" si="6"/>
        <v>-</v>
      </c>
      <c r="AA19" s="30" t="s">
        <v>72</v>
      </c>
      <c r="AB19" s="64">
        <f t="shared" si="18"/>
        <v>100</v>
      </c>
      <c r="AC19" s="62">
        <f t="shared" si="19"/>
        <v>213</v>
      </c>
      <c r="AD19" s="28" t="s">
        <v>63</v>
      </c>
      <c r="AE19" s="13" t="str">
        <f t="shared" si="20"/>
        <v>-</v>
      </c>
      <c r="AF19" s="12" t="str">
        <f t="shared" si="21"/>
        <v>-</v>
      </c>
      <c r="AG19" s="12"/>
      <c r="AH19" s="17"/>
      <c r="AI19" s="17"/>
      <c r="AJ19" s="2">
        <f t="shared" si="9"/>
        <v>78</v>
      </c>
      <c r="AK19" s="2">
        <f t="shared" si="10"/>
        <v>241</v>
      </c>
      <c r="AL19" s="2">
        <f t="shared" si="11"/>
        <v>234</v>
      </c>
      <c r="AM19" s="2">
        <f t="shared" si="12"/>
        <v>124</v>
      </c>
    </row>
    <row r="20" spans="1:39" outlineLevel="1" x14ac:dyDescent="0.25">
      <c r="A20" t="s">
        <v>38</v>
      </c>
      <c r="B20" s="7" t="str">
        <f t="shared" si="0"/>
        <v>Boden (420x980)</v>
      </c>
      <c r="C20">
        <v>3014</v>
      </c>
      <c r="D20" s="7" t="s">
        <v>38</v>
      </c>
      <c r="E20" s="9">
        <v>420</v>
      </c>
      <c r="F20" s="9">
        <v>980</v>
      </c>
      <c r="G20" s="9"/>
      <c r="H20" s="9"/>
      <c r="I20" s="45">
        <f t="shared" si="13"/>
        <v>0.41159999999999997</v>
      </c>
      <c r="J20" s="46">
        <f t="shared" si="14"/>
        <v>2.8</v>
      </c>
      <c r="K20" s="62">
        <f t="shared" si="15"/>
        <v>88</v>
      </c>
      <c r="L20" s="28">
        <v>62</v>
      </c>
      <c r="M20" s="16">
        <f t="shared" si="1"/>
        <v>0.41935483870967749</v>
      </c>
      <c r="N20" s="12">
        <f t="shared" si="2"/>
        <v>26</v>
      </c>
      <c r="O20" s="30" t="s">
        <v>72</v>
      </c>
      <c r="Q20" s="62">
        <f t="shared" si="16"/>
        <v>247</v>
      </c>
      <c r="R20" s="28">
        <v>169</v>
      </c>
      <c r="S20" s="13">
        <f t="shared" si="3"/>
        <v>0.46153846153846145</v>
      </c>
      <c r="T20" s="12">
        <f t="shared" si="4"/>
        <v>78</v>
      </c>
      <c r="U20" s="30" t="s">
        <v>72</v>
      </c>
      <c r="V20" s="30"/>
      <c r="W20" s="62">
        <f t="shared" si="17"/>
        <v>128</v>
      </c>
      <c r="X20" s="28" t="s">
        <v>63</v>
      </c>
      <c r="Y20" s="13" t="str">
        <f t="shared" si="5"/>
        <v>-</v>
      </c>
      <c r="Z20" s="12" t="str">
        <f t="shared" si="6"/>
        <v>-</v>
      </c>
      <c r="AA20" s="30" t="s">
        <v>72</v>
      </c>
      <c r="AB20" s="64">
        <f t="shared" si="18"/>
        <v>113</v>
      </c>
      <c r="AC20" s="62">
        <f t="shared" si="19"/>
        <v>241</v>
      </c>
      <c r="AD20" s="28" t="s">
        <v>63</v>
      </c>
      <c r="AE20" s="13" t="str">
        <f t="shared" si="20"/>
        <v>-</v>
      </c>
      <c r="AF20" s="12" t="str">
        <f t="shared" si="21"/>
        <v>-</v>
      </c>
      <c r="AG20" s="12"/>
      <c r="AH20" s="17"/>
      <c r="AI20" s="17"/>
      <c r="AJ20" s="2">
        <f t="shared" si="9"/>
        <v>97</v>
      </c>
      <c r="AK20" s="2">
        <f t="shared" si="10"/>
        <v>272</v>
      </c>
      <c r="AL20" s="2">
        <f t="shared" si="11"/>
        <v>265</v>
      </c>
      <c r="AM20" s="2">
        <f t="shared" si="12"/>
        <v>141</v>
      </c>
    </row>
    <row r="21" spans="1:39" outlineLevel="1" x14ac:dyDescent="0.25">
      <c r="A21" t="s">
        <v>38</v>
      </c>
      <c r="B21" s="6" t="str">
        <f>IF(OR(E21="-",F21="-"),"-",D21&amp;" ("&amp;E21&amp;"x"&amp;F21&amp;")")</f>
        <v>Boden (420x420)</v>
      </c>
      <c r="C21" s="3" t="s">
        <v>39</v>
      </c>
      <c r="D21" s="6" t="s">
        <v>38</v>
      </c>
      <c r="E21">
        <v>420</v>
      </c>
      <c r="F21">
        <v>420</v>
      </c>
      <c r="I21" s="45">
        <f t="shared" si="13"/>
        <v>0.1764</v>
      </c>
      <c r="J21" s="46">
        <f t="shared" si="14"/>
        <v>1.68</v>
      </c>
      <c r="K21" s="62">
        <f t="shared" si="15"/>
        <v>56</v>
      </c>
      <c r="L21" s="28">
        <v>38</v>
      </c>
      <c r="M21" s="16">
        <f t="shared" si="1"/>
        <v>0.47368421052631571</v>
      </c>
      <c r="N21" s="12"/>
      <c r="O21" s="30" t="s">
        <v>72</v>
      </c>
      <c r="Q21" s="62">
        <f t="shared" si="16"/>
        <v>134</v>
      </c>
      <c r="R21" s="28">
        <v>85</v>
      </c>
      <c r="S21" s="12">
        <f t="shared" si="3"/>
        <v>0.57647058823529407</v>
      </c>
      <c r="T21" s="12">
        <f t="shared" si="4"/>
        <v>49</v>
      </c>
      <c r="U21" s="30" t="s">
        <v>72</v>
      </c>
      <c r="V21" s="30"/>
      <c r="W21" s="62">
        <f t="shared" si="17"/>
        <v>69</v>
      </c>
      <c r="X21" s="28" t="s">
        <v>63</v>
      </c>
      <c r="Y21" s="12" t="str">
        <f t="shared" si="5"/>
        <v>-</v>
      </c>
      <c r="Z21" s="12" t="str">
        <f t="shared" si="6"/>
        <v>-</v>
      </c>
      <c r="AA21" s="30" t="s">
        <v>72</v>
      </c>
      <c r="AB21" s="64">
        <f t="shared" si="18"/>
        <v>61</v>
      </c>
      <c r="AC21" s="62">
        <f t="shared" si="19"/>
        <v>130</v>
      </c>
      <c r="AD21" s="28" t="s">
        <v>63</v>
      </c>
      <c r="AE21" s="13" t="str">
        <f t="shared" si="20"/>
        <v>-</v>
      </c>
      <c r="AF21" s="12" t="str">
        <f t="shared" si="21"/>
        <v>-</v>
      </c>
      <c r="AG21" s="12"/>
      <c r="AH21" s="17"/>
      <c r="AI21" s="17"/>
      <c r="AJ21" s="2">
        <f t="shared" si="9"/>
        <v>62</v>
      </c>
      <c r="AK21" s="2">
        <f t="shared" si="10"/>
        <v>147</v>
      </c>
      <c r="AL21" s="2">
        <f t="shared" si="11"/>
        <v>143</v>
      </c>
      <c r="AM21" s="2">
        <f t="shared" si="12"/>
        <v>76</v>
      </c>
    </row>
    <row r="22" spans="1:39" outlineLevel="1" x14ac:dyDescent="0.25">
      <c r="A22" t="s">
        <v>38</v>
      </c>
      <c r="B22" s="7" t="str">
        <f t="shared" si="0"/>
        <v xml:space="preserve"> (x)</v>
      </c>
      <c r="C22" s="3">
        <v>3016</v>
      </c>
      <c r="I22" s="45" t="str">
        <f t="shared" si="13"/>
        <v/>
      </c>
      <c r="J22" s="46" t="str">
        <f t="shared" si="14"/>
        <v/>
      </c>
      <c r="K22" s="62">
        <f t="shared" si="15"/>
        <v>0</v>
      </c>
      <c r="L22" s="28" t="s">
        <v>63</v>
      </c>
      <c r="M22" s="13" t="str">
        <f t="shared" si="1"/>
        <v>-</v>
      </c>
      <c r="N22" s="12" t="str">
        <f t="shared" si="2"/>
        <v>-</v>
      </c>
      <c r="O22" s="12"/>
      <c r="Q22" s="62">
        <f t="shared" si="16"/>
        <v>0</v>
      </c>
      <c r="R22" s="28" t="s">
        <v>63</v>
      </c>
      <c r="S22" s="13" t="str">
        <f t="shared" si="3"/>
        <v>-</v>
      </c>
      <c r="T22" s="12" t="str">
        <f t="shared" si="4"/>
        <v>-</v>
      </c>
      <c r="U22" s="12"/>
      <c r="V22" s="12"/>
      <c r="W22" s="62">
        <f t="shared" si="17"/>
        <v>0</v>
      </c>
      <c r="X22" s="28" t="s">
        <v>63</v>
      </c>
      <c r="Y22" s="13" t="str">
        <f t="shared" si="5"/>
        <v>-</v>
      </c>
      <c r="Z22" s="12" t="str">
        <f t="shared" si="6"/>
        <v>-</v>
      </c>
      <c r="AA22" s="12"/>
      <c r="AB22" s="64"/>
      <c r="AC22" s="62">
        <f t="shared" si="19"/>
        <v>0</v>
      </c>
      <c r="AD22" s="28" t="s">
        <v>63</v>
      </c>
      <c r="AE22" s="13" t="str">
        <f t="shared" si="7"/>
        <v>-</v>
      </c>
      <c r="AF22" s="12" t="str">
        <f t="shared" si="8"/>
        <v>-</v>
      </c>
      <c r="AG22" s="12"/>
      <c r="AH22" s="17"/>
      <c r="AI22" s="17"/>
      <c r="AJ22" s="2">
        <f t="shared" si="9"/>
        <v>0</v>
      </c>
      <c r="AK22" s="2">
        <f t="shared" si="10"/>
        <v>0</v>
      </c>
      <c r="AL22" s="2">
        <f t="shared" si="11"/>
        <v>0</v>
      </c>
      <c r="AM22" s="2">
        <f t="shared" si="12"/>
        <v>0</v>
      </c>
    </row>
    <row r="23" spans="1:39" outlineLevel="1" x14ac:dyDescent="0.25">
      <c r="A23" t="s">
        <v>38</v>
      </c>
      <c r="B23" s="7" t="str">
        <f t="shared" si="0"/>
        <v xml:space="preserve"> (x)</v>
      </c>
      <c r="C23" s="3">
        <v>3017</v>
      </c>
      <c r="I23" s="45" t="str">
        <f t="shared" si="13"/>
        <v/>
      </c>
      <c r="J23" s="46" t="str">
        <f t="shared" si="14"/>
        <v/>
      </c>
      <c r="K23" s="62">
        <f t="shared" si="15"/>
        <v>0</v>
      </c>
      <c r="L23" s="28" t="s">
        <v>63</v>
      </c>
      <c r="M23" s="13" t="str">
        <f t="shared" si="1"/>
        <v>-</v>
      </c>
      <c r="N23" s="12" t="str">
        <f t="shared" si="2"/>
        <v>-</v>
      </c>
      <c r="O23" s="12"/>
      <c r="Q23" s="62">
        <f t="shared" si="16"/>
        <v>0</v>
      </c>
      <c r="R23" s="28" t="s">
        <v>63</v>
      </c>
      <c r="S23" s="13" t="str">
        <f t="shared" si="3"/>
        <v>-</v>
      </c>
      <c r="T23" s="12" t="str">
        <f t="shared" si="4"/>
        <v>-</v>
      </c>
      <c r="U23" s="12"/>
      <c r="V23" s="12"/>
      <c r="W23" s="62">
        <f t="shared" si="17"/>
        <v>0</v>
      </c>
      <c r="X23" s="28" t="s">
        <v>63</v>
      </c>
      <c r="Y23" s="13" t="str">
        <f t="shared" si="5"/>
        <v>-</v>
      </c>
      <c r="Z23" s="12" t="str">
        <f t="shared" si="6"/>
        <v>-</v>
      </c>
      <c r="AA23" s="12"/>
      <c r="AB23" s="64"/>
      <c r="AC23" s="62">
        <f t="shared" si="19"/>
        <v>0</v>
      </c>
      <c r="AD23" s="28" t="s">
        <v>63</v>
      </c>
      <c r="AE23" s="13" t="str">
        <f t="shared" si="7"/>
        <v>-</v>
      </c>
      <c r="AF23" s="12" t="str">
        <f t="shared" si="8"/>
        <v>-</v>
      </c>
      <c r="AG23" s="12"/>
      <c r="AH23" s="17"/>
      <c r="AI23" s="16"/>
      <c r="AJ23" s="2">
        <f t="shared" si="9"/>
        <v>0</v>
      </c>
      <c r="AK23" s="2">
        <f t="shared" si="10"/>
        <v>0</v>
      </c>
      <c r="AL23" s="2">
        <f t="shared" si="11"/>
        <v>0</v>
      </c>
      <c r="AM23" s="2">
        <f t="shared" si="12"/>
        <v>0</v>
      </c>
    </row>
    <row r="24" spans="1:39" outlineLevel="1" x14ac:dyDescent="0.25">
      <c r="A24" t="s">
        <v>38</v>
      </c>
      <c r="B24" s="7" t="str">
        <f t="shared" si="0"/>
        <v xml:space="preserve"> (x)</v>
      </c>
      <c r="C24" s="3">
        <v>3018</v>
      </c>
      <c r="I24" s="45" t="str">
        <f t="shared" si="13"/>
        <v/>
      </c>
      <c r="J24" s="46" t="str">
        <f t="shared" si="14"/>
        <v/>
      </c>
      <c r="K24" s="62">
        <f t="shared" si="15"/>
        <v>0</v>
      </c>
      <c r="L24" s="28" t="s">
        <v>63</v>
      </c>
      <c r="M24" s="13" t="str">
        <f t="shared" si="1"/>
        <v>-</v>
      </c>
      <c r="N24" s="12" t="str">
        <f t="shared" si="2"/>
        <v>-</v>
      </c>
      <c r="O24" s="12"/>
      <c r="Q24" s="62">
        <f t="shared" si="16"/>
        <v>0</v>
      </c>
      <c r="R24" s="28" t="s">
        <v>63</v>
      </c>
      <c r="S24" s="13" t="str">
        <f t="shared" si="3"/>
        <v>-</v>
      </c>
      <c r="T24" s="12" t="str">
        <f t="shared" si="4"/>
        <v>-</v>
      </c>
      <c r="U24" s="12"/>
      <c r="V24" s="12"/>
      <c r="W24" s="62">
        <f t="shared" si="17"/>
        <v>0</v>
      </c>
      <c r="X24" s="28" t="s">
        <v>63</v>
      </c>
      <c r="Y24" s="13" t="str">
        <f t="shared" si="5"/>
        <v>-</v>
      </c>
      <c r="Z24" s="12" t="str">
        <f t="shared" si="6"/>
        <v>-</v>
      </c>
      <c r="AA24" s="12"/>
      <c r="AB24" s="64"/>
      <c r="AC24" s="62">
        <f t="shared" si="19"/>
        <v>0</v>
      </c>
      <c r="AD24" s="28" t="s">
        <v>63</v>
      </c>
      <c r="AE24" s="13" t="str">
        <f t="shared" si="7"/>
        <v>-</v>
      </c>
      <c r="AF24" s="12" t="str">
        <f t="shared" si="8"/>
        <v>-</v>
      </c>
      <c r="AG24" s="12"/>
      <c r="AH24" s="17"/>
      <c r="AI24" s="16"/>
      <c r="AJ24" s="2">
        <f t="shared" si="9"/>
        <v>0</v>
      </c>
      <c r="AK24" s="2">
        <f t="shared" si="10"/>
        <v>0</v>
      </c>
      <c r="AL24" s="2">
        <f t="shared" si="11"/>
        <v>0</v>
      </c>
      <c r="AM24" s="2">
        <f t="shared" si="12"/>
        <v>0</v>
      </c>
    </row>
    <row r="25" spans="1:39" outlineLevel="1" x14ac:dyDescent="0.25">
      <c r="A25" t="s">
        <v>38</v>
      </c>
      <c r="B25" s="7" t="str">
        <f t="shared" si="0"/>
        <v xml:space="preserve"> (x)</v>
      </c>
      <c r="C25" s="3">
        <v>3019</v>
      </c>
      <c r="I25" s="45" t="str">
        <f t="shared" si="13"/>
        <v/>
      </c>
      <c r="J25" s="46" t="str">
        <f t="shared" si="14"/>
        <v/>
      </c>
      <c r="K25" s="62">
        <f t="shared" si="15"/>
        <v>0</v>
      </c>
      <c r="L25" s="28" t="s">
        <v>63</v>
      </c>
      <c r="M25" s="13" t="str">
        <f t="shared" si="1"/>
        <v>-</v>
      </c>
      <c r="N25" s="12" t="str">
        <f t="shared" si="2"/>
        <v>-</v>
      </c>
      <c r="O25" s="12"/>
      <c r="Q25" s="62">
        <f t="shared" si="16"/>
        <v>0</v>
      </c>
      <c r="R25" s="28" t="s">
        <v>63</v>
      </c>
      <c r="S25" s="13" t="str">
        <f t="shared" si="3"/>
        <v>-</v>
      </c>
      <c r="T25" s="12" t="str">
        <f t="shared" si="4"/>
        <v>-</v>
      </c>
      <c r="U25" s="12"/>
      <c r="V25" s="12"/>
      <c r="W25" s="62">
        <f t="shared" si="17"/>
        <v>0</v>
      </c>
      <c r="X25" s="28" t="s">
        <v>63</v>
      </c>
      <c r="Y25" s="13" t="str">
        <f t="shared" si="5"/>
        <v>-</v>
      </c>
      <c r="Z25" s="12" t="str">
        <f t="shared" si="6"/>
        <v>-</v>
      </c>
      <c r="AA25" s="12"/>
      <c r="AB25" s="64"/>
      <c r="AC25" s="62">
        <f t="shared" si="19"/>
        <v>0</v>
      </c>
      <c r="AD25" s="28" t="s">
        <v>63</v>
      </c>
      <c r="AE25" s="13" t="str">
        <f t="shared" si="7"/>
        <v>-</v>
      </c>
      <c r="AF25" s="12" t="str">
        <f t="shared" si="8"/>
        <v>-</v>
      </c>
      <c r="AG25" s="12"/>
      <c r="AH25" s="17"/>
      <c r="AI25" s="16"/>
      <c r="AJ25" s="2">
        <f t="shared" si="9"/>
        <v>0</v>
      </c>
      <c r="AK25" s="2">
        <f t="shared" si="10"/>
        <v>0</v>
      </c>
      <c r="AL25" s="2">
        <f t="shared" si="11"/>
        <v>0</v>
      </c>
      <c r="AM25" s="2">
        <f t="shared" si="12"/>
        <v>0</v>
      </c>
    </row>
    <row r="26" spans="1:39" outlineLevel="1" x14ac:dyDescent="0.25">
      <c r="A26" t="s">
        <v>38</v>
      </c>
      <c r="B26" s="7" t="str">
        <f t="shared" si="0"/>
        <v xml:space="preserve"> (x)</v>
      </c>
      <c r="C26" s="3">
        <v>3020</v>
      </c>
      <c r="I26" s="45" t="str">
        <f t="shared" si="13"/>
        <v/>
      </c>
      <c r="J26" s="46" t="str">
        <f t="shared" si="14"/>
        <v/>
      </c>
      <c r="K26" s="62">
        <f t="shared" si="15"/>
        <v>0</v>
      </c>
      <c r="L26" s="28" t="s">
        <v>63</v>
      </c>
      <c r="M26" s="13" t="str">
        <f t="shared" si="1"/>
        <v>-</v>
      </c>
      <c r="N26" s="12" t="str">
        <f t="shared" si="2"/>
        <v>-</v>
      </c>
      <c r="O26" s="12"/>
      <c r="Q26" s="62">
        <f t="shared" si="16"/>
        <v>0</v>
      </c>
      <c r="R26" s="28" t="s">
        <v>63</v>
      </c>
      <c r="S26" s="13" t="str">
        <f t="shared" si="3"/>
        <v>-</v>
      </c>
      <c r="T26" s="12" t="str">
        <f t="shared" si="4"/>
        <v>-</v>
      </c>
      <c r="U26" s="48"/>
      <c r="V26" s="48"/>
      <c r="W26" s="62">
        <f t="shared" si="17"/>
        <v>0</v>
      </c>
      <c r="X26" s="28" t="s">
        <v>63</v>
      </c>
      <c r="Y26" s="13" t="str">
        <f t="shared" si="5"/>
        <v>-</v>
      </c>
      <c r="Z26" s="12" t="str">
        <f t="shared" si="6"/>
        <v>-</v>
      </c>
      <c r="AA26" s="12"/>
      <c r="AB26" s="64"/>
      <c r="AC26" s="62">
        <f t="shared" si="19"/>
        <v>0</v>
      </c>
      <c r="AD26" s="28" t="s">
        <v>63</v>
      </c>
      <c r="AE26" s="13" t="str">
        <f t="shared" si="7"/>
        <v>-</v>
      </c>
      <c r="AF26" s="12" t="str">
        <f t="shared" si="8"/>
        <v>-</v>
      </c>
      <c r="AG26" s="12"/>
      <c r="AH26" s="17"/>
      <c r="AI26" s="16"/>
      <c r="AJ26" s="2">
        <f t="shared" si="9"/>
        <v>0</v>
      </c>
      <c r="AK26" s="2">
        <f t="shared" si="10"/>
        <v>0</v>
      </c>
      <c r="AL26" s="2">
        <f t="shared" si="11"/>
        <v>0</v>
      </c>
      <c r="AM26" s="2">
        <f t="shared" si="12"/>
        <v>0</v>
      </c>
    </row>
    <row r="27" spans="1:39" outlineLevel="1" x14ac:dyDescent="0.25">
      <c r="A27" t="s">
        <v>38</v>
      </c>
      <c r="B27" s="7" t="str">
        <f t="shared" si="0"/>
        <v xml:space="preserve"> (x)</v>
      </c>
      <c r="C27" s="3">
        <v>3021</v>
      </c>
      <c r="I27" s="45" t="str">
        <f t="shared" si="13"/>
        <v/>
      </c>
      <c r="J27" s="46" t="str">
        <f t="shared" si="14"/>
        <v/>
      </c>
      <c r="K27" s="62">
        <f t="shared" si="15"/>
        <v>0</v>
      </c>
      <c r="L27" s="28" t="s">
        <v>63</v>
      </c>
      <c r="M27" s="13" t="str">
        <f t="shared" si="1"/>
        <v>-</v>
      </c>
      <c r="N27" s="12" t="str">
        <f t="shared" si="2"/>
        <v>-</v>
      </c>
      <c r="O27" s="12"/>
      <c r="Q27" s="62">
        <f t="shared" si="16"/>
        <v>0</v>
      </c>
      <c r="R27" s="28" t="s">
        <v>63</v>
      </c>
      <c r="S27" s="13" t="str">
        <f t="shared" si="3"/>
        <v>-</v>
      </c>
      <c r="T27" s="12" t="str">
        <f t="shared" si="4"/>
        <v>-</v>
      </c>
      <c r="U27" s="12"/>
      <c r="V27" s="12"/>
      <c r="W27" s="62">
        <f t="shared" si="17"/>
        <v>0</v>
      </c>
      <c r="X27" s="28" t="s">
        <v>63</v>
      </c>
      <c r="Y27" s="13" t="str">
        <f t="shared" si="5"/>
        <v>-</v>
      </c>
      <c r="Z27" s="12" t="str">
        <f t="shared" si="6"/>
        <v>-</v>
      </c>
      <c r="AA27" s="12"/>
      <c r="AB27" s="64"/>
      <c r="AC27" s="62">
        <f t="shared" si="19"/>
        <v>0</v>
      </c>
      <c r="AD27" s="28" t="s">
        <v>63</v>
      </c>
      <c r="AE27" s="13" t="str">
        <f t="shared" si="7"/>
        <v>-</v>
      </c>
      <c r="AF27" s="12" t="str">
        <f t="shared" si="8"/>
        <v>-</v>
      </c>
      <c r="AG27" s="12"/>
      <c r="AH27" s="17"/>
      <c r="AI27" s="16"/>
      <c r="AJ27" s="2">
        <f t="shared" si="9"/>
        <v>0</v>
      </c>
      <c r="AK27" s="2">
        <f t="shared" si="10"/>
        <v>0</v>
      </c>
      <c r="AL27" s="2">
        <f t="shared" si="11"/>
        <v>0</v>
      </c>
      <c r="AM27" s="2">
        <f t="shared" si="12"/>
        <v>0</v>
      </c>
    </row>
    <row r="28" spans="1:39" outlineLevel="1" x14ac:dyDescent="0.25">
      <c r="A28" t="s">
        <v>38</v>
      </c>
      <c r="B28" s="7" t="str">
        <f t="shared" si="0"/>
        <v xml:space="preserve"> (x)</v>
      </c>
      <c r="C28" s="3">
        <v>3022</v>
      </c>
      <c r="I28" s="45" t="str">
        <f t="shared" si="13"/>
        <v/>
      </c>
      <c r="J28" s="46" t="str">
        <f t="shared" si="14"/>
        <v/>
      </c>
      <c r="K28" s="62">
        <f t="shared" si="15"/>
        <v>0</v>
      </c>
      <c r="L28" s="28" t="s">
        <v>63</v>
      </c>
      <c r="M28" s="13" t="str">
        <f t="shared" si="1"/>
        <v>-</v>
      </c>
      <c r="N28" s="12" t="str">
        <f t="shared" si="2"/>
        <v>-</v>
      </c>
      <c r="O28" s="12"/>
      <c r="Q28" s="62">
        <f t="shared" si="16"/>
        <v>0</v>
      </c>
      <c r="R28" s="28" t="s">
        <v>63</v>
      </c>
      <c r="S28" s="13" t="str">
        <f t="shared" si="3"/>
        <v>-</v>
      </c>
      <c r="T28" s="12" t="str">
        <f t="shared" si="4"/>
        <v>-</v>
      </c>
      <c r="U28" s="12"/>
      <c r="V28" s="12"/>
      <c r="W28" s="62">
        <f t="shared" si="17"/>
        <v>0</v>
      </c>
      <c r="X28" s="28" t="s">
        <v>63</v>
      </c>
      <c r="Y28" s="13" t="str">
        <f t="shared" si="5"/>
        <v>-</v>
      </c>
      <c r="Z28" s="12" t="str">
        <f t="shared" si="6"/>
        <v>-</v>
      </c>
      <c r="AA28" s="12"/>
      <c r="AB28" s="64"/>
      <c r="AC28" s="62">
        <f t="shared" si="19"/>
        <v>0</v>
      </c>
      <c r="AD28" s="28" t="s">
        <v>63</v>
      </c>
      <c r="AE28" s="13" t="str">
        <f t="shared" si="7"/>
        <v>-</v>
      </c>
      <c r="AF28" s="12" t="str">
        <f t="shared" si="8"/>
        <v>-</v>
      </c>
      <c r="AG28" s="12"/>
      <c r="AH28" s="17"/>
      <c r="AI28" s="16"/>
      <c r="AJ28" s="2">
        <f t="shared" si="9"/>
        <v>0</v>
      </c>
      <c r="AK28" s="2">
        <f t="shared" si="10"/>
        <v>0</v>
      </c>
      <c r="AL28" s="2">
        <f t="shared" si="11"/>
        <v>0</v>
      </c>
      <c r="AM28" s="2">
        <f t="shared" si="12"/>
        <v>0</v>
      </c>
    </row>
    <row r="29" spans="1:39" outlineLevel="1" x14ac:dyDescent="0.25">
      <c r="A29" t="s">
        <v>38</v>
      </c>
      <c r="B29" s="7" t="str">
        <f t="shared" si="0"/>
        <v xml:space="preserve"> (x)</v>
      </c>
      <c r="C29" s="3">
        <v>3023</v>
      </c>
      <c r="I29" s="45" t="str">
        <f t="shared" si="13"/>
        <v/>
      </c>
      <c r="J29" s="46" t="str">
        <f t="shared" si="14"/>
        <v/>
      </c>
      <c r="K29" s="62">
        <f t="shared" si="15"/>
        <v>0</v>
      </c>
      <c r="L29" s="28" t="s">
        <v>63</v>
      </c>
      <c r="M29" s="13" t="str">
        <f t="shared" si="1"/>
        <v>-</v>
      </c>
      <c r="N29" s="12" t="str">
        <f t="shared" si="2"/>
        <v>-</v>
      </c>
      <c r="O29" s="12"/>
      <c r="Q29" s="62">
        <f t="shared" si="16"/>
        <v>0</v>
      </c>
      <c r="R29" s="28" t="s">
        <v>63</v>
      </c>
      <c r="S29" s="13" t="str">
        <f t="shared" si="3"/>
        <v>-</v>
      </c>
      <c r="T29" s="12" t="str">
        <f t="shared" si="4"/>
        <v>-</v>
      </c>
      <c r="U29" s="12"/>
      <c r="V29" s="12"/>
      <c r="W29" s="62">
        <f t="shared" si="17"/>
        <v>0</v>
      </c>
      <c r="X29" s="28" t="s">
        <v>63</v>
      </c>
      <c r="Y29" s="13" t="str">
        <f t="shared" si="5"/>
        <v>-</v>
      </c>
      <c r="Z29" s="12" t="str">
        <f t="shared" si="6"/>
        <v>-</v>
      </c>
      <c r="AA29" s="12"/>
      <c r="AB29" s="64"/>
      <c r="AC29" s="62">
        <f t="shared" si="19"/>
        <v>0</v>
      </c>
      <c r="AD29" s="28" t="s">
        <v>63</v>
      </c>
      <c r="AE29" s="13" t="str">
        <f t="shared" si="7"/>
        <v>-</v>
      </c>
      <c r="AF29" s="12" t="str">
        <f t="shared" si="8"/>
        <v>-</v>
      </c>
      <c r="AG29" s="12"/>
      <c r="AH29" s="17"/>
      <c r="AI29" s="16"/>
      <c r="AJ29" s="2">
        <f t="shared" si="9"/>
        <v>0</v>
      </c>
      <c r="AK29" s="2">
        <f t="shared" si="10"/>
        <v>0</v>
      </c>
      <c r="AL29" s="2">
        <f t="shared" si="11"/>
        <v>0</v>
      </c>
      <c r="AM29" s="2">
        <f t="shared" si="12"/>
        <v>0</v>
      </c>
    </row>
    <row r="30" spans="1:39" outlineLevel="1" x14ac:dyDescent="0.25">
      <c r="A30" t="s">
        <v>38</v>
      </c>
      <c r="B30" s="7" t="str">
        <f t="shared" si="0"/>
        <v xml:space="preserve"> (x)</v>
      </c>
      <c r="C30" s="3">
        <v>3024</v>
      </c>
      <c r="I30" s="45" t="str">
        <f t="shared" si="13"/>
        <v/>
      </c>
      <c r="J30" s="46" t="str">
        <f t="shared" si="14"/>
        <v/>
      </c>
      <c r="K30" s="62">
        <f t="shared" si="15"/>
        <v>0</v>
      </c>
      <c r="L30" s="28" t="s">
        <v>63</v>
      </c>
      <c r="M30" s="13" t="str">
        <f t="shared" si="1"/>
        <v>-</v>
      </c>
      <c r="N30" s="12" t="str">
        <f t="shared" si="2"/>
        <v>-</v>
      </c>
      <c r="O30" s="12"/>
      <c r="Q30" s="62">
        <f t="shared" si="16"/>
        <v>0</v>
      </c>
      <c r="R30" s="28" t="s">
        <v>63</v>
      </c>
      <c r="S30" s="13" t="str">
        <f t="shared" si="3"/>
        <v>-</v>
      </c>
      <c r="T30" s="12" t="str">
        <f t="shared" si="4"/>
        <v>-</v>
      </c>
      <c r="U30" s="12"/>
      <c r="V30" s="12"/>
      <c r="W30" s="62">
        <f t="shared" si="17"/>
        <v>0</v>
      </c>
      <c r="X30" s="28" t="s">
        <v>63</v>
      </c>
      <c r="Y30" s="13" t="str">
        <f t="shared" si="5"/>
        <v>-</v>
      </c>
      <c r="Z30" s="12" t="str">
        <f t="shared" si="6"/>
        <v>-</v>
      </c>
      <c r="AA30" s="12"/>
      <c r="AB30" s="64"/>
      <c r="AC30" s="62">
        <f t="shared" si="19"/>
        <v>0</v>
      </c>
      <c r="AD30" s="28" t="s">
        <v>63</v>
      </c>
      <c r="AE30" s="13" t="str">
        <f t="shared" si="7"/>
        <v>-</v>
      </c>
      <c r="AF30" s="12" t="str">
        <f t="shared" si="8"/>
        <v>-</v>
      </c>
      <c r="AG30" s="12"/>
      <c r="AH30" s="17"/>
      <c r="AI30" s="16"/>
      <c r="AJ30" s="2">
        <f t="shared" si="9"/>
        <v>0</v>
      </c>
      <c r="AK30" s="2">
        <f t="shared" si="10"/>
        <v>0</v>
      </c>
      <c r="AL30" s="2">
        <f t="shared" si="11"/>
        <v>0</v>
      </c>
      <c r="AM30" s="2">
        <f t="shared" si="12"/>
        <v>0</v>
      </c>
    </row>
    <row r="31" spans="1:39" outlineLevel="1" x14ac:dyDescent="0.25">
      <c r="A31" t="s">
        <v>38</v>
      </c>
      <c r="B31" s="7" t="str">
        <f t="shared" si="0"/>
        <v xml:space="preserve"> (x)</v>
      </c>
      <c r="C31" s="3">
        <v>3025</v>
      </c>
      <c r="I31" s="45" t="str">
        <f t="shared" si="13"/>
        <v/>
      </c>
      <c r="J31" s="46" t="str">
        <f t="shared" si="14"/>
        <v/>
      </c>
      <c r="K31" s="62">
        <f t="shared" si="15"/>
        <v>0</v>
      </c>
      <c r="L31" s="28" t="s">
        <v>63</v>
      </c>
      <c r="M31" s="13" t="str">
        <f t="shared" si="1"/>
        <v>-</v>
      </c>
      <c r="N31" s="12" t="str">
        <f t="shared" si="2"/>
        <v>-</v>
      </c>
      <c r="O31" s="12"/>
      <c r="Q31" s="62">
        <f t="shared" si="16"/>
        <v>0</v>
      </c>
      <c r="R31" s="28" t="s">
        <v>63</v>
      </c>
      <c r="S31" s="13" t="str">
        <f t="shared" si="3"/>
        <v>-</v>
      </c>
      <c r="T31" s="12" t="str">
        <f t="shared" si="4"/>
        <v>-</v>
      </c>
      <c r="U31" s="12"/>
      <c r="V31" s="12"/>
      <c r="W31" s="62">
        <f t="shared" si="17"/>
        <v>0</v>
      </c>
      <c r="X31" s="28" t="s">
        <v>63</v>
      </c>
      <c r="Y31" s="13" t="str">
        <f t="shared" si="5"/>
        <v>-</v>
      </c>
      <c r="Z31" s="12" t="str">
        <f t="shared" si="6"/>
        <v>-</v>
      </c>
      <c r="AA31" s="12"/>
      <c r="AB31" s="64"/>
      <c r="AC31" s="62">
        <f t="shared" si="19"/>
        <v>0</v>
      </c>
      <c r="AD31" s="28" t="s">
        <v>63</v>
      </c>
      <c r="AE31" s="13" t="str">
        <f t="shared" si="7"/>
        <v>-</v>
      </c>
      <c r="AF31" s="12" t="str">
        <f t="shared" si="8"/>
        <v>-</v>
      </c>
      <c r="AG31" s="12"/>
      <c r="AH31" s="17"/>
      <c r="AI31" s="16"/>
      <c r="AJ31" s="2">
        <f t="shared" si="9"/>
        <v>0</v>
      </c>
      <c r="AK31" s="2">
        <f t="shared" si="10"/>
        <v>0</v>
      </c>
      <c r="AL31" s="2">
        <f t="shared" si="11"/>
        <v>0</v>
      </c>
      <c r="AM31" s="2">
        <f t="shared" si="12"/>
        <v>0</v>
      </c>
    </row>
    <row r="32" spans="1:39" outlineLevel="1" x14ac:dyDescent="0.25">
      <c r="A32" t="s">
        <v>38</v>
      </c>
      <c r="B32" s="7" t="str">
        <f t="shared" si="0"/>
        <v xml:space="preserve"> (x)</v>
      </c>
      <c r="C32" s="3">
        <v>3026</v>
      </c>
      <c r="I32" s="45" t="str">
        <f t="shared" si="13"/>
        <v/>
      </c>
      <c r="J32" s="46" t="str">
        <f t="shared" si="14"/>
        <v/>
      </c>
      <c r="K32" s="62">
        <f t="shared" si="15"/>
        <v>0</v>
      </c>
      <c r="L32" s="28" t="s">
        <v>63</v>
      </c>
      <c r="M32" s="13" t="str">
        <f t="shared" si="1"/>
        <v>-</v>
      </c>
      <c r="N32" s="12" t="str">
        <f t="shared" si="2"/>
        <v>-</v>
      </c>
      <c r="O32" s="12"/>
      <c r="Q32" s="62">
        <f t="shared" si="16"/>
        <v>0</v>
      </c>
      <c r="R32" s="28" t="s">
        <v>63</v>
      </c>
      <c r="S32" s="13" t="str">
        <f t="shared" si="3"/>
        <v>-</v>
      </c>
      <c r="T32" s="12" t="str">
        <f t="shared" si="4"/>
        <v>-</v>
      </c>
      <c r="U32" s="12"/>
      <c r="V32" s="12"/>
      <c r="W32" s="62">
        <f t="shared" si="17"/>
        <v>0</v>
      </c>
      <c r="X32" s="28" t="s">
        <v>63</v>
      </c>
      <c r="Y32" s="13" t="str">
        <f t="shared" si="5"/>
        <v>-</v>
      </c>
      <c r="Z32" s="12" t="str">
        <f t="shared" si="6"/>
        <v>-</v>
      </c>
      <c r="AA32" s="12"/>
      <c r="AB32" s="64"/>
      <c r="AC32" s="62">
        <f t="shared" si="19"/>
        <v>0</v>
      </c>
      <c r="AD32" s="28" t="s">
        <v>63</v>
      </c>
      <c r="AE32" s="13" t="str">
        <f t="shared" si="7"/>
        <v>-</v>
      </c>
      <c r="AF32" s="12" t="str">
        <f t="shared" si="8"/>
        <v>-</v>
      </c>
      <c r="AG32" s="12"/>
      <c r="AH32" s="17"/>
      <c r="AI32" s="16"/>
      <c r="AJ32" s="2">
        <f t="shared" si="9"/>
        <v>0</v>
      </c>
      <c r="AK32" s="2">
        <f t="shared" si="10"/>
        <v>0</v>
      </c>
      <c r="AL32" s="2">
        <f t="shared" si="11"/>
        <v>0</v>
      </c>
      <c r="AM32" s="2">
        <f t="shared" si="12"/>
        <v>0</v>
      </c>
    </row>
    <row r="33" spans="1:39" outlineLevel="1" x14ac:dyDescent="0.25">
      <c r="A33" t="s">
        <v>38</v>
      </c>
      <c r="B33" s="7" t="str">
        <f t="shared" si="0"/>
        <v xml:space="preserve"> (x)</v>
      </c>
      <c r="C33" s="3">
        <v>3027</v>
      </c>
      <c r="I33" s="45" t="str">
        <f t="shared" si="13"/>
        <v/>
      </c>
      <c r="J33" s="46" t="str">
        <f t="shared" si="14"/>
        <v/>
      </c>
      <c r="K33" s="62">
        <f t="shared" si="15"/>
        <v>0</v>
      </c>
      <c r="L33" s="28" t="s">
        <v>63</v>
      </c>
      <c r="M33" s="13" t="str">
        <f t="shared" si="1"/>
        <v>-</v>
      </c>
      <c r="N33" s="12" t="str">
        <f t="shared" si="2"/>
        <v>-</v>
      </c>
      <c r="O33" s="12"/>
      <c r="Q33" s="62">
        <f t="shared" si="16"/>
        <v>0</v>
      </c>
      <c r="R33" s="28" t="s">
        <v>63</v>
      </c>
      <c r="S33" s="13" t="str">
        <f t="shared" si="3"/>
        <v>-</v>
      </c>
      <c r="T33" s="12" t="str">
        <f t="shared" si="4"/>
        <v>-</v>
      </c>
      <c r="U33" s="12"/>
      <c r="V33" s="12"/>
      <c r="W33" s="62">
        <f t="shared" si="17"/>
        <v>0</v>
      </c>
      <c r="X33" s="28" t="s">
        <v>63</v>
      </c>
      <c r="Y33" s="13" t="str">
        <f t="shared" si="5"/>
        <v>-</v>
      </c>
      <c r="Z33" s="12" t="str">
        <f t="shared" si="6"/>
        <v>-</v>
      </c>
      <c r="AA33" s="12"/>
      <c r="AB33" s="64"/>
      <c r="AC33" s="62">
        <f t="shared" si="19"/>
        <v>0</v>
      </c>
      <c r="AD33" s="28" t="s">
        <v>63</v>
      </c>
      <c r="AE33" s="13" t="str">
        <f t="shared" si="7"/>
        <v>-</v>
      </c>
      <c r="AF33" s="12" t="str">
        <f t="shared" si="8"/>
        <v>-</v>
      </c>
      <c r="AG33" s="12"/>
      <c r="AH33" s="17"/>
      <c r="AI33" s="16"/>
      <c r="AJ33" s="2">
        <f t="shared" si="9"/>
        <v>0</v>
      </c>
      <c r="AK33" s="2">
        <f t="shared" si="10"/>
        <v>0</v>
      </c>
      <c r="AL33" s="2">
        <f t="shared" si="11"/>
        <v>0</v>
      </c>
      <c r="AM33" s="2">
        <f t="shared" si="12"/>
        <v>0</v>
      </c>
    </row>
    <row r="34" spans="1:39" outlineLevel="1" x14ac:dyDescent="0.25">
      <c r="A34" t="s">
        <v>38</v>
      </c>
      <c r="B34" s="7" t="str">
        <f t="shared" si="0"/>
        <v xml:space="preserve"> (x)</v>
      </c>
      <c r="C34" s="3">
        <v>3028</v>
      </c>
      <c r="I34" s="45" t="str">
        <f t="shared" si="13"/>
        <v/>
      </c>
      <c r="J34" s="46" t="str">
        <f t="shared" si="14"/>
        <v/>
      </c>
      <c r="K34" s="62">
        <f t="shared" si="15"/>
        <v>0</v>
      </c>
      <c r="L34" s="28" t="s">
        <v>63</v>
      </c>
      <c r="M34" s="13" t="str">
        <f t="shared" si="1"/>
        <v>-</v>
      </c>
      <c r="N34" s="12" t="str">
        <f t="shared" si="2"/>
        <v>-</v>
      </c>
      <c r="O34" s="12"/>
      <c r="Q34" s="62">
        <f>+IFERROR(IF(AND(R34="-",K34&gt;0),ROUND(V$4*K34,0),ROUND(R34*(1+S$2)^U$2+Q$2,0)),0)</f>
        <v>0</v>
      </c>
      <c r="R34" s="28" t="s">
        <v>63</v>
      </c>
      <c r="S34" s="13" t="str">
        <f t="shared" si="3"/>
        <v>-</v>
      </c>
      <c r="T34" s="12" t="str">
        <f t="shared" si="4"/>
        <v>-</v>
      </c>
      <c r="U34" s="12"/>
      <c r="V34" s="12"/>
      <c r="W34" s="62">
        <f>+IFERROR(IF(AND(X34="-",Q34&gt;0),ROUND(AB$4*Q34,0),ROUND(X34*(1+Y$2)^AA$2+W$2,0)),0)</f>
        <v>0</v>
      </c>
      <c r="X34" s="28" t="s">
        <v>63</v>
      </c>
      <c r="Y34" s="13" t="str">
        <f t="shared" si="5"/>
        <v>-</v>
      </c>
      <c r="Z34" s="12" t="str">
        <f t="shared" si="6"/>
        <v>-</v>
      </c>
      <c r="AA34" s="12"/>
      <c r="AB34" s="64"/>
      <c r="AC34" s="62">
        <f>+IFERROR(IF(AND(AD34="-",W34&gt;0),ROUND(AH$4*W34,0),ROUND(AD34*(1+AE$2)^AG$2+AC$2,0)),0)</f>
        <v>0</v>
      </c>
      <c r="AD34" s="28" t="s">
        <v>63</v>
      </c>
      <c r="AE34" s="13" t="str">
        <f t="shared" si="7"/>
        <v>-</v>
      </c>
      <c r="AF34" s="12" t="str">
        <f t="shared" si="8"/>
        <v>-</v>
      </c>
      <c r="AG34" s="12"/>
      <c r="AH34" s="17"/>
      <c r="AI34" s="16"/>
      <c r="AJ34" s="2">
        <f t="shared" si="9"/>
        <v>0</v>
      </c>
      <c r="AK34" s="2">
        <f t="shared" si="10"/>
        <v>0</v>
      </c>
      <c r="AL34" s="2">
        <f t="shared" si="11"/>
        <v>0</v>
      </c>
      <c r="AM34" s="2">
        <f t="shared" si="12"/>
        <v>0</v>
      </c>
    </row>
    <row r="35" spans="1:39" outlineLevel="1" x14ac:dyDescent="0.25">
      <c r="A35" t="s">
        <v>38</v>
      </c>
      <c r="B35" s="7" t="str">
        <f t="shared" si="0"/>
        <v xml:space="preserve"> (x)</v>
      </c>
      <c r="C35" s="3">
        <v>3029</v>
      </c>
      <c r="I35" s="45" t="str">
        <f t="shared" si="13"/>
        <v/>
      </c>
      <c r="J35" s="46" t="str">
        <f t="shared" si="14"/>
        <v/>
      </c>
      <c r="K35" s="62">
        <f t="shared" si="15"/>
        <v>0</v>
      </c>
      <c r="L35" s="28" t="s">
        <v>63</v>
      </c>
      <c r="M35" s="13" t="str">
        <f t="shared" si="1"/>
        <v>-</v>
      </c>
      <c r="N35" s="12" t="str">
        <f t="shared" si="2"/>
        <v>-</v>
      </c>
      <c r="O35" s="12"/>
      <c r="Q35" s="62">
        <f t="shared" si="16"/>
        <v>0</v>
      </c>
      <c r="R35" s="28" t="s">
        <v>63</v>
      </c>
      <c r="S35" s="13" t="str">
        <f t="shared" si="3"/>
        <v>-</v>
      </c>
      <c r="T35" s="12" t="str">
        <f t="shared" si="4"/>
        <v>-</v>
      </c>
      <c r="U35" s="12"/>
      <c r="V35" s="12"/>
      <c r="W35" s="62">
        <f t="shared" si="17"/>
        <v>0</v>
      </c>
      <c r="X35" s="28" t="s">
        <v>63</v>
      </c>
      <c r="Y35" s="13" t="str">
        <f t="shared" si="5"/>
        <v>-</v>
      </c>
      <c r="Z35" s="12" t="str">
        <f t="shared" si="6"/>
        <v>-</v>
      </c>
      <c r="AA35" s="12"/>
      <c r="AB35" s="64"/>
      <c r="AC35" s="62">
        <f t="shared" si="19"/>
        <v>0</v>
      </c>
      <c r="AD35" s="28" t="s">
        <v>63</v>
      </c>
      <c r="AE35" s="13" t="str">
        <f t="shared" si="7"/>
        <v>-</v>
      </c>
      <c r="AF35" s="12" t="str">
        <f t="shared" si="8"/>
        <v>-</v>
      </c>
      <c r="AG35" s="12"/>
      <c r="AH35" s="17"/>
      <c r="AI35" s="16"/>
      <c r="AJ35" s="2"/>
      <c r="AK35" s="2"/>
      <c r="AL35" s="2"/>
      <c r="AM35" s="2"/>
    </row>
    <row r="36" spans="1:39" outlineLevel="1" x14ac:dyDescent="0.25">
      <c r="A36" t="s">
        <v>38</v>
      </c>
      <c r="B36" s="7" t="str">
        <f t="shared" si="0"/>
        <v xml:space="preserve"> (x)</v>
      </c>
      <c r="C36" s="3">
        <v>3030</v>
      </c>
      <c r="I36" s="45" t="str">
        <f t="shared" si="13"/>
        <v/>
      </c>
      <c r="J36" s="46" t="str">
        <f t="shared" si="14"/>
        <v/>
      </c>
      <c r="K36" s="62">
        <f t="shared" si="15"/>
        <v>0</v>
      </c>
      <c r="L36" s="28" t="s">
        <v>63</v>
      </c>
      <c r="M36" s="13" t="str">
        <f t="shared" si="1"/>
        <v>-</v>
      </c>
      <c r="N36" s="12" t="str">
        <f t="shared" si="2"/>
        <v>-</v>
      </c>
      <c r="O36" s="12"/>
      <c r="Q36" s="62">
        <f t="shared" si="16"/>
        <v>0</v>
      </c>
      <c r="R36" s="28" t="s">
        <v>63</v>
      </c>
      <c r="S36" s="13" t="str">
        <f t="shared" si="3"/>
        <v>-</v>
      </c>
      <c r="T36" s="12" t="str">
        <f t="shared" si="4"/>
        <v>-</v>
      </c>
      <c r="U36" s="12"/>
      <c r="V36" s="12"/>
      <c r="W36" s="62">
        <f t="shared" si="17"/>
        <v>0</v>
      </c>
      <c r="X36" s="28" t="s">
        <v>63</v>
      </c>
      <c r="Y36" s="13" t="str">
        <f t="shared" si="5"/>
        <v>-</v>
      </c>
      <c r="Z36" s="12" t="str">
        <f t="shared" si="6"/>
        <v>-</v>
      </c>
      <c r="AA36" s="12"/>
      <c r="AB36" s="64"/>
      <c r="AC36" s="62">
        <f t="shared" si="19"/>
        <v>0</v>
      </c>
      <c r="AD36" s="28" t="s">
        <v>63</v>
      </c>
      <c r="AE36" s="13" t="str">
        <f t="shared" si="7"/>
        <v>-</v>
      </c>
      <c r="AF36" s="12" t="str">
        <f t="shared" si="8"/>
        <v>-</v>
      </c>
      <c r="AG36" s="12"/>
      <c r="AH36" s="17"/>
      <c r="AI36" s="16"/>
      <c r="AJ36" s="2"/>
      <c r="AK36" s="2"/>
      <c r="AL36" s="2"/>
      <c r="AM36" s="2"/>
    </row>
    <row r="37" spans="1:39" outlineLevel="1" x14ac:dyDescent="0.25">
      <c r="A37" t="s">
        <v>38</v>
      </c>
      <c r="B37" s="7" t="str">
        <f t="shared" si="0"/>
        <v xml:space="preserve"> (x)</v>
      </c>
      <c r="C37" s="3">
        <v>3031</v>
      </c>
      <c r="I37" s="45" t="str">
        <f t="shared" si="13"/>
        <v/>
      </c>
      <c r="J37" s="46" t="str">
        <f t="shared" si="14"/>
        <v/>
      </c>
      <c r="K37" s="62">
        <f t="shared" si="15"/>
        <v>0</v>
      </c>
      <c r="L37" s="28" t="s">
        <v>63</v>
      </c>
      <c r="M37" s="13" t="str">
        <f t="shared" si="1"/>
        <v>-</v>
      </c>
      <c r="N37" s="12" t="str">
        <f t="shared" si="2"/>
        <v>-</v>
      </c>
      <c r="O37" s="12"/>
      <c r="Q37" s="62">
        <f t="shared" si="16"/>
        <v>0</v>
      </c>
      <c r="R37" s="28" t="s">
        <v>63</v>
      </c>
      <c r="S37" s="13" t="str">
        <f t="shared" si="3"/>
        <v>-</v>
      </c>
      <c r="T37" s="12" t="str">
        <f t="shared" si="4"/>
        <v>-</v>
      </c>
      <c r="U37" s="12"/>
      <c r="V37" s="12"/>
      <c r="W37" s="62">
        <f t="shared" si="17"/>
        <v>0</v>
      </c>
      <c r="X37" s="28" t="s">
        <v>63</v>
      </c>
      <c r="Y37" s="13" t="str">
        <f t="shared" si="5"/>
        <v>-</v>
      </c>
      <c r="Z37" s="12" t="str">
        <f t="shared" si="6"/>
        <v>-</v>
      </c>
      <c r="AA37" s="12"/>
      <c r="AB37" s="64"/>
      <c r="AC37" s="62">
        <f t="shared" si="19"/>
        <v>0</v>
      </c>
      <c r="AD37" s="28" t="s">
        <v>63</v>
      </c>
      <c r="AE37" s="13" t="str">
        <f t="shared" si="7"/>
        <v>-</v>
      </c>
      <c r="AF37" s="12" t="str">
        <f t="shared" si="8"/>
        <v>-</v>
      </c>
      <c r="AG37" s="12"/>
      <c r="AH37" s="17"/>
      <c r="AI37" s="16"/>
      <c r="AJ37" s="2"/>
      <c r="AK37" s="2"/>
      <c r="AL37" s="2"/>
      <c r="AM37" s="2"/>
    </row>
    <row r="38" spans="1:39" outlineLevel="1" x14ac:dyDescent="0.25">
      <c r="A38" t="s">
        <v>38</v>
      </c>
      <c r="B38" s="7" t="str">
        <f t="shared" ref="B38:B56" si="22">IF(OR(E38="-",F38="-"),"-",D38&amp;" ("&amp;E38&amp;"x"&amp;F38&amp;")")</f>
        <v xml:space="preserve"> (x)</v>
      </c>
      <c r="C38" s="3">
        <v>3032</v>
      </c>
      <c r="I38" s="45" t="str">
        <f t="shared" si="13"/>
        <v/>
      </c>
      <c r="J38" s="46" t="str">
        <f t="shared" si="14"/>
        <v/>
      </c>
      <c r="K38" s="62">
        <f t="shared" si="15"/>
        <v>0</v>
      </c>
      <c r="L38" s="28" t="s">
        <v>63</v>
      </c>
      <c r="M38" s="13" t="str">
        <f t="shared" ref="M38:M56" si="23">IFERROR(K38/L38-1,"-")</f>
        <v>-</v>
      </c>
      <c r="N38" s="12" t="str">
        <f t="shared" si="2"/>
        <v>-</v>
      </c>
      <c r="O38" s="12"/>
      <c r="Q38" s="62">
        <f t="shared" si="16"/>
        <v>0</v>
      </c>
      <c r="R38" s="28" t="s">
        <v>63</v>
      </c>
      <c r="S38" s="13" t="str">
        <f t="shared" ref="S38:S56" si="24">IFERROR(Q38/R38-1,"-")</f>
        <v>-</v>
      </c>
      <c r="T38" s="12" t="str">
        <f t="shared" si="4"/>
        <v>-</v>
      </c>
      <c r="U38" s="12"/>
      <c r="V38" s="12"/>
      <c r="W38" s="62">
        <f t="shared" si="17"/>
        <v>0</v>
      </c>
      <c r="X38" s="28" t="s">
        <v>63</v>
      </c>
      <c r="Y38" s="13" t="str">
        <f t="shared" ref="Y38:Y56" si="25">IFERROR(W38/X38-1,"-")</f>
        <v>-</v>
      </c>
      <c r="Z38" s="12" t="str">
        <f t="shared" si="6"/>
        <v>-</v>
      </c>
      <c r="AA38" s="12"/>
      <c r="AB38" s="64"/>
      <c r="AC38" s="62">
        <f t="shared" si="19"/>
        <v>0</v>
      </c>
      <c r="AD38" s="28" t="s">
        <v>63</v>
      </c>
      <c r="AE38" s="13" t="str">
        <f t="shared" ref="AE38:AE56" si="26">IFERROR(AC38/AD38-1,"-")</f>
        <v>-</v>
      </c>
      <c r="AF38" s="12" t="str">
        <f t="shared" si="8"/>
        <v>-</v>
      </c>
      <c r="AG38" s="12"/>
      <c r="AH38" s="17"/>
      <c r="AI38" s="16"/>
      <c r="AJ38" s="2"/>
      <c r="AK38" s="2"/>
      <c r="AL38" s="2"/>
      <c r="AM38" s="2"/>
    </row>
    <row r="39" spans="1:39" outlineLevel="1" x14ac:dyDescent="0.25">
      <c r="A39" t="s">
        <v>38</v>
      </c>
      <c r="B39" s="7" t="str">
        <f t="shared" si="22"/>
        <v xml:space="preserve"> (x)</v>
      </c>
      <c r="C39" s="3">
        <v>3033</v>
      </c>
      <c r="I39" s="45" t="str">
        <f t="shared" si="13"/>
        <v/>
      </c>
      <c r="J39" s="46" t="str">
        <f t="shared" si="14"/>
        <v/>
      </c>
      <c r="K39" s="62">
        <f t="shared" si="15"/>
        <v>0</v>
      </c>
      <c r="L39" s="28" t="s">
        <v>63</v>
      </c>
      <c r="M39" s="13" t="str">
        <f t="shared" si="23"/>
        <v>-</v>
      </c>
      <c r="N39" s="12" t="str">
        <f t="shared" si="2"/>
        <v>-</v>
      </c>
      <c r="O39" s="12"/>
      <c r="Q39" s="62">
        <f t="shared" si="16"/>
        <v>0</v>
      </c>
      <c r="R39" s="28" t="s">
        <v>63</v>
      </c>
      <c r="S39" s="13" t="str">
        <f t="shared" si="24"/>
        <v>-</v>
      </c>
      <c r="T39" s="12" t="str">
        <f t="shared" si="4"/>
        <v>-</v>
      </c>
      <c r="U39" s="12"/>
      <c r="V39" s="12"/>
      <c r="W39" s="62">
        <f t="shared" si="17"/>
        <v>0</v>
      </c>
      <c r="X39" s="28" t="s">
        <v>63</v>
      </c>
      <c r="Y39" s="13" t="str">
        <f t="shared" si="25"/>
        <v>-</v>
      </c>
      <c r="Z39" s="12" t="str">
        <f t="shared" si="6"/>
        <v>-</v>
      </c>
      <c r="AA39" s="12"/>
      <c r="AB39" s="64"/>
      <c r="AC39" s="62">
        <f t="shared" si="19"/>
        <v>0</v>
      </c>
      <c r="AD39" s="28" t="s">
        <v>63</v>
      </c>
      <c r="AE39" s="13" t="str">
        <f t="shared" si="26"/>
        <v>-</v>
      </c>
      <c r="AF39" s="12" t="str">
        <f t="shared" si="8"/>
        <v>-</v>
      </c>
      <c r="AG39" s="12"/>
      <c r="AH39" s="17"/>
      <c r="AI39" s="16"/>
      <c r="AJ39" s="2"/>
      <c r="AK39" s="2"/>
      <c r="AL39" s="2"/>
      <c r="AM39" s="2"/>
    </row>
    <row r="40" spans="1:39" outlineLevel="1" x14ac:dyDescent="0.25">
      <c r="A40" t="s">
        <v>38</v>
      </c>
      <c r="B40" s="7" t="str">
        <f t="shared" si="22"/>
        <v xml:space="preserve"> (x)</v>
      </c>
      <c r="C40" s="3">
        <v>3034</v>
      </c>
      <c r="I40" s="45" t="str">
        <f t="shared" si="13"/>
        <v/>
      </c>
      <c r="J40" s="46" t="str">
        <f t="shared" si="14"/>
        <v/>
      </c>
      <c r="K40" s="62">
        <f t="shared" si="15"/>
        <v>0</v>
      </c>
      <c r="L40" s="28" t="s">
        <v>63</v>
      </c>
      <c r="M40" s="13" t="str">
        <f t="shared" si="23"/>
        <v>-</v>
      </c>
      <c r="N40" s="12" t="str">
        <f t="shared" si="2"/>
        <v>-</v>
      </c>
      <c r="O40" s="12"/>
      <c r="Q40" s="62">
        <f t="shared" si="16"/>
        <v>0</v>
      </c>
      <c r="R40" s="28" t="s">
        <v>63</v>
      </c>
      <c r="S40" s="13" t="str">
        <f t="shared" si="24"/>
        <v>-</v>
      </c>
      <c r="T40" s="12" t="str">
        <f t="shared" si="4"/>
        <v>-</v>
      </c>
      <c r="U40" s="12"/>
      <c r="V40" s="12"/>
      <c r="W40" s="62">
        <f t="shared" si="17"/>
        <v>0</v>
      </c>
      <c r="X40" s="28" t="s">
        <v>63</v>
      </c>
      <c r="Y40" s="13" t="str">
        <f t="shared" si="25"/>
        <v>-</v>
      </c>
      <c r="Z40" s="12" t="str">
        <f t="shared" si="6"/>
        <v>-</v>
      </c>
      <c r="AA40" s="12"/>
      <c r="AB40" s="64"/>
      <c r="AC40" s="62">
        <f t="shared" si="19"/>
        <v>0</v>
      </c>
      <c r="AD40" s="28" t="s">
        <v>63</v>
      </c>
      <c r="AE40" s="13" t="str">
        <f t="shared" si="26"/>
        <v>-</v>
      </c>
      <c r="AF40" s="12" t="str">
        <f t="shared" si="8"/>
        <v>-</v>
      </c>
      <c r="AG40" s="12"/>
      <c r="AH40" s="17"/>
      <c r="AI40" s="16"/>
      <c r="AJ40" s="2"/>
      <c r="AK40" s="2"/>
      <c r="AL40" s="2"/>
      <c r="AM40" s="2"/>
    </row>
    <row r="41" spans="1:39" outlineLevel="1" x14ac:dyDescent="0.25">
      <c r="A41" t="s">
        <v>38</v>
      </c>
      <c r="B41" s="7" t="str">
        <f t="shared" si="22"/>
        <v xml:space="preserve"> (x)</v>
      </c>
      <c r="C41" s="3">
        <v>3035</v>
      </c>
      <c r="I41" s="45" t="str">
        <f t="shared" si="13"/>
        <v/>
      </c>
      <c r="J41" s="46" t="str">
        <f t="shared" si="14"/>
        <v/>
      </c>
      <c r="K41" s="62">
        <f t="shared" si="15"/>
        <v>0</v>
      </c>
      <c r="L41" s="28" t="s">
        <v>63</v>
      </c>
      <c r="M41" s="13" t="str">
        <f t="shared" si="23"/>
        <v>-</v>
      </c>
      <c r="N41" s="12" t="str">
        <f t="shared" si="2"/>
        <v>-</v>
      </c>
      <c r="O41" s="12"/>
      <c r="Q41" s="62">
        <f t="shared" si="16"/>
        <v>0</v>
      </c>
      <c r="R41" s="28" t="s">
        <v>63</v>
      </c>
      <c r="S41" s="13" t="str">
        <f t="shared" si="24"/>
        <v>-</v>
      </c>
      <c r="T41" s="12" t="str">
        <f t="shared" si="4"/>
        <v>-</v>
      </c>
      <c r="U41" s="12"/>
      <c r="V41" s="12"/>
      <c r="W41" s="62">
        <f t="shared" si="17"/>
        <v>0</v>
      </c>
      <c r="X41" s="28" t="s">
        <v>63</v>
      </c>
      <c r="Y41" s="13" t="str">
        <f t="shared" si="25"/>
        <v>-</v>
      </c>
      <c r="Z41" s="12" t="str">
        <f t="shared" si="6"/>
        <v>-</v>
      </c>
      <c r="AA41" s="12"/>
      <c r="AB41" s="64"/>
      <c r="AC41" s="62">
        <f t="shared" si="19"/>
        <v>0</v>
      </c>
      <c r="AD41" s="28" t="s">
        <v>63</v>
      </c>
      <c r="AE41" s="13" t="str">
        <f t="shared" si="26"/>
        <v>-</v>
      </c>
      <c r="AF41" s="12" t="str">
        <f t="shared" si="8"/>
        <v>-</v>
      </c>
      <c r="AG41" s="12"/>
      <c r="AH41" s="17"/>
      <c r="AI41" s="16"/>
      <c r="AJ41" s="2"/>
      <c r="AK41" s="2"/>
      <c r="AL41" s="2"/>
      <c r="AM41" s="2"/>
    </row>
    <row r="42" spans="1:39" outlineLevel="1" x14ac:dyDescent="0.25">
      <c r="A42" t="s">
        <v>38</v>
      </c>
      <c r="B42" s="7" t="str">
        <f t="shared" si="22"/>
        <v xml:space="preserve"> (x)</v>
      </c>
      <c r="C42" s="3">
        <v>3036</v>
      </c>
      <c r="I42" s="45" t="str">
        <f t="shared" si="13"/>
        <v/>
      </c>
      <c r="J42" s="46" t="str">
        <f t="shared" si="14"/>
        <v/>
      </c>
      <c r="K42" s="62">
        <f t="shared" si="15"/>
        <v>0</v>
      </c>
      <c r="L42" s="28" t="s">
        <v>63</v>
      </c>
      <c r="M42" s="13" t="str">
        <f t="shared" si="23"/>
        <v>-</v>
      </c>
      <c r="N42" s="12" t="str">
        <f t="shared" si="2"/>
        <v>-</v>
      </c>
      <c r="O42" s="12"/>
      <c r="Q42" s="62">
        <f t="shared" si="16"/>
        <v>0</v>
      </c>
      <c r="R42" s="28" t="s">
        <v>63</v>
      </c>
      <c r="S42" s="13" t="str">
        <f t="shared" si="24"/>
        <v>-</v>
      </c>
      <c r="T42" s="12" t="str">
        <f t="shared" si="4"/>
        <v>-</v>
      </c>
      <c r="U42" s="12"/>
      <c r="V42" s="12"/>
      <c r="W42" s="62">
        <f t="shared" si="17"/>
        <v>0</v>
      </c>
      <c r="X42" s="28" t="s">
        <v>63</v>
      </c>
      <c r="Y42" s="13" t="str">
        <f t="shared" si="25"/>
        <v>-</v>
      </c>
      <c r="Z42" s="12" t="str">
        <f t="shared" si="6"/>
        <v>-</v>
      </c>
      <c r="AA42" s="12"/>
      <c r="AB42" s="64"/>
      <c r="AC42" s="62">
        <f t="shared" si="19"/>
        <v>0</v>
      </c>
      <c r="AD42" s="28" t="s">
        <v>63</v>
      </c>
      <c r="AE42" s="13" t="str">
        <f t="shared" si="26"/>
        <v>-</v>
      </c>
      <c r="AF42" s="12" t="str">
        <f t="shared" si="8"/>
        <v>-</v>
      </c>
      <c r="AG42" s="12"/>
      <c r="AH42" s="17"/>
      <c r="AI42" s="16"/>
      <c r="AJ42" s="2"/>
      <c r="AK42" s="2"/>
      <c r="AL42" s="2"/>
      <c r="AM42" s="2"/>
    </row>
    <row r="43" spans="1:39" outlineLevel="1" x14ac:dyDescent="0.25">
      <c r="A43" t="s">
        <v>38</v>
      </c>
      <c r="B43" s="7" t="str">
        <f t="shared" si="22"/>
        <v xml:space="preserve"> (x)</v>
      </c>
      <c r="C43" s="3">
        <v>3037</v>
      </c>
      <c r="I43" s="45" t="str">
        <f t="shared" si="13"/>
        <v/>
      </c>
      <c r="J43" s="46" t="str">
        <f t="shared" si="14"/>
        <v/>
      </c>
      <c r="K43" s="62">
        <f t="shared" si="15"/>
        <v>0</v>
      </c>
      <c r="L43" s="28" t="s">
        <v>63</v>
      </c>
      <c r="M43" s="13" t="str">
        <f t="shared" si="23"/>
        <v>-</v>
      </c>
      <c r="N43" s="12" t="str">
        <f t="shared" si="2"/>
        <v>-</v>
      </c>
      <c r="O43" s="12"/>
      <c r="Q43" s="62">
        <f t="shared" si="16"/>
        <v>0</v>
      </c>
      <c r="R43" s="28" t="s">
        <v>63</v>
      </c>
      <c r="S43" s="13" t="str">
        <f t="shared" si="24"/>
        <v>-</v>
      </c>
      <c r="T43" s="12" t="str">
        <f t="shared" si="4"/>
        <v>-</v>
      </c>
      <c r="U43" s="12"/>
      <c r="V43" s="12"/>
      <c r="W43" s="62">
        <f t="shared" si="17"/>
        <v>0</v>
      </c>
      <c r="X43" s="28" t="s">
        <v>63</v>
      </c>
      <c r="Y43" s="13" t="str">
        <f t="shared" si="25"/>
        <v>-</v>
      </c>
      <c r="Z43" s="12" t="str">
        <f t="shared" si="6"/>
        <v>-</v>
      </c>
      <c r="AA43" s="12"/>
      <c r="AB43" s="64"/>
      <c r="AC43" s="62">
        <f t="shared" si="19"/>
        <v>0</v>
      </c>
      <c r="AD43" s="28" t="s">
        <v>63</v>
      </c>
      <c r="AE43" s="13" t="str">
        <f t="shared" si="26"/>
        <v>-</v>
      </c>
      <c r="AF43" s="12" t="str">
        <f t="shared" si="8"/>
        <v>-</v>
      </c>
      <c r="AG43" s="12"/>
      <c r="AH43" s="17"/>
      <c r="AI43" s="16"/>
      <c r="AJ43" s="2"/>
      <c r="AK43" s="2"/>
      <c r="AL43" s="2"/>
      <c r="AM43" s="2"/>
    </row>
    <row r="44" spans="1:39" outlineLevel="1" x14ac:dyDescent="0.25">
      <c r="A44" t="s">
        <v>38</v>
      </c>
      <c r="B44" s="7" t="str">
        <f t="shared" si="22"/>
        <v xml:space="preserve"> (x)</v>
      </c>
      <c r="C44" s="3">
        <v>3038</v>
      </c>
      <c r="I44" s="45" t="str">
        <f t="shared" si="13"/>
        <v/>
      </c>
      <c r="J44" s="46" t="str">
        <f t="shared" si="14"/>
        <v/>
      </c>
      <c r="K44" s="62">
        <f t="shared" si="15"/>
        <v>0</v>
      </c>
      <c r="L44" s="28" t="s">
        <v>63</v>
      </c>
      <c r="M44" s="13" t="str">
        <f t="shared" si="23"/>
        <v>-</v>
      </c>
      <c r="N44" s="12" t="str">
        <f t="shared" si="2"/>
        <v>-</v>
      </c>
      <c r="O44" s="12"/>
      <c r="Q44" s="62">
        <f t="shared" si="16"/>
        <v>0</v>
      </c>
      <c r="R44" s="28" t="s">
        <v>63</v>
      </c>
      <c r="S44" s="13" t="str">
        <f t="shared" si="24"/>
        <v>-</v>
      </c>
      <c r="T44" s="12" t="str">
        <f t="shared" si="4"/>
        <v>-</v>
      </c>
      <c r="U44" s="12"/>
      <c r="V44" s="12"/>
      <c r="W44" s="62">
        <f t="shared" si="17"/>
        <v>0</v>
      </c>
      <c r="X44" s="28" t="s">
        <v>63</v>
      </c>
      <c r="Y44" s="13" t="str">
        <f t="shared" si="25"/>
        <v>-</v>
      </c>
      <c r="Z44" s="12" t="str">
        <f t="shared" si="6"/>
        <v>-</v>
      </c>
      <c r="AA44" s="12"/>
      <c r="AB44" s="64"/>
      <c r="AC44" s="62">
        <f t="shared" si="19"/>
        <v>0</v>
      </c>
      <c r="AD44" s="28" t="s">
        <v>63</v>
      </c>
      <c r="AE44" s="13" t="str">
        <f t="shared" si="26"/>
        <v>-</v>
      </c>
      <c r="AF44" s="12" t="str">
        <f t="shared" si="8"/>
        <v>-</v>
      </c>
      <c r="AG44" s="12"/>
      <c r="AH44" s="17"/>
      <c r="AI44" s="16"/>
      <c r="AJ44" s="2"/>
      <c r="AK44" s="2"/>
      <c r="AL44" s="2"/>
      <c r="AM44" s="2"/>
    </row>
    <row r="45" spans="1:39" outlineLevel="1" x14ac:dyDescent="0.25">
      <c r="A45" t="s">
        <v>38</v>
      </c>
      <c r="B45" s="7" t="str">
        <f t="shared" si="22"/>
        <v xml:space="preserve"> (x)</v>
      </c>
      <c r="C45" s="3">
        <v>3039</v>
      </c>
      <c r="I45" s="45" t="str">
        <f t="shared" si="13"/>
        <v/>
      </c>
      <c r="J45" s="46" t="str">
        <f t="shared" si="14"/>
        <v/>
      </c>
      <c r="K45" s="62">
        <f t="shared" si="15"/>
        <v>0</v>
      </c>
      <c r="L45" s="28" t="s">
        <v>63</v>
      </c>
      <c r="M45" s="13" t="str">
        <f t="shared" si="23"/>
        <v>-</v>
      </c>
      <c r="N45" s="12" t="str">
        <f t="shared" si="2"/>
        <v>-</v>
      </c>
      <c r="O45" s="12"/>
      <c r="Q45" s="62">
        <f t="shared" si="16"/>
        <v>0</v>
      </c>
      <c r="R45" s="28" t="s">
        <v>63</v>
      </c>
      <c r="S45" s="13" t="str">
        <f t="shared" si="24"/>
        <v>-</v>
      </c>
      <c r="T45" s="12" t="str">
        <f t="shared" si="4"/>
        <v>-</v>
      </c>
      <c r="U45" s="12"/>
      <c r="V45" s="12"/>
      <c r="W45" s="62">
        <f t="shared" si="17"/>
        <v>0</v>
      </c>
      <c r="X45" s="28" t="s">
        <v>63</v>
      </c>
      <c r="Y45" s="13" t="str">
        <f t="shared" si="25"/>
        <v>-</v>
      </c>
      <c r="Z45" s="12" t="str">
        <f t="shared" si="6"/>
        <v>-</v>
      </c>
      <c r="AA45" s="12"/>
      <c r="AB45" s="64"/>
      <c r="AC45" s="62">
        <f t="shared" si="19"/>
        <v>0</v>
      </c>
      <c r="AD45" s="28" t="s">
        <v>63</v>
      </c>
      <c r="AE45" s="13" t="str">
        <f t="shared" si="26"/>
        <v>-</v>
      </c>
      <c r="AF45" s="12" t="str">
        <f t="shared" si="8"/>
        <v>-</v>
      </c>
      <c r="AG45" s="12"/>
      <c r="AH45" s="17"/>
      <c r="AI45" s="16"/>
      <c r="AJ45" s="2"/>
      <c r="AK45" s="2"/>
      <c r="AL45" s="2"/>
      <c r="AM45" s="2"/>
    </row>
    <row r="46" spans="1:39" outlineLevel="1" x14ac:dyDescent="0.25">
      <c r="A46" t="s">
        <v>38</v>
      </c>
      <c r="B46" s="7" t="str">
        <f t="shared" si="22"/>
        <v xml:space="preserve"> (x)</v>
      </c>
      <c r="C46" s="3">
        <v>3040</v>
      </c>
      <c r="I46" s="45" t="str">
        <f t="shared" si="13"/>
        <v/>
      </c>
      <c r="J46" s="46" t="str">
        <f t="shared" si="14"/>
        <v/>
      </c>
      <c r="K46" s="62">
        <f t="shared" si="15"/>
        <v>0</v>
      </c>
      <c r="L46" s="28" t="s">
        <v>63</v>
      </c>
      <c r="M46" s="13" t="str">
        <f t="shared" si="23"/>
        <v>-</v>
      </c>
      <c r="N46" s="12" t="str">
        <f t="shared" si="2"/>
        <v>-</v>
      </c>
      <c r="O46" s="12"/>
      <c r="Q46" s="62">
        <f t="shared" si="16"/>
        <v>0</v>
      </c>
      <c r="R46" s="28" t="s">
        <v>63</v>
      </c>
      <c r="S46" s="13" t="str">
        <f t="shared" si="24"/>
        <v>-</v>
      </c>
      <c r="T46" s="12" t="str">
        <f t="shared" si="4"/>
        <v>-</v>
      </c>
      <c r="U46" s="12"/>
      <c r="V46" s="12"/>
      <c r="W46" s="62">
        <f t="shared" si="17"/>
        <v>0</v>
      </c>
      <c r="X46" s="28" t="s">
        <v>63</v>
      </c>
      <c r="Y46" s="13" t="str">
        <f t="shared" si="25"/>
        <v>-</v>
      </c>
      <c r="Z46" s="12" t="str">
        <f t="shared" si="6"/>
        <v>-</v>
      </c>
      <c r="AA46" s="12"/>
      <c r="AB46" s="64"/>
      <c r="AC46" s="62">
        <f t="shared" si="19"/>
        <v>0</v>
      </c>
      <c r="AD46" s="28" t="s">
        <v>63</v>
      </c>
      <c r="AE46" s="13" t="str">
        <f t="shared" si="26"/>
        <v>-</v>
      </c>
      <c r="AF46" s="12" t="str">
        <f t="shared" si="8"/>
        <v>-</v>
      </c>
      <c r="AG46" s="12"/>
      <c r="AH46" s="17"/>
      <c r="AI46" s="16"/>
      <c r="AJ46" s="2"/>
      <c r="AK46" s="2"/>
      <c r="AL46" s="2"/>
      <c r="AM46" s="2"/>
    </row>
    <row r="47" spans="1:39" outlineLevel="1" x14ac:dyDescent="0.25">
      <c r="A47" t="s">
        <v>38</v>
      </c>
      <c r="B47" s="7" t="str">
        <f t="shared" si="22"/>
        <v xml:space="preserve"> (x)</v>
      </c>
      <c r="C47" s="3">
        <v>3041</v>
      </c>
      <c r="I47" s="45" t="str">
        <f t="shared" si="13"/>
        <v/>
      </c>
      <c r="J47" s="46" t="str">
        <f t="shared" si="14"/>
        <v/>
      </c>
      <c r="K47" s="62">
        <f t="shared" si="15"/>
        <v>0</v>
      </c>
      <c r="L47" s="28" t="s">
        <v>63</v>
      </c>
      <c r="M47" s="13" t="str">
        <f t="shared" si="23"/>
        <v>-</v>
      </c>
      <c r="N47" s="12" t="str">
        <f t="shared" si="2"/>
        <v>-</v>
      </c>
      <c r="O47" s="12"/>
      <c r="Q47" s="62">
        <f t="shared" si="16"/>
        <v>0</v>
      </c>
      <c r="R47" s="28" t="s">
        <v>63</v>
      </c>
      <c r="S47" s="13" t="str">
        <f t="shared" si="24"/>
        <v>-</v>
      </c>
      <c r="T47" s="12" t="str">
        <f t="shared" si="4"/>
        <v>-</v>
      </c>
      <c r="U47" s="12"/>
      <c r="V47" s="12"/>
      <c r="W47" s="62">
        <f t="shared" si="17"/>
        <v>0</v>
      </c>
      <c r="X47" s="28" t="s">
        <v>63</v>
      </c>
      <c r="Y47" s="13" t="str">
        <f t="shared" si="25"/>
        <v>-</v>
      </c>
      <c r="Z47" s="12" t="str">
        <f t="shared" si="6"/>
        <v>-</v>
      </c>
      <c r="AA47" s="12"/>
      <c r="AB47" s="64"/>
      <c r="AC47" s="62">
        <f t="shared" si="19"/>
        <v>0</v>
      </c>
      <c r="AD47" s="28" t="s">
        <v>63</v>
      </c>
      <c r="AE47" s="13" t="str">
        <f t="shared" si="26"/>
        <v>-</v>
      </c>
      <c r="AF47" s="12" t="str">
        <f t="shared" si="8"/>
        <v>-</v>
      </c>
      <c r="AG47" s="12"/>
      <c r="AH47" s="17"/>
      <c r="AI47" s="16"/>
      <c r="AJ47" s="2"/>
      <c r="AK47" s="2"/>
      <c r="AL47" s="2"/>
      <c r="AM47" s="2"/>
    </row>
    <row r="48" spans="1:39" outlineLevel="1" x14ac:dyDescent="0.25">
      <c r="A48" t="s">
        <v>38</v>
      </c>
      <c r="B48" s="7" t="str">
        <f t="shared" si="22"/>
        <v xml:space="preserve"> (x)</v>
      </c>
      <c r="C48" s="3">
        <v>3042</v>
      </c>
      <c r="I48" s="45" t="str">
        <f t="shared" si="13"/>
        <v/>
      </c>
      <c r="J48" s="46" t="str">
        <f t="shared" si="14"/>
        <v/>
      </c>
      <c r="K48" s="62">
        <f t="shared" si="15"/>
        <v>0</v>
      </c>
      <c r="L48" s="28" t="s">
        <v>63</v>
      </c>
      <c r="M48" s="13" t="str">
        <f t="shared" si="23"/>
        <v>-</v>
      </c>
      <c r="N48" s="12" t="str">
        <f t="shared" si="2"/>
        <v>-</v>
      </c>
      <c r="O48" s="12"/>
      <c r="Q48" s="62">
        <f t="shared" si="16"/>
        <v>0</v>
      </c>
      <c r="R48" s="28" t="s">
        <v>63</v>
      </c>
      <c r="S48" s="13" t="str">
        <f t="shared" si="24"/>
        <v>-</v>
      </c>
      <c r="T48" s="12" t="str">
        <f t="shared" si="4"/>
        <v>-</v>
      </c>
      <c r="U48" s="12"/>
      <c r="V48" s="12"/>
      <c r="W48" s="62">
        <f t="shared" si="17"/>
        <v>0</v>
      </c>
      <c r="X48" s="28" t="s">
        <v>63</v>
      </c>
      <c r="Y48" s="13" t="str">
        <f t="shared" si="25"/>
        <v>-</v>
      </c>
      <c r="Z48" s="12" t="str">
        <f t="shared" si="6"/>
        <v>-</v>
      </c>
      <c r="AA48" s="12"/>
      <c r="AB48" s="64"/>
      <c r="AC48" s="62">
        <f t="shared" si="19"/>
        <v>0</v>
      </c>
      <c r="AD48" s="28" t="s">
        <v>63</v>
      </c>
      <c r="AE48" s="13" t="str">
        <f t="shared" si="26"/>
        <v>-</v>
      </c>
      <c r="AF48" s="12" t="str">
        <f t="shared" si="8"/>
        <v>-</v>
      </c>
      <c r="AG48" s="12"/>
      <c r="AH48" s="17"/>
      <c r="AI48" s="16"/>
      <c r="AJ48" s="2"/>
      <c r="AK48" s="2"/>
      <c r="AL48" s="2"/>
      <c r="AM48" s="2"/>
    </row>
    <row r="49" spans="1:40" outlineLevel="1" x14ac:dyDescent="0.25">
      <c r="A49" t="s">
        <v>38</v>
      </c>
      <c r="B49" s="7" t="str">
        <f t="shared" si="22"/>
        <v xml:space="preserve"> (x)</v>
      </c>
      <c r="C49" s="3">
        <v>3043</v>
      </c>
      <c r="I49" s="45" t="str">
        <f t="shared" si="13"/>
        <v/>
      </c>
      <c r="J49" s="46" t="str">
        <f t="shared" si="14"/>
        <v/>
      </c>
      <c r="K49" s="62">
        <f t="shared" si="15"/>
        <v>0</v>
      </c>
      <c r="L49" s="28" t="s">
        <v>63</v>
      </c>
      <c r="M49" s="13" t="str">
        <f t="shared" si="23"/>
        <v>-</v>
      </c>
      <c r="N49" s="12" t="str">
        <f t="shared" si="2"/>
        <v>-</v>
      </c>
      <c r="O49" s="12"/>
      <c r="Q49" s="62">
        <f t="shared" si="16"/>
        <v>0</v>
      </c>
      <c r="R49" s="28" t="s">
        <v>63</v>
      </c>
      <c r="S49" s="13" t="str">
        <f t="shared" si="24"/>
        <v>-</v>
      </c>
      <c r="T49" s="12" t="str">
        <f t="shared" si="4"/>
        <v>-</v>
      </c>
      <c r="U49" s="12"/>
      <c r="V49" s="12"/>
      <c r="W49" s="62">
        <f t="shared" si="17"/>
        <v>0</v>
      </c>
      <c r="X49" s="28" t="s">
        <v>63</v>
      </c>
      <c r="Y49" s="13" t="str">
        <f t="shared" si="25"/>
        <v>-</v>
      </c>
      <c r="Z49" s="12" t="str">
        <f t="shared" si="6"/>
        <v>-</v>
      </c>
      <c r="AA49" s="12"/>
      <c r="AB49" s="64"/>
      <c r="AC49" s="62">
        <f t="shared" si="19"/>
        <v>0</v>
      </c>
      <c r="AD49" s="28" t="s">
        <v>63</v>
      </c>
      <c r="AE49" s="13" t="str">
        <f t="shared" si="26"/>
        <v>-</v>
      </c>
      <c r="AF49" s="12" t="str">
        <f t="shared" si="8"/>
        <v>-</v>
      </c>
      <c r="AG49" s="12"/>
      <c r="AH49" s="17"/>
      <c r="AI49" s="16"/>
      <c r="AJ49" s="2"/>
      <c r="AK49" s="2"/>
      <c r="AL49" s="2"/>
      <c r="AM49" s="2"/>
    </row>
    <row r="50" spans="1:40" outlineLevel="1" x14ac:dyDescent="0.25">
      <c r="A50" t="s">
        <v>38</v>
      </c>
      <c r="B50" s="7" t="str">
        <f t="shared" si="22"/>
        <v xml:space="preserve"> (x)</v>
      </c>
      <c r="C50" s="3">
        <v>3044</v>
      </c>
      <c r="I50" s="45" t="str">
        <f t="shared" si="13"/>
        <v/>
      </c>
      <c r="J50" s="46" t="str">
        <f t="shared" si="14"/>
        <v/>
      </c>
      <c r="K50" s="62">
        <f t="shared" si="15"/>
        <v>0</v>
      </c>
      <c r="L50" s="28" t="s">
        <v>63</v>
      </c>
      <c r="M50" s="13" t="str">
        <f t="shared" si="23"/>
        <v>-</v>
      </c>
      <c r="N50" s="12" t="str">
        <f t="shared" si="2"/>
        <v>-</v>
      </c>
      <c r="O50" s="12"/>
      <c r="Q50" s="62">
        <f t="shared" si="16"/>
        <v>0</v>
      </c>
      <c r="R50" s="28" t="s">
        <v>63</v>
      </c>
      <c r="S50" s="13" t="str">
        <f t="shared" si="24"/>
        <v>-</v>
      </c>
      <c r="T50" s="12" t="str">
        <f t="shared" si="4"/>
        <v>-</v>
      </c>
      <c r="U50" s="12"/>
      <c r="V50" s="12"/>
      <c r="W50" s="62">
        <f t="shared" si="17"/>
        <v>0</v>
      </c>
      <c r="X50" s="28" t="s">
        <v>63</v>
      </c>
      <c r="Y50" s="13" t="str">
        <f t="shared" si="25"/>
        <v>-</v>
      </c>
      <c r="Z50" s="12" t="str">
        <f t="shared" si="6"/>
        <v>-</v>
      </c>
      <c r="AA50" s="12"/>
      <c r="AB50" s="64"/>
      <c r="AC50" s="62">
        <f t="shared" si="19"/>
        <v>0</v>
      </c>
      <c r="AD50" s="28" t="s">
        <v>63</v>
      </c>
      <c r="AE50" s="13" t="str">
        <f t="shared" si="26"/>
        <v>-</v>
      </c>
      <c r="AF50" s="12" t="str">
        <f t="shared" si="8"/>
        <v>-</v>
      </c>
      <c r="AG50" s="12"/>
      <c r="AH50" s="17"/>
      <c r="AI50" s="16"/>
      <c r="AJ50" s="2"/>
      <c r="AK50" s="2"/>
      <c r="AL50" s="2"/>
      <c r="AM50" s="2"/>
    </row>
    <row r="51" spans="1:40" outlineLevel="1" x14ac:dyDescent="0.25">
      <c r="A51" t="s">
        <v>38</v>
      </c>
      <c r="B51" s="7" t="str">
        <f t="shared" si="22"/>
        <v xml:space="preserve"> (x)</v>
      </c>
      <c r="C51" s="3">
        <v>3045</v>
      </c>
      <c r="I51" s="45" t="str">
        <f t="shared" si="13"/>
        <v/>
      </c>
      <c r="J51" s="46" t="str">
        <f t="shared" si="14"/>
        <v/>
      </c>
      <c r="K51" s="62">
        <f t="shared" si="15"/>
        <v>0</v>
      </c>
      <c r="L51" s="28" t="s">
        <v>63</v>
      </c>
      <c r="M51" s="13" t="str">
        <f t="shared" si="23"/>
        <v>-</v>
      </c>
      <c r="N51" s="12" t="str">
        <f t="shared" si="2"/>
        <v>-</v>
      </c>
      <c r="O51" s="12"/>
      <c r="Q51" s="62">
        <f t="shared" si="16"/>
        <v>0</v>
      </c>
      <c r="R51" s="28" t="s">
        <v>63</v>
      </c>
      <c r="S51" s="13" t="str">
        <f t="shared" si="24"/>
        <v>-</v>
      </c>
      <c r="T51" s="12" t="str">
        <f t="shared" si="4"/>
        <v>-</v>
      </c>
      <c r="U51" s="12"/>
      <c r="V51" s="12"/>
      <c r="W51" s="62">
        <f t="shared" si="17"/>
        <v>0</v>
      </c>
      <c r="X51" s="28" t="s">
        <v>63</v>
      </c>
      <c r="Y51" s="13" t="str">
        <f t="shared" si="25"/>
        <v>-</v>
      </c>
      <c r="Z51" s="12" t="str">
        <f t="shared" si="6"/>
        <v>-</v>
      </c>
      <c r="AA51" s="12"/>
      <c r="AB51" s="64"/>
      <c r="AC51" s="62">
        <f t="shared" si="19"/>
        <v>0</v>
      </c>
      <c r="AD51" s="28" t="s">
        <v>63</v>
      </c>
      <c r="AE51" s="13" t="str">
        <f t="shared" si="26"/>
        <v>-</v>
      </c>
      <c r="AF51" s="12" t="str">
        <f t="shared" si="8"/>
        <v>-</v>
      </c>
      <c r="AG51" s="12"/>
      <c r="AH51" s="17"/>
      <c r="AI51" s="16"/>
      <c r="AJ51" s="2"/>
      <c r="AK51" s="2"/>
      <c r="AL51" s="2"/>
      <c r="AM51" s="2"/>
    </row>
    <row r="52" spans="1:40" outlineLevel="1" x14ac:dyDescent="0.25">
      <c r="A52" t="s">
        <v>38</v>
      </c>
      <c r="B52" s="7" t="str">
        <f t="shared" si="22"/>
        <v xml:space="preserve"> (x)</v>
      </c>
      <c r="C52" s="3">
        <v>3046</v>
      </c>
      <c r="I52" s="45" t="str">
        <f t="shared" si="13"/>
        <v/>
      </c>
      <c r="J52" s="46" t="str">
        <f t="shared" si="14"/>
        <v/>
      </c>
      <c r="K52" s="62">
        <f t="shared" si="15"/>
        <v>0</v>
      </c>
      <c r="L52" s="28" t="s">
        <v>63</v>
      </c>
      <c r="M52" s="13" t="str">
        <f t="shared" si="23"/>
        <v>-</v>
      </c>
      <c r="N52" s="12" t="str">
        <f t="shared" si="2"/>
        <v>-</v>
      </c>
      <c r="O52" s="12"/>
      <c r="Q52" s="62">
        <f t="shared" si="16"/>
        <v>0</v>
      </c>
      <c r="R52" s="28" t="s">
        <v>63</v>
      </c>
      <c r="S52" s="13" t="str">
        <f t="shared" si="24"/>
        <v>-</v>
      </c>
      <c r="T52" s="12" t="str">
        <f t="shared" si="4"/>
        <v>-</v>
      </c>
      <c r="U52" s="12"/>
      <c r="V52" s="12"/>
      <c r="W52" s="62">
        <f t="shared" si="17"/>
        <v>0</v>
      </c>
      <c r="X52" s="28" t="s">
        <v>63</v>
      </c>
      <c r="Y52" s="13" t="str">
        <f t="shared" si="25"/>
        <v>-</v>
      </c>
      <c r="Z52" s="12" t="str">
        <f t="shared" si="6"/>
        <v>-</v>
      </c>
      <c r="AA52" s="12"/>
      <c r="AB52" s="64"/>
      <c r="AC52" s="62">
        <f t="shared" si="19"/>
        <v>0</v>
      </c>
      <c r="AD52" s="28" t="s">
        <v>63</v>
      </c>
      <c r="AE52" s="13" t="str">
        <f t="shared" si="26"/>
        <v>-</v>
      </c>
      <c r="AF52" s="12" t="str">
        <f t="shared" si="8"/>
        <v>-</v>
      </c>
      <c r="AG52" s="12"/>
      <c r="AH52" s="17"/>
      <c r="AI52" s="16"/>
      <c r="AJ52" s="2"/>
      <c r="AK52" s="2"/>
      <c r="AL52" s="2"/>
      <c r="AM52" s="2"/>
    </row>
    <row r="53" spans="1:40" outlineLevel="1" x14ac:dyDescent="0.25">
      <c r="A53" t="s">
        <v>38</v>
      </c>
      <c r="B53" s="7" t="str">
        <f t="shared" si="22"/>
        <v xml:space="preserve"> (x)</v>
      </c>
      <c r="C53" s="3">
        <v>3047</v>
      </c>
      <c r="I53" s="45" t="str">
        <f t="shared" si="13"/>
        <v/>
      </c>
      <c r="J53" s="46" t="str">
        <f t="shared" si="14"/>
        <v/>
      </c>
      <c r="K53" s="62">
        <f t="shared" si="15"/>
        <v>0</v>
      </c>
      <c r="L53" s="28" t="s">
        <v>63</v>
      </c>
      <c r="M53" s="13" t="str">
        <f t="shared" si="23"/>
        <v>-</v>
      </c>
      <c r="N53" s="12" t="str">
        <f t="shared" si="2"/>
        <v>-</v>
      </c>
      <c r="O53" s="12"/>
      <c r="Q53" s="62">
        <f t="shared" si="16"/>
        <v>0</v>
      </c>
      <c r="R53" s="28" t="s">
        <v>63</v>
      </c>
      <c r="S53" s="13" t="str">
        <f t="shared" si="24"/>
        <v>-</v>
      </c>
      <c r="T53" s="12" t="str">
        <f t="shared" si="4"/>
        <v>-</v>
      </c>
      <c r="U53" s="12"/>
      <c r="V53" s="12"/>
      <c r="W53" s="62">
        <f t="shared" si="17"/>
        <v>0</v>
      </c>
      <c r="X53" s="28" t="s">
        <v>63</v>
      </c>
      <c r="Y53" s="13" t="str">
        <f t="shared" si="25"/>
        <v>-</v>
      </c>
      <c r="Z53" s="12" t="str">
        <f t="shared" si="6"/>
        <v>-</v>
      </c>
      <c r="AA53" s="12"/>
      <c r="AB53" s="64"/>
      <c r="AC53" s="62">
        <f t="shared" si="19"/>
        <v>0</v>
      </c>
      <c r="AD53" s="28" t="s">
        <v>63</v>
      </c>
      <c r="AE53" s="13" t="str">
        <f t="shared" si="26"/>
        <v>-</v>
      </c>
      <c r="AF53" s="12" t="str">
        <f t="shared" si="8"/>
        <v>-</v>
      </c>
      <c r="AG53" s="12"/>
      <c r="AH53" s="17"/>
      <c r="AI53" s="16"/>
      <c r="AJ53" s="2"/>
      <c r="AK53" s="2"/>
      <c r="AL53" s="2"/>
      <c r="AM53" s="2"/>
    </row>
    <row r="54" spans="1:40" outlineLevel="1" x14ac:dyDescent="0.25">
      <c r="A54" t="s">
        <v>38</v>
      </c>
      <c r="B54" s="7" t="str">
        <f t="shared" si="22"/>
        <v xml:space="preserve"> (x)</v>
      </c>
      <c r="C54" s="3">
        <v>3048</v>
      </c>
      <c r="I54" s="45" t="str">
        <f t="shared" si="13"/>
        <v/>
      </c>
      <c r="J54" s="46" t="str">
        <f t="shared" si="14"/>
        <v/>
      </c>
      <c r="K54" s="62">
        <f t="shared" si="15"/>
        <v>0</v>
      </c>
      <c r="L54" s="28" t="s">
        <v>63</v>
      </c>
      <c r="M54" s="13" t="str">
        <f t="shared" si="23"/>
        <v>-</v>
      </c>
      <c r="N54" s="12" t="str">
        <f t="shared" si="2"/>
        <v>-</v>
      </c>
      <c r="O54" s="12"/>
      <c r="Q54" s="62">
        <f t="shared" si="16"/>
        <v>0</v>
      </c>
      <c r="R54" s="28" t="s">
        <v>63</v>
      </c>
      <c r="S54" s="13" t="str">
        <f t="shared" si="24"/>
        <v>-</v>
      </c>
      <c r="T54" s="12" t="str">
        <f t="shared" si="4"/>
        <v>-</v>
      </c>
      <c r="U54" s="12"/>
      <c r="V54" s="12"/>
      <c r="W54" s="62">
        <f t="shared" si="17"/>
        <v>0</v>
      </c>
      <c r="X54" s="28" t="s">
        <v>63</v>
      </c>
      <c r="Y54" s="13" t="str">
        <f t="shared" si="25"/>
        <v>-</v>
      </c>
      <c r="Z54" s="12" t="str">
        <f t="shared" si="6"/>
        <v>-</v>
      </c>
      <c r="AA54" s="12"/>
      <c r="AB54" s="64"/>
      <c r="AC54" s="62">
        <f t="shared" si="19"/>
        <v>0</v>
      </c>
      <c r="AD54" s="28" t="s">
        <v>63</v>
      </c>
      <c r="AE54" s="13" t="str">
        <f t="shared" si="26"/>
        <v>-</v>
      </c>
      <c r="AF54" s="12" t="str">
        <f t="shared" si="8"/>
        <v>-</v>
      </c>
      <c r="AG54" s="12"/>
      <c r="AH54" s="17"/>
      <c r="AI54" s="16"/>
      <c r="AJ54" s="2"/>
      <c r="AK54" s="2"/>
      <c r="AL54" s="2"/>
      <c r="AM54" s="2"/>
    </row>
    <row r="55" spans="1:40" outlineLevel="1" x14ac:dyDescent="0.25">
      <c r="A55" t="s">
        <v>38</v>
      </c>
      <c r="B55" s="7" t="str">
        <f t="shared" si="22"/>
        <v xml:space="preserve"> (x)</v>
      </c>
      <c r="C55" s="3">
        <v>3049</v>
      </c>
      <c r="I55" s="45" t="str">
        <f t="shared" si="13"/>
        <v/>
      </c>
      <c r="J55" s="46" t="str">
        <f t="shared" si="14"/>
        <v/>
      </c>
      <c r="K55" s="62">
        <f t="shared" si="15"/>
        <v>0</v>
      </c>
      <c r="L55" s="28" t="s">
        <v>63</v>
      </c>
      <c r="M55" s="13" t="str">
        <f t="shared" si="23"/>
        <v>-</v>
      </c>
      <c r="N55" s="12" t="str">
        <f t="shared" si="2"/>
        <v>-</v>
      </c>
      <c r="O55" s="12"/>
      <c r="Q55" s="62">
        <f t="shared" si="16"/>
        <v>0</v>
      </c>
      <c r="R55" s="28" t="s">
        <v>63</v>
      </c>
      <c r="S55" s="13" t="str">
        <f t="shared" si="24"/>
        <v>-</v>
      </c>
      <c r="T55" s="12" t="str">
        <f t="shared" si="4"/>
        <v>-</v>
      </c>
      <c r="U55" s="12"/>
      <c r="V55" s="12"/>
      <c r="W55" s="62">
        <f t="shared" si="17"/>
        <v>0</v>
      </c>
      <c r="X55" s="28" t="s">
        <v>63</v>
      </c>
      <c r="Y55" s="13" t="str">
        <f t="shared" si="25"/>
        <v>-</v>
      </c>
      <c r="Z55" s="12" t="str">
        <f t="shared" si="6"/>
        <v>-</v>
      </c>
      <c r="AA55" s="12"/>
      <c r="AB55" s="64"/>
      <c r="AC55" s="62">
        <f t="shared" si="19"/>
        <v>0</v>
      </c>
      <c r="AD55" s="28" t="s">
        <v>63</v>
      </c>
      <c r="AE55" s="13" t="str">
        <f t="shared" si="26"/>
        <v>-</v>
      </c>
      <c r="AF55" s="12" t="str">
        <f t="shared" si="8"/>
        <v>-</v>
      </c>
      <c r="AG55" s="12"/>
      <c r="AH55" s="17"/>
      <c r="AI55" s="16"/>
      <c r="AJ55" s="2"/>
      <c r="AK55" s="2"/>
      <c r="AL55" s="2"/>
      <c r="AM55" s="2"/>
    </row>
    <row r="56" spans="1:40" outlineLevel="1" x14ac:dyDescent="0.25">
      <c r="A56" t="s">
        <v>38</v>
      </c>
      <c r="B56" s="7" t="str">
        <f t="shared" si="22"/>
        <v xml:space="preserve"> (x)</v>
      </c>
      <c r="C56" s="3">
        <v>3050</v>
      </c>
      <c r="I56" s="45" t="str">
        <f t="shared" si="13"/>
        <v/>
      </c>
      <c r="J56" s="46" t="str">
        <f t="shared" si="14"/>
        <v/>
      </c>
      <c r="K56" s="62">
        <f t="shared" si="15"/>
        <v>0</v>
      </c>
      <c r="L56" s="28" t="s">
        <v>63</v>
      </c>
      <c r="M56" s="13" t="str">
        <f t="shared" si="23"/>
        <v>-</v>
      </c>
      <c r="N56" s="12" t="str">
        <f t="shared" si="2"/>
        <v>-</v>
      </c>
      <c r="O56" s="12"/>
      <c r="Q56" s="62">
        <f t="shared" si="16"/>
        <v>0</v>
      </c>
      <c r="R56" s="28" t="s">
        <v>63</v>
      </c>
      <c r="S56" s="13" t="str">
        <f t="shared" si="24"/>
        <v>-</v>
      </c>
      <c r="T56" s="12" t="str">
        <f t="shared" si="4"/>
        <v>-</v>
      </c>
      <c r="U56" s="12"/>
      <c r="V56" s="12"/>
      <c r="W56" s="62">
        <f t="shared" si="17"/>
        <v>0</v>
      </c>
      <c r="X56" s="28" t="s">
        <v>63</v>
      </c>
      <c r="Y56" s="13" t="str">
        <f t="shared" si="25"/>
        <v>-</v>
      </c>
      <c r="Z56" s="12" t="str">
        <f t="shared" si="6"/>
        <v>-</v>
      </c>
      <c r="AA56" s="12"/>
      <c r="AB56" s="64"/>
      <c r="AC56" s="62">
        <f t="shared" si="19"/>
        <v>0</v>
      </c>
      <c r="AD56" s="28" t="s">
        <v>63</v>
      </c>
      <c r="AE56" s="13" t="str">
        <f t="shared" si="26"/>
        <v>-</v>
      </c>
      <c r="AF56" s="12" t="str">
        <f t="shared" si="8"/>
        <v>-</v>
      </c>
      <c r="AG56" s="12"/>
      <c r="AH56" s="17"/>
      <c r="AI56" s="16"/>
      <c r="AJ56" s="2"/>
      <c r="AK56" s="2"/>
      <c r="AL56" s="2"/>
      <c r="AM56" s="2"/>
    </row>
    <row r="57" spans="1:40" s="14" customFormat="1" x14ac:dyDescent="0.25">
      <c r="A57" s="32"/>
      <c r="B57" s="5" t="s">
        <v>7</v>
      </c>
      <c r="C57" s="5"/>
      <c r="D57" s="5"/>
      <c r="E57" s="5"/>
      <c r="F57" s="5"/>
      <c r="G57" s="5"/>
      <c r="H57" s="5"/>
      <c r="I57" s="44" t="str">
        <f t="shared" si="13"/>
        <v/>
      </c>
      <c r="J57" s="44" t="str">
        <f t="shared" si="14"/>
        <v/>
      </c>
      <c r="K57" s="62">
        <f t="shared" si="15"/>
        <v>0</v>
      </c>
      <c r="L57" s="11" t="s">
        <v>63</v>
      </c>
      <c r="M57" s="15">
        <f>AVERAGE(M58:M108)</f>
        <v>0.45801349727670343</v>
      </c>
      <c r="N57" s="15" t="str">
        <f t="shared" si="2"/>
        <v>-</v>
      </c>
      <c r="O57" s="15"/>
      <c r="P57" s="15"/>
      <c r="Q57" s="15"/>
      <c r="R57" s="15"/>
      <c r="S57" s="15"/>
      <c r="T57" s="15"/>
      <c r="U57" s="15"/>
      <c r="V57" s="15"/>
      <c r="W57" s="62"/>
      <c r="X57" s="11" t="s">
        <v>63</v>
      </c>
      <c r="Y57" s="15">
        <f>AVERAGE(Y58:Y108)</f>
        <v>0.41021124278236604</v>
      </c>
      <c r="Z57" s="15" t="str">
        <f t="shared" si="6"/>
        <v>-</v>
      </c>
      <c r="AA57" s="15"/>
      <c r="AB57" s="64"/>
      <c r="AC57" s="62"/>
      <c r="AD57" s="11" t="s">
        <v>68</v>
      </c>
      <c r="AE57" s="15">
        <f>AVERAGE(AE58:AE108)</f>
        <v>0.40518762800643177</v>
      </c>
      <c r="AF57" s="15" t="str">
        <f t="shared" si="8"/>
        <v>-</v>
      </c>
      <c r="AG57" s="15"/>
      <c r="AH57" s="17"/>
      <c r="AI57" s="63"/>
      <c r="AJ57" s="4">
        <f t="shared" ref="AJ57:AJ120" si="27">+IFERROR(ROUND(K57*(1+AJ$2),0),"-")</f>
        <v>0</v>
      </c>
      <c r="AK57" s="4">
        <f t="shared" ref="AK57:AK120" si="28">+IFERROR(ROUND(Q57*(1+AK$2),0),"-")</f>
        <v>0</v>
      </c>
      <c r="AL57" s="4">
        <f t="shared" ref="AL57:AL120" si="29">+IFERROR(ROUND(AC57*(1+AL$2),0),"-")</f>
        <v>0</v>
      </c>
      <c r="AM57" s="4">
        <f t="shared" ref="AM57:AM120" si="30">+IFERROR(ROUND(W57*(1+AM$2),0),"-")</f>
        <v>0</v>
      </c>
      <c r="AN57" s="32"/>
    </row>
    <row r="58" spans="1:40" outlineLevel="1" x14ac:dyDescent="0.25">
      <c r="A58" t="s">
        <v>35</v>
      </c>
      <c r="B58" s="7" t="str">
        <f t="shared" ref="B58:B89" si="31">IF(OR(E58="-",F58="-"),"-",D58&amp;" ("&amp;E58&amp;"x"&amp;F58&amp;")")</f>
        <v>Seite außen (360x180)</v>
      </c>
      <c r="C58">
        <v>3100</v>
      </c>
      <c r="D58" s="7" t="s">
        <v>7</v>
      </c>
      <c r="E58">
        <v>360</v>
      </c>
      <c r="F58">
        <v>180</v>
      </c>
      <c r="I58" s="45">
        <f t="shared" si="13"/>
        <v>0.12959999999999999</v>
      </c>
      <c r="J58" s="46">
        <f t="shared" si="14"/>
        <v>1.44</v>
      </c>
      <c r="K58" s="62">
        <f t="shared" si="15"/>
        <v>34</v>
      </c>
      <c r="L58" s="28">
        <v>18</v>
      </c>
      <c r="M58" s="13">
        <f t="shared" ref="M58:M89" si="32">IFERROR(K58/L58-1,"-")</f>
        <v>0.88888888888888884</v>
      </c>
      <c r="N58" s="12">
        <f t="shared" si="2"/>
        <v>16</v>
      </c>
      <c r="O58" s="30" t="s">
        <v>72</v>
      </c>
      <c r="Q58" s="62">
        <f t="shared" si="16"/>
        <v>114</v>
      </c>
      <c r="R58" s="28">
        <v>70</v>
      </c>
      <c r="S58" s="13">
        <f t="shared" ref="S58:S89" si="33">IFERROR(Q58/R58-1,"-")</f>
        <v>0.62857142857142856</v>
      </c>
      <c r="T58" s="12">
        <f t="shared" si="4"/>
        <v>44</v>
      </c>
      <c r="U58" s="30" t="s">
        <v>72</v>
      </c>
      <c r="V58" s="30"/>
      <c r="W58" s="62">
        <f t="shared" si="17"/>
        <v>89</v>
      </c>
      <c r="X58" s="28">
        <v>59</v>
      </c>
      <c r="Y58" s="13">
        <f t="shared" ref="Y58:Y89" si="34">IFERROR(W58/X58-1,"-")</f>
        <v>0.50847457627118642</v>
      </c>
      <c r="Z58" s="12">
        <f t="shared" si="6"/>
        <v>30</v>
      </c>
      <c r="AA58" s="30" t="s">
        <v>72</v>
      </c>
      <c r="AB58" s="64"/>
      <c r="AC58" s="62">
        <f t="shared" si="19"/>
        <v>201</v>
      </c>
      <c r="AD58" s="28">
        <v>142</v>
      </c>
      <c r="AE58" s="13">
        <f t="shared" ref="AE58:AE89" si="35">IFERROR(AC58/AD58-1,"-")</f>
        <v>0.41549295774647876</v>
      </c>
      <c r="AF58" s="12">
        <f t="shared" si="8"/>
        <v>59</v>
      </c>
      <c r="AG58" s="30" t="s">
        <v>72</v>
      </c>
      <c r="AH58" s="17"/>
      <c r="AI58" s="16"/>
      <c r="AJ58" s="2">
        <f t="shared" si="27"/>
        <v>37</v>
      </c>
      <c r="AK58" s="2">
        <f t="shared" si="28"/>
        <v>125</v>
      </c>
      <c r="AL58" s="2">
        <f t="shared" si="29"/>
        <v>221</v>
      </c>
      <c r="AM58" s="2">
        <f t="shared" si="30"/>
        <v>98</v>
      </c>
    </row>
    <row r="59" spans="1:40" outlineLevel="1" x14ac:dyDescent="0.25">
      <c r="A59" t="s">
        <v>35</v>
      </c>
      <c r="B59" s="7" t="str">
        <f t="shared" si="31"/>
        <v>Seite außen (360x360)</v>
      </c>
      <c r="C59">
        <v>3101</v>
      </c>
      <c r="D59" s="7" t="s">
        <v>7</v>
      </c>
      <c r="E59">
        <v>360</v>
      </c>
      <c r="F59">
        <v>360</v>
      </c>
      <c r="I59" s="45">
        <f t="shared" si="13"/>
        <v>0.12959999999999999</v>
      </c>
      <c r="J59" s="46">
        <f t="shared" si="14"/>
        <v>1.44</v>
      </c>
      <c r="K59" s="62">
        <f t="shared" si="15"/>
        <v>34</v>
      </c>
      <c r="L59" s="28">
        <v>18</v>
      </c>
      <c r="M59" s="13">
        <f t="shared" si="32"/>
        <v>0.88888888888888884</v>
      </c>
      <c r="N59" s="12">
        <f t="shared" si="2"/>
        <v>16</v>
      </c>
      <c r="O59" s="30" t="s">
        <v>72</v>
      </c>
      <c r="Q59" s="62">
        <f t="shared" si="16"/>
        <v>114</v>
      </c>
      <c r="R59" s="28">
        <v>70</v>
      </c>
      <c r="S59" s="13">
        <f t="shared" si="33"/>
        <v>0.62857142857142856</v>
      </c>
      <c r="T59" s="12">
        <f t="shared" si="4"/>
        <v>44</v>
      </c>
      <c r="U59" s="30" t="s">
        <v>72</v>
      </c>
      <c r="V59" s="30"/>
      <c r="W59" s="62">
        <f t="shared" si="17"/>
        <v>89</v>
      </c>
      <c r="X59" s="28">
        <v>59</v>
      </c>
      <c r="Y59" s="13">
        <f t="shared" si="34"/>
        <v>0.50847457627118642</v>
      </c>
      <c r="Z59" s="12">
        <f t="shared" si="6"/>
        <v>30</v>
      </c>
      <c r="AA59" s="30" t="s">
        <v>72</v>
      </c>
      <c r="AB59" s="64"/>
      <c r="AC59" s="62">
        <f t="shared" si="19"/>
        <v>177</v>
      </c>
      <c r="AD59" s="28">
        <v>124</v>
      </c>
      <c r="AE59" s="13">
        <f t="shared" si="35"/>
        <v>0.42741935483870974</v>
      </c>
      <c r="AF59" s="12">
        <f t="shared" si="8"/>
        <v>53</v>
      </c>
      <c r="AG59" s="30" t="s">
        <v>72</v>
      </c>
      <c r="AH59" s="17"/>
      <c r="AI59" s="16"/>
      <c r="AJ59" s="2">
        <f t="shared" si="27"/>
        <v>37</v>
      </c>
      <c r="AK59" s="2">
        <f t="shared" si="28"/>
        <v>125</v>
      </c>
      <c r="AL59" s="2">
        <f t="shared" si="29"/>
        <v>195</v>
      </c>
      <c r="AM59" s="2">
        <f t="shared" si="30"/>
        <v>98</v>
      </c>
    </row>
    <row r="60" spans="1:40" outlineLevel="1" x14ac:dyDescent="0.25">
      <c r="A60" t="s">
        <v>35</v>
      </c>
      <c r="B60" s="7" t="str">
        <f t="shared" si="31"/>
        <v>Seite außen (360x720)</v>
      </c>
      <c r="C60">
        <v>3102</v>
      </c>
      <c r="D60" s="7" t="s">
        <v>7</v>
      </c>
      <c r="E60">
        <v>360</v>
      </c>
      <c r="F60">
        <v>720</v>
      </c>
      <c r="I60" s="45">
        <f t="shared" si="13"/>
        <v>0.25919999999999999</v>
      </c>
      <c r="J60" s="46">
        <f t="shared" si="14"/>
        <v>2.16</v>
      </c>
      <c r="K60" s="62">
        <f t="shared" si="15"/>
        <v>52</v>
      </c>
      <c r="L60" s="28">
        <v>35</v>
      </c>
      <c r="M60" s="13">
        <f t="shared" si="32"/>
        <v>0.48571428571428577</v>
      </c>
      <c r="N60" s="12">
        <f t="shared" si="2"/>
        <v>17</v>
      </c>
      <c r="O60" s="30" t="s">
        <v>72</v>
      </c>
      <c r="Q60" s="62">
        <f t="shared" si="16"/>
        <v>181</v>
      </c>
      <c r="R60" s="28">
        <v>120</v>
      </c>
      <c r="S60" s="13">
        <f t="shared" si="33"/>
        <v>0.5083333333333333</v>
      </c>
      <c r="T60" s="12">
        <f t="shared" si="4"/>
        <v>61</v>
      </c>
      <c r="U60" s="30" t="s">
        <v>72</v>
      </c>
      <c r="V60" s="30"/>
      <c r="W60" s="62">
        <f t="shared" si="17"/>
        <v>143</v>
      </c>
      <c r="X60" s="28">
        <v>99</v>
      </c>
      <c r="Y60" s="13">
        <f t="shared" si="34"/>
        <v>0.44444444444444442</v>
      </c>
      <c r="Z60" s="12">
        <f t="shared" si="6"/>
        <v>44</v>
      </c>
      <c r="AA60" s="30" t="s">
        <v>72</v>
      </c>
      <c r="AB60" s="64"/>
      <c r="AC60" s="62">
        <f t="shared" si="19"/>
        <v>212</v>
      </c>
      <c r="AD60" s="28">
        <v>150</v>
      </c>
      <c r="AE60" s="13">
        <f t="shared" si="35"/>
        <v>0.41333333333333333</v>
      </c>
      <c r="AF60" s="12">
        <f t="shared" si="8"/>
        <v>62</v>
      </c>
      <c r="AG60" s="30" t="s">
        <v>72</v>
      </c>
      <c r="AH60" s="17"/>
      <c r="AI60" s="16"/>
      <c r="AJ60" s="2">
        <f t="shared" si="27"/>
        <v>57</v>
      </c>
      <c r="AK60" s="2">
        <f t="shared" si="28"/>
        <v>199</v>
      </c>
      <c r="AL60" s="2">
        <f t="shared" si="29"/>
        <v>233</v>
      </c>
      <c r="AM60" s="2">
        <f t="shared" si="30"/>
        <v>157</v>
      </c>
    </row>
    <row r="61" spans="1:40" outlineLevel="1" x14ac:dyDescent="0.25">
      <c r="A61" t="s">
        <v>35</v>
      </c>
      <c r="B61" s="7" t="str">
        <f t="shared" si="31"/>
        <v>Seite außen (360x1080)</v>
      </c>
      <c r="C61">
        <v>3103</v>
      </c>
      <c r="D61" s="7" t="s">
        <v>7</v>
      </c>
      <c r="E61">
        <v>360</v>
      </c>
      <c r="F61">
        <v>1080</v>
      </c>
      <c r="I61" s="45">
        <f t="shared" si="13"/>
        <v>0.38880000000000003</v>
      </c>
      <c r="J61" s="46">
        <f t="shared" si="14"/>
        <v>2.88</v>
      </c>
      <c r="K61" s="62">
        <f t="shared" si="15"/>
        <v>76</v>
      </c>
      <c r="L61" s="28">
        <v>53</v>
      </c>
      <c r="M61" s="13">
        <f t="shared" si="32"/>
        <v>0.4339622641509433</v>
      </c>
      <c r="N61" s="12">
        <f t="shared" si="2"/>
        <v>23</v>
      </c>
      <c r="O61" s="30" t="s">
        <v>72</v>
      </c>
      <c r="Q61" s="62">
        <f t="shared" si="16"/>
        <v>267</v>
      </c>
      <c r="R61" s="28">
        <v>184</v>
      </c>
      <c r="S61" s="13">
        <f t="shared" si="33"/>
        <v>0.45108695652173902</v>
      </c>
      <c r="T61" s="12">
        <f t="shared" si="4"/>
        <v>83</v>
      </c>
      <c r="U61" s="30" t="s">
        <v>72</v>
      </c>
      <c r="V61" s="30"/>
      <c r="W61" s="62">
        <f t="shared" si="17"/>
        <v>222</v>
      </c>
      <c r="X61" s="28">
        <v>158</v>
      </c>
      <c r="Y61" s="13">
        <f t="shared" si="34"/>
        <v>0.40506329113924044</v>
      </c>
      <c r="Z61" s="12">
        <f t="shared" si="6"/>
        <v>64</v>
      </c>
      <c r="AA61" s="30" t="s">
        <v>72</v>
      </c>
      <c r="AB61" s="64"/>
      <c r="AC61" s="62">
        <f t="shared" si="19"/>
        <v>240</v>
      </c>
      <c r="AD61" s="28">
        <v>171</v>
      </c>
      <c r="AE61" s="13">
        <f t="shared" si="35"/>
        <v>0.40350877192982448</v>
      </c>
      <c r="AF61" s="12">
        <f t="shared" si="8"/>
        <v>69</v>
      </c>
      <c r="AG61" s="30" t="s">
        <v>72</v>
      </c>
      <c r="AH61" s="17"/>
      <c r="AI61" s="16"/>
      <c r="AJ61" s="2">
        <f t="shared" si="27"/>
        <v>84</v>
      </c>
      <c r="AK61" s="2">
        <f t="shared" si="28"/>
        <v>294</v>
      </c>
      <c r="AL61" s="2">
        <f t="shared" si="29"/>
        <v>264</v>
      </c>
      <c r="AM61" s="2">
        <f t="shared" si="30"/>
        <v>244</v>
      </c>
    </row>
    <row r="62" spans="1:40" outlineLevel="1" x14ac:dyDescent="0.25">
      <c r="A62" t="s">
        <v>35</v>
      </c>
      <c r="B62" s="7" t="str">
        <f t="shared" si="31"/>
        <v>Seite außen (360x1440)</v>
      </c>
      <c r="C62">
        <v>3104</v>
      </c>
      <c r="D62" s="7" t="s">
        <v>7</v>
      </c>
      <c r="E62">
        <v>360</v>
      </c>
      <c r="F62">
        <v>1440</v>
      </c>
      <c r="I62" s="45">
        <f t="shared" si="13"/>
        <v>0.51839999999999997</v>
      </c>
      <c r="J62" s="46">
        <f t="shared" si="14"/>
        <v>3.5999999999999996</v>
      </c>
      <c r="K62" s="62">
        <f t="shared" si="15"/>
        <v>100</v>
      </c>
      <c r="L62" s="28">
        <v>71</v>
      </c>
      <c r="M62" s="13">
        <f t="shared" si="32"/>
        <v>0.40845070422535201</v>
      </c>
      <c r="N62" s="12">
        <f t="shared" si="2"/>
        <v>29</v>
      </c>
      <c r="O62" s="30" t="s">
        <v>72</v>
      </c>
      <c r="Q62" s="62">
        <f t="shared" si="16"/>
        <v>336</v>
      </c>
      <c r="R62" s="28">
        <v>235</v>
      </c>
      <c r="S62" s="13">
        <f t="shared" si="33"/>
        <v>0.42978723404255326</v>
      </c>
      <c r="T62" s="12">
        <f t="shared" si="4"/>
        <v>101</v>
      </c>
      <c r="U62" s="30" t="s">
        <v>72</v>
      </c>
      <c r="V62" s="30"/>
      <c r="W62" s="62">
        <f t="shared" si="17"/>
        <v>281</v>
      </c>
      <c r="X62" s="28">
        <v>202</v>
      </c>
      <c r="Y62" s="13">
        <f t="shared" si="34"/>
        <v>0.39108910891089099</v>
      </c>
      <c r="Z62" s="12">
        <f t="shared" si="6"/>
        <v>79</v>
      </c>
      <c r="AA62" s="30" t="s">
        <v>72</v>
      </c>
      <c r="AB62" s="64"/>
      <c r="AC62" s="62">
        <f t="shared" si="19"/>
        <v>529</v>
      </c>
      <c r="AD62" s="28" t="s">
        <v>63</v>
      </c>
      <c r="AE62" s="13" t="str">
        <f t="shared" si="35"/>
        <v>-</v>
      </c>
      <c r="AF62" s="12" t="str">
        <f t="shared" si="8"/>
        <v>-</v>
      </c>
      <c r="AG62" s="30" t="s">
        <v>72</v>
      </c>
      <c r="AH62" s="17"/>
      <c r="AI62" s="16"/>
      <c r="AJ62" s="2">
        <f t="shared" si="27"/>
        <v>110</v>
      </c>
      <c r="AK62" s="2">
        <f t="shared" si="28"/>
        <v>370</v>
      </c>
      <c r="AL62" s="2">
        <f t="shared" si="29"/>
        <v>582</v>
      </c>
      <c r="AM62" s="2">
        <f t="shared" si="30"/>
        <v>309</v>
      </c>
    </row>
    <row r="63" spans="1:40" outlineLevel="1" x14ac:dyDescent="0.25">
      <c r="A63" t="s">
        <v>35</v>
      </c>
      <c r="B63" s="7" t="str">
        <f t="shared" si="31"/>
        <v>Seite außen (360x1800)</v>
      </c>
      <c r="C63">
        <v>3105</v>
      </c>
      <c r="D63" s="7" t="s">
        <v>7</v>
      </c>
      <c r="E63">
        <v>360</v>
      </c>
      <c r="F63">
        <v>1800</v>
      </c>
      <c r="I63" s="45">
        <f t="shared" si="13"/>
        <v>0.64800000000000002</v>
      </c>
      <c r="J63" s="46">
        <f t="shared" si="14"/>
        <v>4.32</v>
      </c>
      <c r="K63" s="62">
        <f t="shared" si="15"/>
        <v>125</v>
      </c>
      <c r="L63" s="28">
        <v>89</v>
      </c>
      <c r="M63" s="13">
        <f t="shared" si="32"/>
        <v>0.40449438202247201</v>
      </c>
      <c r="N63" s="12">
        <f t="shared" si="2"/>
        <v>36</v>
      </c>
      <c r="O63" s="30" t="s">
        <v>72</v>
      </c>
      <c r="Q63" s="62">
        <f t="shared" si="16"/>
        <v>246</v>
      </c>
      <c r="R63" s="28" t="s">
        <v>63</v>
      </c>
      <c r="S63" s="47"/>
      <c r="T63" s="50"/>
      <c r="U63" s="51"/>
      <c r="V63" s="30"/>
      <c r="W63" s="62">
        <f t="shared" si="17"/>
        <v>343</v>
      </c>
      <c r="X63" s="28">
        <v>248</v>
      </c>
      <c r="Y63" s="13">
        <f t="shared" si="34"/>
        <v>0.38306451612903225</v>
      </c>
      <c r="Z63" s="12">
        <f t="shared" si="6"/>
        <v>95</v>
      </c>
      <c r="AA63" s="30" t="s">
        <v>72</v>
      </c>
      <c r="AB63" s="64"/>
      <c r="AC63" s="62">
        <f t="shared" si="19"/>
        <v>645</v>
      </c>
      <c r="AD63" s="28" t="s">
        <v>63</v>
      </c>
      <c r="AE63" s="13" t="str">
        <f t="shared" si="35"/>
        <v>-</v>
      </c>
      <c r="AF63" s="12" t="str">
        <f t="shared" si="8"/>
        <v>-</v>
      </c>
      <c r="AG63" s="30" t="s">
        <v>72</v>
      </c>
      <c r="AH63" s="17"/>
      <c r="AI63" s="16"/>
      <c r="AJ63" s="2">
        <f t="shared" si="27"/>
        <v>138</v>
      </c>
      <c r="AK63" s="2">
        <f t="shared" si="28"/>
        <v>271</v>
      </c>
      <c r="AL63" s="2">
        <f t="shared" si="29"/>
        <v>710</v>
      </c>
      <c r="AM63" s="2">
        <f t="shared" si="30"/>
        <v>377</v>
      </c>
    </row>
    <row r="64" spans="1:40" outlineLevel="1" x14ac:dyDescent="0.25">
      <c r="A64" t="s">
        <v>35</v>
      </c>
      <c r="B64" s="7" t="str">
        <f t="shared" si="31"/>
        <v>Seite außen (580x180)</v>
      </c>
      <c r="C64">
        <v>3106</v>
      </c>
      <c r="D64" s="7" t="s">
        <v>7</v>
      </c>
      <c r="E64">
        <v>580</v>
      </c>
      <c r="F64">
        <v>180</v>
      </c>
      <c r="I64" s="45">
        <f t="shared" si="13"/>
        <v>0.20879999999999999</v>
      </c>
      <c r="J64" s="46">
        <f t="shared" si="14"/>
        <v>1.88</v>
      </c>
      <c r="K64" s="62">
        <f t="shared" si="15"/>
        <v>43</v>
      </c>
      <c r="L64" s="28">
        <v>28</v>
      </c>
      <c r="M64" s="13">
        <f t="shared" si="32"/>
        <v>0.53571428571428581</v>
      </c>
      <c r="N64" s="12">
        <f t="shared" si="2"/>
        <v>15</v>
      </c>
      <c r="O64" s="30" t="s">
        <v>72</v>
      </c>
      <c r="Q64" s="62">
        <f t="shared" si="16"/>
        <v>161</v>
      </c>
      <c r="R64" s="28">
        <v>105</v>
      </c>
      <c r="S64" s="13">
        <f t="shared" si="33"/>
        <v>0.53333333333333344</v>
      </c>
      <c r="T64" s="12">
        <f t="shared" si="4"/>
        <v>56</v>
      </c>
      <c r="U64" s="30" t="s">
        <v>72</v>
      </c>
      <c r="V64" s="30"/>
      <c r="W64" s="62">
        <f t="shared" si="17"/>
        <v>130</v>
      </c>
      <c r="X64" s="28">
        <v>89</v>
      </c>
      <c r="Y64" s="13">
        <f t="shared" si="34"/>
        <v>0.4606741573033708</v>
      </c>
      <c r="Z64" s="12">
        <f t="shared" si="6"/>
        <v>41</v>
      </c>
      <c r="AA64" s="30" t="s">
        <v>72</v>
      </c>
      <c r="AB64" s="64"/>
      <c r="AC64" s="62">
        <f t="shared" si="19"/>
        <v>208</v>
      </c>
      <c r="AD64" s="28">
        <v>147</v>
      </c>
      <c r="AE64" s="13">
        <f t="shared" si="35"/>
        <v>0.41496598639455784</v>
      </c>
      <c r="AF64" s="12">
        <f t="shared" si="8"/>
        <v>61</v>
      </c>
      <c r="AG64" s="30" t="s">
        <v>72</v>
      </c>
      <c r="AH64" s="17"/>
      <c r="AI64" s="16"/>
      <c r="AJ64" s="2">
        <f t="shared" si="27"/>
        <v>47</v>
      </c>
      <c r="AK64" s="2">
        <f t="shared" si="28"/>
        <v>177</v>
      </c>
      <c r="AL64" s="2">
        <f t="shared" si="29"/>
        <v>229</v>
      </c>
      <c r="AM64" s="2">
        <f t="shared" si="30"/>
        <v>143</v>
      </c>
    </row>
    <row r="65" spans="1:39" outlineLevel="1" x14ac:dyDescent="0.25">
      <c r="A65" t="s">
        <v>35</v>
      </c>
      <c r="B65" s="7" t="str">
        <f t="shared" si="31"/>
        <v>Seite außen (580x360)</v>
      </c>
      <c r="C65">
        <v>3107</v>
      </c>
      <c r="D65" s="7" t="s">
        <v>7</v>
      </c>
      <c r="E65">
        <v>580</v>
      </c>
      <c r="F65">
        <v>360</v>
      </c>
      <c r="I65" s="45">
        <f t="shared" si="13"/>
        <v>0.20879999999999999</v>
      </c>
      <c r="J65" s="46">
        <f t="shared" si="14"/>
        <v>1.88</v>
      </c>
      <c r="K65" s="62">
        <f t="shared" si="15"/>
        <v>43</v>
      </c>
      <c r="L65" s="28">
        <v>28</v>
      </c>
      <c r="M65" s="13">
        <f t="shared" si="32"/>
        <v>0.53571428571428581</v>
      </c>
      <c r="N65" s="12">
        <f t="shared" si="2"/>
        <v>15</v>
      </c>
      <c r="O65" s="30" t="s">
        <v>72</v>
      </c>
      <c r="Q65" s="62">
        <f t="shared" si="16"/>
        <v>161</v>
      </c>
      <c r="R65" s="28">
        <v>105</v>
      </c>
      <c r="S65" s="13">
        <f t="shared" si="33"/>
        <v>0.53333333333333344</v>
      </c>
      <c r="T65" s="12">
        <f t="shared" si="4"/>
        <v>56</v>
      </c>
      <c r="U65" s="30" t="s">
        <v>72</v>
      </c>
      <c r="V65" s="30"/>
      <c r="W65" s="62">
        <f t="shared" si="17"/>
        <v>130</v>
      </c>
      <c r="X65" s="28">
        <v>89</v>
      </c>
      <c r="Y65" s="13">
        <f t="shared" si="34"/>
        <v>0.4606741573033708</v>
      </c>
      <c r="Z65" s="12">
        <f t="shared" si="6"/>
        <v>41</v>
      </c>
      <c r="AA65" s="30" t="s">
        <v>72</v>
      </c>
      <c r="AB65" s="64"/>
      <c r="AC65" s="62">
        <f t="shared" si="19"/>
        <v>185</v>
      </c>
      <c r="AD65" s="28">
        <v>130</v>
      </c>
      <c r="AE65" s="13">
        <f t="shared" si="35"/>
        <v>0.42307692307692313</v>
      </c>
      <c r="AF65" s="12">
        <f t="shared" si="8"/>
        <v>55</v>
      </c>
      <c r="AG65" s="30" t="s">
        <v>72</v>
      </c>
      <c r="AH65" s="17"/>
      <c r="AI65" s="16"/>
      <c r="AJ65" s="2">
        <f t="shared" si="27"/>
        <v>47</v>
      </c>
      <c r="AK65" s="2">
        <f t="shared" si="28"/>
        <v>177</v>
      </c>
      <c r="AL65" s="2">
        <f t="shared" si="29"/>
        <v>204</v>
      </c>
      <c r="AM65" s="2">
        <f t="shared" si="30"/>
        <v>143</v>
      </c>
    </row>
    <row r="66" spans="1:39" outlineLevel="1" x14ac:dyDescent="0.25">
      <c r="A66" t="s">
        <v>35</v>
      </c>
      <c r="B66" s="7" t="str">
        <f t="shared" si="31"/>
        <v>Seite außen (580x720)</v>
      </c>
      <c r="C66">
        <v>3108</v>
      </c>
      <c r="D66" s="7" t="s">
        <v>7</v>
      </c>
      <c r="E66">
        <v>580</v>
      </c>
      <c r="F66">
        <v>720</v>
      </c>
      <c r="I66" s="45">
        <f t="shared" si="13"/>
        <v>0.41759999999999997</v>
      </c>
      <c r="J66" s="46">
        <f t="shared" si="14"/>
        <v>2.5999999999999996</v>
      </c>
      <c r="K66" s="62">
        <f t="shared" si="15"/>
        <v>82</v>
      </c>
      <c r="L66" s="28">
        <v>57</v>
      </c>
      <c r="M66" s="13">
        <f t="shared" si="32"/>
        <v>0.43859649122807021</v>
      </c>
      <c r="N66" s="12">
        <f t="shared" si="2"/>
        <v>25</v>
      </c>
      <c r="O66" s="30" t="s">
        <v>72</v>
      </c>
      <c r="Q66" s="62">
        <f t="shared" si="16"/>
        <v>262</v>
      </c>
      <c r="R66" s="28">
        <v>180</v>
      </c>
      <c r="S66" s="13">
        <f t="shared" si="33"/>
        <v>0.45555555555555549</v>
      </c>
      <c r="T66" s="12">
        <f t="shared" si="4"/>
        <v>82</v>
      </c>
      <c r="U66" s="30" t="s">
        <v>72</v>
      </c>
      <c r="V66" s="30"/>
      <c r="W66" s="62">
        <f t="shared" si="17"/>
        <v>216</v>
      </c>
      <c r="X66" s="28">
        <v>153</v>
      </c>
      <c r="Y66" s="13">
        <f t="shared" si="34"/>
        <v>0.41176470588235303</v>
      </c>
      <c r="Z66" s="12">
        <f t="shared" si="6"/>
        <v>63</v>
      </c>
      <c r="AA66" s="30" t="s">
        <v>72</v>
      </c>
      <c r="AB66" s="64"/>
      <c r="AC66" s="62">
        <f t="shared" si="19"/>
        <v>245</v>
      </c>
      <c r="AD66" s="28">
        <v>175</v>
      </c>
      <c r="AE66" s="13">
        <f t="shared" si="35"/>
        <v>0.39999999999999991</v>
      </c>
      <c r="AF66" s="12">
        <f t="shared" si="8"/>
        <v>70</v>
      </c>
      <c r="AG66" s="30" t="s">
        <v>72</v>
      </c>
      <c r="AH66" s="17"/>
      <c r="AI66" s="16"/>
      <c r="AJ66" s="2">
        <f t="shared" si="27"/>
        <v>90</v>
      </c>
      <c r="AK66" s="2">
        <f t="shared" si="28"/>
        <v>288</v>
      </c>
      <c r="AL66" s="2">
        <f t="shared" si="29"/>
        <v>270</v>
      </c>
      <c r="AM66" s="2">
        <f t="shared" si="30"/>
        <v>238</v>
      </c>
    </row>
    <row r="67" spans="1:39" outlineLevel="1" x14ac:dyDescent="0.25">
      <c r="A67" t="s">
        <v>35</v>
      </c>
      <c r="B67" s="7" t="str">
        <f t="shared" si="31"/>
        <v>Seite außen (580x1080)</v>
      </c>
      <c r="C67">
        <v>3109</v>
      </c>
      <c r="D67" s="7" t="s">
        <v>7</v>
      </c>
      <c r="E67">
        <v>580</v>
      </c>
      <c r="F67">
        <v>1080</v>
      </c>
      <c r="I67" s="45">
        <f t="shared" si="13"/>
        <v>0.62639999999999996</v>
      </c>
      <c r="J67" s="46">
        <f t="shared" si="14"/>
        <v>3.3200000000000003</v>
      </c>
      <c r="K67" s="62">
        <f t="shared" si="15"/>
        <v>119</v>
      </c>
      <c r="L67" s="28">
        <v>85</v>
      </c>
      <c r="M67" s="13">
        <f t="shared" si="32"/>
        <v>0.39999999999999991</v>
      </c>
      <c r="N67" s="12">
        <f t="shared" si="2"/>
        <v>34</v>
      </c>
      <c r="O67" s="30" t="s">
        <v>72</v>
      </c>
      <c r="Q67" s="62">
        <f t="shared" si="16"/>
        <v>377</v>
      </c>
      <c r="R67" s="28">
        <v>266</v>
      </c>
      <c r="S67" s="13">
        <f t="shared" si="33"/>
        <v>0.41729323308270683</v>
      </c>
      <c r="T67" s="12">
        <f t="shared" si="4"/>
        <v>111</v>
      </c>
      <c r="U67" s="30" t="s">
        <v>72</v>
      </c>
      <c r="V67" s="30"/>
      <c r="W67" s="62">
        <f t="shared" si="17"/>
        <v>300</v>
      </c>
      <c r="X67" s="28">
        <v>216</v>
      </c>
      <c r="Y67" s="13">
        <f t="shared" si="34"/>
        <v>0.38888888888888884</v>
      </c>
      <c r="Z67" s="12">
        <f t="shared" si="6"/>
        <v>84</v>
      </c>
      <c r="AA67" s="30" t="s">
        <v>72</v>
      </c>
      <c r="AB67" s="64"/>
      <c r="AC67" s="62">
        <f t="shared" si="19"/>
        <v>307</v>
      </c>
      <c r="AD67" s="28">
        <v>221</v>
      </c>
      <c r="AE67" s="13">
        <f t="shared" si="35"/>
        <v>0.38914027149321262</v>
      </c>
      <c r="AF67" s="12">
        <f t="shared" si="8"/>
        <v>86</v>
      </c>
      <c r="AG67" s="30" t="s">
        <v>72</v>
      </c>
      <c r="AH67" s="17"/>
      <c r="AI67" s="16"/>
      <c r="AJ67" s="2">
        <f t="shared" si="27"/>
        <v>131</v>
      </c>
      <c r="AK67" s="2">
        <f t="shared" si="28"/>
        <v>415</v>
      </c>
      <c r="AL67" s="2">
        <f t="shared" si="29"/>
        <v>338</v>
      </c>
      <c r="AM67" s="2">
        <f t="shared" si="30"/>
        <v>330</v>
      </c>
    </row>
    <row r="68" spans="1:39" outlineLevel="1" x14ac:dyDescent="0.25">
      <c r="A68" t="s">
        <v>35</v>
      </c>
      <c r="B68" s="7" t="str">
        <f t="shared" si="31"/>
        <v>Seite außen (580x1440)</v>
      </c>
      <c r="C68">
        <v>3110</v>
      </c>
      <c r="D68" s="7" t="s">
        <v>7</v>
      </c>
      <c r="E68">
        <v>580</v>
      </c>
      <c r="F68">
        <v>1440</v>
      </c>
      <c r="I68" s="45">
        <f t="shared" si="13"/>
        <v>0.83519999999999994</v>
      </c>
      <c r="J68" s="46">
        <f t="shared" si="14"/>
        <v>4.04</v>
      </c>
      <c r="K68" s="62">
        <f t="shared" si="15"/>
        <v>158</v>
      </c>
      <c r="L68" s="28">
        <v>114</v>
      </c>
      <c r="M68" s="13">
        <f t="shared" si="32"/>
        <v>0.38596491228070184</v>
      </c>
      <c r="N68" s="12">
        <f t="shared" si="2"/>
        <v>44</v>
      </c>
      <c r="O68" s="30" t="s">
        <v>72</v>
      </c>
      <c r="Q68" s="62">
        <f t="shared" si="16"/>
        <v>484</v>
      </c>
      <c r="R68" s="28">
        <v>345</v>
      </c>
      <c r="S68" s="13">
        <f t="shared" si="33"/>
        <v>0.40289855072463765</v>
      </c>
      <c r="T68" s="12">
        <f t="shared" si="4"/>
        <v>139</v>
      </c>
      <c r="U68" s="30" t="s">
        <v>72</v>
      </c>
      <c r="V68" s="30"/>
      <c r="W68" s="62">
        <f t="shared" si="17"/>
        <v>400</v>
      </c>
      <c r="X68" s="28">
        <v>290</v>
      </c>
      <c r="Y68" s="13">
        <f t="shared" si="34"/>
        <v>0.3793103448275863</v>
      </c>
      <c r="Z68" s="12">
        <f t="shared" si="6"/>
        <v>110</v>
      </c>
      <c r="AA68" s="30" t="s">
        <v>72</v>
      </c>
      <c r="AB68" s="64"/>
      <c r="AC68" s="62">
        <f t="shared" si="19"/>
        <v>752</v>
      </c>
      <c r="AD68" s="28" t="s">
        <v>63</v>
      </c>
      <c r="AE68" s="13" t="str">
        <f t="shared" si="35"/>
        <v>-</v>
      </c>
      <c r="AF68" s="12" t="str">
        <f t="shared" si="8"/>
        <v>-</v>
      </c>
      <c r="AG68" s="30" t="s">
        <v>72</v>
      </c>
      <c r="AH68" s="17"/>
      <c r="AI68" s="16"/>
      <c r="AJ68" s="2">
        <f t="shared" si="27"/>
        <v>174</v>
      </c>
      <c r="AK68" s="2">
        <f t="shared" si="28"/>
        <v>532</v>
      </c>
      <c r="AL68" s="2">
        <f t="shared" si="29"/>
        <v>827</v>
      </c>
      <c r="AM68" s="2">
        <f t="shared" si="30"/>
        <v>440</v>
      </c>
    </row>
    <row r="69" spans="1:39" outlineLevel="1" x14ac:dyDescent="0.25">
      <c r="A69" t="s">
        <v>35</v>
      </c>
      <c r="B69" s="7" t="str">
        <f t="shared" si="31"/>
        <v>Seite außen (580x1800)</v>
      </c>
      <c r="C69">
        <v>3111</v>
      </c>
      <c r="D69" s="7" t="s">
        <v>7</v>
      </c>
      <c r="E69">
        <v>580</v>
      </c>
      <c r="F69">
        <v>1800</v>
      </c>
      <c r="I69" s="45">
        <f t="shared" si="13"/>
        <v>1.044</v>
      </c>
      <c r="J69" s="46">
        <f t="shared" si="14"/>
        <v>4.76</v>
      </c>
      <c r="K69" s="62">
        <f t="shared" si="15"/>
        <v>197</v>
      </c>
      <c r="L69" s="28">
        <v>143</v>
      </c>
      <c r="M69" s="13">
        <f t="shared" si="32"/>
        <v>0.37762237762237771</v>
      </c>
      <c r="N69" s="12">
        <f t="shared" si="2"/>
        <v>54</v>
      </c>
      <c r="O69" s="30" t="s">
        <v>72</v>
      </c>
      <c r="Q69" s="62">
        <f t="shared" si="16"/>
        <v>388</v>
      </c>
      <c r="R69" s="28" t="s">
        <v>63</v>
      </c>
      <c r="S69" s="47"/>
      <c r="T69" s="50"/>
      <c r="U69" s="51"/>
      <c r="V69" s="30"/>
      <c r="W69" s="62">
        <f t="shared" si="17"/>
        <v>467</v>
      </c>
      <c r="X69" s="28">
        <v>340</v>
      </c>
      <c r="Y69" s="13">
        <f t="shared" si="34"/>
        <v>0.37352941176470589</v>
      </c>
      <c r="Z69" s="12">
        <f t="shared" si="6"/>
        <v>127</v>
      </c>
      <c r="AA69" s="30" t="s">
        <v>72</v>
      </c>
      <c r="AB69" s="64"/>
      <c r="AC69" s="62">
        <f t="shared" si="19"/>
        <v>879</v>
      </c>
      <c r="AD69" s="28" t="s">
        <v>63</v>
      </c>
      <c r="AE69" s="13" t="str">
        <f t="shared" si="35"/>
        <v>-</v>
      </c>
      <c r="AF69" s="12" t="str">
        <f t="shared" si="8"/>
        <v>-</v>
      </c>
      <c r="AG69" s="30" t="s">
        <v>72</v>
      </c>
      <c r="AH69" s="17"/>
      <c r="AI69" s="16"/>
      <c r="AJ69" s="2">
        <f t="shared" si="27"/>
        <v>217</v>
      </c>
      <c r="AK69" s="2">
        <f t="shared" si="28"/>
        <v>427</v>
      </c>
      <c r="AL69" s="2">
        <f t="shared" si="29"/>
        <v>967</v>
      </c>
      <c r="AM69" s="2">
        <f t="shared" si="30"/>
        <v>514</v>
      </c>
    </row>
    <row r="70" spans="1:39" outlineLevel="1" x14ac:dyDescent="0.25">
      <c r="A70" t="s">
        <v>35</v>
      </c>
      <c r="B70" s="7" t="str">
        <f t="shared" si="31"/>
        <v>Seite außen (180x780)</v>
      </c>
      <c r="C70">
        <v>3112</v>
      </c>
      <c r="D70" s="7" t="s">
        <v>7</v>
      </c>
      <c r="E70">
        <v>180</v>
      </c>
      <c r="F70">
        <v>780</v>
      </c>
      <c r="I70" s="45">
        <f t="shared" si="13"/>
        <v>0.28079999999999999</v>
      </c>
      <c r="J70" s="46">
        <f t="shared" si="14"/>
        <v>2.2800000000000002</v>
      </c>
      <c r="K70" s="62">
        <f t="shared" si="15"/>
        <v>56</v>
      </c>
      <c r="L70" s="28">
        <v>38</v>
      </c>
      <c r="M70" s="13">
        <f t="shared" si="32"/>
        <v>0.47368421052631571</v>
      </c>
      <c r="N70" s="12">
        <f t="shared" ref="N70:N133" si="36">IFERROR(K70-L70,"-")</f>
        <v>18</v>
      </c>
      <c r="O70" s="30" t="s">
        <v>72</v>
      </c>
      <c r="Q70" s="62">
        <f t="shared" si="16"/>
        <v>185</v>
      </c>
      <c r="R70" s="28">
        <v>123</v>
      </c>
      <c r="S70" s="13">
        <f t="shared" si="33"/>
        <v>0.50406504065040658</v>
      </c>
      <c r="T70" s="12">
        <f t="shared" ref="T70:T133" si="37">IFERROR(Q70-R70,"-")</f>
        <v>62</v>
      </c>
      <c r="U70" s="30" t="s">
        <v>72</v>
      </c>
      <c r="V70" s="30"/>
      <c r="W70" s="62">
        <f t="shared" si="17"/>
        <v>144</v>
      </c>
      <c r="X70" s="28">
        <v>100</v>
      </c>
      <c r="Y70" s="13">
        <f t="shared" si="34"/>
        <v>0.43999999999999995</v>
      </c>
      <c r="Z70" s="12">
        <f t="shared" ref="Z70:Z133" si="38">IFERROR(W70-X70,"-")</f>
        <v>44</v>
      </c>
      <c r="AA70" s="12"/>
      <c r="AB70" s="64"/>
      <c r="AC70" s="62">
        <f t="shared" si="19"/>
        <v>212</v>
      </c>
      <c r="AD70" s="28">
        <v>150</v>
      </c>
      <c r="AE70" s="13">
        <f t="shared" si="35"/>
        <v>0.41333333333333333</v>
      </c>
      <c r="AF70" s="12">
        <f t="shared" ref="AF70:AF133" si="39">IFERROR(AC70-AD70,"-")</f>
        <v>62</v>
      </c>
      <c r="AG70" s="30" t="s">
        <v>72</v>
      </c>
      <c r="AH70" s="17"/>
      <c r="AI70" s="16"/>
      <c r="AJ70" s="2">
        <f t="shared" si="27"/>
        <v>62</v>
      </c>
      <c r="AK70" s="2">
        <f t="shared" si="28"/>
        <v>204</v>
      </c>
      <c r="AL70" s="2">
        <f t="shared" si="29"/>
        <v>233</v>
      </c>
      <c r="AM70" s="2">
        <f t="shared" si="30"/>
        <v>158</v>
      </c>
    </row>
    <row r="71" spans="1:39" outlineLevel="1" x14ac:dyDescent="0.25">
      <c r="A71" t="s">
        <v>35</v>
      </c>
      <c r="B71" s="7" t="str">
        <f t="shared" si="31"/>
        <v>Seite außen (180x980)</v>
      </c>
      <c r="C71">
        <v>3113</v>
      </c>
      <c r="D71" s="7" t="s">
        <v>7</v>
      </c>
      <c r="E71">
        <v>180</v>
      </c>
      <c r="F71">
        <v>980</v>
      </c>
      <c r="I71" s="45">
        <f t="shared" ref="I71:I134" si="40">+IF($E71="","",MAX($E71,360)/1000*MAX($F71,360)/1000)</f>
        <v>0.3528</v>
      </c>
      <c r="J71" s="46">
        <f t="shared" ref="J71:J134" si="41">IF($F71="","",2*MAX($E71,360)/1000+2*MAX($F71,360)/1000)</f>
        <v>2.6799999999999997</v>
      </c>
      <c r="K71" s="62">
        <f t="shared" ref="K71:K134" si="42">+IFERROR(MAX($J$5,ROUND(L71*(1+L$2)^N$2+J$2,0)),0)</f>
        <v>70</v>
      </c>
      <c r="L71" s="28">
        <v>48</v>
      </c>
      <c r="M71" s="13">
        <f t="shared" si="32"/>
        <v>0.45833333333333326</v>
      </c>
      <c r="N71" s="12">
        <f t="shared" si="36"/>
        <v>22</v>
      </c>
      <c r="O71" s="30" t="s">
        <v>72</v>
      </c>
      <c r="Q71" s="62">
        <f t="shared" ref="Q71:Q134" si="43">+IFERROR(IF(AND(R71="-",K71&gt;0),ROUND(V$4*K71,0),ROUND(R71*(1+S$2)^U$2+Q$2,0)),0)</f>
        <v>223</v>
      </c>
      <c r="R71" s="28">
        <v>151</v>
      </c>
      <c r="S71" s="13">
        <f t="shared" si="33"/>
        <v>0.47682119205298013</v>
      </c>
      <c r="T71" s="12">
        <f t="shared" si="37"/>
        <v>72</v>
      </c>
      <c r="U71" s="30" t="s">
        <v>72</v>
      </c>
      <c r="V71" s="30"/>
      <c r="W71" s="62">
        <f t="shared" ref="W71:W134" si="44">+IFERROR(IF(AND(X71="-",Q71&gt;0),ROUND(AB$4*Q71,0),ROUND(X71*(1+Y$2)^AA$2+W$2,0)),0)</f>
        <v>174</v>
      </c>
      <c r="X71" s="28">
        <v>122</v>
      </c>
      <c r="Y71" s="13">
        <f t="shared" si="34"/>
        <v>0.42622950819672134</v>
      </c>
      <c r="Z71" s="12">
        <f t="shared" si="38"/>
        <v>52</v>
      </c>
      <c r="AA71" s="12"/>
      <c r="AB71" s="64"/>
      <c r="AC71" s="62">
        <f t="shared" ref="AC71:AC134" si="45">+IFERROR(IF(AND(AD71="-",W71&gt;0),ROUND(AH$4*W71,0),ROUND(AD71*(1+AE$2)^AG$2+AC$2,0)),0)</f>
        <v>229</v>
      </c>
      <c r="AD71" s="28">
        <v>163</v>
      </c>
      <c r="AE71" s="13">
        <f t="shared" si="35"/>
        <v>0.4049079754601228</v>
      </c>
      <c r="AF71" s="12">
        <f t="shared" si="39"/>
        <v>66</v>
      </c>
      <c r="AG71" s="30" t="s">
        <v>72</v>
      </c>
      <c r="AH71" s="17"/>
      <c r="AI71" s="16"/>
      <c r="AJ71" s="2">
        <f t="shared" si="27"/>
        <v>77</v>
      </c>
      <c r="AK71" s="2">
        <f t="shared" si="28"/>
        <v>245</v>
      </c>
      <c r="AL71" s="2">
        <f t="shared" si="29"/>
        <v>252</v>
      </c>
      <c r="AM71" s="2">
        <f t="shared" si="30"/>
        <v>191</v>
      </c>
    </row>
    <row r="72" spans="1:39" outlineLevel="1" x14ac:dyDescent="0.25">
      <c r="A72" t="s">
        <v>35</v>
      </c>
      <c r="B72" s="7" t="str">
        <f t="shared" si="31"/>
        <v>Seite außen (360x780)</v>
      </c>
      <c r="C72">
        <v>3114</v>
      </c>
      <c r="D72" s="7" t="s">
        <v>7</v>
      </c>
      <c r="E72">
        <v>360</v>
      </c>
      <c r="F72">
        <v>780</v>
      </c>
      <c r="I72" s="45">
        <f t="shared" si="40"/>
        <v>0.28079999999999999</v>
      </c>
      <c r="J72" s="46">
        <f t="shared" si="41"/>
        <v>2.2800000000000002</v>
      </c>
      <c r="K72" s="62">
        <f t="shared" si="42"/>
        <v>56</v>
      </c>
      <c r="L72" s="28">
        <v>38</v>
      </c>
      <c r="M72" s="13">
        <f t="shared" si="32"/>
        <v>0.47368421052631571</v>
      </c>
      <c r="N72" s="12">
        <f t="shared" si="36"/>
        <v>18</v>
      </c>
      <c r="O72" s="30" t="s">
        <v>72</v>
      </c>
      <c r="Q72" s="62">
        <f t="shared" si="43"/>
        <v>185</v>
      </c>
      <c r="R72" s="28">
        <v>123</v>
      </c>
      <c r="S72" s="13">
        <f t="shared" si="33"/>
        <v>0.50406504065040658</v>
      </c>
      <c r="T72" s="12">
        <f t="shared" si="37"/>
        <v>62</v>
      </c>
      <c r="U72" s="30" t="s">
        <v>72</v>
      </c>
      <c r="V72" s="30"/>
      <c r="W72" s="62">
        <f t="shared" si="44"/>
        <v>144</v>
      </c>
      <c r="X72" s="28">
        <v>100</v>
      </c>
      <c r="Y72" s="13">
        <f t="shared" si="34"/>
        <v>0.43999999999999995</v>
      </c>
      <c r="Z72" s="12">
        <f t="shared" si="38"/>
        <v>44</v>
      </c>
      <c r="AA72" s="12"/>
      <c r="AB72" s="64"/>
      <c r="AC72" s="62">
        <f t="shared" si="45"/>
        <v>190</v>
      </c>
      <c r="AD72" s="28">
        <v>134</v>
      </c>
      <c r="AE72" s="13">
        <f t="shared" si="35"/>
        <v>0.41791044776119413</v>
      </c>
      <c r="AF72" s="12">
        <f t="shared" si="39"/>
        <v>56</v>
      </c>
      <c r="AG72" s="30" t="s">
        <v>72</v>
      </c>
      <c r="AH72" s="17"/>
      <c r="AI72" s="16"/>
      <c r="AJ72" s="2">
        <f t="shared" si="27"/>
        <v>62</v>
      </c>
      <c r="AK72" s="2">
        <f t="shared" si="28"/>
        <v>204</v>
      </c>
      <c r="AL72" s="2">
        <f t="shared" si="29"/>
        <v>209</v>
      </c>
      <c r="AM72" s="2">
        <f t="shared" si="30"/>
        <v>158</v>
      </c>
    </row>
    <row r="73" spans="1:39" outlineLevel="1" x14ac:dyDescent="0.25">
      <c r="A73" t="s">
        <v>35</v>
      </c>
      <c r="B73" s="7" t="str">
        <f t="shared" si="31"/>
        <v>Seite außen (360x980)</v>
      </c>
      <c r="C73">
        <v>3115</v>
      </c>
      <c r="D73" s="7" t="s">
        <v>7</v>
      </c>
      <c r="E73">
        <v>360</v>
      </c>
      <c r="F73">
        <v>980</v>
      </c>
      <c r="I73" s="45">
        <f t="shared" si="40"/>
        <v>0.3528</v>
      </c>
      <c r="J73" s="46">
        <f t="shared" si="41"/>
        <v>2.6799999999999997</v>
      </c>
      <c r="K73" s="62">
        <f t="shared" si="42"/>
        <v>70</v>
      </c>
      <c r="L73" s="28">
        <v>48</v>
      </c>
      <c r="M73" s="13">
        <f t="shared" si="32"/>
        <v>0.45833333333333326</v>
      </c>
      <c r="N73" s="12">
        <f t="shared" si="36"/>
        <v>22</v>
      </c>
      <c r="O73" s="30" t="s">
        <v>72</v>
      </c>
      <c r="Q73" s="62">
        <f t="shared" si="43"/>
        <v>223</v>
      </c>
      <c r="R73" s="28">
        <v>151</v>
      </c>
      <c r="S73" s="13">
        <f t="shared" si="33"/>
        <v>0.47682119205298013</v>
      </c>
      <c r="T73" s="12">
        <f t="shared" si="37"/>
        <v>72</v>
      </c>
      <c r="U73" s="30" t="s">
        <v>72</v>
      </c>
      <c r="V73" s="30"/>
      <c r="W73" s="62">
        <f t="shared" si="44"/>
        <v>174</v>
      </c>
      <c r="X73" s="28">
        <v>122</v>
      </c>
      <c r="Y73" s="13">
        <f t="shared" si="34"/>
        <v>0.42622950819672134</v>
      </c>
      <c r="Z73" s="12">
        <f t="shared" si="38"/>
        <v>52</v>
      </c>
      <c r="AA73" s="12"/>
      <c r="AB73" s="64"/>
      <c r="AC73" s="62">
        <f t="shared" si="45"/>
        <v>209</v>
      </c>
      <c r="AD73" s="28">
        <v>148</v>
      </c>
      <c r="AE73" s="13">
        <f t="shared" si="35"/>
        <v>0.41216216216216206</v>
      </c>
      <c r="AF73" s="12">
        <f t="shared" si="39"/>
        <v>61</v>
      </c>
      <c r="AG73" s="30" t="s">
        <v>72</v>
      </c>
      <c r="AH73" s="17"/>
      <c r="AI73" s="16"/>
      <c r="AJ73" s="2">
        <f t="shared" si="27"/>
        <v>77</v>
      </c>
      <c r="AK73" s="2">
        <f t="shared" si="28"/>
        <v>245</v>
      </c>
      <c r="AL73" s="2">
        <f t="shared" si="29"/>
        <v>230</v>
      </c>
      <c r="AM73" s="2">
        <f t="shared" si="30"/>
        <v>191</v>
      </c>
    </row>
    <row r="74" spans="1:39" outlineLevel="1" x14ac:dyDescent="0.25">
      <c r="A74" t="s">
        <v>35</v>
      </c>
      <c r="B74" s="7" t="str">
        <f t="shared" si="31"/>
        <v>Seite außen (720x780)</v>
      </c>
      <c r="C74">
        <v>3116</v>
      </c>
      <c r="D74" s="7" t="s">
        <v>7</v>
      </c>
      <c r="E74">
        <v>720</v>
      </c>
      <c r="F74">
        <v>780</v>
      </c>
      <c r="I74" s="45">
        <f t="shared" si="40"/>
        <v>0.56159999999999999</v>
      </c>
      <c r="J74" s="46">
        <f t="shared" si="41"/>
        <v>3</v>
      </c>
      <c r="K74" s="62">
        <f t="shared" si="42"/>
        <v>107</v>
      </c>
      <c r="L74" s="28">
        <v>76</v>
      </c>
      <c r="M74" s="13">
        <f t="shared" si="32"/>
        <v>0.40789473684210531</v>
      </c>
      <c r="N74" s="12">
        <f t="shared" si="36"/>
        <v>31</v>
      </c>
      <c r="O74" s="30" t="s">
        <v>72</v>
      </c>
      <c r="Q74" s="62">
        <f t="shared" si="43"/>
        <v>355</v>
      </c>
      <c r="R74" s="28">
        <v>249</v>
      </c>
      <c r="S74" s="13">
        <f t="shared" si="33"/>
        <v>0.42570281124497988</v>
      </c>
      <c r="T74" s="12">
        <f t="shared" si="37"/>
        <v>106</v>
      </c>
      <c r="U74" s="30" t="s">
        <v>72</v>
      </c>
      <c r="V74" s="30"/>
      <c r="W74" s="62">
        <f t="shared" si="44"/>
        <v>277</v>
      </c>
      <c r="X74" s="28">
        <v>199</v>
      </c>
      <c r="Y74" s="13">
        <f t="shared" si="34"/>
        <v>0.3919597989949748</v>
      </c>
      <c r="Z74" s="12">
        <f t="shared" si="38"/>
        <v>78</v>
      </c>
      <c r="AA74" s="12"/>
      <c r="AB74" s="64"/>
      <c r="AC74" s="62">
        <f t="shared" si="45"/>
        <v>268</v>
      </c>
      <c r="AD74" s="28">
        <v>192</v>
      </c>
      <c r="AE74" s="13">
        <f t="shared" si="35"/>
        <v>0.39583333333333326</v>
      </c>
      <c r="AF74" s="12">
        <f t="shared" si="39"/>
        <v>76</v>
      </c>
      <c r="AG74" s="30" t="s">
        <v>72</v>
      </c>
      <c r="AH74" s="17"/>
      <c r="AI74" s="16"/>
      <c r="AJ74" s="2">
        <f t="shared" si="27"/>
        <v>118</v>
      </c>
      <c r="AK74" s="2">
        <f t="shared" si="28"/>
        <v>391</v>
      </c>
      <c r="AL74" s="2">
        <f t="shared" si="29"/>
        <v>295</v>
      </c>
      <c r="AM74" s="2">
        <f t="shared" si="30"/>
        <v>305</v>
      </c>
    </row>
    <row r="75" spans="1:39" outlineLevel="1" x14ac:dyDescent="0.25">
      <c r="A75" t="s">
        <v>35</v>
      </c>
      <c r="B75" s="7" t="str">
        <f t="shared" si="31"/>
        <v>Seite außen (720x980)</v>
      </c>
      <c r="C75">
        <v>3117</v>
      </c>
      <c r="D75" s="7" t="s">
        <v>7</v>
      </c>
      <c r="E75">
        <v>720</v>
      </c>
      <c r="F75">
        <v>980</v>
      </c>
      <c r="I75" s="45">
        <f t="shared" si="40"/>
        <v>0.7056</v>
      </c>
      <c r="J75" s="46">
        <f t="shared" si="41"/>
        <v>3.4</v>
      </c>
      <c r="K75" s="62">
        <f t="shared" si="42"/>
        <v>134</v>
      </c>
      <c r="L75" s="28">
        <v>96</v>
      </c>
      <c r="M75" s="13">
        <f t="shared" si="32"/>
        <v>0.39583333333333326</v>
      </c>
      <c r="N75" s="12">
        <f t="shared" si="36"/>
        <v>38</v>
      </c>
      <c r="O75" s="30" t="s">
        <v>72</v>
      </c>
      <c r="Q75" s="62">
        <f t="shared" si="43"/>
        <v>406</v>
      </c>
      <c r="R75" s="28">
        <v>287</v>
      </c>
      <c r="S75" s="13">
        <f t="shared" si="33"/>
        <v>0.41463414634146334</v>
      </c>
      <c r="T75" s="12">
        <f t="shared" si="37"/>
        <v>119</v>
      </c>
      <c r="U75" s="30" t="s">
        <v>72</v>
      </c>
      <c r="V75" s="30"/>
      <c r="W75" s="62">
        <f t="shared" si="44"/>
        <v>320</v>
      </c>
      <c r="X75" s="28">
        <v>231</v>
      </c>
      <c r="Y75" s="13">
        <f t="shared" si="34"/>
        <v>0.38528138528138522</v>
      </c>
      <c r="Z75" s="12">
        <f t="shared" si="38"/>
        <v>89</v>
      </c>
      <c r="AA75" s="12"/>
      <c r="AB75" s="64"/>
      <c r="AC75" s="62">
        <f t="shared" si="45"/>
        <v>329</v>
      </c>
      <c r="AD75" s="28">
        <v>237</v>
      </c>
      <c r="AE75" s="13">
        <f t="shared" si="35"/>
        <v>0.38818565400843874</v>
      </c>
      <c r="AF75" s="12">
        <f t="shared" si="39"/>
        <v>92</v>
      </c>
      <c r="AG75" s="30" t="s">
        <v>72</v>
      </c>
      <c r="AH75" s="17"/>
      <c r="AI75" s="16"/>
      <c r="AJ75" s="2">
        <f t="shared" si="27"/>
        <v>147</v>
      </c>
      <c r="AK75" s="2">
        <f t="shared" si="28"/>
        <v>447</v>
      </c>
      <c r="AL75" s="2">
        <f t="shared" si="29"/>
        <v>362</v>
      </c>
      <c r="AM75" s="2">
        <f t="shared" si="30"/>
        <v>352</v>
      </c>
    </row>
    <row r="76" spans="1:39" outlineLevel="1" x14ac:dyDescent="0.25">
      <c r="A76" t="s">
        <v>35</v>
      </c>
      <c r="B76" s="7" t="str">
        <f t="shared" si="31"/>
        <v>Seite außen (1080x780)</v>
      </c>
      <c r="C76">
        <v>3118</v>
      </c>
      <c r="D76" s="7" t="s">
        <v>7</v>
      </c>
      <c r="E76">
        <v>1080</v>
      </c>
      <c r="F76">
        <v>780</v>
      </c>
      <c r="I76" s="45">
        <f t="shared" si="40"/>
        <v>0.84240000000000004</v>
      </c>
      <c r="J76" s="46">
        <f t="shared" si="41"/>
        <v>3.72</v>
      </c>
      <c r="K76" s="62">
        <f t="shared" si="42"/>
        <v>161</v>
      </c>
      <c r="L76" s="28">
        <v>116</v>
      </c>
      <c r="M76" s="13">
        <f t="shared" si="32"/>
        <v>0.38793103448275867</v>
      </c>
      <c r="N76" s="12">
        <f t="shared" si="36"/>
        <v>45</v>
      </c>
      <c r="O76" s="30" t="s">
        <v>72</v>
      </c>
      <c r="Q76" s="62">
        <f t="shared" si="43"/>
        <v>517</v>
      </c>
      <c r="R76" s="28">
        <v>370</v>
      </c>
      <c r="S76" s="13">
        <f t="shared" si="33"/>
        <v>0.39729729729729724</v>
      </c>
      <c r="T76" s="12">
        <f t="shared" si="37"/>
        <v>147</v>
      </c>
      <c r="U76" s="30" t="s">
        <v>72</v>
      </c>
      <c r="V76" s="30"/>
      <c r="W76" s="62">
        <f t="shared" si="44"/>
        <v>409</v>
      </c>
      <c r="X76" s="28">
        <v>297</v>
      </c>
      <c r="Y76" s="13">
        <f t="shared" si="34"/>
        <v>0.37710437710437716</v>
      </c>
      <c r="Z76" s="12">
        <f t="shared" si="38"/>
        <v>112</v>
      </c>
      <c r="AA76" s="12"/>
      <c r="AB76" s="64"/>
      <c r="AC76" s="62">
        <f t="shared" si="45"/>
        <v>385</v>
      </c>
      <c r="AD76" s="28">
        <v>279</v>
      </c>
      <c r="AE76" s="13">
        <f t="shared" si="35"/>
        <v>0.37992831541218641</v>
      </c>
      <c r="AF76" s="12">
        <f t="shared" si="39"/>
        <v>106</v>
      </c>
      <c r="AG76" s="30" t="s">
        <v>72</v>
      </c>
      <c r="AH76" s="17"/>
      <c r="AI76" s="16"/>
      <c r="AJ76" s="2">
        <f t="shared" si="27"/>
        <v>177</v>
      </c>
      <c r="AK76" s="2">
        <f t="shared" si="28"/>
        <v>569</v>
      </c>
      <c r="AL76" s="2">
        <f t="shared" si="29"/>
        <v>424</v>
      </c>
      <c r="AM76" s="2">
        <f t="shared" si="30"/>
        <v>450</v>
      </c>
    </row>
    <row r="77" spans="1:39" outlineLevel="1" x14ac:dyDescent="0.25">
      <c r="A77" t="s">
        <v>35</v>
      </c>
      <c r="B77" s="7" t="str">
        <f t="shared" si="31"/>
        <v>Seite außen (1080x980)</v>
      </c>
      <c r="C77">
        <v>3119</v>
      </c>
      <c r="D77" s="7" t="s">
        <v>7</v>
      </c>
      <c r="E77">
        <v>1080</v>
      </c>
      <c r="F77">
        <v>980</v>
      </c>
      <c r="I77" s="45">
        <f t="shared" si="40"/>
        <v>1.0584</v>
      </c>
      <c r="J77" s="46">
        <f t="shared" si="41"/>
        <v>4.12</v>
      </c>
      <c r="K77" s="62">
        <f t="shared" si="42"/>
        <v>200</v>
      </c>
      <c r="L77" s="28">
        <v>145</v>
      </c>
      <c r="M77" s="13">
        <f t="shared" si="32"/>
        <v>0.3793103448275863</v>
      </c>
      <c r="N77" s="12">
        <f t="shared" si="36"/>
        <v>55</v>
      </c>
      <c r="O77" s="30" t="s">
        <v>72</v>
      </c>
      <c r="Q77" s="62">
        <f t="shared" si="43"/>
        <v>626</v>
      </c>
      <c r="R77" s="28">
        <v>451</v>
      </c>
      <c r="S77" s="13">
        <f t="shared" si="33"/>
        <v>0.38802660753880258</v>
      </c>
      <c r="T77" s="12">
        <f t="shared" si="37"/>
        <v>175</v>
      </c>
      <c r="U77" s="30" t="s">
        <v>72</v>
      </c>
      <c r="V77" s="30"/>
      <c r="W77" s="62">
        <f t="shared" si="44"/>
        <v>474</v>
      </c>
      <c r="X77" s="28">
        <v>345</v>
      </c>
      <c r="Y77" s="13">
        <f t="shared" si="34"/>
        <v>0.37391304347826093</v>
      </c>
      <c r="Z77" s="12">
        <f t="shared" si="38"/>
        <v>129</v>
      </c>
      <c r="AA77" s="12"/>
      <c r="AB77" s="64"/>
      <c r="AC77" s="62">
        <f t="shared" si="45"/>
        <v>431</v>
      </c>
      <c r="AD77" s="28">
        <v>313</v>
      </c>
      <c r="AE77" s="13">
        <f t="shared" si="35"/>
        <v>0.3769968051118211</v>
      </c>
      <c r="AF77" s="12">
        <f t="shared" si="39"/>
        <v>118</v>
      </c>
      <c r="AG77" s="30" t="s">
        <v>72</v>
      </c>
      <c r="AH77" s="17"/>
      <c r="AI77" s="16"/>
      <c r="AJ77" s="2">
        <f t="shared" si="27"/>
        <v>220</v>
      </c>
      <c r="AK77" s="2">
        <f t="shared" si="28"/>
        <v>689</v>
      </c>
      <c r="AL77" s="2">
        <f t="shared" si="29"/>
        <v>474</v>
      </c>
      <c r="AM77" s="2">
        <f t="shared" si="30"/>
        <v>521</v>
      </c>
    </row>
    <row r="78" spans="1:39" outlineLevel="1" x14ac:dyDescent="0.25">
      <c r="A78" t="s">
        <v>35</v>
      </c>
      <c r="B78" s="7" t="str">
        <f t="shared" si="31"/>
        <v>Seite außen (1440x780)</v>
      </c>
      <c r="C78">
        <v>3120</v>
      </c>
      <c r="D78" s="7" t="s">
        <v>7</v>
      </c>
      <c r="E78">
        <v>1440</v>
      </c>
      <c r="F78">
        <v>780</v>
      </c>
      <c r="I78" s="45">
        <f t="shared" si="40"/>
        <v>1.1232</v>
      </c>
      <c r="J78" s="46">
        <f t="shared" si="41"/>
        <v>4.4399999999999995</v>
      </c>
      <c r="K78" s="62">
        <f t="shared" si="42"/>
        <v>211</v>
      </c>
      <c r="L78" s="28">
        <v>153</v>
      </c>
      <c r="M78" s="13">
        <f t="shared" si="32"/>
        <v>0.37908496732026142</v>
      </c>
      <c r="N78" s="12">
        <f t="shared" si="36"/>
        <v>58</v>
      </c>
      <c r="O78" s="30" t="s">
        <v>72</v>
      </c>
      <c r="Q78" s="62">
        <f t="shared" si="43"/>
        <v>630</v>
      </c>
      <c r="R78" s="28">
        <v>454</v>
      </c>
      <c r="S78" s="13">
        <f t="shared" si="33"/>
        <v>0.38766519823788537</v>
      </c>
      <c r="T78" s="12">
        <f t="shared" si="37"/>
        <v>176</v>
      </c>
      <c r="U78" s="30" t="s">
        <v>72</v>
      </c>
      <c r="V78" s="30"/>
      <c r="W78" s="62">
        <f t="shared" si="44"/>
        <v>499</v>
      </c>
      <c r="X78" s="28">
        <v>364</v>
      </c>
      <c r="Y78" s="13">
        <f t="shared" si="34"/>
        <v>0.37087912087912089</v>
      </c>
      <c r="Z78" s="12">
        <f t="shared" si="38"/>
        <v>135</v>
      </c>
      <c r="AA78" s="12"/>
      <c r="AB78" s="64"/>
      <c r="AC78" s="62">
        <f t="shared" si="45"/>
        <v>939</v>
      </c>
      <c r="AD78" s="28" t="s">
        <v>63</v>
      </c>
      <c r="AE78" s="13" t="str">
        <f t="shared" si="35"/>
        <v>-</v>
      </c>
      <c r="AF78" s="12" t="str">
        <f t="shared" si="39"/>
        <v>-</v>
      </c>
      <c r="AG78" s="12"/>
      <c r="AH78" s="17"/>
      <c r="AI78" s="16"/>
      <c r="AJ78" s="2">
        <f t="shared" si="27"/>
        <v>232</v>
      </c>
      <c r="AK78" s="2">
        <f t="shared" si="28"/>
        <v>693</v>
      </c>
      <c r="AL78" s="2">
        <f t="shared" si="29"/>
        <v>1033</v>
      </c>
      <c r="AM78" s="2">
        <f t="shared" si="30"/>
        <v>549</v>
      </c>
    </row>
    <row r="79" spans="1:39" outlineLevel="1" x14ac:dyDescent="0.25">
      <c r="A79" t="s">
        <v>35</v>
      </c>
      <c r="B79" s="7" t="str">
        <f t="shared" si="31"/>
        <v>Seite außen (1440x980)</v>
      </c>
      <c r="C79">
        <v>3121</v>
      </c>
      <c r="D79" s="7" t="s">
        <v>7</v>
      </c>
      <c r="E79">
        <v>1440</v>
      </c>
      <c r="F79">
        <v>980</v>
      </c>
      <c r="I79" s="45">
        <f t="shared" si="40"/>
        <v>1.4112</v>
      </c>
      <c r="J79" s="46">
        <f t="shared" si="41"/>
        <v>4.84</v>
      </c>
      <c r="K79" s="62">
        <f t="shared" si="42"/>
        <v>264</v>
      </c>
      <c r="L79" s="28">
        <v>193</v>
      </c>
      <c r="M79" s="13">
        <f t="shared" si="32"/>
        <v>0.36787564766839376</v>
      </c>
      <c r="N79" s="12">
        <f t="shared" si="36"/>
        <v>71</v>
      </c>
      <c r="O79" s="30" t="s">
        <v>72</v>
      </c>
      <c r="Q79" s="62">
        <f t="shared" si="43"/>
        <v>778</v>
      </c>
      <c r="R79" s="28">
        <v>564</v>
      </c>
      <c r="S79" s="13">
        <f t="shared" si="33"/>
        <v>0.37943262411347511</v>
      </c>
      <c r="T79" s="12">
        <f t="shared" si="37"/>
        <v>214</v>
      </c>
      <c r="U79" s="30" t="s">
        <v>72</v>
      </c>
      <c r="V79" s="30"/>
      <c r="W79" s="62">
        <f t="shared" si="44"/>
        <v>616</v>
      </c>
      <c r="X79" s="28">
        <v>451</v>
      </c>
      <c r="Y79" s="13">
        <f t="shared" si="34"/>
        <v>0.36585365853658547</v>
      </c>
      <c r="Z79" s="12">
        <f t="shared" si="38"/>
        <v>165</v>
      </c>
      <c r="AA79" s="12"/>
      <c r="AB79" s="64"/>
      <c r="AC79" s="62">
        <f t="shared" si="45"/>
        <v>1159</v>
      </c>
      <c r="AD79" s="28" t="s">
        <v>63</v>
      </c>
      <c r="AE79" s="13" t="str">
        <f t="shared" si="35"/>
        <v>-</v>
      </c>
      <c r="AF79" s="12" t="str">
        <f t="shared" si="39"/>
        <v>-</v>
      </c>
      <c r="AG79" s="12"/>
      <c r="AH79" s="17"/>
      <c r="AI79" s="16"/>
      <c r="AJ79" s="2">
        <f t="shared" si="27"/>
        <v>290</v>
      </c>
      <c r="AK79" s="2">
        <f t="shared" si="28"/>
        <v>856</v>
      </c>
      <c r="AL79" s="2">
        <f t="shared" si="29"/>
        <v>1275</v>
      </c>
      <c r="AM79" s="2">
        <f t="shared" si="30"/>
        <v>678</v>
      </c>
    </row>
    <row r="80" spans="1:39" outlineLevel="1" x14ac:dyDescent="0.25">
      <c r="A80" t="s">
        <v>35</v>
      </c>
      <c r="B80" s="7" t="str">
        <f t="shared" si="31"/>
        <v>Seite außen (1800x780)</v>
      </c>
      <c r="C80">
        <v>3122</v>
      </c>
      <c r="D80" s="7" t="s">
        <v>7</v>
      </c>
      <c r="E80">
        <v>1800</v>
      </c>
      <c r="F80">
        <v>780</v>
      </c>
      <c r="I80" s="45">
        <f t="shared" si="40"/>
        <v>1.4039999999999999</v>
      </c>
      <c r="J80" s="46">
        <f t="shared" si="41"/>
        <v>5.16</v>
      </c>
      <c r="K80" s="62">
        <f t="shared" si="42"/>
        <v>264</v>
      </c>
      <c r="L80" s="28">
        <v>193</v>
      </c>
      <c r="M80" s="13">
        <f t="shared" si="32"/>
        <v>0.36787564766839376</v>
      </c>
      <c r="N80" s="12">
        <f t="shared" si="36"/>
        <v>71</v>
      </c>
      <c r="O80" s="30" t="s">
        <v>72</v>
      </c>
      <c r="Q80" s="62">
        <f t="shared" si="43"/>
        <v>520</v>
      </c>
      <c r="R80" s="28" t="s">
        <v>63</v>
      </c>
      <c r="S80" s="47"/>
      <c r="T80" s="50"/>
      <c r="U80" s="51"/>
      <c r="V80" s="51"/>
      <c r="W80" s="62">
        <f t="shared" si="44"/>
        <v>612</v>
      </c>
      <c r="X80" s="28">
        <v>448</v>
      </c>
      <c r="Y80" s="13">
        <f t="shared" si="34"/>
        <v>0.3660714285714286</v>
      </c>
      <c r="Z80" s="12">
        <f t="shared" si="38"/>
        <v>164</v>
      </c>
      <c r="AA80" s="12"/>
      <c r="AB80" s="64"/>
      <c r="AC80" s="62">
        <f t="shared" si="45"/>
        <v>1151</v>
      </c>
      <c r="AD80" s="28" t="s">
        <v>63</v>
      </c>
      <c r="AE80" s="47"/>
      <c r="AF80" s="50"/>
      <c r="AG80" s="50"/>
      <c r="AH80" s="17"/>
      <c r="AI80" s="16"/>
      <c r="AJ80" s="2">
        <f t="shared" si="27"/>
        <v>290</v>
      </c>
      <c r="AK80" s="2">
        <f t="shared" si="28"/>
        <v>572</v>
      </c>
      <c r="AL80" s="2">
        <f t="shared" si="29"/>
        <v>1266</v>
      </c>
      <c r="AM80" s="2">
        <f t="shared" si="30"/>
        <v>673</v>
      </c>
    </row>
    <row r="81" spans="1:39" outlineLevel="1" x14ac:dyDescent="0.25">
      <c r="A81" t="s">
        <v>35</v>
      </c>
      <c r="B81" s="7" t="str">
        <f t="shared" si="31"/>
        <v>Seite außen (1800x980)</v>
      </c>
      <c r="C81">
        <v>3123</v>
      </c>
      <c r="D81" s="7" t="s">
        <v>7</v>
      </c>
      <c r="E81">
        <v>1800</v>
      </c>
      <c r="F81">
        <v>980</v>
      </c>
      <c r="I81" s="45">
        <f t="shared" si="40"/>
        <v>1.764</v>
      </c>
      <c r="J81" s="46">
        <f t="shared" si="41"/>
        <v>5.5600000000000005</v>
      </c>
      <c r="K81" s="62">
        <f t="shared" si="42"/>
        <v>329</v>
      </c>
      <c r="L81" s="28">
        <v>241</v>
      </c>
      <c r="M81" s="13">
        <f t="shared" si="32"/>
        <v>0.36514522821576767</v>
      </c>
      <c r="N81" s="12">
        <f t="shared" si="36"/>
        <v>88</v>
      </c>
      <c r="O81" s="30" t="s">
        <v>72</v>
      </c>
      <c r="Q81" s="62">
        <f t="shared" si="43"/>
        <v>648</v>
      </c>
      <c r="R81" s="28" t="s">
        <v>63</v>
      </c>
      <c r="S81" s="47"/>
      <c r="T81" s="50"/>
      <c r="U81" s="51"/>
      <c r="V81" s="51"/>
      <c r="W81" s="62">
        <f t="shared" si="44"/>
        <v>753</v>
      </c>
      <c r="X81" s="28">
        <v>553</v>
      </c>
      <c r="Y81" s="13">
        <f t="shared" si="34"/>
        <v>0.36166365280289337</v>
      </c>
      <c r="Z81" s="12">
        <f t="shared" si="38"/>
        <v>200</v>
      </c>
      <c r="AA81" s="12"/>
      <c r="AB81" s="94"/>
      <c r="AC81" s="62">
        <f t="shared" si="45"/>
        <v>1417</v>
      </c>
      <c r="AD81" s="28" t="s">
        <v>63</v>
      </c>
      <c r="AE81" s="47"/>
      <c r="AF81" s="50"/>
      <c r="AG81" s="50"/>
      <c r="AH81" s="17"/>
      <c r="AI81" s="16"/>
      <c r="AJ81" s="2">
        <f t="shared" si="27"/>
        <v>362</v>
      </c>
      <c r="AK81" s="2">
        <f t="shared" si="28"/>
        <v>713</v>
      </c>
      <c r="AL81" s="2">
        <f t="shared" si="29"/>
        <v>1559</v>
      </c>
      <c r="AM81" s="2">
        <f t="shared" si="30"/>
        <v>828</v>
      </c>
    </row>
    <row r="82" spans="1:39" outlineLevel="1" x14ac:dyDescent="0.25">
      <c r="A82" t="s">
        <v>35</v>
      </c>
      <c r="B82" s="7" t="str">
        <f t="shared" si="31"/>
        <v>Seite außen (580x580)</v>
      </c>
      <c r="C82">
        <v>3124</v>
      </c>
      <c r="D82" s="7" t="s">
        <v>7</v>
      </c>
      <c r="E82">
        <v>580</v>
      </c>
      <c r="F82">
        <v>580</v>
      </c>
      <c r="I82" s="45">
        <f t="shared" si="40"/>
        <v>0.33639999999999998</v>
      </c>
      <c r="J82" s="46">
        <f t="shared" si="41"/>
        <v>2.3199999999999998</v>
      </c>
      <c r="K82" s="62">
        <f t="shared" si="42"/>
        <v>67</v>
      </c>
      <c r="L82" s="28">
        <v>46</v>
      </c>
      <c r="M82" s="13">
        <f t="shared" si="32"/>
        <v>0.45652173913043481</v>
      </c>
      <c r="N82" s="12">
        <f t="shared" si="36"/>
        <v>21</v>
      </c>
      <c r="O82" s="30" t="s">
        <v>72</v>
      </c>
      <c r="Q82" s="62">
        <f t="shared" si="43"/>
        <v>228</v>
      </c>
      <c r="R82" s="28">
        <v>155</v>
      </c>
      <c r="S82" s="13">
        <f t="shared" si="33"/>
        <v>0.47096774193548385</v>
      </c>
      <c r="T82" s="12">
        <f t="shared" si="37"/>
        <v>73</v>
      </c>
      <c r="U82" s="30" t="s">
        <v>72</v>
      </c>
      <c r="V82" s="30"/>
      <c r="W82" s="62">
        <f t="shared" si="44"/>
        <v>183</v>
      </c>
      <c r="X82" s="28">
        <v>129</v>
      </c>
      <c r="Y82" s="13">
        <f t="shared" si="34"/>
        <v>0.41860465116279078</v>
      </c>
      <c r="Z82" s="12">
        <f t="shared" si="38"/>
        <v>54</v>
      </c>
      <c r="AA82" s="12"/>
      <c r="AB82" s="64"/>
      <c r="AC82" s="62">
        <f t="shared" si="45"/>
        <v>191</v>
      </c>
      <c r="AD82" s="28">
        <v>135</v>
      </c>
      <c r="AE82" s="13">
        <f t="shared" si="35"/>
        <v>0.41481481481481475</v>
      </c>
      <c r="AF82" s="12">
        <f t="shared" si="39"/>
        <v>56</v>
      </c>
      <c r="AG82" s="12"/>
      <c r="AH82" s="17"/>
      <c r="AI82" s="16"/>
      <c r="AJ82" s="2">
        <f t="shared" si="27"/>
        <v>74</v>
      </c>
      <c r="AK82" s="2">
        <f t="shared" si="28"/>
        <v>251</v>
      </c>
      <c r="AL82" s="2">
        <f t="shared" si="29"/>
        <v>210</v>
      </c>
      <c r="AM82" s="2">
        <f t="shared" si="30"/>
        <v>201</v>
      </c>
    </row>
    <row r="83" spans="1:39" outlineLevel="1" x14ac:dyDescent="0.25">
      <c r="A83" t="s">
        <v>35</v>
      </c>
      <c r="B83" s="7" t="str">
        <f t="shared" si="31"/>
        <v>Seite außen (580x780)</v>
      </c>
      <c r="C83" s="3">
        <v>3008</v>
      </c>
      <c r="D83" s="7" t="s">
        <v>7</v>
      </c>
      <c r="E83">
        <v>580</v>
      </c>
      <c r="F83">
        <v>780</v>
      </c>
      <c r="I83" s="45">
        <f t="shared" si="40"/>
        <v>0.45239999999999997</v>
      </c>
      <c r="J83" s="46">
        <f t="shared" si="41"/>
        <v>2.7199999999999998</v>
      </c>
      <c r="K83" s="62">
        <f t="shared" si="42"/>
        <v>87</v>
      </c>
      <c r="L83" s="28">
        <v>61</v>
      </c>
      <c r="M83" s="13">
        <f t="shared" si="32"/>
        <v>0.42622950819672134</v>
      </c>
      <c r="N83" s="12">
        <f t="shared" si="36"/>
        <v>26</v>
      </c>
      <c r="O83" s="12"/>
      <c r="Q83" s="62">
        <f t="shared" si="43"/>
        <v>275</v>
      </c>
      <c r="R83" s="28">
        <v>190</v>
      </c>
      <c r="S83" s="12">
        <f t="shared" si="33"/>
        <v>0.44736842105263164</v>
      </c>
      <c r="T83" s="12">
        <f t="shared" si="37"/>
        <v>85</v>
      </c>
      <c r="U83" s="12"/>
      <c r="V83" s="12"/>
      <c r="W83" s="62">
        <f t="shared" si="44"/>
        <v>225</v>
      </c>
      <c r="X83" s="28">
        <v>160</v>
      </c>
      <c r="Y83" s="13">
        <f t="shared" si="34"/>
        <v>0.40625</v>
      </c>
      <c r="Z83" s="12">
        <f t="shared" si="38"/>
        <v>65</v>
      </c>
      <c r="AA83" s="12"/>
      <c r="AB83" s="64"/>
      <c r="AC83" s="62">
        <f t="shared" si="45"/>
        <v>237</v>
      </c>
      <c r="AD83" s="28">
        <v>169</v>
      </c>
      <c r="AE83" s="12">
        <f t="shared" si="35"/>
        <v>0.4023668639053255</v>
      </c>
      <c r="AF83" s="12">
        <f t="shared" si="39"/>
        <v>68</v>
      </c>
      <c r="AG83" s="12"/>
      <c r="AH83" s="17"/>
      <c r="AI83" s="17"/>
      <c r="AJ83" s="2">
        <f t="shared" si="27"/>
        <v>96</v>
      </c>
      <c r="AK83" s="2">
        <f t="shared" si="28"/>
        <v>303</v>
      </c>
      <c r="AL83" s="2">
        <f t="shared" si="29"/>
        <v>261</v>
      </c>
      <c r="AM83" s="2">
        <f t="shared" si="30"/>
        <v>248</v>
      </c>
    </row>
    <row r="84" spans="1:39" outlineLevel="1" x14ac:dyDescent="0.25">
      <c r="A84" t="s">
        <v>35</v>
      </c>
      <c r="B84" s="7" t="str">
        <f t="shared" si="31"/>
        <v>Seite außen (660x360)</v>
      </c>
      <c r="C84" s="3" t="s">
        <v>15</v>
      </c>
      <c r="D84" s="7" t="s">
        <v>7</v>
      </c>
      <c r="E84">
        <v>660</v>
      </c>
      <c r="F84">
        <v>360</v>
      </c>
      <c r="I84" s="45">
        <f t="shared" si="40"/>
        <v>0.23760000000000003</v>
      </c>
      <c r="J84" s="46">
        <f t="shared" si="41"/>
        <v>2.04</v>
      </c>
      <c r="K84" s="62">
        <f t="shared" si="42"/>
        <v>162</v>
      </c>
      <c r="L84" s="28">
        <v>117</v>
      </c>
      <c r="M84" s="13">
        <f t="shared" si="32"/>
        <v>0.38461538461538458</v>
      </c>
      <c r="N84" s="12">
        <f t="shared" si="36"/>
        <v>45</v>
      </c>
      <c r="O84" s="12"/>
      <c r="Q84" s="62">
        <f t="shared" si="43"/>
        <v>319</v>
      </c>
      <c r="R84" s="28" t="s">
        <v>63</v>
      </c>
      <c r="S84" s="12" t="str">
        <f t="shared" si="33"/>
        <v>-</v>
      </c>
      <c r="T84" s="12" t="str">
        <f t="shared" si="37"/>
        <v>-</v>
      </c>
      <c r="U84" s="12"/>
      <c r="V84" s="12"/>
      <c r="W84" s="62">
        <f t="shared" si="44"/>
        <v>165</v>
      </c>
      <c r="X84" s="28" t="s">
        <v>63</v>
      </c>
      <c r="Y84" s="12" t="str">
        <f t="shared" si="34"/>
        <v>-</v>
      </c>
      <c r="Z84" s="12" t="str">
        <f t="shared" si="38"/>
        <v>-</v>
      </c>
      <c r="AA84" s="12"/>
      <c r="AB84" s="64"/>
      <c r="AC84" s="62">
        <f t="shared" si="45"/>
        <v>310</v>
      </c>
      <c r="AD84" s="28" t="s">
        <v>63</v>
      </c>
      <c r="AE84" s="12" t="str">
        <f t="shared" si="35"/>
        <v>-</v>
      </c>
      <c r="AF84" s="12" t="str">
        <f t="shared" si="39"/>
        <v>-</v>
      </c>
      <c r="AG84" s="12"/>
      <c r="AH84" s="17"/>
      <c r="AI84" s="17"/>
      <c r="AJ84" s="2">
        <f t="shared" si="27"/>
        <v>178</v>
      </c>
      <c r="AK84" s="2">
        <f t="shared" si="28"/>
        <v>351</v>
      </c>
      <c r="AL84" s="2">
        <f t="shared" si="29"/>
        <v>341</v>
      </c>
      <c r="AM84" s="2">
        <f t="shared" si="30"/>
        <v>182</v>
      </c>
    </row>
    <row r="85" spans="1:39" outlineLevel="1" x14ac:dyDescent="0.25">
      <c r="A85" t="s">
        <v>35</v>
      </c>
      <c r="B85" s="7" t="str">
        <f t="shared" si="31"/>
        <v xml:space="preserve"> (x)</v>
      </c>
      <c r="C85" s="3">
        <v>3127</v>
      </c>
      <c r="I85" s="45" t="str">
        <f t="shared" si="40"/>
        <v/>
      </c>
      <c r="J85" s="46" t="str">
        <f t="shared" si="41"/>
        <v/>
      </c>
      <c r="K85" s="62">
        <f t="shared" si="42"/>
        <v>0</v>
      </c>
      <c r="L85" s="28" t="s">
        <v>63</v>
      </c>
      <c r="M85" s="12" t="str">
        <f t="shared" si="32"/>
        <v>-</v>
      </c>
      <c r="N85" s="12" t="str">
        <f t="shared" si="36"/>
        <v>-</v>
      </c>
      <c r="O85" s="12"/>
      <c r="Q85" s="62">
        <f t="shared" si="43"/>
        <v>0</v>
      </c>
      <c r="R85" s="28" t="s">
        <v>63</v>
      </c>
      <c r="S85" s="12" t="str">
        <f t="shared" si="33"/>
        <v>-</v>
      </c>
      <c r="T85" s="12" t="str">
        <f t="shared" si="37"/>
        <v>-</v>
      </c>
      <c r="U85" s="12"/>
      <c r="V85" s="12"/>
      <c r="W85" s="62">
        <f t="shared" si="44"/>
        <v>0</v>
      </c>
      <c r="X85" s="28" t="s">
        <v>63</v>
      </c>
      <c r="Y85" s="12" t="str">
        <f t="shared" si="34"/>
        <v>-</v>
      </c>
      <c r="Z85" s="12" t="str">
        <f t="shared" si="38"/>
        <v>-</v>
      </c>
      <c r="AA85" s="12"/>
      <c r="AB85" s="64"/>
      <c r="AC85" s="62">
        <f t="shared" si="45"/>
        <v>0</v>
      </c>
      <c r="AD85" s="28" t="s">
        <v>63</v>
      </c>
      <c r="AE85" s="12" t="str">
        <f t="shared" si="35"/>
        <v>-</v>
      </c>
      <c r="AF85" s="12" t="str">
        <f t="shared" si="39"/>
        <v>-</v>
      </c>
      <c r="AG85" s="12"/>
      <c r="AH85" s="17"/>
      <c r="AI85" s="17"/>
      <c r="AJ85" s="2">
        <f t="shared" si="27"/>
        <v>0</v>
      </c>
      <c r="AK85" s="2">
        <f t="shared" si="28"/>
        <v>0</v>
      </c>
      <c r="AL85" s="2">
        <f t="shared" si="29"/>
        <v>0</v>
      </c>
      <c r="AM85" s="2">
        <f t="shared" si="30"/>
        <v>0</v>
      </c>
    </row>
    <row r="86" spans="1:39" outlineLevel="1" x14ac:dyDescent="0.25">
      <c r="A86" t="s">
        <v>35</v>
      </c>
      <c r="B86" s="7" t="str">
        <f t="shared" si="31"/>
        <v xml:space="preserve"> (x)</v>
      </c>
      <c r="C86" s="3">
        <v>3128</v>
      </c>
      <c r="I86" s="45" t="str">
        <f t="shared" si="40"/>
        <v/>
      </c>
      <c r="J86" s="46" t="str">
        <f t="shared" si="41"/>
        <v/>
      </c>
      <c r="K86" s="62">
        <f t="shared" si="42"/>
        <v>0</v>
      </c>
      <c r="L86" s="28" t="s">
        <v>63</v>
      </c>
      <c r="M86" s="12" t="str">
        <f t="shared" si="32"/>
        <v>-</v>
      </c>
      <c r="N86" s="12" t="str">
        <f t="shared" si="36"/>
        <v>-</v>
      </c>
      <c r="O86" s="12"/>
      <c r="Q86" s="62">
        <f t="shared" si="43"/>
        <v>0</v>
      </c>
      <c r="R86" s="28" t="s">
        <v>63</v>
      </c>
      <c r="S86" s="12" t="str">
        <f t="shared" si="33"/>
        <v>-</v>
      </c>
      <c r="T86" s="12" t="str">
        <f t="shared" si="37"/>
        <v>-</v>
      </c>
      <c r="U86" s="12"/>
      <c r="V86" s="12"/>
      <c r="W86" s="62">
        <f t="shared" si="44"/>
        <v>0</v>
      </c>
      <c r="X86" s="28" t="s">
        <v>63</v>
      </c>
      <c r="Y86" s="12" t="str">
        <f t="shared" si="34"/>
        <v>-</v>
      </c>
      <c r="Z86" s="12" t="str">
        <f t="shared" si="38"/>
        <v>-</v>
      </c>
      <c r="AA86" s="12"/>
      <c r="AB86" s="64"/>
      <c r="AC86" s="62">
        <f t="shared" si="45"/>
        <v>0</v>
      </c>
      <c r="AD86" s="28" t="s">
        <v>63</v>
      </c>
      <c r="AE86" s="12" t="str">
        <f t="shared" si="35"/>
        <v>-</v>
      </c>
      <c r="AF86" s="12" t="str">
        <f t="shared" si="39"/>
        <v>-</v>
      </c>
      <c r="AG86" s="12"/>
      <c r="AH86" s="17"/>
      <c r="AI86" s="17"/>
      <c r="AJ86" s="2">
        <f t="shared" si="27"/>
        <v>0</v>
      </c>
      <c r="AK86" s="2">
        <f t="shared" si="28"/>
        <v>0</v>
      </c>
      <c r="AL86" s="2">
        <f t="shared" si="29"/>
        <v>0</v>
      </c>
      <c r="AM86" s="2">
        <f t="shared" si="30"/>
        <v>0</v>
      </c>
    </row>
    <row r="87" spans="1:39" outlineLevel="1" x14ac:dyDescent="0.25">
      <c r="A87" t="s">
        <v>35</v>
      </c>
      <c r="B87" s="7" t="str">
        <f t="shared" si="31"/>
        <v xml:space="preserve"> (x)</v>
      </c>
      <c r="C87" s="3">
        <v>3129</v>
      </c>
      <c r="I87" s="45" t="str">
        <f t="shared" si="40"/>
        <v/>
      </c>
      <c r="J87" s="46" t="str">
        <f t="shared" si="41"/>
        <v/>
      </c>
      <c r="K87" s="62">
        <f t="shared" si="42"/>
        <v>0</v>
      </c>
      <c r="L87" s="28" t="s">
        <v>63</v>
      </c>
      <c r="M87" s="12" t="str">
        <f t="shared" si="32"/>
        <v>-</v>
      </c>
      <c r="N87" s="12" t="str">
        <f t="shared" si="36"/>
        <v>-</v>
      </c>
      <c r="O87" s="12"/>
      <c r="Q87" s="62">
        <f t="shared" si="43"/>
        <v>0</v>
      </c>
      <c r="R87" s="28" t="s">
        <v>63</v>
      </c>
      <c r="S87" s="12" t="str">
        <f t="shared" si="33"/>
        <v>-</v>
      </c>
      <c r="T87" s="12" t="str">
        <f t="shared" si="37"/>
        <v>-</v>
      </c>
      <c r="U87" s="12"/>
      <c r="V87" s="12"/>
      <c r="W87" s="62">
        <f t="shared" si="44"/>
        <v>0</v>
      </c>
      <c r="X87" s="28" t="s">
        <v>63</v>
      </c>
      <c r="Y87" s="12" t="str">
        <f t="shared" si="34"/>
        <v>-</v>
      </c>
      <c r="Z87" s="12" t="str">
        <f t="shared" si="38"/>
        <v>-</v>
      </c>
      <c r="AA87" s="12"/>
      <c r="AB87" s="64"/>
      <c r="AC87" s="62">
        <f t="shared" si="45"/>
        <v>0</v>
      </c>
      <c r="AD87" s="28" t="s">
        <v>63</v>
      </c>
      <c r="AE87" s="12" t="str">
        <f t="shared" si="35"/>
        <v>-</v>
      </c>
      <c r="AF87" s="12" t="str">
        <f t="shared" si="39"/>
        <v>-</v>
      </c>
      <c r="AG87" s="12"/>
      <c r="AH87" s="17"/>
      <c r="AI87" s="17"/>
      <c r="AJ87" s="2">
        <f t="shared" si="27"/>
        <v>0</v>
      </c>
      <c r="AK87" s="2">
        <f t="shared" si="28"/>
        <v>0</v>
      </c>
      <c r="AL87" s="2">
        <f t="shared" si="29"/>
        <v>0</v>
      </c>
      <c r="AM87" s="2">
        <f t="shared" si="30"/>
        <v>0</v>
      </c>
    </row>
    <row r="88" spans="1:39" outlineLevel="1" x14ac:dyDescent="0.25">
      <c r="A88" t="s">
        <v>35</v>
      </c>
      <c r="B88" s="7" t="str">
        <f t="shared" si="31"/>
        <v xml:space="preserve"> (x)</v>
      </c>
      <c r="C88" s="3">
        <v>3130</v>
      </c>
      <c r="I88" s="45" t="str">
        <f t="shared" si="40"/>
        <v/>
      </c>
      <c r="J88" s="46" t="str">
        <f t="shared" si="41"/>
        <v/>
      </c>
      <c r="K88" s="62">
        <f t="shared" si="42"/>
        <v>0</v>
      </c>
      <c r="L88" s="28" t="s">
        <v>63</v>
      </c>
      <c r="M88" s="12" t="str">
        <f t="shared" si="32"/>
        <v>-</v>
      </c>
      <c r="N88" s="12" t="str">
        <f t="shared" si="36"/>
        <v>-</v>
      </c>
      <c r="O88" s="12"/>
      <c r="Q88" s="62">
        <f t="shared" si="43"/>
        <v>0</v>
      </c>
      <c r="R88" s="28" t="s">
        <v>63</v>
      </c>
      <c r="S88" s="12" t="str">
        <f t="shared" si="33"/>
        <v>-</v>
      </c>
      <c r="T88" s="12" t="str">
        <f t="shared" si="37"/>
        <v>-</v>
      </c>
      <c r="U88" s="12"/>
      <c r="V88" s="12"/>
      <c r="W88" s="62">
        <f t="shared" si="44"/>
        <v>0</v>
      </c>
      <c r="X88" s="28" t="s">
        <v>63</v>
      </c>
      <c r="Y88" s="12" t="str">
        <f t="shared" si="34"/>
        <v>-</v>
      </c>
      <c r="Z88" s="12" t="str">
        <f t="shared" si="38"/>
        <v>-</v>
      </c>
      <c r="AA88" s="12"/>
      <c r="AB88" s="64"/>
      <c r="AC88" s="62">
        <f t="shared" si="45"/>
        <v>0</v>
      </c>
      <c r="AD88" s="28" t="s">
        <v>63</v>
      </c>
      <c r="AE88" s="12" t="str">
        <f t="shared" si="35"/>
        <v>-</v>
      </c>
      <c r="AF88" s="12" t="str">
        <f t="shared" si="39"/>
        <v>-</v>
      </c>
      <c r="AG88" s="12"/>
      <c r="AH88" s="17"/>
      <c r="AI88" s="17"/>
      <c r="AJ88" s="2">
        <f t="shared" si="27"/>
        <v>0</v>
      </c>
      <c r="AK88" s="2">
        <f t="shared" si="28"/>
        <v>0</v>
      </c>
      <c r="AL88" s="2">
        <f t="shared" si="29"/>
        <v>0</v>
      </c>
      <c r="AM88" s="2">
        <f t="shared" si="30"/>
        <v>0</v>
      </c>
    </row>
    <row r="89" spans="1:39" outlineLevel="1" x14ac:dyDescent="0.25">
      <c r="A89" t="s">
        <v>35</v>
      </c>
      <c r="B89" s="7" t="str">
        <f t="shared" si="31"/>
        <v xml:space="preserve"> (x)</v>
      </c>
      <c r="C89" s="3">
        <v>3131</v>
      </c>
      <c r="I89" s="45" t="str">
        <f t="shared" si="40"/>
        <v/>
      </c>
      <c r="J89" s="46" t="str">
        <f t="shared" si="41"/>
        <v/>
      </c>
      <c r="K89" s="62">
        <f t="shared" si="42"/>
        <v>0</v>
      </c>
      <c r="L89" s="28" t="s">
        <v>63</v>
      </c>
      <c r="M89" s="12" t="str">
        <f t="shared" si="32"/>
        <v>-</v>
      </c>
      <c r="N89" s="12" t="str">
        <f t="shared" si="36"/>
        <v>-</v>
      </c>
      <c r="O89" s="12"/>
      <c r="Q89" s="62">
        <f t="shared" si="43"/>
        <v>0</v>
      </c>
      <c r="R89" s="28" t="s">
        <v>63</v>
      </c>
      <c r="S89" s="12" t="str">
        <f t="shared" si="33"/>
        <v>-</v>
      </c>
      <c r="T89" s="12" t="str">
        <f t="shared" si="37"/>
        <v>-</v>
      </c>
      <c r="U89" s="12"/>
      <c r="V89" s="12"/>
      <c r="W89" s="62">
        <f t="shared" si="44"/>
        <v>0</v>
      </c>
      <c r="X89" s="28" t="s">
        <v>63</v>
      </c>
      <c r="Y89" s="12" t="str">
        <f t="shared" si="34"/>
        <v>-</v>
      </c>
      <c r="Z89" s="12" t="str">
        <f t="shared" si="38"/>
        <v>-</v>
      </c>
      <c r="AA89" s="12"/>
      <c r="AB89" s="64"/>
      <c r="AC89" s="62">
        <f t="shared" si="45"/>
        <v>0</v>
      </c>
      <c r="AD89" s="28" t="s">
        <v>63</v>
      </c>
      <c r="AE89" s="12" t="str">
        <f t="shared" si="35"/>
        <v>-</v>
      </c>
      <c r="AF89" s="12" t="str">
        <f t="shared" si="39"/>
        <v>-</v>
      </c>
      <c r="AG89" s="12"/>
      <c r="AH89" s="17"/>
      <c r="AI89" s="17"/>
      <c r="AJ89" s="2">
        <f t="shared" si="27"/>
        <v>0</v>
      </c>
      <c r="AK89" s="2">
        <f t="shared" si="28"/>
        <v>0</v>
      </c>
      <c r="AL89" s="2">
        <f t="shared" si="29"/>
        <v>0</v>
      </c>
      <c r="AM89" s="2">
        <f t="shared" si="30"/>
        <v>0</v>
      </c>
    </row>
    <row r="90" spans="1:39" outlineLevel="1" x14ac:dyDescent="0.25">
      <c r="A90" t="s">
        <v>35</v>
      </c>
      <c r="B90" s="7" t="str">
        <f t="shared" ref="B90:B108" si="46">IF(OR(E90="-",F90="-"),"-",D90&amp;" ("&amp;E90&amp;"x"&amp;F90&amp;")")</f>
        <v xml:space="preserve"> (x)</v>
      </c>
      <c r="C90" s="3">
        <v>3132</v>
      </c>
      <c r="I90" s="45" t="str">
        <f t="shared" si="40"/>
        <v/>
      </c>
      <c r="J90" s="46" t="str">
        <f t="shared" si="41"/>
        <v/>
      </c>
      <c r="K90" s="62">
        <f t="shared" si="42"/>
        <v>0</v>
      </c>
      <c r="L90" s="28" t="s">
        <v>63</v>
      </c>
      <c r="M90" s="12" t="str">
        <f t="shared" ref="M90:M113" si="47">IFERROR(K90/L90-1,"-")</f>
        <v>-</v>
      </c>
      <c r="N90" s="12" t="str">
        <f t="shared" si="36"/>
        <v>-</v>
      </c>
      <c r="O90" s="12"/>
      <c r="Q90" s="62">
        <f t="shared" si="43"/>
        <v>0</v>
      </c>
      <c r="R90" s="28" t="s">
        <v>63</v>
      </c>
      <c r="S90" s="12" t="str">
        <f t="shared" ref="S90:S113" si="48">IFERROR(Q90/R90-1,"-")</f>
        <v>-</v>
      </c>
      <c r="T90" s="12" t="str">
        <f t="shared" si="37"/>
        <v>-</v>
      </c>
      <c r="U90" s="12"/>
      <c r="V90" s="12"/>
      <c r="W90" s="62">
        <f t="shared" si="44"/>
        <v>0</v>
      </c>
      <c r="X90" s="28" t="s">
        <v>63</v>
      </c>
      <c r="Y90" s="12" t="str">
        <f t="shared" ref="Y90:Y113" si="49">IFERROR(W90/X90-1,"-")</f>
        <v>-</v>
      </c>
      <c r="Z90" s="12" t="str">
        <f t="shared" si="38"/>
        <v>-</v>
      </c>
      <c r="AA90" s="12"/>
      <c r="AB90" s="64"/>
      <c r="AC90" s="62">
        <f t="shared" si="45"/>
        <v>0</v>
      </c>
      <c r="AD90" s="28" t="s">
        <v>63</v>
      </c>
      <c r="AE90" s="12" t="str">
        <f t="shared" ref="AE90:AE113" si="50">IFERROR(AC90/AD90-1,"-")</f>
        <v>-</v>
      </c>
      <c r="AF90" s="12" t="str">
        <f t="shared" si="39"/>
        <v>-</v>
      </c>
      <c r="AG90" s="12"/>
      <c r="AH90" s="17"/>
      <c r="AI90" s="17"/>
      <c r="AJ90" s="2">
        <f t="shared" si="27"/>
        <v>0</v>
      </c>
      <c r="AK90" s="2">
        <f t="shared" si="28"/>
        <v>0</v>
      </c>
      <c r="AL90" s="2">
        <f t="shared" si="29"/>
        <v>0</v>
      </c>
      <c r="AM90" s="2">
        <f t="shared" si="30"/>
        <v>0</v>
      </c>
    </row>
    <row r="91" spans="1:39" outlineLevel="1" x14ac:dyDescent="0.25">
      <c r="A91" t="s">
        <v>35</v>
      </c>
      <c r="B91" s="7" t="str">
        <f t="shared" si="46"/>
        <v xml:space="preserve"> (x)</v>
      </c>
      <c r="C91" s="3">
        <v>3133</v>
      </c>
      <c r="I91" s="45" t="str">
        <f t="shared" si="40"/>
        <v/>
      </c>
      <c r="J91" s="46" t="str">
        <f t="shared" si="41"/>
        <v/>
      </c>
      <c r="K91" s="62">
        <f t="shared" si="42"/>
        <v>0</v>
      </c>
      <c r="L91" s="28" t="s">
        <v>63</v>
      </c>
      <c r="M91" s="12" t="str">
        <f t="shared" si="47"/>
        <v>-</v>
      </c>
      <c r="N91" s="12" t="str">
        <f t="shared" si="36"/>
        <v>-</v>
      </c>
      <c r="O91" s="12"/>
      <c r="Q91" s="62">
        <f t="shared" si="43"/>
        <v>0</v>
      </c>
      <c r="R91" s="28" t="s">
        <v>63</v>
      </c>
      <c r="S91" s="12" t="str">
        <f t="shared" si="48"/>
        <v>-</v>
      </c>
      <c r="T91" s="12" t="str">
        <f t="shared" si="37"/>
        <v>-</v>
      </c>
      <c r="U91" s="12"/>
      <c r="V91" s="12"/>
      <c r="W91" s="62">
        <f t="shared" si="44"/>
        <v>0</v>
      </c>
      <c r="X91" s="28" t="s">
        <v>63</v>
      </c>
      <c r="Y91" s="12" t="str">
        <f t="shared" si="49"/>
        <v>-</v>
      </c>
      <c r="Z91" s="12" t="str">
        <f t="shared" si="38"/>
        <v>-</v>
      </c>
      <c r="AA91" s="12"/>
      <c r="AB91" s="64"/>
      <c r="AC91" s="62">
        <f t="shared" si="45"/>
        <v>0</v>
      </c>
      <c r="AD91" s="28" t="s">
        <v>63</v>
      </c>
      <c r="AE91" s="12" t="str">
        <f t="shared" si="50"/>
        <v>-</v>
      </c>
      <c r="AF91" s="12" t="str">
        <f t="shared" si="39"/>
        <v>-</v>
      </c>
      <c r="AG91" s="12"/>
      <c r="AH91" s="17"/>
      <c r="AI91" s="17"/>
      <c r="AJ91" s="2">
        <f t="shared" si="27"/>
        <v>0</v>
      </c>
      <c r="AK91" s="2">
        <f t="shared" si="28"/>
        <v>0</v>
      </c>
      <c r="AL91" s="2">
        <f t="shared" si="29"/>
        <v>0</v>
      </c>
      <c r="AM91" s="2">
        <f t="shared" si="30"/>
        <v>0</v>
      </c>
    </row>
    <row r="92" spans="1:39" outlineLevel="1" x14ac:dyDescent="0.25">
      <c r="A92" t="s">
        <v>35</v>
      </c>
      <c r="B92" s="7" t="str">
        <f t="shared" si="46"/>
        <v xml:space="preserve"> (x)</v>
      </c>
      <c r="C92" s="3">
        <v>3134</v>
      </c>
      <c r="I92" s="45" t="str">
        <f t="shared" si="40"/>
        <v/>
      </c>
      <c r="J92" s="46" t="str">
        <f t="shared" si="41"/>
        <v/>
      </c>
      <c r="K92" s="62">
        <f t="shared" si="42"/>
        <v>0</v>
      </c>
      <c r="L92" s="28" t="s">
        <v>63</v>
      </c>
      <c r="M92" s="12" t="str">
        <f t="shared" si="47"/>
        <v>-</v>
      </c>
      <c r="N92" s="12" t="str">
        <f t="shared" si="36"/>
        <v>-</v>
      </c>
      <c r="O92" s="12"/>
      <c r="Q92" s="62">
        <f t="shared" si="43"/>
        <v>0</v>
      </c>
      <c r="R92" s="28" t="s">
        <v>63</v>
      </c>
      <c r="S92" s="12" t="str">
        <f t="shared" si="48"/>
        <v>-</v>
      </c>
      <c r="T92" s="12" t="str">
        <f t="shared" si="37"/>
        <v>-</v>
      </c>
      <c r="U92" s="12"/>
      <c r="V92" s="12"/>
      <c r="W92" s="62">
        <f t="shared" si="44"/>
        <v>0</v>
      </c>
      <c r="X92" s="28" t="s">
        <v>63</v>
      </c>
      <c r="Y92" s="12" t="str">
        <f t="shared" si="49"/>
        <v>-</v>
      </c>
      <c r="Z92" s="12" t="str">
        <f t="shared" si="38"/>
        <v>-</v>
      </c>
      <c r="AA92" s="12"/>
      <c r="AB92" s="64"/>
      <c r="AC92" s="62">
        <f t="shared" si="45"/>
        <v>0</v>
      </c>
      <c r="AD92" s="28" t="s">
        <v>63</v>
      </c>
      <c r="AE92" s="12" t="str">
        <f t="shared" si="50"/>
        <v>-</v>
      </c>
      <c r="AF92" s="12" t="str">
        <f t="shared" si="39"/>
        <v>-</v>
      </c>
      <c r="AG92" s="12"/>
      <c r="AH92" s="17"/>
      <c r="AI92" s="17"/>
      <c r="AJ92" s="2">
        <f t="shared" si="27"/>
        <v>0</v>
      </c>
      <c r="AK92" s="2">
        <f t="shared" si="28"/>
        <v>0</v>
      </c>
      <c r="AL92" s="2">
        <f t="shared" si="29"/>
        <v>0</v>
      </c>
      <c r="AM92" s="2">
        <f t="shared" si="30"/>
        <v>0</v>
      </c>
    </row>
    <row r="93" spans="1:39" outlineLevel="1" x14ac:dyDescent="0.25">
      <c r="A93" t="s">
        <v>35</v>
      </c>
      <c r="B93" s="7" t="str">
        <f t="shared" si="46"/>
        <v xml:space="preserve"> (x)</v>
      </c>
      <c r="C93" s="3">
        <v>3135</v>
      </c>
      <c r="I93" s="45" t="str">
        <f t="shared" si="40"/>
        <v/>
      </c>
      <c r="J93" s="46" t="str">
        <f t="shared" si="41"/>
        <v/>
      </c>
      <c r="K93" s="62">
        <f t="shared" si="42"/>
        <v>0</v>
      </c>
      <c r="L93" s="28" t="s">
        <v>63</v>
      </c>
      <c r="M93" s="12" t="str">
        <f t="shared" si="47"/>
        <v>-</v>
      </c>
      <c r="N93" s="12" t="str">
        <f t="shared" si="36"/>
        <v>-</v>
      </c>
      <c r="O93" s="12"/>
      <c r="Q93" s="62">
        <f t="shared" si="43"/>
        <v>0</v>
      </c>
      <c r="R93" s="28" t="s">
        <v>63</v>
      </c>
      <c r="S93" s="12" t="str">
        <f t="shared" si="48"/>
        <v>-</v>
      </c>
      <c r="T93" s="12" t="str">
        <f t="shared" si="37"/>
        <v>-</v>
      </c>
      <c r="U93" s="12"/>
      <c r="V93" s="12"/>
      <c r="W93" s="62">
        <f t="shared" si="44"/>
        <v>0</v>
      </c>
      <c r="X93" s="28" t="s">
        <v>63</v>
      </c>
      <c r="Y93" s="12" t="str">
        <f t="shared" si="49"/>
        <v>-</v>
      </c>
      <c r="Z93" s="12" t="str">
        <f t="shared" si="38"/>
        <v>-</v>
      </c>
      <c r="AA93" s="12"/>
      <c r="AB93" s="64"/>
      <c r="AC93" s="62">
        <f t="shared" si="45"/>
        <v>0</v>
      </c>
      <c r="AD93" s="28" t="s">
        <v>63</v>
      </c>
      <c r="AE93" s="12" t="str">
        <f t="shared" si="50"/>
        <v>-</v>
      </c>
      <c r="AF93" s="12" t="str">
        <f t="shared" si="39"/>
        <v>-</v>
      </c>
      <c r="AG93" s="12"/>
      <c r="AH93" s="17"/>
      <c r="AI93" s="17"/>
      <c r="AJ93" s="2">
        <f t="shared" si="27"/>
        <v>0</v>
      </c>
      <c r="AK93" s="2">
        <f t="shared" si="28"/>
        <v>0</v>
      </c>
      <c r="AL93" s="2">
        <f t="shared" si="29"/>
        <v>0</v>
      </c>
      <c r="AM93" s="2">
        <f t="shared" si="30"/>
        <v>0</v>
      </c>
    </row>
    <row r="94" spans="1:39" outlineLevel="1" x14ac:dyDescent="0.25">
      <c r="A94" t="s">
        <v>35</v>
      </c>
      <c r="B94" s="7" t="str">
        <f t="shared" si="46"/>
        <v xml:space="preserve"> (x)</v>
      </c>
      <c r="C94" s="3">
        <v>3136</v>
      </c>
      <c r="I94" s="45" t="str">
        <f t="shared" si="40"/>
        <v/>
      </c>
      <c r="J94" s="46" t="str">
        <f t="shared" si="41"/>
        <v/>
      </c>
      <c r="K94" s="62">
        <f t="shared" si="42"/>
        <v>0</v>
      </c>
      <c r="L94" s="28" t="s">
        <v>63</v>
      </c>
      <c r="M94" s="12" t="str">
        <f t="shared" si="47"/>
        <v>-</v>
      </c>
      <c r="N94" s="12" t="str">
        <f t="shared" si="36"/>
        <v>-</v>
      </c>
      <c r="O94" s="12"/>
      <c r="Q94" s="62">
        <f t="shared" si="43"/>
        <v>0</v>
      </c>
      <c r="R94" s="28" t="s">
        <v>63</v>
      </c>
      <c r="S94" s="12" t="str">
        <f t="shared" si="48"/>
        <v>-</v>
      </c>
      <c r="T94" s="12" t="str">
        <f t="shared" si="37"/>
        <v>-</v>
      </c>
      <c r="U94" s="12"/>
      <c r="V94" s="12"/>
      <c r="W94" s="62">
        <f t="shared" si="44"/>
        <v>0</v>
      </c>
      <c r="X94" s="28" t="s">
        <v>63</v>
      </c>
      <c r="Y94" s="12" t="str">
        <f t="shared" si="49"/>
        <v>-</v>
      </c>
      <c r="Z94" s="12" t="str">
        <f t="shared" si="38"/>
        <v>-</v>
      </c>
      <c r="AA94" s="12"/>
      <c r="AB94" s="64"/>
      <c r="AC94" s="62">
        <f t="shared" si="45"/>
        <v>0</v>
      </c>
      <c r="AD94" s="28" t="s">
        <v>63</v>
      </c>
      <c r="AE94" s="12" t="str">
        <f t="shared" si="50"/>
        <v>-</v>
      </c>
      <c r="AF94" s="12" t="str">
        <f t="shared" si="39"/>
        <v>-</v>
      </c>
      <c r="AG94" s="12"/>
      <c r="AH94" s="17"/>
      <c r="AI94" s="17"/>
      <c r="AJ94" s="2">
        <f t="shared" si="27"/>
        <v>0</v>
      </c>
      <c r="AK94" s="2">
        <f t="shared" si="28"/>
        <v>0</v>
      </c>
      <c r="AL94" s="2">
        <f t="shared" si="29"/>
        <v>0</v>
      </c>
      <c r="AM94" s="2">
        <f t="shared" si="30"/>
        <v>0</v>
      </c>
    </row>
    <row r="95" spans="1:39" outlineLevel="1" x14ac:dyDescent="0.25">
      <c r="A95" t="s">
        <v>35</v>
      </c>
      <c r="B95" s="7" t="str">
        <f t="shared" si="46"/>
        <v xml:space="preserve"> (x)</v>
      </c>
      <c r="C95" s="3">
        <v>3137</v>
      </c>
      <c r="I95" s="45" t="str">
        <f t="shared" si="40"/>
        <v/>
      </c>
      <c r="J95" s="46" t="str">
        <f t="shared" si="41"/>
        <v/>
      </c>
      <c r="K95" s="62">
        <f t="shared" si="42"/>
        <v>0</v>
      </c>
      <c r="L95" s="28" t="s">
        <v>63</v>
      </c>
      <c r="M95" s="12" t="str">
        <f t="shared" si="47"/>
        <v>-</v>
      </c>
      <c r="N95" s="12" t="str">
        <f t="shared" si="36"/>
        <v>-</v>
      </c>
      <c r="O95" s="12"/>
      <c r="Q95" s="62">
        <f t="shared" si="43"/>
        <v>0</v>
      </c>
      <c r="R95" s="28" t="s">
        <v>63</v>
      </c>
      <c r="S95" s="12" t="str">
        <f t="shared" si="48"/>
        <v>-</v>
      </c>
      <c r="T95" s="12" t="str">
        <f t="shared" si="37"/>
        <v>-</v>
      </c>
      <c r="U95" s="12"/>
      <c r="V95" s="12"/>
      <c r="W95" s="62">
        <f t="shared" si="44"/>
        <v>0</v>
      </c>
      <c r="X95" s="28" t="s">
        <v>63</v>
      </c>
      <c r="Y95" s="12" t="str">
        <f t="shared" si="49"/>
        <v>-</v>
      </c>
      <c r="Z95" s="12" t="str">
        <f t="shared" si="38"/>
        <v>-</v>
      </c>
      <c r="AA95" s="12"/>
      <c r="AB95" s="64"/>
      <c r="AC95" s="62">
        <f t="shared" si="45"/>
        <v>0</v>
      </c>
      <c r="AD95" s="28" t="s">
        <v>63</v>
      </c>
      <c r="AE95" s="12" t="str">
        <f t="shared" si="50"/>
        <v>-</v>
      </c>
      <c r="AF95" s="12" t="str">
        <f t="shared" si="39"/>
        <v>-</v>
      </c>
      <c r="AG95" s="12"/>
      <c r="AH95" s="17"/>
      <c r="AI95" s="17"/>
      <c r="AJ95" s="2">
        <f t="shared" si="27"/>
        <v>0</v>
      </c>
      <c r="AK95" s="2">
        <f t="shared" si="28"/>
        <v>0</v>
      </c>
      <c r="AL95" s="2">
        <f t="shared" si="29"/>
        <v>0</v>
      </c>
      <c r="AM95" s="2">
        <f t="shared" si="30"/>
        <v>0</v>
      </c>
    </row>
    <row r="96" spans="1:39" outlineLevel="1" x14ac:dyDescent="0.25">
      <c r="A96" t="s">
        <v>35</v>
      </c>
      <c r="B96" s="7" t="str">
        <f t="shared" si="46"/>
        <v xml:space="preserve"> (x)</v>
      </c>
      <c r="C96" s="3">
        <v>3138</v>
      </c>
      <c r="I96" s="45" t="str">
        <f t="shared" si="40"/>
        <v/>
      </c>
      <c r="J96" s="46" t="str">
        <f t="shared" si="41"/>
        <v/>
      </c>
      <c r="K96" s="62">
        <f t="shared" si="42"/>
        <v>0</v>
      </c>
      <c r="L96" s="28" t="s">
        <v>63</v>
      </c>
      <c r="M96" s="12" t="str">
        <f t="shared" si="47"/>
        <v>-</v>
      </c>
      <c r="N96" s="12" t="str">
        <f t="shared" si="36"/>
        <v>-</v>
      </c>
      <c r="O96" s="12"/>
      <c r="Q96" s="62">
        <f t="shared" si="43"/>
        <v>0</v>
      </c>
      <c r="R96" s="28" t="s">
        <v>63</v>
      </c>
      <c r="S96" s="12" t="str">
        <f t="shared" si="48"/>
        <v>-</v>
      </c>
      <c r="T96" s="12" t="str">
        <f t="shared" si="37"/>
        <v>-</v>
      </c>
      <c r="U96" s="12"/>
      <c r="V96" s="12"/>
      <c r="W96" s="62">
        <f t="shared" si="44"/>
        <v>0</v>
      </c>
      <c r="X96" s="28" t="s">
        <v>63</v>
      </c>
      <c r="Y96" s="12" t="str">
        <f t="shared" si="49"/>
        <v>-</v>
      </c>
      <c r="Z96" s="12" t="str">
        <f t="shared" si="38"/>
        <v>-</v>
      </c>
      <c r="AA96" s="12"/>
      <c r="AB96" s="64"/>
      <c r="AC96" s="62">
        <f t="shared" si="45"/>
        <v>0</v>
      </c>
      <c r="AD96" s="28" t="s">
        <v>63</v>
      </c>
      <c r="AE96" s="12" t="str">
        <f t="shared" si="50"/>
        <v>-</v>
      </c>
      <c r="AF96" s="12" t="str">
        <f t="shared" si="39"/>
        <v>-</v>
      </c>
      <c r="AG96" s="12"/>
      <c r="AH96" s="17"/>
      <c r="AI96" s="17"/>
      <c r="AJ96" s="2">
        <f t="shared" si="27"/>
        <v>0</v>
      </c>
      <c r="AK96" s="2">
        <f t="shared" si="28"/>
        <v>0</v>
      </c>
      <c r="AL96" s="2">
        <f t="shared" si="29"/>
        <v>0</v>
      </c>
      <c r="AM96" s="2">
        <f t="shared" si="30"/>
        <v>0</v>
      </c>
    </row>
    <row r="97" spans="1:39" outlineLevel="1" x14ac:dyDescent="0.25">
      <c r="A97" t="s">
        <v>35</v>
      </c>
      <c r="B97" s="7" t="str">
        <f t="shared" si="46"/>
        <v xml:space="preserve"> (x)</v>
      </c>
      <c r="C97" s="3">
        <v>3139</v>
      </c>
      <c r="I97" s="45" t="str">
        <f t="shared" si="40"/>
        <v/>
      </c>
      <c r="J97" s="46" t="str">
        <f t="shared" si="41"/>
        <v/>
      </c>
      <c r="K97" s="62">
        <f t="shared" si="42"/>
        <v>0</v>
      </c>
      <c r="L97" s="28" t="s">
        <v>63</v>
      </c>
      <c r="M97" s="12" t="str">
        <f t="shared" si="47"/>
        <v>-</v>
      </c>
      <c r="N97" s="12" t="str">
        <f t="shared" si="36"/>
        <v>-</v>
      </c>
      <c r="O97" s="12"/>
      <c r="Q97" s="62">
        <f t="shared" si="43"/>
        <v>0</v>
      </c>
      <c r="R97" s="28" t="s">
        <v>63</v>
      </c>
      <c r="S97" s="12" t="str">
        <f t="shared" si="48"/>
        <v>-</v>
      </c>
      <c r="T97" s="12" t="str">
        <f t="shared" si="37"/>
        <v>-</v>
      </c>
      <c r="U97" s="12"/>
      <c r="V97" s="12"/>
      <c r="W97" s="62">
        <f t="shared" si="44"/>
        <v>0</v>
      </c>
      <c r="X97" s="28" t="s">
        <v>63</v>
      </c>
      <c r="Y97" s="12" t="str">
        <f t="shared" si="49"/>
        <v>-</v>
      </c>
      <c r="Z97" s="12" t="str">
        <f t="shared" si="38"/>
        <v>-</v>
      </c>
      <c r="AA97" s="12"/>
      <c r="AB97" s="64"/>
      <c r="AC97" s="62">
        <f t="shared" si="45"/>
        <v>0</v>
      </c>
      <c r="AD97" s="28" t="s">
        <v>63</v>
      </c>
      <c r="AE97" s="12" t="str">
        <f t="shared" si="50"/>
        <v>-</v>
      </c>
      <c r="AF97" s="12" t="str">
        <f t="shared" si="39"/>
        <v>-</v>
      </c>
      <c r="AG97" s="12"/>
      <c r="AH97" s="17"/>
      <c r="AI97" s="17"/>
      <c r="AJ97" s="2">
        <f t="shared" si="27"/>
        <v>0</v>
      </c>
      <c r="AK97" s="2">
        <f t="shared" si="28"/>
        <v>0</v>
      </c>
      <c r="AL97" s="2">
        <f t="shared" si="29"/>
        <v>0</v>
      </c>
      <c r="AM97" s="2">
        <f t="shared" si="30"/>
        <v>0</v>
      </c>
    </row>
    <row r="98" spans="1:39" outlineLevel="1" x14ac:dyDescent="0.25">
      <c r="A98" t="s">
        <v>35</v>
      </c>
      <c r="B98" s="7" t="str">
        <f t="shared" si="46"/>
        <v xml:space="preserve"> (x)</v>
      </c>
      <c r="C98" s="3">
        <v>3140</v>
      </c>
      <c r="I98" s="45" t="str">
        <f t="shared" si="40"/>
        <v/>
      </c>
      <c r="J98" s="46" t="str">
        <f t="shared" si="41"/>
        <v/>
      </c>
      <c r="K98" s="62">
        <f t="shared" si="42"/>
        <v>0</v>
      </c>
      <c r="L98" s="28" t="s">
        <v>63</v>
      </c>
      <c r="M98" s="12" t="str">
        <f t="shared" si="47"/>
        <v>-</v>
      </c>
      <c r="N98" s="12" t="str">
        <f t="shared" si="36"/>
        <v>-</v>
      </c>
      <c r="O98" s="12"/>
      <c r="Q98" s="62">
        <f t="shared" si="43"/>
        <v>0</v>
      </c>
      <c r="R98" s="28" t="s">
        <v>63</v>
      </c>
      <c r="S98" s="12" t="str">
        <f t="shared" si="48"/>
        <v>-</v>
      </c>
      <c r="T98" s="12" t="str">
        <f t="shared" si="37"/>
        <v>-</v>
      </c>
      <c r="U98" s="12"/>
      <c r="V98" s="12"/>
      <c r="W98" s="62">
        <f t="shared" si="44"/>
        <v>0</v>
      </c>
      <c r="X98" s="28" t="s">
        <v>63</v>
      </c>
      <c r="Y98" s="12" t="str">
        <f t="shared" si="49"/>
        <v>-</v>
      </c>
      <c r="Z98" s="12" t="str">
        <f t="shared" si="38"/>
        <v>-</v>
      </c>
      <c r="AA98" s="12"/>
      <c r="AB98" s="64"/>
      <c r="AC98" s="62">
        <f t="shared" si="45"/>
        <v>0</v>
      </c>
      <c r="AD98" s="28" t="s">
        <v>63</v>
      </c>
      <c r="AE98" s="12" t="str">
        <f t="shared" si="50"/>
        <v>-</v>
      </c>
      <c r="AF98" s="12" t="str">
        <f t="shared" si="39"/>
        <v>-</v>
      </c>
      <c r="AG98" s="12"/>
      <c r="AH98" s="17"/>
      <c r="AI98" s="17"/>
      <c r="AJ98" s="2">
        <f t="shared" si="27"/>
        <v>0</v>
      </c>
      <c r="AK98" s="2">
        <f t="shared" si="28"/>
        <v>0</v>
      </c>
      <c r="AL98" s="2">
        <f t="shared" si="29"/>
        <v>0</v>
      </c>
      <c r="AM98" s="2">
        <f t="shared" si="30"/>
        <v>0</v>
      </c>
    </row>
    <row r="99" spans="1:39" outlineLevel="1" x14ac:dyDescent="0.25">
      <c r="A99" t="s">
        <v>35</v>
      </c>
      <c r="B99" s="7" t="str">
        <f t="shared" si="46"/>
        <v xml:space="preserve"> (x)</v>
      </c>
      <c r="C99" s="3">
        <v>3141</v>
      </c>
      <c r="I99" s="45" t="str">
        <f t="shared" si="40"/>
        <v/>
      </c>
      <c r="J99" s="46" t="str">
        <f t="shared" si="41"/>
        <v/>
      </c>
      <c r="K99" s="62">
        <f t="shared" si="42"/>
        <v>0</v>
      </c>
      <c r="L99" s="28" t="s">
        <v>63</v>
      </c>
      <c r="M99" s="12" t="str">
        <f t="shared" si="47"/>
        <v>-</v>
      </c>
      <c r="N99" s="12" t="str">
        <f t="shared" si="36"/>
        <v>-</v>
      </c>
      <c r="O99" s="12"/>
      <c r="Q99" s="62">
        <f t="shared" si="43"/>
        <v>0</v>
      </c>
      <c r="R99" s="28" t="s">
        <v>63</v>
      </c>
      <c r="S99" s="12" t="str">
        <f t="shared" si="48"/>
        <v>-</v>
      </c>
      <c r="T99" s="12" t="str">
        <f t="shared" si="37"/>
        <v>-</v>
      </c>
      <c r="U99" s="12"/>
      <c r="V99" s="12"/>
      <c r="W99" s="62">
        <f t="shared" si="44"/>
        <v>0</v>
      </c>
      <c r="X99" s="28" t="s">
        <v>63</v>
      </c>
      <c r="Y99" s="12" t="str">
        <f t="shared" si="49"/>
        <v>-</v>
      </c>
      <c r="Z99" s="12" t="str">
        <f t="shared" si="38"/>
        <v>-</v>
      </c>
      <c r="AA99" s="12"/>
      <c r="AB99" s="64"/>
      <c r="AC99" s="62">
        <f t="shared" si="45"/>
        <v>0</v>
      </c>
      <c r="AD99" s="28" t="s">
        <v>63</v>
      </c>
      <c r="AE99" s="12" t="str">
        <f t="shared" si="50"/>
        <v>-</v>
      </c>
      <c r="AF99" s="12" t="str">
        <f t="shared" si="39"/>
        <v>-</v>
      </c>
      <c r="AG99" s="12"/>
      <c r="AH99" s="17"/>
      <c r="AI99" s="17"/>
      <c r="AJ99" s="2">
        <f t="shared" si="27"/>
        <v>0</v>
      </c>
      <c r="AK99" s="2">
        <f t="shared" si="28"/>
        <v>0</v>
      </c>
      <c r="AL99" s="2">
        <f t="shared" si="29"/>
        <v>0</v>
      </c>
      <c r="AM99" s="2">
        <f t="shared" si="30"/>
        <v>0</v>
      </c>
    </row>
    <row r="100" spans="1:39" outlineLevel="1" x14ac:dyDescent="0.25">
      <c r="A100" t="s">
        <v>35</v>
      </c>
      <c r="B100" s="7" t="str">
        <f t="shared" si="46"/>
        <v xml:space="preserve"> (x)</v>
      </c>
      <c r="C100" s="3">
        <v>3142</v>
      </c>
      <c r="I100" s="45" t="str">
        <f t="shared" si="40"/>
        <v/>
      </c>
      <c r="J100" s="46" t="str">
        <f t="shared" si="41"/>
        <v/>
      </c>
      <c r="K100" s="62">
        <f t="shared" si="42"/>
        <v>0</v>
      </c>
      <c r="L100" s="28" t="s">
        <v>63</v>
      </c>
      <c r="M100" s="12" t="str">
        <f t="shared" si="47"/>
        <v>-</v>
      </c>
      <c r="N100" s="12" t="str">
        <f t="shared" si="36"/>
        <v>-</v>
      </c>
      <c r="O100" s="12"/>
      <c r="Q100" s="62">
        <f t="shared" si="43"/>
        <v>0</v>
      </c>
      <c r="R100" s="28" t="s">
        <v>63</v>
      </c>
      <c r="S100" s="12" t="str">
        <f t="shared" si="48"/>
        <v>-</v>
      </c>
      <c r="T100" s="12" t="str">
        <f t="shared" si="37"/>
        <v>-</v>
      </c>
      <c r="U100" s="12"/>
      <c r="V100" s="12"/>
      <c r="W100" s="62">
        <f t="shared" si="44"/>
        <v>0</v>
      </c>
      <c r="X100" s="28" t="s">
        <v>63</v>
      </c>
      <c r="Y100" s="12" t="str">
        <f t="shared" si="49"/>
        <v>-</v>
      </c>
      <c r="Z100" s="12" t="str">
        <f t="shared" si="38"/>
        <v>-</v>
      </c>
      <c r="AA100" s="12"/>
      <c r="AB100" s="64"/>
      <c r="AC100" s="62">
        <f t="shared" si="45"/>
        <v>0</v>
      </c>
      <c r="AD100" s="28" t="s">
        <v>63</v>
      </c>
      <c r="AE100" s="12" t="str">
        <f t="shared" si="50"/>
        <v>-</v>
      </c>
      <c r="AF100" s="12" t="str">
        <f t="shared" si="39"/>
        <v>-</v>
      </c>
      <c r="AG100" s="12"/>
      <c r="AH100" s="17"/>
      <c r="AI100" s="17"/>
      <c r="AJ100" s="2">
        <f t="shared" si="27"/>
        <v>0</v>
      </c>
      <c r="AK100" s="2">
        <f t="shared" si="28"/>
        <v>0</v>
      </c>
      <c r="AL100" s="2">
        <f t="shared" si="29"/>
        <v>0</v>
      </c>
      <c r="AM100" s="2">
        <f t="shared" si="30"/>
        <v>0</v>
      </c>
    </row>
    <row r="101" spans="1:39" outlineLevel="1" x14ac:dyDescent="0.25">
      <c r="A101" t="s">
        <v>35</v>
      </c>
      <c r="B101" s="7" t="str">
        <f t="shared" si="46"/>
        <v xml:space="preserve"> (x)</v>
      </c>
      <c r="C101" s="3">
        <v>3143</v>
      </c>
      <c r="I101" s="45" t="str">
        <f t="shared" si="40"/>
        <v/>
      </c>
      <c r="J101" s="46" t="str">
        <f t="shared" si="41"/>
        <v/>
      </c>
      <c r="K101" s="62">
        <f t="shared" si="42"/>
        <v>0</v>
      </c>
      <c r="L101" s="28" t="s">
        <v>63</v>
      </c>
      <c r="M101" s="12" t="str">
        <f t="shared" si="47"/>
        <v>-</v>
      </c>
      <c r="N101" s="12" t="str">
        <f t="shared" si="36"/>
        <v>-</v>
      </c>
      <c r="O101" s="12"/>
      <c r="Q101" s="62">
        <f t="shared" si="43"/>
        <v>0</v>
      </c>
      <c r="R101" s="28" t="s">
        <v>63</v>
      </c>
      <c r="S101" s="12" t="str">
        <f t="shared" si="48"/>
        <v>-</v>
      </c>
      <c r="T101" s="12" t="str">
        <f t="shared" si="37"/>
        <v>-</v>
      </c>
      <c r="U101" s="12"/>
      <c r="V101" s="12"/>
      <c r="W101" s="62">
        <f t="shared" si="44"/>
        <v>0</v>
      </c>
      <c r="X101" s="28" t="s">
        <v>63</v>
      </c>
      <c r="Y101" s="12" t="str">
        <f t="shared" si="49"/>
        <v>-</v>
      </c>
      <c r="Z101" s="12" t="str">
        <f t="shared" si="38"/>
        <v>-</v>
      </c>
      <c r="AA101" s="12"/>
      <c r="AB101" s="64"/>
      <c r="AC101" s="62">
        <f t="shared" si="45"/>
        <v>0</v>
      </c>
      <c r="AD101" s="28" t="s">
        <v>63</v>
      </c>
      <c r="AE101" s="12" t="str">
        <f t="shared" si="50"/>
        <v>-</v>
      </c>
      <c r="AF101" s="12" t="str">
        <f t="shared" si="39"/>
        <v>-</v>
      </c>
      <c r="AG101" s="12"/>
      <c r="AH101" s="17"/>
      <c r="AI101" s="17"/>
      <c r="AJ101" s="2">
        <f t="shared" si="27"/>
        <v>0</v>
      </c>
      <c r="AK101" s="2">
        <f t="shared" si="28"/>
        <v>0</v>
      </c>
      <c r="AL101" s="2">
        <f t="shared" si="29"/>
        <v>0</v>
      </c>
      <c r="AM101" s="2">
        <f t="shared" si="30"/>
        <v>0</v>
      </c>
    </row>
    <row r="102" spans="1:39" outlineLevel="1" x14ac:dyDescent="0.25">
      <c r="A102" t="s">
        <v>35</v>
      </c>
      <c r="B102" s="7" t="str">
        <f t="shared" si="46"/>
        <v xml:space="preserve"> (x)</v>
      </c>
      <c r="C102" s="3">
        <v>3144</v>
      </c>
      <c r="I102" s="45" t="str">
        <f t="shared" si="40"/>
        <v/>
      </c>
      <c r="J102" s="46" t="str">
        <f t="shared" si="41"/>
        <v/>
      </c>
      <c r="K102" s="62">
        <f t="shared" si="42"/>
        <v>0</v>
      </c>
      <c r="L102" s="28" t="s">
        <v>63</v>
      </c>
      <c r="M102" s="12" t="str">
        <f t="shared" si="47"/>
        <v>-</v>
      </c>
      <c r="N102" s="12" t="str">
        <f t="shared" si="36"/>
        <v>-</v>
      </c>
      <c r="O102" s="12"/>
      <c r="Q102" s="62">
        <f t="shared" si="43"/>
        <v>0</v>
      </c>
      <c r="R102" s="28" t="s">
        <v>63</v>
      </c>
      <c r="S102" s="12" t="str">
        <f t="shared" si="48"/>
        <v>-</v>
      </c>
      <c r="T102" s="12" t="str">
        <f t="shared" si="37"/>
        <v>-</v>
      </c>
      <c r="U102" s="12"/>
      <c r="V102" s="12"/>
      <c r="W102" s="62">
        <f t="shared" si="44"/>
        <v>0</v>
      </c>
      <c r="X102" s="28" t="s">
        <v>63</v>
      </c>
      <c r="Y102" s="12" t="str">
        <f t="shared" si="49"/>
        <v>-</v>
      </c>
      <c r="Z102" s="12" t="str">
        <f t="shared" si="38"/>
        <v>-</v>
      </c>
      <c r="AA102" s="12"/>
      <c r="AB102" s="64"/>
      <c r="AC102" s="62">
        <f t="shared" si="45"/>
        <v>0</v>
      </c>
      <c r="AD102" s="28" t="s">
        <v>63</v>
      </c>
      <c r="AE102" s="12" t="str">
        <f t="shared" si="50"/>
        <v>-</v>
      </c>
      <c r="AF102" s="12" t="str">
        <f t="shared" si="39"/>
        <v>-</v>
      </c>
      <c r="AG102" s="12"/>
      <c r="AH102" s="17"/>
      <c r="AI102" s="17"/>
      <c r="AJ102" s="2">
        <f t="shared" si="27"/>
        <v>0</v>
      </c>
      <c r="AK102" s="2">
        <f t="shared" si="28"/>
        <v>0</v>
      </c>
      <c r="AL102" s="2">
        <f t="shared" si="29"/>
        <v>0</v>
      </c>
      <c r="AM102" s="2">
        <f t="shared" si="30"/>
        <v>0</v>
      </c>
    </row>
    <row r="103" spans="1:39" outlineLevel="1" x14ac:dyDescent="0.25">
      <c r="A103" t="s">
        <v>35</v>
      </c>
      <c r="B103" s="7" t="str">
        <f t="shared" si="46"/>
        <v xml:space="preserve"> (x)</v>
      </c>
      <c r="C103" s="3">
        <v>3145</v>
      </c>
      <c r="I103" s="45" t="str">
        <f t="shared" si="40"/>
        <v/>
      </c>
      <c r="J103" s="46" t="str">
        <f t="shared" si="41"/>
        <v/>
      </c>
      <c r="K103" s="62">
        <f t="shared" si="42"/>
        <v>0</v>
      </c>
      <c r="L103" s="28" t="s">
        <v>63</v>
      </c>
      <c r="M103" s="12" t="str">
        <f t="shared" si="47"/>
        <v>-</v>
      </c>
      <c r="N103" s="12" t="str">
        <f t="shared" si="36"/>
        <v>-</v>
      </c>
      <c r="O103" s="12"/>
      <c r="Q103" s="62">
        <f t="shared" si="43"/>
        <v>0</v>
      </c>
      <c r="R103" s="28" t="s">
        <v>63</v>
      </c>
      <c r="S103" s="12" t="str">
        <f t="shared" si="48"/>
        <v>-</v>
      </c>
      <c r="T103" s="12" t="str">
        <f t="shared" si="37"/>
        <v>-</v>
      </c>
      <c r="U103" s="12"/>
      <c r="V103" s="12"/>
      <c r="W103" s="62">
        <f t="shared" si="44"/>
        <v>0</v>
      </c>
      <c r="X103" s="28" t="s">
        <v>63</v>
      </c>
      <c r="Y103" s="12" t="str">
        <f t="shared" si="49"/>
        <v>-</v>
      </c>
      <c r="Z103" s="12" t="str">
        <f t="shared" si="38"/>
        <v>-</v>
      </c>
      <c r="AA103" s="12"/>
      <c r="AB103" s="64"/>
      <c r="AC103" s="62">
        <f t="shared" si="45"/>
        <v>0</v>
      </c>
      <c r="AD103" s="28" t="s">
        <v>63</v>
      </c>
      <c r="AE103" s="12" t="str">
        <f t="shared" si="50"/>
        <v>-</v>
      </c>
      <c r="AF103" s="12" t="str">
        <f t="shared" si="39"/>
        <v>-</v>
      </c>
      <c r="AG103" s="12"/>
      <c r="AH103" s="17"/>
      <c r="AI103" s="17"/>
      <c r="AJ103" s="2">
        <f t="shared" si="27"/>
        <v>0</v>
      </c>
      <c r="AK103" s="2">
        <f t="shared" si="28"/>
        <v>0</v>
      </c>
      <c r="AL103" s="2">
        <f t="shared" si="29"/>
        <v>0</v>
      </c>
      <c r="AM103" s="2">
        <f t="shared" si="30"/>
        <v>0</v>
      </c>
    </row>
    <row r="104" spans="1:39" outlineLevel="1" x14ac:dyDescent="0.25">
      <c r="A104" t="s">
        <v>35</v>
      </c>
      <c r="B104" s="7" t="str">
        <f t="shared" si="46"/>
        <v xml:space="preserve"> (x)</v>
      </c>
      <c r="C104" s="3">
        <v>3146</v>
      </c>
      <c r="I104" s="45" t="str">
        <f t="shared" si="40"/>
        <v/>
      </c>
      <c r="J104" s="46" t="str">
        <f t="shared" si="41"/>
        <v/>
      </c>
      <c r="K104" s="62">
        <f t="shared" si="42"/>
        <v>0</v>
      </c>
      <c r="L104" s="28" t="s">
        <v>63</v>
      </c>
      <c r="M104" s="12" t="str">
        <f t="shared" si="47"/>
        <v>-</v>
      </c>
      <c r="N104" s="12" t="str">
        <f t="shared" si="36"/>
        <v>-</v>
      </c>
      <c r="O104" s="12"/>
      <c r="Q104" s="62">
        <f t="shared" si="43"/>
        <v>0</v>
      </c>
      <c r="R104" s="28" t="s">
        <v>63</v>
      </c>
      <c r="S104" s="12" t="str">
        <f t="shared" si="48"/>
        <v>-</v>
      </c>
      <c r="T104" s="12" t="str">
        <f t="shared" si="37"/>
        <v>-</v>
      </c>
      <c r="U104" s="12"/>
      <c r="V104" s="12"/>
      <c r="W104" s="62">
        <f t="shared" si="44"/>
        <v>0</v>
      </c>
      <c r="X104" s="28" t="s">
        <v>63</v>
      </c>
      <c r="Y104" s="12" t="str">
        <f t="shared" si="49"/>
        <v>-</v>
      </c>
      <c r="Z104" s="12" t="str">
        <f t="shared" si="38"/>
        <v>-</v>
      </c>
      <c r="AA104" s="12"/>
      <c r="AB104" s="64"/>
      <c r="AC104" s="62">
        <f t="shared" si="45"/>
        <v>0</v>
      </c>
      <c r="AD104" s="28" t="s">
        <v>63</v>
      </c>
      <c r="AE104" s="12" t="str">
        <f t="shared" si="50"/>
        <v>-</v>
      </c>
      <c r="AF104" s="12" t="str">
        <f t="shared" si="39"/>
        <v>-</v>
      </c>
      <c r="AG104" s="12"/>
      <c r="AH104" s="17"/>
      <c r="AI104" s="17"/>
      <c r="AJ104" s="2">
        <f t="shared" si="27"/>
        <v>0</v>
      </c>
      <c r="AK104" s="2">
        <f t="shared" si="28"/>
        <v>0</v>
      </c>
      <c r="AL104" s="2">
        <f t="shared" si="29"/>
        <v>0</v>
      </c>
      <c r="AM104" s="2">
        <f t="shared" si="30"/>
        <v>0</v>
      </c>
    </row>
    <row r="105" spans="1:39" outlineLevel="1" x14ac:dyDescent="0.25">
      <c r="A105" t="s">
        <v>35</v>
      </c>
      <c r="B105" s="7" t="str">
        <f t="shared" si="46"/>
        <v xml:space="preserve"> (x)</v>
      </c>
      <c r="C105" s="3">
        <v>3147</v>
      </c>
      <c r="I105" s="45" t="str">
        <f t="shared" si="40"/>
        <v/>
      </c>
      <c r="J105" s="46" t="str">
        <f t="shared" si="41"/>
        <v/>
      </c>
      <c r="K105" s="62">
        <f t="shared" si="42"/>
        <v>0</v>
      </c>
      <c r="L105" s="28" t="s">
        <v>63</v>
      </c>
      <c r="M105" s="12" t="str">
        <f t="shared" si="47"/>
        <v>-</v>
      </c>
      <c r="N105" s="12" t="str">
        <f t="shared" si="36"/>
        <v>-</v>
      </c>
      <c r="O105" s="12"/>
      <c r="Q105" s="62">
        <f t="shared" si="43"/>
        <v>0</v>
      </c>
      <c r="R105" s="28" t="s">
        <v>63</v>
      </c>
      <c r="S105" s="12" t="str">
        <f t="shared" si="48"/>
        <v>-</v>
      </c>
      <c r="T105" s="12" t="str">
        <f t="shared" si="37"/>
        <v>-</v>
      </c>
      <c r="U105" s="12"/>
      <c r="V105" s="12"/>
      <c r="W105" s="62">
        <f t="shared" si="44"/>
        <v>0</v>
      </c>
      <c r="X105" s="28" t="s">
        <v>63</v>
      </c>
      <c r="Y105" s="12" t="str">
        <f t="shared" si="49"/>
        <v>-</v>
      </c>
      <c r="Z105" s="12" t="str">
        <f t="shared" si="38"/>
        <v>-</v>
      </c>
      <c r="AA105" s="12"/>
      <c r="AB105" s="64"/>
      <c r="AC105" s="62">
        <f t="shared" si="45"/>
        <v>0</v>
      </c>
      <c r="AD105" s="28" t="s">
        <v>63</v>
      </c>
      <c r="AE105" s="12" t="str">
        <f t="shared" si="50"/>
        <v>-</v>
      </c>
      <c r="AF105" s="12" t="str">
        <f t="shared" si="39"/>
        <v>-</v>
      </c>
      <c r="AG105" s="12"/>
      <c r="AH105" s="17"/>
      <c r="AI105" s="17"/>
      <c r="AJ105" s="2">
        <f t="shared" si="27"/>
        <v>0</v>
      </c>
      <c r="AK105" s="2">
        <f t="shared" si="28"/>
        <v>0</v>
      </c>
      <c r="AL105" s="2">
        <f t="shared" si="29"/>
        <v>0</v>
      </c>
      <c r="AM105" s="2">
        <f t="shared" si="30"/>
        <v>0</v>
      </c>
    </row>
    <row r="106" spans="1:39" outlineLevel="1" x14ac:dyDescent="0.25">
      <c r="A106" t="s">
        <v>35</v>
      </c>
      <c r="B106" s="7" t="str">
        <f t="shared" si="46"/>
        <v xml:space="preserve"> (x)</v>
      </c>
      <c r="C106" s="3">
        <v>3148</v>
      </c>
      <c r="I106" s="45" t="str">
        <f t="shared" si="40"/>
        <v/>
      </c>
      <c r="J106" s="46" t="str">
        <f t="shared" si="41"/>
        <v/>
      </c>
      <c r="K106" s="62">
        <f t="shared" si="42"/>
        <v>0</v>
      </c>
      <c r="L106" s="28" t="s">
        <v>63</v>
      </c>
      <c r="M106" s="12" t="str">
        <f t="shared" si="47"/>
        <v>-</v>
      </c>
      <c r="N106" s="12" t="str">
        <f t="shared" si="36"/>
        <v>-</v>
      </c>
      <c r="O106" s="12"/>
      <c r="Q106" s="62">
        <f t="shared" si="43"/>
        <v>0</v>
      </c>
      <c r="R106" s="28" t="s">
        <v>63</v>
      </c>
      <c r="S106" s="12" t="str">
        <f t="shared" si="48"/>
        <v>-</v>
      </c>
      <c r="T106" s="12" t="str">
        <f t="shared" si="37"/>
        <v>-</v>
      </c>
      <c r="U106" s="12"/>
      <c r="V106" s="12"/>
      <c r="W106" s="62">
        <f t="shared" si="44"/>
        <v>0</v>
      </c>
      <c r="X106" s="28" t="s">
        <v>63</v>
      </c>
      <c r="Y106" s="12" t="str">
        <f t="shared" si="49"/>
        <v>-</v>
      </c>
      <c r="Z106" s="12" t="str">
        <f t="shared" si="38"/>
        <v>-</v>
      </c>
      <c r="AA106" s="12"/>
      <c r="AB106" s="64"/>
      <c r="AC106" s="62">
        <f t="shared" si="45"/>
        <v>0</v>
      </c>
      <c r="AD106" s="28" t="s">
        <v>63</v>
      </c>
      <c r="AE106" s="12" t="str">
        <f t="shared" si="50"/>
        <v>-</v>
      </c>
      <c r="AF106" s="12" t="str">
        <f t="shared" si="39"/>
        <v>-</v>
      </c>
      <c r="AG106" s="12"/>
      <c r="AH106" s="17"/>
      <c r="AI106" s="17"/>
      <c r="AJ106" s="2">
        <f t="shared" si="27"/>
        <v>0</v>
      </c>
      <c r="AK106" s="2">
        <f t="shared" si="28"/>
        <v>0</v>
      </c>
      <c r="AL106" s="2">
        <f t="shared" si="29"/>
        <v>0</v>
      </c>
      <c r="AM106" s="2">
        <f t="shared" si="30"/>
        <v>0</v>
      </c>
    </row>
    <row r="107" spans="1:39" outlineLevel="1" x14ac:dyDescent="0.25">
      <c r="A107" t="s">
        <v>35</v>
      </c>
      <c r="B107" s="7" t="str">
        <f t="shared" si="46"/>
        <v xml:space="preserve"> (x)</v>
      </c>
      <c r="C107" s="3">
        <v>3149</v>
      </c>
      <c r="I107" s="45" t="str">
        <f t="shared" si="40"/>
        <v/>
      </c>
      <c r="J107" s="46" t="str">
        <f t="shared" si="41"/>
        <v/>
      </c>
      <c r="K107" s="62">
        <f t="shared" si="42"/>
        <v>0</v>
      </c>
      <c r="L107" s="28" t="s">
        <v>63</v>
      </c>
      <c r="M107" s="12" t="str">
        <f t="shared" si="47"/>
        <v>-</v>
      </c>
      <c r="N107" s="12" t="str">
        <f t="shared" si="36"/>
        <v>-</v>
      </c>
      <c r="O107" s="12"/>
      <c r="Q107" s="62">
        <f t="shared" si="43"/>
        <v>0</v>
      </c>
      <c r="R107" s="28" t="s">
        <v>63</v>
      </c>
      <c r="S107" s="12" t="str">
        <f t="shared" si="48"/>
        <v>-</v>
      </c>
      <c r="T107" s="12" t="str">
        <f t="shared" si="37"/>
        <v>-</v>
      </c>
      <c r="U107" s="12"/>
      <c r="V107" s="12"/>
      <c r="W107" s="62">
        <f t="shared" si="44"/>
        <v>0</v>
      </c>
      <c r="X107" s="28" t="s">
        <v>63</v>
      </c>
      <c r="Y107" s="12" t="str">
        <f t="shared" si="49"/>
        <v>-</v>
      </c>
      <c r="Z107" s="12" t="str">
        <f t="shared" si="38"/>
        <v>-</v>
      </c>
      <c r="AA107" s="12"/>
      <c r="AB107" s="64"/>
      <c r="AC107" s="62">
        <f t="shared" si="45"/>
        <v>0</v>
      </c>
      <c r="AD107" s="28" t="s">
        <v>63</v>
      </c>
      <c r="AE107" s="12" t="str">
        <f t="shared" si="50"/>
        <v>-</v>
      </c>
      <c r="AF107" s="12" t="str">
        <f t="shared" si="39"/>
        <v>-</v>
      </c>
      <c r="AG107" s="12"/>
      <c r="AH107" s="17"/>
      <c r="AI107" s="17"/>
      <c r="AJ107" s="2">
        <f t="shared" si="27"/>
        <v>0</v>
      </c>
      <c r="AK107" s="2">
        <f t="shared" si="28"/>
        <v>0</v>
      </c>
      <c r="AL107" s="2">
        <f t="shared" si="29"/>
        <v>0</v>
      </c>
      <c r="AM107" s="2">
        <f t="shared" si="30"/>
        <v>0</v>
      </c>
    </row>
    <row r="108" spans="1:39" outlineLevel="1" x14ac:dyDescent="0.25">
      <c r="A108" t="s">
        <v>35</v>
      </c>
      <c r="B108" s="7" t="str">
        <f t="shared" si="46"/>
        <v xml:space="preserve"> (x)</v>
      </c>
      <c r="C108" s="3">
        <v>3150</v>
      </c>
      <c r="I108" s="45" t="str">
        <f t="shared" si="40"/>
        <v/>
      </c>
      <c r="J108" s="46" t="str">
        <f t="shared" si="41"/>
        <v/>
      </c>
      <c r="K108" s="62">
        <f t="shared" si="42"/>
        <v>0</v>
      </c>
      <c r="L108" s="28" t="s">
        <v>63</v>
      </c>
      <c r="M108" s="12" t="str">
        <f t="shared" si="47"/>
        <v>-</v>
      </c>
      <c r="N108" s="12" t="str">
        <f t="shared" si="36"/>
        <v>-</v>
      </c>
      <c r="O108" s="12"/>
      <c r="Q108" s="62">
        <f t="shared" si="43"/>
        <v>0</v>
      </c>
      <c r="R108" s="28" t="s">
        <v>63</v>
      </c>
      <c r="S108" s="12" t="str">
        <f t="shared" si="48"/>
        <v>-</v>
      </c>
      <c r="T108" s="12" t="str">
        <f t="shared" si="37"/>
        <v>-</v>
      </c>
      <c r="U108" s="12"/>
      <c r="V108" s="12"/>
      <c r="W108" s="62">
        <f t="shared" si="44"/>
        <v>0</v>
      </c>
      <c r="X108" s="28" t="s">
        <v>63</v>
      </c>
      <c r="Y108" s="12" t="str">
        <f t="shared" si="49"/>
        <v>-</v>
      </c>
      <c r="Z108" s="12" t="str">
        <f t="shared" si="38"/>
        <v>-</v>
      </c>
      <c r="AA108" s="12"/>
      <c r="AB108" s="64"/>
      <c r="AC108" s="62">
        <f t="shared" si="45"/>
        <v>0</v>
      </c>
      <c r="AD108" s="28" t="s">
        <v>63</v>
      </c>
      <c r="AE108" s="12" t="str">
        <f t="shared" si="50"/>
        <v>-</v>
      </c>
      <c r="AF108" s="12" t="str">
        <f t="shared" si="39"/>
        <v>-</v>
      </c>
      <c r="AG108" s="12"/>
      <c r="AH108" s="17"/>
      <c r="AI108" s="17"/>
      <c r="AJ108" s="2">
        <f t="shared" si="27"/>
        <v>0</v>
      </c>
      <c r="AK108" s="2">
        <f t="shared" si="28"/>
        <v>0</v>
      </c>
      <c r="AL108" s="2">
        <f t="shared" si="29"/>
        <v>0</v>
      </c>
      <c r="AM108" s="2">
        <f t="shared" si="30"/>
        <v>0</v>
      </c>
    </row>
    <row r="109" spans="1:39" outlineLevel="1" x14ac:dyDescent="0.25">
      <c r="A109" t="s">
        <v>35</v>
      </c>
      <c r="B109" s="6" t="str">
        <f>IF(OR(E109="-",F109="-"),"-",D109&amp;" ("&amp;E109&amp;"x"&amp;F109&amp;")")</f>
        <v>Seite außen (662x352)</v>
      </c>
      <c r="C109" s="3" t="s">
        <v>27</v>
      </c>
      <c r="D109" s="6" t="s">
        <v>7</v>
      </c>
      <c r="E109">
        <v>662</v>
      </c>
      <c r="F109">
        <v>352</v>
      </c>
      <c r="G109">
        <v>720</v>
      </c>
      <c r="H109">
        <v>360</v>
      </c>
      <c r="I109" s="45">
        <f t="shared" si="40"/>
        <v>0.23832000000000003</v>
      </c>
      <c r="J109" s="46">
        <f t="shared" si="41"/>
        <v>2.044</v>
      </c>
      <c r="K109" s="62">
        <f t="shared" si="42"/>
        <v>0</v>
      </c>
      <c r="L109" s="28" t="s">
        <v>63</v>
      </c>
      <c r="M109" s="12" t="str">
        <f t="shared" si="47"/>
        <v>-</v>
      </c>
      <c r="N109" s="12" t="str">
        <f t="shared" si="36"/>
        <v>-</v>
      </c>
      <c r="O109" s="30" t="s">
        <v>72</v>
      </c>
      <c r="Q109" s="62">
        <f t="shared" si="43"/>
        <v>0</v>
      </c>
      <c r="R109" s="28" t="s">
        <v>63</v>
      </c>
      <c r="S109" s="12" t="str">
        <f t="shared" si="48"/>
        <v>-</v>
      </c>
      <c r="T109" s="12" t="str">
        <f t="shared" si="37"/>
        <v>-</v>
      </c>
      <c r="U109" s="30"/>
      <c r="V109" s="30"/>
      <c r="W109" s="62">
        <f t="shared" si="44"/>
        <v>0</v>
      </c>
      <c r="X109" s="28" t="s">
        <v>63</v>
      </c>
      <c r="Y109" s="12" t="str">
        <f t="shared" si="49"/>
        <v>-</v>
      </c>
      <c r="Z109" s="12" t="str">
        <f t="shared" si="38"/>
        <v>-</v>
      </c>
      <c r="AA109" s="30" t="s">
        <v>73</v>
      </c>
      <c r="AB109" s="64"/>
      <c r="AC109" s="62">
        <f t="shared" si="45"/>
        <v>0</v>
      </c>
      <c r="AD109" s="28" t="s">
        <v>63</v>
      </c>
      <c r="AE109" s="12" t="str">
        <f t="shared" si="50"/>
        <v>-</v>
      </c>
      <c r="AF109" s="12" t="str">
        <f t="shared" si="39"/>
        <v>-</v>
      </c>
      <c r="AG109" s="30" t="s">
        <v>73</v>
      </c>
      <c r="AH109" s="17"/>
      <c r="AI109" s="17"/>
      <c r="AJ109" s="2">
        <f t="shared" si="27"/>
        <v>0</v>
      </c>
      <c r="AK109" s="2">
        <f t="shared" si="28"/>
        <v>0</v>
      </c>
      <c r="AL109" s="2">
        <f t="shared" si="29"/>
        <v>0</v>
      </c>
      <c r="AM109" s="2">
        <f t="shared" si="30"/>
        <v>0</v>
      </c>
    </row>
    <row r="110" spans="1:39" outlineLevel="1" x14ac:dyDescent="0.25">
      <c r="A110" t="s">
        <v>35</v>
      </c>
      <c r="B110" s="6" t="str">
        <f>IF(OR(E110="-",F110="-"),"-",D110&amp;" ("&amp;E110&amp;"x"&amp;F110&amp;")")</f>
        <v>Seite außen (712x832)</v>
      </c>
      <c r="C110" s="3" t="s">
        <v>25</v>
      </c>
      <c r="D110" s="6" t="s">
        <v>7</v>
      </c>
      <c r="E110">
        <v>712</v>
      </c>
      <c r="F110">
        <v>832</v>
      </c>
      <c r="G110">
        <v>720</v>
      </c>
      <c r="H110">
        <v>980</v>
      </c>
      <c r="I110" s="45">
        <f t="shared" si="40"/>
        <v>0.59238400000000002</v>
      </c>
      <c r="J110" s="46">
        <f t="shared" si="41"/>
        <v>3.0880000000000001</v>
      </c>
      <c r="K110" s="62">
        <f t="shared" si="42"/>
        <v>0</v>
      </c>
      <c r="L110" s="28" t="s">
        <v>63</v>
      </c>
      <c r="M110" s="12" t="str">
        <f t="shared" si="47"/>
        <v>-</v>
      </c>
      <c r="N110" s="12" t="str">
        <f t="shared" si="36"/>
        <v>-</v>
      </c>
      <c r="O110" s="30" t="s">
        <v>72</v>
      </c>
      <c r="Q110" s="62">
        <f t="shared" si="43"/>
        <v>0</v>
      </c>
      <c r="R110" s="28" t="s">
        <v>63</v>
      </c>
      <c r="S110" s="12" t="str">
        <f t="shared" si="48"/>
        <v>-</v>
      </c>
      <c r="T110" s="12" t="str">
        <f t="shared" si="37"/>
        <v>-</v>
      </c>
      <c r="U110" s="30"/>
      <c r="V110" s="30"/>
      <c r="W110" s="62">
        <f t="shared" si="44"/>
        <v>0</v>
      </c>
      <c r="X110" s="28" t="s">
        <v>63</v>
      </c>
      <c r="Y110" s="12" t="str">
        <f t="shared" si="49"/>
        <v>-</v>
      </c>
      <c r="Z110" s="12" t="str">
        <f t="shared" si="38"/>
        <v>-</v>
      </c>
      <c r="AA110" s="30" t="s">
        <v>73</v>
      </c>
      <c r="AB110" s="64"/>
      <c r="AC110" s="62">
        <f t="shared" si="45"/>
        <v>0</v>
      </c>
      <c r="AD110" s="28" t="s">
        <v>63</v>
      </c>
      <c r="AE110" s="12" t="str">
        <f t="shared" si="50"/>
        <v>-</v>
      </c>
      <c r="AF110" s="12" t="str">
        <f t="shared" si="39"/>
        <v>-</v>
      </c>
      <c r="AG110" s="30" t="s">
        <v>73</v>
      </c>
      <c r="AH110" s="17"/>
      <c r="AI110" s="17"/>
      <c r="AJ110" s="2">
        <f t="shared" si="27"/>
        <v>0</v>
      </c>
      <c r="AK110" s="2">
        <f t="shared" si="28"/>
        <v>0</v>
      </c>
      <c r="AL110" s="2">
        <f t="shared" si="29"/>
        <v>0</v>
      </c>
      <c r="AM110" s="2">
        <f t="shared" si="30"/>
        <v>0</v>
      </c>
    </row>
    <row r="111" spans="1:39" outlineLevel="1" x14ac:dyDescent="0.25">
      <c r="A111" t="s">
        <v>35</v>
      </c>
      <c r="B111" s="6" t="str">
        <f>IF(OR(E111="-",F111="-"),"-",D111&amp;" ("&amp;E111&amp;"x"&amp;F111&amp;")")</f>
        <v>Seite außen (662x832)</v>
      </c>
      <c r="C111" s="3" t="s">
        <v>24</v>
      </c>
      <c r="D111" s="6" t="s">
        <v>7</v>
      </c>
      <c r="E111">
        <v>662</v>
      </c>
      <c r="F111">
        <v>832</v>
      </c>
      <c r="G111">
        <v>720</v>
      </c>
      <c r="H111">
        <v>980</v>
      </c>
      <c r="I111" s="45">
        <f t="shared" si="40"/>
        <v>0.55078399999999994</v>
      </c>
      <c r="J111" s="46">
        <f t="shared" si="41"/>
        <v>2.988</v>
      </c>
      <c r="K111" s="62">
        <f t="shared" si="42"/>
        <v>0</v>
      </c>
      <c r="L111" s="28" t="s">
        <v>63</v>
      </c>
      <c r="M111" s="12" t="str">
        <f t="shared" si="47"/>
        <v>-</v>
      </c>
      <c r="N111" s="12" t="str">
        <f t="shared" si="36"/>
        <v>-</v>
      </c>
      <c r="O111" s="30" t="s">
        <v>72</v>
      </c>
      <c r="Q111" s="62">
        <f t="shared" si="43"/>
        <v>0</v>
      </c>
      <c r="R111" s="28" t="s">
        <v>63</v>
      </c>
      <c r="S111" s="12" t="str">
        <f t="shared" si="48"/>
        <v>-</v>
      </c>
      <c r="T111" s="12" t="str">
        <f t="shared" si="37"/>
        <v>-</v>
      </c>
      <c r="U111" s="30"/>
      <c r="V111" s="30"/>
      <c r="W111" s="62">
        <f t="shared" si="44"/>
        <v>0</v>
      </c>
      <c r="X111" s="28" t="s">
        <v>63</v>
      </c>
      <c r="Y111" s="12" t="str">
        <f t="shared" si="49"/>
        <v>-</v>
      </c>
      <c r="Z111" s="12" t="str">
        <f t="shared" si="38"/>
        <v>-</v>
      </c>
      <c r="AA111" s="30" t="s">
        <v>73</v>
      </c>
      <c r="AB111" s="64"/>
      <c r="AC111" s="62">
        <f t="shared" si="45"/>
        <v>0</v>
      </c>
      <c r="AD111" s="28" t="s">
        <v>63</v>
      </c>
      <c r="AE111" s="12" t="str">
        <f t="shared" si="50"/>
        <v>-</v>
      </c>
      <c r="AF111" s="12" t="str">
        <f t="shared" si="39"/>
        <v>-</v>
      </c>
      <c r="AG111" s="30" t="s">
        <v>73</v>
      </c>
      <c r="AH111" s="17"/>
      <c r="AI111" s="17"/>
      <c r="AJ111" s="2">
        <f t="shared" si="27"/>
        <v>0</v>
      </c>
      <c r="AK111" s="2">
        <f t="shared" si="28"/>
        <v>0</v>
      </c>
      <c r="AL111" s="2">
        <f t="shared" si="29"/>
        <v>0</v>
      </c>
      <c r="AM111" s="2">
        <f t="shared" si="30"/>
        <v>0</v>
      </c>
    </row>
    <row r="112" spans="1:39" outlineLevel="1" x14ac:dyDescent="0.25">
      <c r="A112" t="s">
        <v>35</v>
      </c>
      <c r="B112" s="6" t="str">
        <f>IF(OR(E112="-",F112="-"),"-",D112&amp;" ("&amp;E112&amp;"x"&amp;F112&amp;")")</f>
        <v>Seite außen (380x800)</v>
      </c>
      <c r="C112" s="3" t="s">
        <v>8</v>
      </c>
      <c r="D112" s="6" t="s">
        <v>7</v>
      </c>
      <c r="E112">
        <v>380</v>
      </c>
      <c r="F112">
        <v>800</v>
      </c>
      <c r="G112">
        <v>420</v>
      </c>
      <c r="H112">
        <v>980</v>
      </c>
      <c r="I112" s="45">
        <f t="shared" si="40"/>
        <v>0.30399999999999999</v>
      </c>
      <c r="J112" s="46">
        <f t="shared" si="41"/>
        <v>2.3600000000000003</v>
      </c>
      <c r="K112" s="62">
        <f t="shared" si="42"/>
        <v>0</v>
      </c>
      <c r="L112" s="28" t="s">
        <v>63</v>
      </c>
      <c r="M112" s="12" t="str">
        <f t="shared" si="47"/>
        <v>-</v>
      </c>
      <c r="N112" s="12" t="str">
        <f t="shared" si="36"/>
        <v>-</v>
      </c>
      <c r="O112" s="30" t="s">
        <v>72</v>
      </c>
      <c r="Q112" s="62">
        <f t="shared" si="43"/>
        <v>0</v>
      </c>
      <c r="R112" s="28" t="s">
        <v>63</v>
      </c>
      <c r="S112" s="12" t="str">
        <f t="shared" si="48"/>
        <v>-</v>
      </c>
      <c r="T112" s="12" t="str">
        <f t="shared" si="37"/>
        <v>-</v>
      </c>
      <c r="U112" s="30"/>
      <c r="V112" s="30"/>
      <c r="W112" s="62">
        <f t="shared" si="44"/>
        <v>0</v>
      </c>
      <c r="X112" s="28" t="s">
        <v>63</v>
      </c>
      <c r="Y112" s="12" t="str">
        <f t="shared" si="49"/>
        <v>-</v>
      </c>
      <c r="Z112" s="12" t="str">
        <f t="shared" si="38"/>
        <v>-</v>
      </c>
      <c r="AA112" s="30" t="s">
        <v>73</v>
      </c>
      <c r="AB112" s="64"/>
      <c r="AC112" s="62">
        <f t="shared" si="45"/>
        <v>0</v>
      </c>
      <c r="AD112" s="28" t="s">
        <v>63</v>
      </c>
      <c r="AE112" s="12" t="str">
        <f t="shared" si="50"/>
        <v>-</v>
      </c>
      <c r="AF112" s="12" t="str">
        <f t="shared" si="39"/>
        <v>-</v>
      </c>
      <c r="AG112" s="30" t="s">
        <v>73</v>
      </c>
      <c r="AH112" s="17"/>
      <c r="AI112" s="17"/>
      <c r="AJ112" s="2">
        <f t="shared" si="27"/>
        <v>0</v>
      </c>
      <c r="AK112" s="2">
        <f t="shared" si="28"/>
        <v>0</v>
      </c>
      <c r="AL112" s="2">
        <f t="shared" si="29"/>
        <v>0</v>
      </c>
      <c r="AM112" s="2">
        <f t="shared" si="30"/>
        <v>0</v>
      </c>
    </row>
    <row r="113" spans="1:40" outlineLevel="1" x14ac:dyDescent="0.25">
      <c r="A113" t="s">
        <v>35</v>
      </c>
      <c r="B113" s="6" t="str">
        <f>IF(OR(E113="-",F113="-"),"-",D113&amp;" ("&amp;E113&amp;"x"&amp;F113&amp;")")</f>
        <v>Seite außen (660x580)</v>
      </c>
      <c r="C113" s="3" t="s">
        <v>6</v>
      </c>
      <c r="D113" s="6" t="s">
        <v>7</v>
      </c>
      <c r="E113">
        <v>660</v>
      </c>
      <c r="F113">
        <v>580</v>
      </c>
      <c r="I113" s="45">
        <f t="shared" si="40"/>
        <v>0.38280000000000003</v>
      </c>
      <c r="J113" s="46">
        <f t="shared" si="41"/>
        <v>2.48</v>
      </c>
      <c r="K113" s="62">
        <f t="shared" si="42"/>
        <v>0</v>
      </c>
      <c r="L113" s="28" t="s">
        <v>63</v>
      </c>
      <c r="M113" s="12" t="str">
        <f t="shared" si="47"/>
        <v>-</v>
      </c>
      <c r="N113" s="12" t="str">
        <f t="shared" si="36"/>
        <v>-</v>
      </c>
      <c r="O113" s="30" t="s">
        <v>72</v>
      </c>
      <c r="Q113" s="62">
        <f t="shared" si="43"/>
        <v>0</v>
      </c>
      <c r="R113" s="28" t="s">
        <v>63</v>
      </c>
      <c r="S113" s="12" t="str">
        <f t="shared" si="48"/>
        <v>-</v>
      </c>
      <c r="T113" s="12" t="str">
        <f t="shared" si="37"/>
        <v>-</v>
      </c>
      <c r="U113" s="30"/>
      <c r="V113" s="30"/>
      <c r="W113" s="62">
        <f t="shared" si="44"/>
        <v>0</v>
      </c>
      <c r="X113" s="28" t="s">
        <v>63</v>
      </c>
      <c r="Y113" s="12" t="str">
        <f t="shared" si="49"/>
        <v>-</v>
      </c>
      <c r="Z113" s="12" t="str">
        <f t="shared" si="38"/>
        <v>-</v>
      </c>
      <c r="AA113" s="30" t="s">
        <v>73</v>
      </c>
      <c r="AB113" s="64"/>
      <c r="AC113" s="62">
        <f t="shared" si="45"/>
        <v>0</v>
      </c>
      <c r="AD113" s="28" t="s">
        <v>63</v>
      </c>
      <c r="AE113" s="12" t="str">
        <f t="shared" si="50"/>
        <v>-</v>
      </c>
      <c r="AF113" s="12" t="str">
        <f t="shared" si="39"/>
        <v>-</v>
      </c>
      <c r="AG113" s="30" t="s">
        <v>73</v>
      </c>
      <c r="AH113" s="17"/>
      <c r="AI113" s="17"/>
      <c r="AJ113" s="2">
        <f t="shared" si="27"/>
        <v>0</v>
      </c>
      <c r="AK113" s="2">
        <f t="shared" si="28"/>
        <v>0</v>
      </c>
      <c r="AL113" s="2">
        <f t="shared" si="29"/>
        <v>0</v>
      </c>
      <c r="AM113" s="2">
        <f t="shared" si="30"/>
        <v>0</v>
      </c>
    </row>
    <row r="114" spans="1:40" s="14" customFormat="1" x14ac:dyDescent="0.25">
      <c r="A114" s="32"/>
      <c r="B114" s="5" t="s">
        <v>48</v>
      </c>
      <c r="C114" s="5"/>
      <c r="D114" s="5"/>
      <c r="E114" s="5"/>
      <c r="F114" s="5"/>
      <c r="G114" s="5"/>
      <c r="H114" s="5"/>
      <c r="I114" s="44" t="str">
        <f t="shared" si="40"/>
        <v/>
      </c>
      <c r="J114" s="44" t="str">
        <f t="shared" si="41"/>
        <v/>
      </c>
      <c r="K114" s="62">
        <f t="shared" si="42"/>
        <v>0</v>
      </c>
      <c r="L114" s="11" t="s">
        <v>63</v>
      </c>
      <c r="M114" s="15">
        <f>AVERAGE(M115:M165)</f>
        <v>0.43974520999660344</v>
      </c>
      <c r="N114" s="15" t="str">
        <f t="shared" si="36"/>
        <v>-</v>
      </c>
      <c r="O114" s="15"/>
      <c r="P114" s="17"/>
      <c r="Q114" s="62">
        <f t="shared" si="43"/>
        <v>0</v>
      </c>
      <c r="R114" s="11" t="s">
        <v>63</v>
      </c>
      <c r="S114" s="15">
        <f>AVERAGE(S115:S165)</f>
        <v>0.45452170974144246</v>
      </c>
      <c r="T114" s="15" t="str">
        <f t="shared" si="37"/>
        <v>-</v>
      </c>
      <c r="U114" s="15"/>
      <c r="V114" s="15"/>
      <c r="W114" s="62"/>
      <c r="X114" s="11">
        <v>0</v>
      </c>
      <c r="Y114" s="15">
        <f>AVERAGE(Y115:Y165)</f>
        <v>0.40324949670928034</v>
      </c>
      <c r="Z114" s="15">
        <f t="shared" si="38"/>
        <v>0</v>
      </c>
      <c r="AA114" s="15"/>
      <c r="AB114" s="64"/>
      <c r="AC114" s="62">
        <f t="shared" si="45"/>
        <v>0</v>
      </c>
      <c r="AD114" s="11" t="s">
        <v>68</v>
      </c>
      <c r="AE114" s="15">
        <f>AVERAGE(AE115:AE165)</f>
        <v>0.40326690580389968</v>
      </c>
      <c r="AF114" s="15" t="str">
        <f t="shared" si="39"/>
        <v>-</v>
      </c>
      <c r="AG114" s="15"/>
      <c r="AH114" s="17"/>
      <c r="AI114" s="63"/>
      <c r="AJ114" s="4">
        <f t="shared" si="27"/>
        <v>0</v>
      </c>
      <c r="AK114" s="4">
        <f t="shared" si="28"/>
        <v>0</v>
      </c>
      <c r="AL114" s="4">
        <f t="shared" si="29"/>
        <v>0</v>
      </c>
      <c r="AM114" s="4">
        <f t="shared" si="30"/>
        <v>0</v>
      </c>
      <c r="AN114" s="32"/>
    </row>
    <row r="115" spans="1:40" outlineLevel="1" x14ac:dyDescent="0.25">
      <c r="A115" t="s">
        <v>35</v>
      </c>
      <c r="B115" s="7" t="str">
        <f t="shared" ref="B115:B146" si="51">IF(OR(E115="-",F115="-"),"-",D115&amp;" ("&amp;E115&amp;"x"&amp;F115&amp;")")</f>
        <v>Seite außen SY32 (360x360)</v>
      </c>
      <c r="C115">
        <v>3200</v>
      </c>
      <c r="D115" s="7" t="s">
        <v>48</v>
      </c>
      <c r="E115">
        <v>360</v>
      </c>
      <c r="F115">
        <v>360</v>
      </c>
      <c r="I115" s="45">
        <f t="shared" si="40"/>
        <v>0.12959999999999999</v>
      </c>
      <c r="J115" s="46">
        <f t="shared" si="41"/>
        <v>1.44</v>
      </c>
      <c r="K115" s="62">
        <f t="shared" si="42"/>
        <v>34</v>
      </c>
      <c r="L115" s="28">
        <v>18</v>
      </c>
      <c r="M115" s="13">
        <f t="shared" ref="M115:M146" si="52">IFERROR(K115/L115-1,"-")</f>
        <v>0.88888888888888884</v>
      </c>
      <c r="N115" s="12">
        <f t="shared" si="36"/>
        <v>16</v>
      </c>
      <c r="O115" s="30" t="s">
        <v>72</v>
      </c>
      <c r="Q115" s="62">
        <f t="shared" si="43"/>
        <v>114</v>
      </c>
      <c r="R115" s="28">
        <v>70</v>
      </c>
      <c r="S115" s="13">
        <f t="shared" ref="S115:S146" si="53">IFERROR(Q115/R115-1,"-")</f>
        <v>0.62857142857142856</v>
      </c>
      <c r="T115" s="12">
        <f t="shared" si="37"/>
        <v>44</v>
      </c>
      <c r="U115" s="30" t="s">
        <v>72</v>
      </c>
      <c r="V115" s="30"/>
      <c r="W115" s="62">
        <f t="shared" si="44"/>
        <v>89</v>
      </c>
      <c r="X115" s="28">
        <v>59</v>
      </c>
      <c r="Y115" s="13">
        <f t="shared" ref="Y115:Y146" si="54">IFERROR(W115/X115-1,"-")</f>
        <v>0.50847457627118642</v>
      </c>
      <c r="Z115" s="12">
        <f t="shared" si="38"/>
        <v>30</v>
      </c>
      <c r="AA115" s="30" t="s">
        <v>72</v>
      </c>
      <c r="AB115" s="64"/>
      <c r="AC115" s="62">
        <f t="shared" si="45"/>
        <v>177</v>
      </c>
      <c r="AD115" s="28">
        <v>124</v>
      </c>
      <c r="AE115" s="13">
        <f t="shared" ref="AE115:AE146" si="55">IFERROR(AC115/AD115-1,"-")</f>
        <v>0.42741935483870974</v>
      </c>
      <c r="AF115" s="12">
        <f t="shared" si="39"/>
        <v>53</v>
      </c>
      <c r="AG115" s="30" t="s">
        <v>72</v>
      </c>
      <c r="AH115" s="17"/>
      <c r="AI115" s="16"/>
      <c r="AJ115" s="2">
        <f t="shared" si="27"/>
        <v>37</v>
      </c>
      <c r="AK115" s="2">
        <f t="shared" si="28"/>
        <v>125</v>
      </c>
      <c r="AL115" s="2">
        <f t="shared" si="29"/>
        <v>195</v>
      </c>
      <c r="AM115" s="2">
        <f t="shared" si="30"/>
        <v>98</v>
      </c>
    </row>
    <row r="116" spans="1:40" outlineLevel="1" x14ac:dyDescent="0.25">
      <c r="A116" t="s">
        <v>35</v>
      </c>
      <c r="B116" s="7" t="str">
        <f t="shared" si="51"/>
        <v>Seite außen SY32 (360x720)</v>
      </c>
      <c r="C116">
        <v>3201</v>
      </c>
      <c r="D116" s="7" t="s">
        <v>48</v>
      </c>
      <c r="E116">
        <v>360</v>
      </c>
      <c r="F116">
        <v>720</v>
      </c>
      <c r="I116" s="45">
        <f t="shared" si="40"/>
        <v>0.25919999999999999</v>
      </c>
      <c r="J116" s="46">
        <f t="shared" si="41"/>
        <v>2.16</v>
      </c>
      <c r="K116" s="62">
        <f t="shared" si="42"/>
        <v>52</v>
      </c>
      <c r="L116" s="28">
        <v>35</v>
      </c>
      <c r="M116" s="13">
        <f t="shared" si="52"/>
        <v>0.48571428571428577</v>
      </c>
      <c r="N116" s="12">
        <f t="shared" si="36"/>
        <v>17</v>
      </c>
      <c r="O116" s="30" t="s">
        <v>72</v>
      </c>
      <c r="Q116" s="62">
        <f t="shared" si="43"/>
        <v>181</v>
      </c>
      <c r="R116" s="28">
        <v>120</v>
      </c>
      <c r="S116" s="13">
        <f t="shared" si="53"/>
        <v>0.5083333333333333</v>
      </c>
      <c r="T116" s="12">
        <f t="shared" si="37"/>
        <v>61</v>
      </c>
      <c r="U116" s="30" t="s">
        <v>72</v>
      </c>
      <c r="V116" s="30"/>
      <c r="W116" s="62">
        <f t="shared" si="44"/>
        <v>143</v>
      </c>
      <c r="X116" s="28">
        <v>99</v>
      </c>
      <c r="Y116" s="13">
        <f t="shared" si="54"/>
        <v>0.44444444444444442</v>
      </c>
      <c r="Z116" s="12">
        <f t="shared" si="38"/>
        <v>44</v>
      </c>
      <c r="AA116" s="30" t="s">
        <v>72</v>
      </c>
      <c r="AB116" s="64"/>
      <c r="AC116" s="62">
        <f t="shared" si="45"/>
        <v>212</v>
      </c>
      <c r="AD116" s="28">
        <v>150</v>
      </c>
      <c r="AE116" s="13">
        <f t="shared" si="55"/>
        <v>0.41333333333333333</v>
      </c>
      <c r="AF116" s="12">
        <f t="shared" si="39"/>
        <v>62</v>
      </c>
      <c r="AG116" s="30" t="s">
        <v>72</v>
      </c>
      <c r="AH116" s="17"/>
      <c r="AI116" s="16"/>
      <c r="AJ116" s="2">
        <f t="shared" si="27"/>
        <v>57</v>
      </c>
      <c r="AK116" s="2">
        <f t="shared" si="28"/>
        <v>199</v>
      </c>
      <c r="AL116" s="2">
        <f t="shared" si="29"/>
        <v>233</v>
      </c>
      <c r="AM116" s="2">
        <f t="shared" si="30"/>
        <v>157</v>
      </c>
    </row>
    <row r="117" spans="1:40" outlineLevel="1" x14ac:dyDescent="0.25">
      <c r="A117" t="s">
        <v>35</v>
      </c>
      <c r="B117" s="7" t="str">
        <f t="shared" si="51"/>
        <v>Seite außen SY32 (360x1080)</v>
      </c>
      <c r="C117">
        <v>3202</v>
      </c>
      <c r="D117" s="7" t="s">
        <v>48</v>
      </c>
      <c r="E117">
        <v>360</v>
      </c>
      <c r="F117">
        <v>1080</v>
      </c>
      <c r="I117" s="45">
        <f t="shared" si="40"/>
        <v>0.38880000000000003</v>
      </c>
      <c r="J117" s="46">
        <f t="shared" si="41"/>
        <v>2.88</v>
      </c>
      <c r="K117" s="62">
        <f t="shared" si="42"/>
        <v>76</v>
      </c>
      <c r="L117" s="28">
        <v>53</v>
      </c>
      <c r="M117" s="13">
        <f t="shared" si="52"/>
        <v>0.4339622641509433</v>
      </c>
      <c r="N117" s="12">
        <f t="shared" si="36"/>
        <v>23</v>
      </c>
      <c r="O117" s="30" t="s">
        <v>72</v>
      </c>
      <c r="Q117" s="62">
        <f t="shared" si="43"/>
        <v>267</v>
      </c>
      <c r="R117" s="28">
        <v>184</v>
      </c>
      <c r="S117" s="13">
        <f t="shared" si="53"/>
        <v>0.45108695652173902</v>
      </c>
      <c r="T117" s="12">
        <f t="shared" si="37"/>
        <v>83</v>
      </c>
      <c r="U117" s="30" t="s">
        <v>72</v>
      </c>
      <c r="V117" s="30"/>
      <c r="W117" s="62">
        <f t="shared" si="44"/>
        <v>222</v>
      </c>
      <c r="X117" s="28">
        <v>158</v>
      </c>
      <c r="Y117" s="13">
        <f t="shared" si="54"/>
        <v>0.40506329113924044</v>
      </c>
      <c r="Z117" s="12">
        <f t="shared" si="38"/>
        <v>64</v>
      </c>
      <c r="AA117" s="30" t="s">
        <v>72</v>
      </c>
      <c r="AB117" s="64"/>
      <c r="AC117" s="62">
        <f t="shared" si="45"/>
        <v>240</v>
      </c>
      <c r="AD117" s="28">
        <v>171</v>
      </c>
      <c r="AE117" s="13">
        <f t="shared" si="55"/>
        <v>0.40350877192982448</v>
      </c>
      <c r="AF117" s="12">
        <f t="shared" si="39"/>
        <v>69</v>
      </c>
      <c r="AG117" s="30" t="s">
        <v>72</v>
      </c>
      <c r="AH117" s="17"/>
      <c r="AI117" s="16"/>
      <c r="AJ117" s="2">
        <f t="shared" si="27"/>
        <v>84</v>
      </c>
      <c r="AK117" s="2">
        <f t="shared" si="28"/>
        <v>294</v>
      </c>
      <c r="AL117" s="2">
        <f t="shared" si="29"/>
        <v>264</v>
      </c>
      <c r="AM117" s="2">
        <f t="shared" si="30"/>
        <v>244</v>
      </c>
    </row>
    <row r="118" spans="1:40" outlineLevel="1" x14ac:dyDescent="0.25">
      <c r="A118" t="s">
        <v>35</v>
      </c>
      <c r="B118" s="7" t="str">
        <f t="shared" si="51"/>
        <v>Seite außen SY32 (360x1440)</v>
      </c>
      <c r="C118">
        <v>3203</v>
      </c>
      <c r="D118" s="7" t="s">
        <v>48</v>
      </c>
      <c r="E118">
        <v>360</v>
      </c>
      <c r="F118">
        <v>1440</v>
      </c>
      <c r="I118" s="45">
        <f t="shared" si="40"/>
        <v>0.51839999999999997</v>
      </c>
      <c r="J118" s="46">
        <f t="shared" si="41"/>
        <v>3.5999999999999996</v>
      </c>
      <c r="K118" s="62">
        <f t="shared" si="42"/>
        <v>100</v>
      </c>
      <c r="L118" s="28">
        <v>71</v>
      </c>
      <c r="M118" s="13">
        <f t="shared" si="52"/>
        <v>0.40845070422535201</v>
      </c>
      <c r="N118" s="12">
        <f t="shared" si="36"/>
        <v>29</v>
      </c>
      <c r="O118" s="30" t="s">
        <v>72</v>
      </c>
      <c r="Q118" s="62">
        <f t="shared" si="43"/>
        <v>336</v>
      </c>
      <c r="R118" s="28">
        <v>235</v>
      </c>
      <c r="S118" s="13">
        <f t="shared" si="53"/>
        <v>0.42978723404255326</v>
      </c>
      <c r="T118" s="12">
        <f t="shared" si="37"/>
        <v>101</v>
      </c>
      <c r="U118" s="30" t="s">
        <v>72</v>
      </c>
      <c r="V118" s="30"/>
      <c r="W118" s="62">
        <f t="shared" si="44"/>
        <v>281</v>
      </c>
      <c r="X118" s="28">
        <v>202</v>
      </c>
      <c r="Y118" s="13">
        <f t="shared" si="54"/>
        <v>0.39108910891089099</v>
      </c>
      <c r="Z118" s="12">
        <f t="shared" si="38"/>
        <v>79</v>
      </c>
      <c r="AA118" s="30" t="s">
        <v>72</v>
      </c>
      <c r="AB118" s="64"/>
      <c r="AC118" s="62">
        <f t="shared" si="45"/>
        <v>529</v>
      </c>
      <c r="AD118" s="28" t="s">
        <v>63</v>
      </c>
      <c r="AE118" s="13" t="str">
        <f t="shared" si="55"/>
        <v>-</v>
      </c>
      <c r="AF118" s="12" t="str">
        <f t="shared" si="39"/>
        <v>-</v>
      </c>
      <c r="AG118" s="30" t="s">
        <v>72</v>
      </c>
      <c r="AH118" s="17"/>
      <c r="AI118" s="16"/>
      <c r="AJ118" s="2">
        <f t="shared" si="27"/>
        <v>110</v>
      </c>
      <c r="AK118" s="2">
        <f t="shared" si="28"/>
        <v>370</v>
      </c>
      <c r="AL118" s="2">
        <f t="shared" si="29"/>
        <v>582</v>
      </c>
      <c r="AM118" s="2">
        <f t="shared" si="30"/>
        <v>309</v>
      </c>
    </row>
    <row r="119" spans="1:40" outlineLevel="1" x14ac:dyDescent="0.25">
      <c r="A119" t="s">
        <v>35</v>
      </c>
      <c r="B119" s="7" t="str">
        <f t="shared" si="51"/>
        <v>Seite außen SY32 (360x1800)</v>
      </c>
      <c r="C119">
        <v>3204</v>
      </c>
      <c r="D119" s="7" t="s">
        <v>48</v>
      </c>
      <c r="E119">
        <v>360</v>
      </c>
      <c r="F119">
        <v>1800</v>
      </c>
      <c r="I119" s="45">
        <f t="shared" si="40"/>
        <v>0.64800000000000002</v>
      </c>
      <c r="J119" s="46">
        <f t="shared" si="41"/>
        <v>4.32</v>
      </c>
      <c r="K119" s="62">
        <f t="shared" si="42"/>
        <v>125</v>
      </c>
      <c r="L119" s="28">
        <v>89</v>
      </c>
      <c r="M119" s="13">
        <f t="shared" si="52"/>
        <v>0.40449438202247201</v>
      </c>
      <c r="N119" s="12">
        <f t="shared" si="36"/>
        <v>36</v>
      </c>
      <c r="O119" s="30" t="s">
        <v>72</v>
      </c>
      <c r="Q119" s="62">
        <f t="shared" si="43"/>
        <v>246</v>
      </c>
      <c r="R119" s="28" t="s">
        <v>63</v>
      </c>
      <c r="S119" s="47"/>
      <c r="T119" s="50"/>
      <c r="U119" s="51"/>
      <c r="V119" s="51"/>
      <c r="W119" s="62">
        <f t="shared" si="44"/>
        <v>343</v>
      </c>
      <c r="X119" s="28">
        <v>248</v>
      </c>
      <c r="Y119" s="13">
        <f t="shared" si="54"/>
        <v>0.38306451612903225</v>
      </c>
      <c r="Z119" s="12">
        <f t="shared" si="38"/>
        <v>95</v>
      </c>
      <c r="AA119" s="30" t="s">
        <v>72</v>
      </c>
      <c r="AB119" s="64"/>
      <c r="AC119" s="62">
        <f t="shared" si="45"/>
        <v>645</v>
      </c>
      <c r="AD119" s="28" t="s">
        <v>63</v>
      </c>
      <c r="AE119" s="13" t="str">
        <f t="shared" si="55"/>
        <v>-</v>
      </c>
      <c r="AF119" s="12" t="str">
        <f t="shared" si="39"/>
        <v>-</v>
      </c>
      <c r="AG119" s="30" t="s">
        <v>72</v>
      </c>
      <c r="AH119" s="17"/>
      <c r="AI119" s="16"/>
      <c r="AJ119" s="2">
        <f t="shared" si="27"/>
        <v>138</v>
      </c>
      <c r="AK119" s="2">
        <f t="shared" si="28"/>
        <v>271</v>
      </c>
      <c r="AL119" s="2">
        <f t="shared" si="29"/>
        <v>710</v>
      </c>
      <c r="AM119" s="2">
        <f t="shared" si="30"/>
        <v>377</v>
      </c>
    </row>
    <row r="120" spans="1:40" outlineLevel="1" x14ac:dyDescent="0.25">
      <c r="A120" t="s">
        <v>35</v>
      </c>
      <c r="B120" s="7" t="str">
        <f t="shared" si="51"/>
        <v>Seite außen SY32 (580x360)</v>
      </c>
      <c r="C120">
        <v>3205</v>
      </c>
      <c r="D120" s="7" t="s">
        <v>48</v>
      </c>
      <c r="E120">
        <v>580</v>
      </c>
      <c r="F120">
        <v>360</v>
      </c>
      <c r="I120" s="45">
        <f t="shared" si="40"/>
        <v>0.20879999999999999</v>
      </c>
      <c r="J120" s="46">
        <f t="shared" si="41"/>
        <v>1.88</v>
      </c>
      <c r="K120" s="62">
        <f t="shared" si="42"/>
        <v>43</v>
      </c>
      <c r="L120" s="28">
        <v>28</v>
      </c>
      <c r="M120" s="13">
        <f t="shared" si="52"/>
        <v>0.53571428571428581</v>
      </c>
      <c r="N120" s="12">
        <f t="shared" si="36"/>
        <v>15</v>
      </c>
      <c r="O120" s="30" t="s">
        <v>72</v>
      </c>
      <c r="Q120" s="62">
        <f t="shared" si="43"/>
        <v>161</v>
      </c>
      <c r="R120" s="28">
        <v>105</v>
      </c>
      <c r="S120" s="13">
        <f t="shared" si="53"/>
        <v>0.53333333333333344</v>
      </c>
      <c r="T120" s="12">
        <f t="shared" si="37"/>
        <v>56</v>
      </c>
      <c r="U120" s="30" t="s">
        <v>72</v>
      </c>
      <c r="V120" s="30"/>
      <c r="W120" s="62">
        <f t="shared" si="44"/>
        <v>130</v>
      </c>
      <c r="X120" s="28">
        <v>89</v>
      </c>
      <c r="Y120" s="13">
        <f t="shared" si="54"/>
        <v>0.4606741573033708</v>
      </c>
      <c r="Z120" s="12">
        <f t="shared" si="38"/>
        <v>41</v>
      </c>
      <c r="AA120" s="30" t="s">
        <v>72</v>
      </c>
      <c r="AB120" s="64"/>
      <c r="AC120" s="62">
        <f t="shared" si="45"/>
        <v>185</v>
      </c>
      <c r="AD120" s="28">
        <v>130</v>
      </c>
      <c r="AE120" s="13">
        <f t="shared" si="55"/>
        <v>0.42307692307692313</v>
      </c>
      <c r="AF120" s="12">
        <f t="shared" si="39"/>
        <v>55</v>
      </c>
      <c r="AG120" s="30" t="s">
        <v>72</v>
      </c>
      <c r="AH120" s="17"/>
      <c r="AI120" s="16"/>
      <c r="AJ120" s="2">
        <f t="shared" si="27"/>
        <v>47</v>
      </c>
      <c r="AK120" s="2">
        <f t="shared" si="28"/>
        <v>177</v>
      </c>
      <c r="AL120" s="2">
        <f t="shared" si="29"/>
        <v>204</v>
      </c>
      <c r="AM120" s="2">
        <f t="shared" si="30"/>
        <v>143</v>
      </c>
    </row>
    <row r="121" spans="1:40" outlineLevel="1" x14ac:dyDescent="0.25">
      <c r="A121" t="s">
        <v>35</v>
      </c>
      <c r="B121" s="7" t="str">
        <f t="shared" si="51"/>
        <v>Seite außen SY32 (580x720)</v>
      </c>
      <c r="C121">
        <v>3206</v>
      </c>
      <c r="D121" s="7" t="s">
        <v>48</v>
      </c>
      <c r="E121">
        <v>580</v>
      </c>
      <c r="F121">
        <v>720</v>
      </c>
      <c r="I121" s="45">
        <f t="shared" si="40"/>
        <v>0.41759999999999997</v>
      </c>
      <c r="J121" s="46">
        <f t="shared" si="41"/>
        <v>2.5999999999999996</v>
      </c>
      <c r="K121" s="62">
        <f t="shared" si="42"/>
        <v>82</v>
      </c>
      <c r="L121" s="28">
        <v>57</v>
      </c>
      <c r="M121" s="13">
        <f t="shared" si="52"/>
        <v>0.43859649122807021</v>
      </c>
      <c r="N121" s="12">
        <f t="shared" si="36"/>
        <v>25</v>
      </c>
      <c r="O121" s="30" t="s">
        <v>72</v>
      </c>
      <c r="Q121" s="62">
        <f t="shared" si="43"/>
        <v>262</v>
      </c>
      <c r="R121" s="28">
        <v>180</v>
      </c>
      <c r="S121" s="13">
        <f t="shared" si="53"/>
        <v>0.45555555555555549</v>
      </c>
      <c r="T121" s="12">
        <f t="shared" si="37"/>
        <v>82</v>
      </c>
      <c r="U121" s="30" t="s">
        <v>72</v>
      </c>
      <c r="V121" s="30"/>
      <c r="W121" s="62">
        <f t="shared" si="44"/>
        <v>216</v>
      </c>
      <c r="X121" s="28">
        <v>153</v>
      </c>
      <c r="Y121" s="13">
        <f t="shared" si="54"/>
        <v>0.41176470588235303</v>
      </c>
      <c r="Z121" s="12">
        <f t="shared" si="38"/>
        <v>63</v>
      </c>
      <c r="AA121" s="30" t="s">
        <v>72</v>
      </c>
      <c r="AB121" s="64"/>
      <c r="AC121" s="62">
        <f t="shared" si="45"/>
        <v>245</v>
      </c>
      <c r="AD121" s="28">
        <v>175</v>
      </c>
      <c r="AE121" s="13">
        <f t="shared" si="55"/>
        <v>0.39999999999999991</v>
      </c>
      <c r="AF121" s="12">
        <f t="shared" si="39"/>
        <v>70</v>
      </c>
      <c r="AG121" s="30" t="s">
        <v>72</v>
      </c>
      <c r="AH121" s="17"/>
      <c r="AI121" s="16"/>
      <c r="AJ121" s="2">
        <f t="shared" ref="AJ121:AJ184" si="56">+IFERROR(ROUND(K121*(1+AJ$2),0),"-")</f>
        <v>90</v>
      </c>
      <c r="AK121" s="2">
        <f t="shared" ref="AK121:AK184" si="57">+IFERROR(ROUND(Q121*(1+AK$2),0),"-")</f>
        <v>288</v>
      </c>
      <c r="AL121" s="2">
        <f t="shared" ref="AL121:AL184" si="58">+IFERROR(ROUND(AC121*(1+AL$2),0),"-")</f>
        <v>270</v>
      </c>
      <c r="AM121" s="2">
        <f t="shared" ref="AM121:AM184" si="59">+IFERROR(ROUND(W121*(1+AM$2),0),"-")</f>
        <v>238</v>
      </c>
    </row>
    <row r="122" spans="1:40" outlineLevel="1" x14ac:dyDescent="0.25">
      <c r="A122" t="s">
        <v>35</v>
      </c>
      <c r="B122" s="7" t="str">
        <f t="shared" si="51"/>
        <v>Seite außen SY32 (580x1080)</v>
      </c>
      <c r="C122">
        <v>3207</v>
      </c>
      <c r="D122" s="7" t="s">
        <v>48</v>
      </c>
      <c r="E122">
        <v>580</v>
      </c>
      <c r="F122">
        <v>1080</v>
      </c>
      <c r="I122" s="45">
        <f t="shared" si="40"/>
        <v>0.62639999999999996</v>
      </c>
      <c r="J122" s="46">
        <f t="shared" si="41"/>
        <v>3.3200000000000003</v>
      </c>
      <c r="K122" s="62">
        <f t="shared" si="42"/>
        <v>119</v>
      </c>
      <c r="L122" s="28">
        <v>85</v>
      </c>
      <c r="M122" s="13">
        <f t="shared" si="52"/>
        <v>0.39999999999999991</v>
      </c>
      <c r="N122" s="12">
        <f t="shared" si="36"/>
        <v>34</v>
      </c>
      <c r="O122" s="30" t="s">
        <v>72</v>
      </c>
      <c r="Q122" s="62">
        <f t="shared" si="43"/>
        <v>377</v>
      </c>
      <c r="R122" s="28">
        <v>266</v>
      </c>
      <c r="S122" s="13">
        <f t="shared" si="53"/>
        <v>0.41729323308270683</v>
      </c>
      <c r="T122" s="12">
        <f t="shared" si="37"/>
        <v>111</v>
      </c>
      <c r="U122" s="30" t="s">
        <v>72</v>
      </c>
      <c r="V122" s="30"/>
      <c r="W122" s="62">
        <f t="shared" si="44"/>
        <v>300</v>
      </c>
      <c r="X122" s="28">
        <v>216</v>
      </c>
      <c r="Y122" s="13">
        <f t="shared" si="54"/>
        <v>0.38888888888888884</v>
      </c>
      <c r="Z122" s="12">
        <f t="shared" si="38"/>
        <v>84</v>
      </c>
      <c r="AA122" s="30" t="s">
        <v>72</v>
      </c>
      <c r="AB122" s="64"/>
      <c r="AC122" s="62">
        <f t="shared" si="45"/>
        <v>307</v>
      </c>
      <c r="AD122" s="28">
        <v>221</v>
      </c>
      <c r="AE122" s="13">
        <f t="shared" si="55"/>
        <v>0.38914027149321262</v>
      </c>
      <c r="AF122" s="12">
        <f t="shared" si="39"/>
        <v>86</v>
      </c>
      <c r="AG122" s="30" t="s">
        <v>72</v>
      </c>
      <c r="AH122" s="17"/>
      <c r="AI122" s="16"/>
      <c r="AJ122" s="2">
        <f t="shared" si="56"/>
        <v>131</v>
      </c>
      <c r="AK122" s="2">
        <f t="shared" si="57"/>
        <v>415</v>
      </c>
      <c r="AL122" s="2">
        <f t="shared" si="58"/>
        <v>338</v>
      </c>
      <c r="AM122" s="2">
        <f t="shared" si="59"/>
        <v>330</v>
      </c>
    </row>
    <row r="123" spans="1:40" outlineLevel="1" x14ac:dyDescent="0.25">
      <c r="A123" t="s">
        <v>35</v>
      </c>
      <c r="B123" s="7" t="str">
        <f t="shared" si="51"/>
        <v>Seite außen SY32 (580x1440)</v>
      </c>
      <c r="C123">
        <v>3208</v>
      </c>
      <c r="D123" s="7" t="s">
        <v>48</v>
      </c>
      <c r="E123">
        <v>580</v>
      </c>
      <c r="F123">
        <v>1440</v>
      </c>
      <c r="I123" s="45">
        <f t="shared" si="40"/>
        <v>0.83519999999999994</v>
      </c>
      <c r="J123" s="46">
        <f t="shared" si="41"/>
        <v>4.04</v>
      </c>
      <c r="K123" s="62">
        <f t="shared" si="42"/>
        <v>158</v>
      </c>
      <c r="L123" s="28">
        <v>114</v>
      </c>
      <c r="M123" s="13">
        <f t="shared" si="52"/>
        <v>0.38596491228070184</v>
      </c>
      <c r="N123" s="12">
        <f t="shared" si="36"/>
        <v>44</v>
      </c>
      <c r="O123" s="30" t="s">
        <v>72</v>
      </c>
      <c r="Q123" s="62">
        <f t="shared" si="43"/>
        <v>484</v>
      </c>
      <c r="R123" s="28">
        <v>345</v>
      </c>
      <c r="S123" s="13">
        <f t="shared" si="53"/>
        <v>0.40289855072463765</v>
      </c>
      <c r="T123" s="12">
        <f t="shared" si="37"/>
        <v>139</v>
      </c>
      <c r="U123" s="30" t="s">
        <v>72</v>
      </c>
      <c r="V123" s="30"/>
      <c r="W123" s="62">
        <f t="shared" si="44"/>
        <v>400</v>
      </c>
      <c r="X123" s="28">
        <v>290</v>
      </c>
      <c r="Y123" s="13">
        <f t="shared" si="54"/>
        <v>0.3793103448275863</v>
      </c>
      <c r="Z123" s="12">
        <f t="shared" si="38"/>
        <v>110</v>
      </c>
      <c r="AA123" s="30" t="s">
        <v>72</v>
      </c>
      <c r="AB123" s="64"/>
      <c r="AC123" s="62">
        <f t="shared" si="45"/>
        <v>752</v>
      </c>
      <c r="AD123" s="28" t="s">
        <v>63</v>
      </c>
      <c r="AE123" s="13" t="str">
        <f t="shared" si="55"/>
        <v>-</v>
      </c>
      <c r="AF123" s="12" t="str">
        <f t="shared" si="39"/>
        <v>-</v>
      </c>
      <c r="AG123" s="30" t="s">
        <v>72</v>
      </c>
      <c r="AH123" s="17"/>
      <c r="AI123" s="16"/>
      <c r="AJ123" s="2">
        <f t="shared" si="56"/>
        <v>174</v>
      </c>
      <c r="AK123" s="2">
        <f t="shared" si="57"/>
        <v>532</v>
      </c>
      <c r="AL123" s="2">
        <f t="shared" si="58"/>
        <v>827</v>
      </c>
      <c r="AM123" s="2">
        <f t="shared" si="59"/>
        <v>440</v>
      </c>
    </row>
    <row r="124" spans="1:40" outlineLevel="1" x14ac:dyDescent="0.25">
      <c r="A124" t="s">
        <v>35</v>
      </c>
      <c r="B124" s="7" t="str">
        <f t="shared" si="51"/>
        <v>Seite außen SY32 (580x1800)</v>
      </c>
      <c r="C124">
        <v>3209</v>
      </c>
      <c r="D124" s="7" t="s">
        <v>48</v>
      </c>
      <c r="E124">
        <v>580</v>
      </c>
      <c r="F124">
        <v>1800</v>
      </c>
      <c r="I124" s="45">
        <f t="shared" si="40"/>
        <v>1.044</v>
      </c>
      <c r="J124" s="46">
        <f t="shared" si="41"/>
        <v>4.76</v>
      </c>
      <c r="K124" s="62">
        <f t="shared" si="42"/>
        <v>197</v>
      </c>
      <c r="L124" s="28">
        <v>143</v>
      </c>
      <c r="M124" s="13">
        <f t="shared" si="52"/>
        <v>0.37762237762237771</v>
      </c>
      <c r="N124" s="12">
        <f t="shared" si="36"/>
        <v>54</v>
      </c>
      <c r="O124" s="30" t="s">
        <v>72</v>
      </c>
      <c r="Q124" s="62">
        <f t="shared" si="43"/>
        <v>388</v>
      </c>
      <c r="R124" s="28" t="s">
        <v>63</v>
      </c>
      <c r="S124" s="47"/>
      <c r="T124" s="50"/>
      <c r="U124" s="51"/>
      <c r="V124" s="51"/>
      <c r="W124" s="62">
        <f t="shared" si="44"/>
        <v>467</v>
      </c>
      <c r="X124" s="28">
        <v>340</v>
      </c>
      <c r="Y124" s="13">
        <f t="shared" si="54"/>
        <v>0.37352941176470589</v>
      </c>
      <c r="Z124" s="12">
        <f t="shared" si="38"/>
        <v>127</v>
      </c>
      <c r="AA124" s="30" t="s">
        <v>72</v>
      </c>
      <c r="AB124" s="64"/>
      <c r="AC124" s="62">
        <f t="shared" si="45"/>
        <v>879</v>
      </c>
      <c r="AD124" s="28" t="s">
        <v>63</v>
      </c>
      <c r="AE124" s="13" t="str">
        <f t="shared" si="55"/>
        <v>-</v>
      </c>
      <c r="AF124" s="12" t="str">
        <f t="shared" si="39"/>
        <v>-</v>
      </c>
      <c r="AG124" s="30" t="s">
        <v>72</v>
      </c>
      <c r="AH124" s="17"/>
      <c r="AI124" s="16"/>
      <c r="AJ124" s="2">
        <f t="shared" si="56"/>
        <v>217</v>
      </c>
      <c r="AK124" s="2">
        <f t="shared" si="57"/>
        <v>427</v>
      </c>
      <c r="AL124" s="2">
        <f t="shared" si="58"/>
        <v>967</v>
      </c>
      <c r="AM124" s="2">
        <f t="shared" si="59"/>
        <v>514</v>
      </c>
    </row>
    <row r="125" spans="1:40" outlineLevel="1" x14ac:dyDescent="0.25">
      <c r="A125" t="s">
        <v>35</v>
      </c>
      <c r="B125" s="7" t="str">
        <f t="shared" si="51"/>
        <v>Seite außen SY32 (180x780)</v>
      </c>
      <c r="C125">
        <v>3210</v>
      </c>
      <c r="D125" s="7" t="s">
        <v>48</v>
      </c>
      <c r="E125">
        <v>180</v>
      </c>
      <c r="F125">
        <v>780</v>
      </c>
      <c r="I125" s="45">
        <f t="shared" si="40"/>
        <v>0.28079999999999999</v>
      </c>
      <c r="J125" s="46">
        <f t="shared" si="41"/>
        <v>2.2800000000000002</v>
      </c>
      <c r="K125" s="62">
        <f t="shared" si="42"/>
        <v>56</v>
      </c>
      <c r="L125" s="28">
        <v>38</v>
      </c>
      <c r="M125" s="13">
        <f t="shared" si="52"/>
        <v>0.47368421052631571</v>
      </c>
      <c r="N125" s="12">
        <f t="shared" si="36"/>
        <v>18</v>
      </c>
      <c r="O125" s="30" t="s">
        <v>72</v>
      </c>
      <c r="Q125" s="62">
        <f t="shared" si="43"/>
        <v>185</v>
      </c>
      <c r="R125" s="28">
        <v>123</v>
      </c>
      <c r="S125" s="13">
        <f t="shared" si="53"/>
        <v>0.50406504065040658</v>
      </c>
      <c r="T125" s="12">
        <f t="shared" si="37"/>
        <v>62</v>
      </c>
      <c r="U125" s="30" t="s">
        <v>72</v>
      </c>
      <c r="V125" s="30"/>
      <c r="W125" s="62">
        <f t="shared" si="44"/>
        <v>144</v>
      </c>
      <c r="X125" s="28">
        <v>100</v>
      </c>
      <c r="Y125" s="13">
        <f t="shared" si="54"/>
        <v>0.43999999999999995</v>
      </c>
      <c r="Z125" s="12">
        <f t="shared" si="38"/>
        <v>44</v>
      </c>
      <c r="AA125" s="12"/>
      <c r="AB125" s="64"/>
      <c r="AC125" s="62">
        <f t="shared" si="45"/>
        <v>212</v>
      </c>
      <c r="AD125" s="28">
        <v>150</v>
      </c>
      <c r="AE125" s="13">
        <f t="shared" si="55"/>
        <v>0.41333333333333333</v>
      </c>
      <c r="AF125" s="12">
        <f t="shared" si="39"/>
        <v>62</v>
      </c>
      <c r="AG125" s="30" t="s">
        <v>72</v>
      </c>
      <c r="AH125" s="17"/>
      <c r="AI125" s="16"/>
      <c r="AJ125" s="2">
        <f t="shared" si="56"/>
        <v>62</v>
      </c>
      <c r="AK125" s="2">
        <f t="shared" si="57"/>
        <v>204</v>
      </c>
      <c r="AL125" s="2">
        <f t="shared" si="58"/>
        <v>233</v>
      </c>
      <c r="AM125" s="2">
        <f t="shared" si="59"/>
        <v>158</v>
      </c>
    </row>
    <row r="126" spans="1:40" outlineLevel="1" x14ac:dyDescent="0.25">
      <c r="A126" t="s">
        <v>35</v>
      </c>
      <c r="B126" s="7" t="str">
        <f t="shared" si="51"/>
        <v>Seite außen SY32 (180x980)</v>
      </c>
      <c r="C126">
        <v>3211</v>
      </c>
      <c r="D126" s="7" t="s">
        <v>48</v>
      </c>
      <c r="E126">
        <v>180</v>
      </c>
      <c r="F126">
        <v>980</v>
      </c>
      <c r="I126" s="45">
        <f t="shared" si="40"/>
        <v>0.3528</v>
      </c>
      <c r="J126" s="46">
        <f t="shared" si="41"/>
        <v>2.6799999999999997</v>
      </c>
      <c r="K126" s="62">
        <f t="shared" si="42"/>
        <v>70</v>
      </c>
      <c r="L126" s="28">
        <v>48</v>
      </c>
      <c r="M126" s="13">
        <f t="shared" si="52"/>
        <v>0.45833333333333326</v>
      </c>
      <c r="N126" s="12">
        <f t="shared" si="36"/>
        <v>22</v>
      </c>
      <c r="O126" s="30" t="s">
        <v>72</v>
      </c>
      <c r="Q126" s="62">
        <f t="shared" si="43"/>
        <v>223</v>
      </c>
      <c r="R126" s="28">
        <v>151</v>
      </c>
      <c r="S126" s="13">
        <f t="shared" si="53"/>
        <v>0.47682119205298013</v>
      </c>
      <c r="T126" s="12">
        <f t="shared" si="37"/>
        <v>72</v>
      </c>
      <c r="U126" s="30" t="s">
        <v>72</v>
      </c>
      <c r="V126" s="30"/>
      <c r="W126" s="62">
        <f t="shared" si="44"/>
        <v>174</v>
      </c>
      <c r="X126" s="28">
        <v>122</v>
      </c>
      <c r="Y126" s="13">
        <f t="shared" si="54"/>
        <v>0.42622950819672134</v>
      </c>
      <c r="Z126" s="12">
        <f t="shared" si="38"/>
        <v>52</v>
      </c>
      <c r="AA126" s="12"/>
      <c r="AB126" s="64"/>
      <c r="AC126" s="62">
        <f t="shared" si="45"/>
        <v>229</v>
      </c>
      <c r="AD126" s="28">
        <v>163</v>
      </c>
      <c r="AE126" s="13">
        <f t="shared" si="55"/>
        <v>0.4049079754601228</v>
      </c>
      <c r="AF126" s="12">
        <f t="shared" si="39"/>
        <v>66</v>
      </c>
      <c r="AG126" s="30" t="s">
        <v>72</v>
      </c>
      <c r="AH126" s="17"/>
      <c r="AI126" s="16"/>
      <c r="AJ126" s="2">
        <f t="shared" si="56"/>
        <v>77</v>
      </c>
      <c r="AK126" s="2">
        <f t="shared" si="57"/>
        <v>245</v>
      </c>
      <c r="AL126" s="2">
        <f t="shared" si="58"/>
        <v>252</v>
      </c>
      <c r="AM126" s="2">
        <f t="shared" si="59"/>
        <v>191</v>
      </c>
    </row>
    <row r="127" spans="1:40" outlineLevel="1" x14ac:dyDescent="0.25">
      <c r="A127" t="s">
        <v>35</v>
      </c>
      <c r="B127" s="7" t="str">
        <f t="shared" si="51"/>
        <v>Seite außen SY32 (360x780)</v>
      </c>
      <c r="C127">
        <v>3212</v>
      </c>
      <c r="D127" s="7" t="s">
        <v>48</v>
      </c>
      <c r="E127">
        <v>360</v>
      </c>
      <c r="F127">
        <v>780</v>
      </c>
      <c r="I127" s="45">
        <f t="shared" si="40"/>
        <v>0.28079999999999999</v>
      </c>
      <c r="J127" s="46">
        <f t="shared" si="41"/>
        <v>2.2800000000000002</v>
      </c>
      <c r="K127" s="62">
        <f t="shared" si="42"/>
        <v>56</v>
      </c>
      <c r="L127" s="28">
        <v>38</v>
      </c>
      <c r="M127" s="13">
        <f t="shared" si="52"/>
        <v>0.47368421052631571</v>
      </c>
      <c r="N127" s="12">
        <f t="shared" si="36"/>
        <v>18</v>
      </c>
      <c r="O127" s="30" t="s">
        <v>72</v>
      </c>
      <c r="Q127" s="62">
        <f t="shared" si="43"/>
        <v>185</v>
      </c>
      <c r="R127" s="28">
        <v>123</v>
      </c>
      <c r="S127" s="13">
        <f t="shared" si="53"/>
        <v>0.50406504065040658</v>
      </c>
      <c r="T127" s="12">
        <f t="shared" si="37"/>
        <v>62</v>
      </c>
      <c r="U127" s="30" t="s">
        <v>72</v>
      </c>
      <c r="V127" s="30"/>
      <c r="W127" s="62">
        <f t="shared" si="44"/>
        <v>144</v>
      </c>
      <c r="X127" s="28">
        <v>100</v>
      </c>
      <c r="Y127" s="13">
        <f t="shared" si="54"/>
        <v>0.43999999999999995</v>
      </c>
      <c r="Z127" s="12">
        <f t="shared" si="38"/>
        <v>44</v>
      </c>
      <c r="AA127" s="12"/>
      <c r="AB127" s="64"/>
      <c r="AC127" s="62">
        <f t="shared" si="45"/>
        <v>190</v>
      </c>
      <c r="AD127" s="28">
        <v>134</v>
      </c>
      <c r="AE127" s="13">
        <f t="shared" si="55"/>
        <v>0.41791044776119413</v>
      </c>
      <c r="AF127" s="12">
        <f t="shared" si="39"/>
        <v>56</v>
      </c>
      <c r="AG127" s="30" t="s">
        <v>72</v>
      </c>
      <c r="AH127" s="17"/>
      <c r="AI127" s="16"/>
      <c r="AJ127" s="2">
        <f t="shared" si="56"/>
        <v>62</v>
      </c>
      <c r="AK127" s="2">
        <f t="shared" si="57"/>
        <v>204</v>
      </c>
      <c r="AL127" s="2">
        <f t="shared" si="58"/>
        <v>209</v>
      </c>
      <c r="AM127" s="2">
        <f t="shared" si="59"/>
        <v>158</v>
      </c>
    </row>
    <row r="128" spans="1:40" outlineLevel="1" x14ac:dyDescent="0.25">
      <c r="A128" t="s">
        <v>35</v>
      </c>
      <c r="B128" s="7" t="str">
        <f t="shared" si="51"/>
        <v>Seite außen SY32 (360x980)</v>
      </c>
      <c r="C128">
        <v>3213</v>
      </c>
      <c r="D128" s="7" t="s">
        <v>48</v>
      </c>
      <c r="E128">
        <v>360</v>
      </c>
      <c r="F128">
        <v>980</v>
      </c>
      <c r="I128" s="45">
        <f t="shared" si="40"/>
        <v>0.3528</v>
      </c>
      <c r="J128" s="46">
        <f t="shared" si="41"/>
        <v>2.6799999999999997</v>
      </c>
      <c r="K128" s="62">
        <f t="shared" si="42"/>
        <v>70</v>
      </c>
      <c r="L128" s="28">
        <v>48</v>
      </c>
      <c r="M128" s="13">
        <f t="shared" si="52"/>
        <v>0.45833333333333326</v>
      </c>
      <c r="N128" s="12">
        <f t="shared" si="36"/>
        <v>22</v>
      </c>
      <c r="O128" s="30" t="s">
        <v>72</v>
      </c>
      <c r="Q128" s="62">
        <f t="shared" si="43"/>
        <v>223</v>
      </c>
      <c r="R128" s="28">
        <v>151</v>
      </c>
      <c r="S128" s="13">
        <f t="shared" si="53"/>
        <v>0.47682119205298013</v>
      </c>
      <c r="T128" s="12">
        <f t="shared" si="37"/>
        <v>72</v>
      </c>
      <c r="U128" s="30" t="s">
        <v>72</v>
      </c>
      <c r="V128" s="30"/>
      <c r="W128" s="62">
        <f t="shared" si="44"/>
        <v>174</v>
      </c>
      <c r="X128" s="28">
        <v>122</v>
      </c>
      <c r="Y128" s="13">
        <f t="shared" si="54"/>
        <v>0.42622950819672134</v>
      </c>
      <c r="Z128" s="12">
        <f t="shared" si="38"/>
        <v>52</v>
      </c>
      <c r="AA128" s="12"/>
      <c r="AB128" s="64"/>
      <c r="AC128" s="62">
        <f t="shared" si="45"/>
        <v>209</v>
      </c>
      <c r="AD128" s="28">
        <v>148</v>
      </c>
      <c r="AE128" s="13">
        <f t="shared" si="55"/>
        <v>0.41216216216216206</v>
      </c>
      <c r="AF128" s="12">
        <f t="shared" si="39"/>
        <v>61</v>
      </c>
      <c r="AG128" s="30" t="s">
        <v>72</v>
      </c>
      <c r="AH128" s="17"/>
      <c r="AI128" s="16"/>
      <c r="AJ128" s="2">
        <f t="shared" si="56"/>
        <v>77</v>
      </c>
      <c r="AK128" s="2">
        <f t="shared" si="57"/>
        <v>245</v>
      </c>
      <c r="AL128" s="2">
        <f t="shared" si="58"/>
        <v>230</v>
      </c>
      <c r="AM128" s="2">
        <f t="shared" si="59"/>
        <v>191</v>
      </c>
    </row>
    <row r="129" spans="1:39" outlineLevel="1" x14ac:dyDescent="0.25">
      <c r="A129" t="s">
        <v>35</v>
      </c>
      <c r="B129" s="7" t="str">
        <f t="shared" si="51"/>
        <v>Seite außen SY32 (720x780)</v>
      </c>
      <c r="C129">
        <v>3214</v>
      </c>
      <c r="D129" s="7" t="s">
        <v>48</v>
      </c>
      <c r="E129">
        <v>720</v>
      </c>
      <c r="F129">
        <v>780</v>
      </c>
      <c r="I129" s="45">
        <f t="shared" si="40"/>
        <v>0.56159999999999999</v>
      </c>
      <c r="J129" s="46">
        <f t="shared" si="41"/>
        <v>3</v>
      </c>
      <c r="K129" s="62">
        <f t="shared" si="42"/>
        <v>107</v>
      </c>
      <c r="L129" s="28">
        <v>76</v>
      </c>
      <c r="M129" s="13">
        <f t="shared" si="52"/>
        <v>0.40789473684210531</v>
      </c>
      <c r="N129" s="12">
        <f t="shared" si="36"/>
        <v>31</v>
      </c>
      <c r="O129" s="30" t="s">
        <v>72</v>
      </c>
      <c r="Q129" s="62">
        <f t="shared" si="43"/>
        <v>355</v>
      </c>
      <c r="R129" s="28">
        <v>249</v>
      </c>
      <c r="S129" s="13">
        <f t="shared" si="53"/>
        <v>0.42570281124497988</v>
      </c>
      <c r="T129" s="12">
        <f t="shared" si="37"/>
        <v>106</v>
      </c>
      <c r="U129" s="30" t="s">
        <v>72</v>
      </c>
      <c r="V129" s="30"/>
      <c r="W129" s="62">
        <f t="shared" si="44"/>
        <v>277</v>
      </c>
      <c r="X129" s="28">
        <v>199</v>
      </c>
      <c r="Y129" s="13">
        <f t="shared" si="54"/>
        <v>0.3919597989949748</v>
      </c>
      <c r="Z129" s="12">
        <f t="shared" si="38"/>
        <v>78</v>
      </c>
      <c r="AA129" s="12"/>
      <c r="AB129" s="64"/>
      <c r="AC129" s="62">
        <f t="shared" si="45"/>
        <v>268</v>
      </c>
      <c r="AD129" s="28">
        <v>192</v>
      </c>
      <c r="AE129" s="13">
        <f t="shared" si="55"/>
        <v>0.39583333333333326</v>
      </c>
      <c r="AF129" s="12">
        <f t="shared" si="39"/>
        <v>76</v>
      </c>
      <c r="AG129" s="30" t="s">
        <v>72</v>
      </c>
      <c r="AH129" s="17"/>
      <c r="AI129" s="16"/>
      <c r="AJ129" s="2">
        <f t="shared" si="56"/>
        <v>118</v>
      </c>
      <c r="AK129" s="2">
        <f t="shared" si="57"/>
        <v>391</v>
      </c>
      <c r="AL129" s="2">
        <f t="shared" si="58"/>
        <v>295</v>
      </c>
      <c r="AM129" s="2">
        <f t="shared" si="59"/>
        <v>305</v>
      </c>
    </row>
    <row r="130" spans="1:39" outlineLevel="1" x14ac:dyDescent="0.25">
      <c r="A130" t="s">
        <v>35</v>
      </c>
      <c r="B130" s="7" t="str">
        <f t="shared" si="51"/>
        <v>Seite außen SY32 (720x980)</v>
      </c>
      <c r="C130">
        <v>3215</v>
      </c>
      <c r="D130" s="7" t="s">
        <v>48</v>
      </c>
      <c r="E130">
        <v>720</v>
      </c>
      <c r="F130">
        <v>980</v>
      </c>
      <c r="I130" s="45">
        <f t="shared" si="40"/>
        <v>0.7056</v>
      </c>
      <c r="J130" s="46">
        <f t="shared" si="41"/>
        <v>3.4</v>
      </c>
      <c r="K130" s="62">
        <f t="shared" si="42"/>
        <v>134</v>
      </c>
      <c r="L130" s="28">
        <v>96</v>
      </c>
      <c r="M130" s="13">
        <f t="shared" si="52"/>
        <v>0.39583333333333326</v>
      </c>
      <c r="N130" s="12">
        <f t="shared" si="36"/>
        <v>38</v>
      </c>
      <c r="O130" s="30" t="s">
        <v>72</v>
      </c>
      <c r="Q130" s="62">
        <f t="shared" si="43"/>
        <v>406</v>
      </c>
      <c r="R130" s="28">
        <v>287</v>
      </c>
      <c r="S130" s="13">
        <f t="shared" si="53"/>
        <v>0.41463414634146334</v>
      </c>
      <c r="T130" s="12">
        <f t="shared" si="37"/>
        <v>119</v>
      </c>
      <c r="U130" s="30" t="s">
        <v>72</v>
      </c>
      <c r="V130" s="30"/>
      <c r="W130" s="62">
        <f t="shared" si="44"/>
        <v>320</v>
      </c>
      <c r="X130" s="28">
        <v>231</v>
      </c>
      <c r="Y130" s="13">
        <f t="shared" si="54"/>
        <v>0.38528138528138522</v>
      </c>
      <c r="Z130" s="12">
        <f t="shared" si="38"/>
        <v>89</v>
      </c>
      <c r="AA130" s="12"/>
      <c r="AB130" s="64"/>
      <c r="AC130" s="62">
        <f t="shared" si="45"/>
        <v>329</v>
      </c>
      <c r="AD130" s="28">
        <v>237</v>
      </c>
      <c r="AE130" s="13">
        <f t="shared" si="55"/>
        <v>0.38818565400843874</v>
      </c>
      <c r="AF130" s="12">
        <f t="shared" si="39"/>
        <v>92</v>
      </c>
      <c r="AG130" s="30" t="s">
        <v>72</v>
      </c>
      <c r="AH130" s="17"/>
      <c r="AI130" s="16"/>
      <c r="AJ130" s="2">
        <f t="shared" si="56"/>
        <v>147</v>
      </c>
      <c r="AK130" s="2">
        <f t="shared" si="57"/>
        <v>447</v>
      </c>
      <c r="AL130" s="2">
        <f t="shared" si="58"/>
        <v>362</v>
      </c>
      <c r="AM130" s="2">
        <f t="shared" si="59"/>
        <v>352</v>
      </c>
    </row>
    <row r="131" spans="1:39" outlineLevel="1" x14ac:dyDescent="0.25">
      <c r="A131" t="s">
        <v>35</v>
      </c>
      <c r="B131" s="7" t="str">
        <f t="shared" si="51"/>
        <v>Seite außen SY32 (1080x780)</v>
      </c>
      <c r="C131">
        <v>3216</v>
      </c>
      <c r="D131" s="7" t="s">
        <v>48</v>
      </c>
      <c r="E131">
        <v>1080</v>
      </c>
      <c r="F131">
        <v>780</v>
      </c>
      <c r="I131" s="45">
        <f t="shared" si="40"/>
        <v>0.84240000000000004</v>
      </c>
      <c r="J131" s="46">
        <f t="shared" si="41"/>
        <v>3.72</v>
      </c>
      <c r="K131" s="62">
        <f t="shared" si="42"/>
        <v>161</v>
      </c>
      <c r="L131" s="28">
        <v>116</v>
      </c>
      <c r="M131" s="13">
        <f t="shared" si="52"/>
        <v>0.38793103448275867</v>
      </c>
      <c r="N131" s="12">
        <f t="shared" si="36"/>
        <v>45</v>
      </c>
      <c r="O131" s="30" t="s">
        <v>72</v>
      </c>
      <c r="Q131" s="62">
        <f t="shared" si="43"/>
        <v>517</v>
      </c>
      <c r="R131" s="28">
        <v>370</v>
      </c>
      <c r="S131" s="13">
        <f t="shared" si="53"/>
        <v>0.39729729729729724</v>
      </c>
      <c r="T131" s="12">
        <f t="shared" si="37"/>
        <v>147</v>
      </c>
      <c r="U131" s="30" t="s">
        <v>72</v>
      </c>
      <c r="V131" s="30"/>
      <c r="W131" s="62">
        <f t="shared" si="44"/>
        <v>409</v>
      </c>
      <c r="X131" s="28">
        <v>297</v>
      </c>
      <c r="Y131" s="13">
        <f t="shared" si="54"/>
        <v>0.37710437710437716</v>
      </c>
      <c r="Z131" s="12">
        <f t="shared" si="38"/>
        <v>112</v>
      </c>
      <c r="AA131" s="12"/>
      <c r="AB131" s="64"/>
      <c r="AC131" s="62">
        <f t="shared" si="45"/>
        <v>385</v>
      </c>
      <c r="AD131" s="28">
        <v>279</v>
      </c>
      <c r="AE131" s="13">
        <f t="shared" si="55"/>
        <v>0.37992831541218641</v>
      </c>
      <c r="AF131" s="12">
        <f t="shared" si="39"/>
        <v>106</v>
      </c>
      <c r="AG131" s="30" t="s">
        <v>72</v>
      </c>
      <c r="AH131" s="17"/>
      <c r="AI131" s="16"/>
      <c r="AJ131" s="2">
        <f t="shared" si="56"/>
        <v>177</v>
      </c>
      <c r="AK131" s="2">
        <f t="shared" si="57"/>
        <v>569</v>
      </c>
      <c r="AL131" s="2">
        <f t="shared" si="58"/>
        <v>424</v>
      </c>
      <c r="AM131" s="2">
        <f t="shared" si="59"/>
        <v>450</v>
      </c>
    </row>
    <row r="132" spans="1:39" outlineLevel="1" x14ac:dyDescent="0.25">
      <c r="A132" t="s">
        <v>35</v>
      </c>
      <c r="B132" s="7" t="str">
        <f t="shared" si="51"/>
        <v>Seite außen SY32 (1080x980)</v>
      </c>
      <c r="C132">
        <v>3217</v>
      </c>
      <c r="D132" s="7" t="s">
        <v>48</v>
      </c>
      <c r="E132">
        <v>1080</v>
      </c>
      <c r="F132">
        <v>980</v>
      </c>
      <c r="I132" s="45">
        <f t="shared" si="40"/>
        <v>1.0584</v>
      </c>
      <c r="J132" s="46">
        <f t="shared" si="41"/>
        <v>4.12</v>
      </c>
      <c r="K132" s="62">
        <f t="shared" si="42"/>
        <v>200</v>
      </c>
      <c r="L132" s="28">
        <v>145</v>
      </c>
      <c r="M132" s="13">
        <f t="shared" si="52"/>
        <v>0.3793103448275863</v>
      </c>
      <c r="N132" s="12">
        <f t="shared" si="36"/>
        <v>55</v>
      </c>
      <c r="O132" s="30" t="s">
        <v>72</v>
      </c>
      <c r="Q132" s="62">
        <f t="shared" si="43"/>
        <v>626</v>
      </c>
      <c r="R132" s="28">
        <v>451</v>
      </c>
      <c r="S132" s="13">
        <f t="shared" si="53"/>
        <v>0.38802660753880258</v>
      </c>
      <c r="T132" s="12">
        <f t="shared" si="37"/>
        <v>175</v>
      </c>
      <c r="U132" s="30" t="s">
        <v>72</v>
      </c>
      <c r="V132" s="30"/>
      <c r="W132" s="62">
        <f t="shared" si="44"/>
        <v>474</v>
      </c>
      <c r="X132" s="28">
        <v>345</v>
      </c>
      <c r="Y132" s="13">
        <f t="shared" si="54"/>
        <v>0.37391304347826093</v>
      </c>
      <c r="Z132" s="12">
        <f t="shared" si="38"/>
        <v>129</v>
      </c>
      <c r="AA132" s="12"/>
      <c r="AB132" s="64"/>
      <c r="AC132" s="62">
        <f t="shared" si="45"/>
        <v>431</v>
      </c>
      <c r="AD132" s="28">
        <v>313</v>
      </c>
      <c r="AE132" s="13">
        <f t="shared" si="55"/>
        <v>0.3769968051118211</v>
      </c>
      <c r="AF132" s="12">
        <f t="shared" si="39"/>
        <v>118</v>
      </c>
      <c r="AG132" s="30" t="s">
        <v>72</v>
      </c>
      <c r="AH132" s="17"/>
      <c r="AI132" s="16"/>
      <c r="AJ132" s="2">
        <f t="shared" si="56"/>
        <v>220</v>
      </c>
      <c r="AK132" s="2">
        <f t="shared" si="57"/>
        <v>689</v>
      </c>
      <c r="AL132" s="2">
        <f t="shared" si="58"/>
        <v>474</v>
      </c>
      <c r="AM132" s="2">
        <f t="shared" si="59"/>
        <v>521</v>
      </c>
    </row>
    <row r="133" spans="1:39" outlineLevel="1" x14ac:dyDescent="0.25">
      <c r="A133" t="s">
        <v>35</v>
      </c>
      <c r="B133" s="7" t="str">
        <f t="shared" si="51"/>
        <v>Seite außen SY32 (1440x780)</v>
      </c>
      <c r="C133">
        <v>3218</v>
      </c>
      <c r="D133" s="7" t="s">
        <v>48</v>
      </c>
      <c r="E133">
        <v>1440</v>
      </c>
      <c r="F133">
        <v>780</v>
      </c>
      <c r="I133" s="45">
        <f t="shared" si="40"/>
        <v>1.1232</v>
      </c>
      <c r="J133" s="46">
        <f t="shared" si="41"/>
        <v>4.4399999999999995</v>
      </c>
      <c r="K133" s="62">
        <f t="shared" si="42"/>
        <v>211</v>
      </c>
      <c r="L133" s="28">
        <v>153</v>
      </c>
      <c r="M133" s="13">
        <f t="shared" si="52"/>
        <v>0.37908496732026142</v>
      </c>
      <c r="N133" s="12">
        <f t="shared" si="36"/>
        <v>58</v>
      </c>
      <c r="O133" s="30" t="s">
        <v>72</v>
      </c>
      <c r="Q133" s="62">
        <f t="shared" si="43"/>
        <v>630</v>
      </c>
      <c r="R133" s="28">
        <v>454</v>
      </c>
      <c r="S133" s="13">
        <f t="shared" si="53"/>
        <v>0.38766519823788537</v>
      </c>
      <c r="T133" s="12">
        <f t="shared" si="37"/>
        <v>176</v>
      </c>
      <c r="U133" s="30" t="s">
        <v>72</v>
      </c>
      <c r="V133" s="30"/>
      <c r="W133" s="62">
        <f t="shared" si="44"/>
        <v>499</v>
      </c>
      <c r="X133" s="28">
        <v>364</v>
      </c>
      <c r="Y133" s="13">
        <f t="shared" si="54"/>
        <v>0.37087912087912089</v>
      </c>
      <c r="Z133" s="12">
        <f t="shared" si="38"/>
        <v>135</v>
      </c>
      <c r="AA133" s="12"/>
      <c r="AB133" s="64"/>
      <c r="AC133" s="62">
        <f t="shared" si="45"/>
        <v>939</v>
      </c>
      <c r="AD133" s="28" t="s">
        <v>63</v>
      </c>
      <c r="AE133" s="13" t="str">
        <f t="shared" si="55"/>
        <v>-</v>
      </c>
      <c r="AF133" s="12" t="str">
        <f t="shared" si="39"/>
        <v>-</v>
      </c>
      <c r="AG133" s="30"/>
      <c r="AH133" s="17"/>
      <c r="AI133" s="16"/>
      <c r="AJ133" s="2">
        <f t="shared" si="56"/>
        <v>232</v>
      </c>
      <c r="AK133" s="2">
        <f t="shared" si="57"/>
        <v>693</v>
      </c>
      <c r="AL133" s="2">
        <f t="shared" si="58"/>
        <v>1033</v>
      </c>
      <c r="AM133" s="2">
        <f t="shared" si="59"/>
        <v>549</v>
      </c>
    </row>
    <row r="134" spans="1:39" outlineLevel="1" x14ac:dyDescent="0.25">
      <c r="A134" t="s">
        <v>35</v>
      </c>
      <c r="B134" s="7" t="str">
        <f t="shared" si="51"/>
        <v>Seite außen SY32 (1440x980)</v>
      </c>
      <c r="C134">
        <v>3219</v>
      </c>
      <c r="D134" s="7" t="s">
        <v>48</v>
      </c>
      <c r="E134">
        <v>1440</v>
      </c>
      <c r="F134">
        <v>980</v>
      </c>
      <c r="I134" s="45">
        <f t="shared" si="40"/>
        <v>1.4112</v>
      </c>
      <c r="J134" s="46">
        <f t="shared" si="41"/>
        <v>4.84</v>
      </c>
      <c r="K134" s="62">
        <f t="shared" si="42"/>
        <v>264</v>
      </c>
      <c r="L134" s="28">
        <v>193</v>
      </c>
      <c r="M134" s="13">
        <f t="shared" si="52"/>
        <v>0.36787564766839376</v>
      </c>
      <c r="N134" s="12">
        <f t="shared" ref="N134:N197" si="60">IFERROR(K134-L134,"-")</f>
        <v>71</v>
      </c>
      <c r="O134" s="30" t="s">
        <v>72</v>
      </c>
      <c r="Q134" s="62">
        <f t="shared" si="43"/>
        <v>778</v>
      </c>
      <c r="R134" s="28">
        <v>564</v>
      </c>
      <c r="S134" s="13">
        <f t="shared" si="53"/>
        <v>0.37943262411347511</v>
      </c>
      <c r="T134" s="12">
        <f t="shared" ref="T134:T192" si="61">IFERROR(Q134-R134,"-")</f>
        <v>214</v>
      </c>
      <c r="U134" s="30" t="s">
        <v>72</v>
      </c>
      <c r="V134" s="30"/>
      <c r="W134" s="62">
        <f t="shared" si="44"/>
        <v>616</v>
      </c>
      <c r="X134" s="28">
        <v>451</v>
      </c>
      <c r="Y134" s="13">
        <f t="shared" si="54"/>
        <v>0.36585365853658547</v>
      </c>
      <c r="Z134" s="12">
        <f t="shared" ref="Z134:Z197" si="62">IFERROR(W134-X134,"-")</f>
        <v>165</v>
      </c>
      <c r="AA134" s="12"/>
      <c r="AB134" s="64"/>
      <c r="AC134" s="62">
        <f t="shared" si="45"/>
        <v>1159</v>
      </c>
      <c r="AD134" s="28" t="s">
        <v>63</v>
      </c>
      <c r="AE134" s="13" t="str">
        <f t="shared" si="55"/>
        <v>-</v>
      </c>
      <c r="AF134" s="12" t="str">
        <f t="shared" ref="AF134:AF197" si="63">IFERROR(AC134-AD134,"-")</f>
        <v>-</v>
      </c>
      <c r="AG134" s="30"/>
      <c r="AH134" s="17"/>
      <c r="AI134" s="16"/>
      <c r="AJ134" s="2">
        <f t="shared" si="56"/>
        <v>290</v>
      </c>
      <c r="AK134" s="2">
        <f t="shared" si="57"/>
        <v>856</v>
      </c>
      <c r="AL134" s="2">
        <f t="shared" si="58"/>
        <v>1275</v>
      </c>
      <c r="AM134" s="2">
        <f t="shared" si="59"/>
        <v>678</v>
      </c>
    </row>
    <row r="135" spans="1:39" outlineLevel="1" x14ac:dyDescent="0.25">
      <c r="A135" t="s">
        <v>35</v>
      </c>
      <c r="B135" s="7" t="str">
        <f t="shared" si="51"/>
        <v>Seite außen SY32 (1800x780)</v>
      </c>
      <c r="C135">
        <v>3220</v>
      </c>
      <c r="D135" s="7" t="s">
        <v>48</v>
      </c>
      <c r="E135">
        <v>1800</v>
      </c>
      <c r="F135">
        <v>780</v>
      </c>
      <c r="I135" s="45">
        <f t="shared" ref="I135:I198" si="64">+IF($E135="","",MAX($E135,360)/1000*MAX($F135,360)/1000)</f>
        <v>1.4039999999999999</v>
      </c>
      <c r="J135" s="46">
        <f t="shared" ref="J135:J198" si="65">IF($F135="","",2*MAX($E135,360)/1000+2*MAX($F135,360)/1000)</f>
        <v>5.16</v>
      </c>
      <c r="K135" s="62">
        <f t="shared" ref="K135:K198" si="66">+IFERROR(MAX($J$5,ROUND(L135*(1+L$2)^N$2+J$2,0)),0)</f>
        <v>264</v>
      </c>
      <c r="L135" s="28">
        <v>193</v>
      </c>
      <c r="M135" s="13">
        <f t="shared" si="52"/>
        <v>0.36787564766839376</v>
      </c>
      <c r="N135" s="12">
        <f t="shared" si="60"/>
        <v>71</v>
      </c>
      <c r="O135" s="30" t="s">
        <v>72</v>
      </c>
      <c r="Q135" s="62">
        <f t="shared" ref="Q135:Q198" si="67">+IFERROR(IF(AND(R135="-",K135&gt;0),ROUND(V$4*K135,0),ROUND(R135*(1+S$2)^U$2+Q$2,0)),0)</f>
        <v>520</v>
      </c>
      <c r="R135" s="28" t="s">
        <v>63</v>
      </c>
      <c r="S135" s="47"/>
      <c r="T135" s="50"/>
      <c r="U135" s="51"/>
      <c r="V135" s="51"/>
      <c r="W135" s="62">
        <f t="shared" ref="W135:W198" si="68">+IFERROR(IF(AND(X135="-",Q135&gt;0),ROUND(AB$4*Q135,0),ROUND(X135*(1+Y$2)^AA$2+W$2,0)),0)</f>
        <v>612</v>
      </c>
      <c r="X135" s="28">
        <v>448</v>
      </c>
      <c r="Y135" s="13">
        <f t="shared" si="54"/>
        <v>0.3660714285714286</v>
      </c>
      <c r="Z135" s="12">
        <f t="shared" si="62"/>
        <v>164</v>
      </c>
      <c r="AA135" s="12"/>
      <c r="AB135" s="64"/>
      <c r="AC135" s="62">
        <f t="shared" ref="AC135:AC198" si="69">+IFERROR(IF(AND(AD135="-",W135&gt;0),ROUND(AH$4*W135,0),ROUND(AD135*(1+AE$2)^AG$2+AC$2,0)),0)</f>
        <v>1151</v>
      </c>
      <c r="AD135" s="28" t="s">
        <v>63</v>
      </c>
      <c r="AE135" s="13" t="str">
        <f t="shared" si="55"/>
        <v>-</v>
      </c>
      <c r="AF135" s="12" t="str">
        <f t="shared" si="63"/>
        <v>-</v>
      </c>
      <c r="AG135" s="12"/>
      <c r="AH135" s="17"/>
      <c r="AI135" s="16"/>
      <c r="AJ135" s="2">
        <f t="shared" si="56"/>
        <v>290</v>
      </c>
      <c r="AK135" s="2">
        <f t="shared" si="57"/>
        <v>572</v>
      </c>
      <c r="AL135" s="2">
        <f t="shared" si="58"/>
        <v>1266</v>
      </c>
      <c r="AM135" s="2">
        <f t="shared" si="59"/>
        <v>673</v>
      </c>
    </row>
    <row r="136" spans="1:39" outlineLevel="1" x14ac:dyDescent="0.25">
      <c r="A136" t="s">
        <v>35</v>
      </c>
      <c r="B136" s="7" t="str">
        <f t="shared" si="51"/>
        <v>Seite außen SY32 (1800x980)</v>
      </c>
      <c r="C136">
        <v>3221</v>
      </c>
      <c r="D136" s="7" t="s">
        <v>48</v>
      </c>
      <c r="E136">
        <v>1800</v>
      </c>
      <c r="F136">
        <v>980</v>
      </c>
      <c r="I136" s="45">
        <f t="shared" si="64"/>
        <v>1.764</v>
      </c>
      <c r="J136" s="46">
        <f t="shared" si="65"/>
        <v>5.5600000000000005</v>
      </c>
      <c r="K136" s="62">
        <f t="shared" si="66"/>
        <v>329</v>
      </c>
      <c r="L136" s="28">
        <v>241</v>
      </c>
      <c r="M136" s="13">
        <f t="shared" si="52"/>
        <v>0.36514522821576767</v>
      </c>
      <c r="N136" s="12">
        <f t="shared" si="60"/>
        <v>88</v>
      </c>
      <c r="O136" s="30" t="s">
        <v>72</v>
      </c>
      <c r="Q136" s="62">
        <f t="shared" si="67"/>
        <v>648</v>
      </c>
      <c r="R136" s="28" t="s">
        <v>63</v>
      </c>
      <c r="S136" s="47"/>
      <c r="T136" s="50"/>
      <c r="U136" s="51"/>
      <c r="V136" s="51"/>
      <c r="W136" s="62">
        <f t="shared" si="68"/>
        <v>753</v>
      </c>
      <c r="X136" s="28">
        <v>553</v>
      </c>
      <c r="Y136" s="13">
        <f t="shared" si="54"/>
        <v>0.36166365280289337</v>
      </c>
      <c r="Z136" s="12">
        <f t="shared" si="62"/>
        <v>200</v>
      </c>
      <c r="AA136" s="12"/>
      <c r="AB136" s="64"/>
      <c r="AC136" s="62">
        <f t="shared" si="69"/>
        <v>1417</v>
      </c>
      <c r="AD136" s="28" t="s">
        <v>63</v>
      </c>
      <c r="AE136" s="13" t="str">
        <f t="shared" si="55"/>
        <v>-</v>
      </c>
      <c r="AF136" s="12" t="str">
        <f t="shared" si="63"/>
        <v>-</v>
      </c>
      <c r="AG136" s="12"/>
      <c r="AH136" s="17"/>
      <c r="AI136" s="16"/>
      <c r="AJ136" s="2">
        <f t="shared" si="56"/>
        <v>362</v>
      </c>
      <c r="AK136" s="2">
        <f t="shared" si="57"/>
        <v>713</v>
      </c>
      <c r="AL136" s="2">
        <f t="shared" si="58"/>
        <v>1559</v>
      </c>
      <c r="AM136" s="2">
        <f t="shared" si="59"/>
        <v>828</v>
      </c>
    </row>
    <row r="137" spans="1:39" outlineLevel="1" x14ac:dyDescent="0.25">
      <c r="A137" t="s">
        <v>35</v>
      </c>
      <c r="B137" s="7" t="str">
        <f t="shared" si="51"/>
        <v>Seite außen SY32 (660x360)</v>
      </c>
      <c r="C137" s="3" t="s">
        <v>15</v>
      </c>
      <c r="D137" s="7" t="s">
        <v>48</v>
      </c>
      <c r="E137">
        <v>660</v>
      </c>
      <c r="F137">
        <v>360</v>
      </c>
      <c r="I137" s="45">
        <f t="shared" si="64"/>
        <v>0.23760000000000003</v>
      </c>
      <c r="J137" s="46">
        <f t="shared" si="65"/>
        <v>2.04</v>
      </c>
      <c r="K137" s="62">
        <f t="shared" si="66"/>
        <v>0</v>
      </c>
      <c r="L137" s="28" t="s">
        <v>63</v>
      </c>
      <c r="M137" s="12" t="str">
        <f t="shared" si="52"/>
        <v>-</v>
      </c>
      <c r="N137" s="12" t="str">
        <f t="shared" si="60"/>
        <v>-</v>
      </c>
      <c r="O137" s="12"/>
      <c r="Q137" s="62">
        <f t="shared" si="67"/>
        <v>0</v>
      </c>
      <c r="R137" s="28" t="s">
        <v>63</v>
      </c>
      <c r="S137" s="12" t="str">
        <f t="shared" si="53"/>
        <v>-</v>
      </c>
      <c r="T137" s="12" t="str">
        <f t="shared" si="61"/>
        <v>-</v>
      </c>
      <c r="U137" s="12"/>
      <c r="V137" s="12"/>
      <c r="W137" s="62">
        <f t="shared" si="68"/>
        <v>0</v>
      </c>
      <c r="X137" s="28" t="s">
        <v>63</v>
      </c>
      <c r="Y137" s="12" t="str">
        <f t="shared" si="54"/>
        <v>-</v>
      </c>
      <c r="Z137" s="12" t="str">
        <f t="shared" si="62"/>
        <v>-</v>
      </c>
      <c r="AA137" s="12"/>
      <c r="AB137" s="64"/>
      <c r="AC137" s="62">
        <f t="shared" si="69"/>
        <v>0</v>
      </c>
      <c r="AD137" s="28" t="s">
        <v>63</v>
      </c>
      <c r="AE137" s="12" t="str">
        <f t="shared" si="55"/>
        <v>-</v>
      </c>
      <c r="AF137" s="12" t="str">
        <f t="shared" si="63"/>
        <v>-</v>
      </c>
      <c r="AG137" s="12"/>
      <c r="AH137" s="17"/>
      <c r="AI137" s="17"/>
      <c r="AJ137" s="2">
        <f t="shared" si="56"/>
        <v>0</v>
      </c>
      <c r="AK137" s="2">
        <f t="shared" si="57"/>
        <v>0</v>
      </c>
      <c r="AL137" s="2">
        <f t="shared" si="58"/>
        <v>0</v>
      </c>
      <c r="AM137" s="2">
        <f t="shared" si="59"/>
        <v>0</v>
      </c>
    </row>
    <row r="138" spans="1:39" outlineLevel="1" x14ac:dyDescent="0.25">
      <c r="A138" t="s">
        <v>35</v>
      </c>
      <c r="B138" s="7" t="str">
        <f t="shared" si="51"/>
        <v xml:space="preserve"> (x)</v>
      </c>
      <c r="C138" s="3">
        <v>3223</v>
      </c>
      <c r="I138" s="45" t="str">
        <f t="shared" si="64"/>
        <v/>
      </c>
      <c r="J138" s="46" t="str">
        <f t="shared" si="65"/>
        <v/>
      </c>
      <c r="K138" s="62">
        <f t="shared" si="66"/>
        <v>0</v>
      </c>
      <c r="L138" s="28" t="s">
        <v>63</v>
      </c>
      <c r="M138" s="12" t="str">
        <f t="shared" si="52"/>
        <v>-</v>
      </c>
      <c r="N138" s="12" t="str">
        <f t="shared" si="60"/>
        <v>-</v>
      </c>
      <c r="O138" s="12"/>
      <c r="Q138" s="62">
        <f t="shared" si="67"/>
        <v>0</v>
      </c>
      <c r="R138" s="28" t="s">
        <v>63</v>
      </c>
      <c r="S138" s="12" t="str">
        <f t="shared" si="53"/>
        <v>-</v>
      </c>
      <c r="T138" s="12" t="str">
        <f t="shared" si="61"/>
        <v>-</v>
      </c>
      <c r="U138" s="12"/>
      <c r="V138" s="12"/>
      <c r="W138" s="62">
        <f t="shared" si="68"/>
        <v>0</v>
      </c>
      <c r="X138" s="28" t="s">
        <v>63</v>
      </c>
      <c r="Y138" s="12" t="str">
        <f t="shared" si="54"/>
        <v>-</v>
      </c>
      <c r="Z138" s="12" t="str">
        <f t="shared" si="62"/>
        <v>-</v>
      </c>
      <c r="AA138" s="12"/>
      <c r="AB138" s="64"/>
      <c r="AC138" s="62">
        <f t="shared" si="69"/>
        <v>0</v>
      </c>
      <c r="AD138" s="28" t="s">
        <v>63</v>
      </c>
      <c r="AE138" s="12" t="str">
        <f t="shared" si="55"/>
        <v>-</v>
      </c>
      <c r="AF138" s="12" t="str">
        <f t="shared" si="63"/>
        <v>-</v>
      </c>
      <c r="AG138" s="12"/>
      <c r="AH138" s="17"/>
      <c r="AI138" s="17"/>
      <c r="AJ138" s="2">
        <f t="shared" si="56"/>
        <v>0</v>
      </c>
      <c r="AK138" s="2">
        <f t="shared" si="57"/>
        <v>0</v>
      </c>
      <c r="AL138" s="2">
        <f t="shared" si="58"/>
        <v>0</v>
      </c>
      <c r="AM138" s="2">
        <f t="shared" si="59"/>
        <v>0</v>
      </c>
    </row>
    <row r="139" spans="1:39" outlineLevel="1" x14ac:dyDescent="0.25">
      <c r="A139" t="s">
        <v>35</v>
      </c>
      <c r="B139" s="7" t="str">
        <f t="shared" si="51"/>
        <v xml:space="preserve"> (x)</v>
      </c>
      <c r="C139" s="3">
        <v>3224</v>
      </c>
      <c r="I139" s="45" t="str">
        <f t="shared" si="64"/>
        <v/>
      </c>
      <c r="J139" s="46" t="str">
        <f t="shared" si="65"/>
        <v/>
      </c>
      <c r="K139" s="62">
        <f t="shared" si="66"/>
        <v>0</v>
      </c>
      <c r="L139" s="28" t="s">
        <v>63</v>
      </c>
      <c r="M139" s="12" t="str">
        <f t="shared" si="52"/>
        <v>-</v>
      </c>
      <c r="N139" s="12" t="str">
        <f t="shared" si="60"/>
        <v>-</v>
      </c>
      <c r="O139" s="12"/>
      <c r="Q139" s="62">
        <f t="shared" si="67"/>
        <v>0</v>
      </c>
      <c r="R139" s="28" t="s">
        <v>63</v>
      </c>
      <c r="S139" s="12" t="str">
        <f t="shared" si="53"/>
        <v>-</v>
      </c>
      <c r="T139" s="12" t="str">
        <f t="shared" si="61"/>
        <v>-</v>
      </c>
      <c r="U139" s="12"/>
      <c r="V139" s="12"/>
      <c r="W139" s="62">
        <f t="shared" si="68"/>
        <v>0</v>
      </c>
      <c r="X139" s="28" t="s">
        <v>63</v>
      </c>
      <c r="Y139" s="12" t="str">
        <f t="shared" si="54"/>
        <v>-</v>
      </c>
      <c r="Z139" s="12" t="str">
        <f t="shared" si="62"/>
        <v>-</v>
      </c>
      <c r="AA139" s="12"/>
      <c r="AB139" s="64"/>
      <c r="AC139" s="62">
        <f t="shared" si="69"/>
        <v>0</v>
      </c>
      <c r="AD139" s="28" t="s">
        <v>63</v>
      </c>
      <c r="AE139" s="12" t="str">
        <f t="shared" si="55"/>
        <v>-</v>
      </c>
      <c r="AF139" s="12" t="str">
        <f t="shared" si="63"/>
        <v>-</v>
      </c>
      <c r="AG139" s="12"/>
      <c r="AH139" s="17"/>
      <c r="AI139" s="17"/>
      <c r="AJ139" s="2">
        <f t="shared" si="56"/>
        <v>0</v>
      </c>
      <c r="AK139" s="2">
        <f t="shared" si="57"/>
        <v>0</v>
      </c>
      <c r="AL139" s="2">
        <f t="shared" si="58"/>
        <v>0</v>
      </c>
      <c r="AM139" s="2">
        <f t="shared" si="59"/>
        <v>0</v>
      </c>
    </row>
    <row r="140" spans="1:39" outlineLevel="1" x14ac:dyDescent="0.25">
      <c r="A140" t="s">
        <v>35</v>
      </c>
      <c r="B140" s="7" t="str">
        <f t="shared" si="51"/>
        <v xml:space="preserve"> (x)</v>
      </c>
      <c r="C140" s="3">
        <v>3225</v>
      </c>
      <c r="I140" s="45" t="str">
        <f t="shared" si="64"/>
        <v/>
      </c>
      <c r="J140" s="46" t="str">
        <f t="shared" si="65"/>
        <v/>
      </c>
      <c r="K140" s="62">
        <f t="shared" si="66"/>
        <v>0</v>
      </c>
      <c r="L140" s="28" t="s">
        <v>63</v>
      </c>
      <c r="M140" s="12" t="str">
        <f t="shared" si="52"/>
        <v>-</v>
      </c>
      <c r="N140" s="12" t="str">
        <f t="shared" si="60"/>
        <v>-</v>
      </c>
      <c r="O140" s="12"/>
      <c r="Q140" s="62">
        <f t="shared" si="67"/>
        <v>0</v>
      </c>
      <c r="R140" s="28" t="s">
        <v>63</v>
      </c>
      <c r="S140" s="12" t="str">
        <f t="shared" si="53"/>
        <v>-</v>
      </c>
      <c r="T140" s="12" t="str">
        <f t="shared" si="61"/>
        <v>-</v>
      </c>
      <c r="U140" s="12"/>
      <c r="V140" s="12"/>
      <c r="W140" s="62">
        <f t="shared" si="68"/>
        <v>0</v>
      </c>
      <c r="X140" s="28" t="s">
        <v>63</v>
      </c>
      <c r="Y140" s="12" t="str">
        <f t="shared" si="54"/>
        <v>-</v>
      </c>
      <c r="Z140" s="12" t="str">
        <f t="shared" si="62"/>
        <v>-</v>
      </c>
      <c r="AA140" s="12"/>
      <c r="AB140" s="64"/>
      <c r="AC140" s="62">
        <f t="shared" si="69"/>
        <v>0</v>
      </c>
      <c r="AD140" s="28" t="s">
        <v>63</v>
      </c>
      <c r="AE140" s="12" t="str">
        <f t="shared" si="55"/>
        <v>-</v>
      </c>
      <c r="AF140" s="12" t="str">
        <f t="shared" si="63"/>
        <v>-</v>
      </c>
      <c r="AG140" s="12"/>
      <c r="AH140" s="17"/>
      <c r="AI140" s="17"/>
      <c r="AJ140" s="2">
        <f t="shared" si="56"/>
        <v>0</v>
      </c>
      <c r="AK140" s="2">
        <f t="shared" si="57"/>
        <v>0</v>
      </c>
      <c r="AL140" s="2">
        <f t="shared" si="58"/>
        <v>0</v>
      </c>
      <c r="AM140" s="2">
        <f t="shared" si="59"/>
        <v>0</v>
      </c>
    </row>
    <row r="141" spans="1:39" outlineLevel="1" x14ac:dyDescent="0.25">
      <c r="A141" t="s">
        <v>35</v>
      </c>
      <c r="B141" s="7" t="str">
        <f t="shared" si="51"/>
        <v xml:space="preserve"> (x)</v>
      </c>
      <c r="C141" s="3">
        <v>3226</v>
      </c>
      <c r="I141" s="45" t="str">
        <f t="shared" si="64"/>
        <v/>
      </c>
      <c r="J141" s="46" t="str">
        <f t="shared" si="65"/>
        <v/>
      </c>
      <c r="K141" s="62">
        <f t="shared" si="66"/>
        <v>0</v>
      </c>
      <c r="L141" s="28" t="s">
        <v>63</v>
      </c>
      <c r="M141" s="12" t="str">
        <f t="shared" si="52"/>
        <v>-</v>
      </c>
      <c r="N141" s="12" t="str">
        <f t="shared" si="60"/>
        <v>-</v>
      </c>
      <c r="O141" s="12"/>
      <c r="Q141" s="62">
        <f t="shared" si="67"/>
        <v>0</v>
      </c>
      <c r="R141" s="28" t="s">
        <v>63</v>
      </c>
      <c r="S141" s="12" t="str">
        <f t="shared" si="53"/>
        <v>-</v>
      </c>
      <c r="T141" s="12" t="str">
        <f t="shared" si="61"/>
        <v>-</v>
      </c>
      <c r="U141" s="12"/>
      <c r="V141" s="12"/>
      <c r="W141" s="62">
        <f t="shared" si="68"/>
        <v>0</v>
      </c>
      <c r="X141" s="28" t="s">
        <v>63</v>
      </c>
      <c r="Y141" s="12" t="str">
        <f t="shared" si="54"/>
        <v>-</v>
      </c>
      <c r="Z141" s="12" t="str">
        <f t="shared" si="62"/>
        <v>-</v>
      </c>
      <c r="AA141" s="12"/>
      <c r="AB141" s="64"/>
      <c r="AC141" s="62">
        <f t="shared" si="69"/>
        <v>0</v>
      </c>
      <c r="AD141" s="28" t="s">
        <v>63</v>
      </c>
      <c r="AE141" s="12" t="str">
        <f t="shared" si="55"/>
        <v>-</v>
      </c>
      <c r="AF141" s="12" t="str">
        <f t="shared" si="63"/>
        <v>-</v>
      </c>
      <c r="AG141" s="12"/>
      <c r="AH141" s="17"/>
      <c r="AI141" s="17"/>
      <c r="AJ141" s="2">
        <f t="shared" si="56"/>
        <v>0</v>
      </c>
      <c r="AK141" s="2">
        <f t="shared" si="57"/>
        <v>0</v>
      </c>
      <c r="AL141" s="2">
        <f t="shared" si="58"/>
        <v>0</v>
      </c>
      <c r="AM141" s="2">
        <f t="shared" si="59"/>
        <v>0</v>
      </c>
    </row>
    <row r="142" spans="1:39" outlineLevel="1" x14ac:dyDescent="0.25">
      <c r="A142" t="s">
        <v>35</v>
      </c>
      <c r="B142" s="7" t="str">
        <f t="shared" si="51"/>
        <v xml:space="preserve"> (x)</v>
      </c>
      <c r="C142" s="3">
        <v>3227</v>
      </c>
      <c r="I142" s="45" t="str">
        <f t="shared" si="64"/>
        <v/>
      </c>
      <c r="J142" s="46" t="str">
        <f t="shared" si="65"/>
        <v/>
      </c>
      <c r="K142" s="62">
        <f t="shared" si="66"/>
        <v>0</v>
      </c>
      <c r="L142" s="28" t="s">
        <v>63</v>
      </c>
      <c r="M142" s="12" t="str">
        <f t="shared" si="52"/>
        <v>-</v>
      </c>
      <c r="N142" s="12" t="str">
        <f t="shared" si="60"/>
        <v>-</v>
      </c>
      <c r="O142" s="12"/>
      <c r="Q142" s="62">
        <f t="shared" si="67"/>
        <v>0</v>
      </c>
      <c r="R142" s="28" t="s">
        <v>63</v>
      </c>
      <c r="S142" s="12" t="str">
        <f t="shared" si="53"/>
        <v>-</v>
      </c>
      <c r="T142" s="12" t="str">
        <f t="shared" si="61"/>
        <v>-</v>
      </c>
      <c r="U142" s="12"/>
      <c r="V142" s="12"/>
      <c r="W142" s="62">
        <f t="shared" si="68"/>
        <v>0</v>
      </c>
      <c r="X142" s="28" t="s">
        <v>63</v>
      </c>
      <c r="Y142" s="12" t="str">
        <f t="shared" si="54"/>
        <v>-</v>
      </c>
      <c r="Z142" s="12" t="str">
        <f t="shared" si="62"/>
        <v>-</v>
      </c>
      <c r="AA142" s="12"/>
      <c r="AB142" s="64"/>
      <c r="AC142" s="62">
        <f t="shared" si="69"/>
        <v>0</v>
      </c>
      <c r="AD142" s="28" t="s">
        <v>63</v>
      </c>
      <c r="AE142" s="12" t="str">
        <f t="shared" si="55"/>
        <v>-</v>
      </c>
      <c r="AF142" s="12" t="str">
        <f t="shared" si="63"/>
        <v>-</v>
      </c>
      <c r="AG142" s="12"/>
      <c r="AH142" s="17"/>
      <c r="AI142" s="17"/>
      <c r="AJ142" s="2">
        <f t="shared" si="56"/>
        <v>0</v>
      </c>
      <c r="AK142" s="2">
        <f t="shared" si="57"/>
        <v>0</v>
      </c>
      <c r="AL142" s="2">
        <f t="shared" si="58"/>
        <v>0</v>
      </c>
      <c r="AM142" s="2">
        <f t="shared" si="59"/>
        <v>0</v>
      </c>
    </row>
    <row r="143" spans="1:39" outlineLevel="1" x14ac:dyDescent="0.25">
      <c r="A143" t="s">
        <v>35</v>
      </c>
      <c r="B143" s="7" t="str">
        <f t="shared" si="51"/>
        <v xml:space="preserve"> (x)</v>
      </c>
      <c r="C143" s="3">
        <v>3228</v>
      </c>
      <c r="I143" s="45" t="str">
        <f t="shared" si="64"/>
        <v/>
      </c>
      <c r="J143" s="46" t="str">
        <f t="shared" si="65"/>
        <v/>
      </c>
      <c r="K143" s="62">
        <f t="shared" si="66"/>
        <v>0</v>
      </c>
      <c r="L143" s="28" t="s">
        <v>63</v>
      </c>
      <c r="M143" s="12" t="str">
        <f t="shared" si="52"/>
        <v>-</v>
      </c>
      <c r="N143" s="12" t="str">
        <f t="shared" si="60"/>
        <v>-</v>
      </c>
      <c r="O143" s="12"/>
      <c r="Q143" s="62">
        <f t="shared" si="67"/>
        <v>0</v>
      </c>
      <c r="R143" s="28" t="s">
        <v>63</v>
      </c>
      <c r="S143" s="12" t="str">
        <f t="shared" si="53"/>
        <v>-</v>
      </c>
      <c r="T143" s="12" t="str">
        <f t="shared" si="61"/>
        <v>-</v>
      </c>
      <c r="U143" s="12"/>
      <c r="V143" s="12"/>
      <c r="W143" s="62">
        <f t="shared" si="68"/>
        <v>0</v>
      </c>
      <c r="X143" s="28" t="s">
        <v>63</v>
      </c>
      <c r="Y143" s="12" t="str">
        <f t="shared" si="54"/>
        <v>-</v>
      </c>
      <c r="Z143" s="12" t="str">
        <f t="shared" si="62"/>
        <v>-</v>
      </c>
      <c r="AA143" s="12"/>
      <c r="AB143" s="64"/>
      <c r="AC143" s="62">
        <f t="shared" si="69"/>
        <v>0</v>
      </c>
      <c r="AD143" s="28" t="s">
        <v>63</v>
      </c>
      <c r="AE143" s="12" t="str">
        <f t="shared" si="55"/>
        <v>-</v>
      </c>
      <c r="AF143" s="12" t="str">
        <f t="shared" si="63"/>
        <v>-</v>
      </c>
      <c r="AG143" s="12"/>
      <c r="AH143" s="17"/>
      <c r="AI143" s="17"/>
      <c r="AJ143" s="2">
        <f t="shared" si="56"/>
        <v>0</v>
      </c>
      <c r="AK143" s="2">
        <f t="shared" si="57"/>
        <v>0</v>
      </c>
      <c r="AL143" s="2">
        <f t="shared" si="58"/>
        <v>0</v>
      </c>
      <c r="AM143" s="2">
        <f t="shared" si="59"/>
        <v>0</v>
      </c>
    </row>
    <row r="144" spans="1:39" outlineLevel="1" x14ac:dyDescent="0.25">
      <c r="A144" t="s">
        <v>35</v>
      </c>
      <c r="B144" s="7" t="str">
        <f t="shared" si="51"/>
        <v xml:space="preserve"> (x)</v>
      </c>
      <c r="C144" s="3">
        <v>3229</v>
      </c>
      <c r="I144" s="45" t="str">
        <f t="shared" si="64"/>
        <v/>
      </c>
      <c r="J144" s="46" t="str">
        <f t="shared" si="65"/>
        <v/>
      </c>
      <c r="K144" s="62">
        <f t="shared" si="66"/>
        <v>0</v>
      </c>
      <c r="L144" s="28" t="s">
        <v>63</v>
      </c>
      <c r="M144" s="12" t="str">
        <f t="shared" si="52"/>
        <v>-</v>
      </c>
      <c r="N144" s="12" t="str">
        <f t="shared" si="60"/>
        <v>-</v>
      </c>
      <c r="O144" s="12"/>
      <c r="Q144" s="62">
        <f t="shared" si="67"/>
        <v>0</v>
      </c>
      <c r="R144" s="28" t="s">
        <v>63</v>
      </c>
      <c r="S144" s="12" t="str">
        <f t="shared" si="53"/>
        <v>-</v>
      </c>
      <c r="T144" s="12" t="str">
        <f t="shared" si="61"/>
        <v>-</v>
      </c>
      <c r="U144" s="12"/>
      <c r="V144" s="12"/>
      <c r="W144" s="62">
        <f t="shared" si="68"/>
        <v>0</v>
      </c>
      <c r="X144" s="28" t="s">
        <v>63</v>
      </c>
      <c r="Y144" s="12" t="str">
        <f t="shared" si="54"/>
        <v>-</v>
      </c>
      <c r="Z144" s="12" t="str">
        <f t="shared" si="62"/>
        <v>-</v>
      </c>
      <c r="AA144" s="12"/>
      <c r="AB144" s="64"/>
      <c r="AC144" s="62">
        <f t="shared" si="69"/>
        <v>0</v>
      </c>
      <c r="AD144" s="28" t="s">
        <v>63</v>
      </c>
      <c r="AE144" s="12" t="str">
        <f t="shared" si="55"/>
        <v>-</v>
      </c>
      <c r="AF144" s="12" t="str">
        <f t="shared" si="63"/>
        <v>-</v>
      </c>
      <c r="AG144" s="12"/>
      <c r="AH144" s="17"/>
      <c r="AI144" s="17"/>
      <c r="AJ144" s="2">
        <f t="shared" si="56"/>
        <v>0</v>
      </c>
      <c r="AK144" s="2">
        <f t="shared" si="57"/>
        <v>0</v>
      </c>
      <c r="AL144" s="2">
        <f t="shared" si="58"/>
        <v>0</v>
      </c>
      <c r="AM144" s="2">
        <f t="shared" si="59"/>
        <v>0</v>
      </c>
    </row>
    <row r="145" spans="1:39" outlineLevel="1" x14ac:dyDescent="0.25">
      <c r="A145" t="s">
        <v>35</v>
      </c>
      <c r="B145" s="7" t="str">
        <f t="shared" si="51"/>
        <v xml:space="preserve"> (x)</v>
      </c>
      <c r="C145" s="3">
        <v>3230</v>
      </c>
      <c r="I145" s="45" t="str">
        <f t="shared" si="64"/>
        <v/>
      </c>
      <c r="J145" s="46" t="str">
        <f t="shared" si="65"/>
        <v/>
      </c>
      <c r="K145" s="62">
        <f t="shared" si="66"/>
        <v>0</v>
      </c>
      <c r="L145" s="28" t="s">
        <v>63</v>
      </c>
      <c r="M145" s="12" t="str">
        <f t="shared" si="52"/>
        <v>-</v>
      </c>
      <c r="N145" s="12" t="str">
        <f t="shared" si="60"/>
        <v>-</v>
      </c>
      <c r="O145" s="12"/>
      <c r="Q145" s="62">
        <f t="shared" si="67"/>
        <v>0</v>
      </c>
      <c r="R145" s="28" t="s">
        <v>63</v>
      </c>
      <c r="S145" s="12" t="str">
        <f t="shared" si="53"/>
        <v>-</v>
      </c>
      <c r="T145" s="12" t="str">
        <f t="shared" si="61"/>
        <v>-</v>
      </c>
      <c r="U145" s="12"/>
      <c r="V145" s="12"/>
      <c r="W145" s="62">
        <f t="shared" si="68"/>
        <v>0</v>
      </c>
      <c r="X145" s="28" t="s">
        <v>63</v>
      </c>
      <c r="Y145" s="12" t="str">
        <f t="shared" si="54"/>
        <v>-</v>
      </c>
      <c r="Z145" s="12" t="str">
        <f t="shared" si="62"/>
        <v>-</v>
      </c>
      <c r="AA145" s="12"/>
      <c r="AB145" s="64"/>
      <c r="AC145" s="62">
        <f t="shared" si="69"/>
        <v>0</v>
      </c>
      <c r="AD145" s="28" t="s">
        <v>63</v>
      </c>
      <c r="AE145" s="12" t="str">
        <f t="shared" si="55"/>
        <v>-</v>
      </c>
      <c r="AF145" s="12" t="str">
        <f t="shared" si="63"/>
        <v>-</v>
      </c>
      <c r="AG145" s="12"/>
      <c r="AH145" s="17"/>
      <c r="AI145" s="17"/>
      <c r="AJ145" s="2">
        <f t="shared" si="56"/>
        <v>0</v>
      </c>
      <c r="AK145" s="2">
        <f t="shared" si="57"/>
        <v>0</v>
      </c>
      <c r="AL145" s="2">
        <f t="shared" si="58"/>
        <v>0</v>
      </c>
      <c r="AM145" s="2">
        <f t="shared" si="59"/>
        <v>0</v>
      </c>
    </row>
    <row r="146" spans="1:39" outlineLevel="1" x14ac:dyDescent="0.25">
      <c r="A146" t="s">
        <v>35</v>
      </c>
      <c r="B146" s="7" t="str">
        <f t="shared" si="51"/>
        <v xml:space="preserve"> (x)</v>
      </c>
      <c r="C146" s="3">
        <v>3231</v>
      </c>
      <c r="I146" s="45" t="str">
        <f t="shared" si="64"/>
        <v/>
      </c>
      <c r="J146" s="46" t="str">
        <f t="shared" si="65"/>
        <v/>
      </c>
      <c r="K146" s="62">
        <f t="shared" si="66"/>
        <v>0</v>
      </c>
      <c r="L146" s="28" t="s">
        <v>63</v>
      </c>
      <c r="M146" s="12" t="str">
        <f t="shared" si="52"/>
        <v>-</v>
      </c>
      <c r="N146" s="12" t="str">
        <f t="shared" si="60"/>
        <v>-</v>
      </c>
      <c r="O146" s="12"/>
      <c r="Q146" s="62">
        <f t="shared" si="67"/>
        <v>0</v>
      </c>
      <c r="R146" s="28" t="s">
        <v>63</v>
      </c>
      <c r="S146" s="12" t="str">
        <f t="shared" si="53"/>
        <v>-</v>
      </c>
      <c r="T146" s="12" t="str">
        <f t="shared" si="61"/>
        <v>-</v>
      </c>
      <c r="U146" s="12"/>
      <c r="V146" s="12"/>
      <c r="W146" s="62">
        <f t="shared" si="68"/>
        <v>0</v>
      </c>
      <c r="X146" s="28" t="s">
        <v>63</v>
      </c>
      <c r="Y146" s="12" t="str">
        <f t="shared" si="54"/>
        <v>-</v>
      </c>
      <c r="Z146" s="12" t="str">
        <f t="shared" si="62"/>
        <v>-</v>
      </c>
      <c r="AA146" s="12"/>
      <c r="AB146" s="64"/>
      <c r="AC146" s="62">
        <f t="shared" si="69"/>
        <v>0</v>
      </c>
      <c r="AD146" s="28" t="s">
        <v>63</v>
      </c>
      <c r="AE146" s="12" t="str">
        <f t="shared" si="55"/>
        <v>-</v>
      </c>
      <c r="AF146" s="12" t="str">
        <f t="shared" si="63"/>
        <v>-</v>
      </c>
      <c r="AG146" s="12"/>
      <c r="AH146" s="17"/>
      <c r="AI146" s="17"/>
      <c r="AJ146" s="2">
        <f t="shared" si="56"/>
        <v>0</v>
      </c>
      <c r="AK146" s="2">
        <f t="shared" si="57"/>
        <v>0</v>
      </c>
      <c r="AL146" s="2">
        <f t="shared" si="58"/>
        <v>0</v>
      </c>
      <c r="AM146" s="2">
        <f t="shared" si="59"/>
        <v>0</v>
      </c>
    </row>
    <row r="147" spans="1:39" outlineLevel="1" x14ac:dyDescent="0.25">
      <c r="A147" t="s">
        <v>35</v>
      </c>
      <c r="B147" s="7" t="str">
        <f t="shared" ref="B147:B165" si="70">IF(OR(E147="-",F147="-"),"-",D147&amp;" ("&amp;E147&amp;"x"&amp;F147&amp;")")</f>
        <v xml:space="preserve"> (x)</v>
      </c>
      <c r="C147" s="3">
        <v>3232</v>
      </c>
      <c r="I147" s="45" t="str">
        <f t="shared" si="64"/>
        <v/>
      </c>
      <c r="J147" s="46" t="str">
        <f t="shared" si="65"/>
        <v/>
      </c>
      <c r="K147" s="62">
        <f t="shared" si="66"/>
        <v>0</v>
      </c>
      <c r="L147" s="28" t="s">
        <v>63</v>
      </c>
      <c r="M147" s="12" t="str">
        <f t="shared" ref="M147:M166" si="71">IFERROR(K147/L147-1,"-")</f>
        <v>-</v>
      </c>
      <c r="N147" s="12" t="str">
        <f t="shared" si="60"/>
        <v>-</v>
      </c>
      <c r="O147" s="12"/>
      <c r="Q147" s="62">
        <f t="shared" si="67"/>
        <v>0</v>
      </c>
      <c r="R147" s="28" t="s">
        <v>63</v>
      </c>
      <c r="S147" s="12" t="str">
        <f t="shared" ref="S147:S166" si="72">IFERROR(Q147/R147-1,"-")</f>
        <v>-</v>
      </c>
      <c r="T147" s="12" t="str">
        <f t="shared" si="61"/>
        <v>-</v>
      </c>
      <c r="U147" s="12"/>
      <c r="V147" s="12"/>
      <c r="W147" s="62">
        <f t="shared" si="68"/>
        <v>0</v>
      </c>
      <c r="X147" s="28" t="s">
        <v>63</v>
      </c>
      <c r="Y147" s="12" t="str">
        <f t="shared" ref="Y147:Y166" si="73">IFERROR(W147/X147-1,"-")</f>
        <v>-</v>
      </c>
      <c r="Z147" s="12" t="str">
        <f t="shared" si="62"/>
        <v>-</v>
      </c>
      <c r="AA147" s="12"/>
      <c r="AB147" s="64"/>
      <c r="AC147" s="62">
        <f t="shared" si="69"/>
        <v>0</v>
      </c>
      <c r="AD147" s="28" t="s">
        <v>63</v>
      </c>
      <c r="AE147" s="12" t="str">
        <f t="shared" ref="AE147:AE166" si="74">IFERROR(AC147/AD147-1,"-")</f>
        <v>-</v>
      </c>
      <c r="AF147" s="12" t="str">
        <f t="shared" si="63"/>
        <v>-</v>
      </c>
      <c r="AG147" s="12"/>
      <c r="AH147" s="17"/>
      <c r="AI147" s="17"/>
      <c r="AJ147" s="2">
        <f t="shared" si="56"/>
        <v>0</v>
      </c>
      <c r="AK147" s="2">
        <f t="shared" si="57"/>
        <v>0</v>
      </c>
      <c r="AL147" s="2">
        <f t="shared" si="58"/>
        <v>0</v>
      </c>
      <c r="AM147" s="2">
        <f t="shared" si="59"/>
        <v>0</v>
      </c>
    </row>
    <row r="148" spans="1:39" outlineLevel="1" x14ac:dyDescent="0.25">
      <c r="A148" t="s">
        <v>35</v>
      </c>
      <c r="B148" s="7" t="str">
        <f t="shared" si="70"/>
        <v xml:space="preserve"> (x)</v>
      </c>
      <c r="C148" s="3">
        <v>3233</v>
      </c>
      <c r="I148" s="45" t="str">
        <f t="shared" si="64"/>
        <v/>
      </c>
      <c r="J148" s="46" t="str">
        <f t="shared" si="65"/>
        <v/>
      </c>
      <c r="K148" s="62">
        <f t="shared" si="66"/>
        <v>0</v>
      </c>
      <c r="L148" s="28" t="s">
        <v>63</v>
      </c>
      <c r="M148" s="12" t="str">
        <f t="shared" si="71"/>
        <v>-</v>
      </c>
      <c r="N148" s="12" t="str">
        <f t="shared" si="60"/>
        <v>-</v>
      </c>
      <c r="O148" s="12"/>
      <c r="Q148" s="62">
        <f t="shared" si="67"/>
        <v>0</v>
      </c>
      <c r="R148" s="28" t="s">
        <v>63</v>
      </c>
      <c r="S148" s="12" t="str">
        <f t="shared" si="72"/>
        <v>-</v>
      </c>
      <c r="T148" s="12" t="str">
        <f t="shared" si="61"/>
        <v>-</v>
      </c>
      <c r="U148" s="12"/>
      <c r="V148" s="12"/>
      <c r="W148" s="62">
        <f t="shared" si="68"/>
        <v>0</v>
      </c>
      <c r="X148" s="28" t="s">
        <v>63</v>
      </c>
      <c r="Y148" s="12" t="str">
        <f t="shared" si="73"/>
        <v>-</v>
      </c>
      <c r="Z148" s="12" t="str">
        <f t="shared" si="62"/>
        <v>-</v>
      </c>
      <c r="AA148" s="12"/>
      <c r="AB148" s="64"/>
      <c r="AC148" s="62">
        <f t="shared" si="69"/>
        <v>0</v>
      </c>
      <c r="AD148" s="28" t="s">
        <v>63</v>
      </c>
      <c r="AE148" s="12" t="str">
        <f t="shared" si="74"/>
        <v>-</v>
      </c>
      <c r="AF148" s="12" t="str">
        <f t="shared" si="63"/>
        <v>-</v>
      </c>
      <c r="AG148" s="12"/>
      <c r="AH148" s="17"/>
      <c r="AI148" s="17"/>
      <c r="AJ148" s="2">
        <f t="shared" si="56"/>
        <v>0</v>
      </c>
      <c r="AK148" s="2">
        <f t="shared" si="57"/>
        <v>0</v>
      </c>
      <c r="AL148" s="2">
        <f t="shared" si="58"/>
        <v>0</v>
      </c>
      <c r="AM148" s="2">
        <f t="shared" si="59"/>
        <v>0</v>
      </c>
    </row>
    <row r="149" spans="1:39" outlineLevel="1" x14ac:dyDescent="0.25">
      <c r="A149" t="s">
        <v>35</v>
      </c>
      <c r="B149" s="7" t="str">
        <f t="shared" si="70"/>
        <v xml:space="preserve"> (x)</v>
      </c>
      <c r="C149" s="3">
        <v>3234</v>
      </c>
      <c r="I149" s="45" t="str">
        <f t="shared" si="64"/>
        <v/>
      </c>
      <c r="J149" s="46" t="str">
        <f t="shared" si="65"/>
        <v/>
      </c>
      <c r="K149" s="62">
        <f t="shared" si="66"/>
        <v>0</v>
      </c>
      <c r="L149" s="28" t="s">
        <v>63</v>
      </c>
      <c r="M149" s="12" t="str">
        <f t="shared" si="71"/>
        <v>-</v>
      </c>
      <c r="N149" s="12" t="str">
        <f t="shared" si="60"/>
        <v>-</v>
      </c>
      <c r="O149" s="12"/>
      <c r="Q149" s="62">
        <f t="shared" si="67"/>
        <v>0</v>
      </c>
      <c r="R149" s="28" t="s">
        <v>63</v>
      </c>
      <c r="S149" s="12" t="str">
        <f t="shared" si="72"/>
        <v>-</v>
      </c>
      <c r="T149" s="12" t="str">
        <f t="shared" si="61"/>
        <v>-</v>
      </c>
      <c r="U149" s="12"/>
      <c r="V149" s="12"/>
      <c r="W149" s="62">
        <f t="shared" si="68"/>
        <v>0</v>
      </c>
      <c r="X149" s="28" t="s">
        <v>63</v>
      </c>
      <c r="Y149" s="12" t="str">
        <f t="shared" si="73"/>
        <v>-</v>
      </c>
      <c r="Z149" s="12" t="str">
        <f t="shared" si="62"/>
        <v>-</v>
      </c>
      <c r="AA149" s="12"/>
      <c r="AB149" s="64"/>
      <c r="AC149" s="62">
        <f t="shared" si="69"/>
        <v>0</v>
      </c>
      <c r="AD149" s="28" t="s">
        <v>63</v>
      </c>
      <c r="AE149" s="12" t="str">
        <f t="shared" si="74"/>
        <v>-</v>
      </c>
      <c r="AF149" s="12" t="str">
        <f t="shared" si="63"/>
        <v>-</v>
      </c>
      <c r="AG149" s="12"/>
      <c r="AH149" s="17"/>
      <c r="AI149" s="17"/>
      <c r="AJ149" s="2">
        <f t="shared" si="56"/>
        <v>0</v>
      </c>
      <c r="AK149" s="2">
        <f t="shared" si="57"/>
        <v>0</v>
      </c>
      <c r="AL149" s="2">
        <f t="shared" si="58"/>
        <v>0</v>
      </c>
      <c r="AM149" s="2">
        <f t="shared" si="59"/>
        <v>0</v>
      </c>
    </row>
    <row r="150" spans="1:39" outlineLevel="1" x14ac:dyDescent="0.25">
      <c r="A150" t="s">
        <v>35</v>
      </c>
      <c r="B150" s="7" t="str">
        <f t="shared" si="70"/>
        <v xml:space="preserve"> (x)</v>
      </c>
      <c r="C150" s="3">
        <v>3235</v>
      </c>
      <c r="I150" s="45" t="str">
        <f t="shared" si="64"/>
        <v/>
      </c>
      <c r="J150" s="46" t="str">
        <f t="shared" si="65"/>
        <v/>
      </c>
      <c r="K150" s="62">
        <f t="shared" si="66"/>
        <v>0</v>
      </c>
      <c r="L150" s="28" t="s">
        <v>63</v>
      </c>
      <c r="M150" s="12" t="str">
        <f t="shared" si="71"/>
        <v>-</v>
      </c>
      <c r="N150" s="12" t="str">
        <f t="shared" si="60"/>
        <v>-</v>
      </c>
      <c r="O150" s="12"/>
      <c r="Q150" s="62">
        <f t="shared" si="67"/>
        <v>0</v>
      </c>
      <c r="R150" s="28" t="s">
        <v>63</v>
      </c>
      <c r="S150" s="12" t="str">
        <f t="shared" si="72"/>
        <v>-</v>
      </c>
      <c r="T150" s="12" t="str">
        <f t="shared" si="61"/>
        <v>-</v>
      </c>
      <c r="U150" s="12"/>
      <c r="V150" s="12"/>
      <c r="W150" s="62">
        <f t="shared" si="68"/>
        <v>0</v>
      </c>
      <c r="X150" s="28" t="s">
        <v>63</v>
      </c>
      <c r="Y150" s="12" t="str">
        <f t="shared" si="73"/>
        <v>-</v>
      </c>
      <c r="Z150" s="12" t="str">
        <f t="shared" si="62"/>
        <v>-</v>
      </c>
      <c r="AA150" s="12"/>
      <c r="AB150" s="64"/>
      <c r="AC150" s="62">
        <f t="shared" si="69"/>
        <v>0</v>
      </c>
      <c r="AD150" s="28" t="s">
        <v>63</v>
      </c>
      <c r="AE150" s="12" t="str">
        <f t="shared" si="74"/>
        <v>-</v>
      </c>
      <c r="AF150" s="12" t="str">
        <f t="shared" si="63"/>
        <v>-</v>
      </c>
      <c r="AG150" s="12"/>
      <c r="AH150" s="17"/>
      <c r="AI150" s="17"/>
      <c r="AJ150" s="2">
        <f t="shared" si="56"/>
        <v>0</v>
      </c>
      <c r="AK150" s="2">
        <f t="shared" si="57"/>
        <v>0</v>
      </c>
      <c r="AL150" s="2">
        <f t="shared" si="58"/>
        <v>0</v>
      </c>
      <c r="AM150" s="2">
        <f t="shared" si="59"/>
        <v>0</v>
      </c>
    </row>
    <row r="151" spans="1:39" outlineLevel="1" x14ac:dyDescent="0.25">
      <c r="A151" t="s">
        <v>35</v>
      </c>
      <c r="B151" s="7" t="str">
        <f t="shared" si="70"/>
        <v xml:space="preserve"> (x)</v>
      </c>
      <c r="C151" s="3">
        <v>3236</v>
      </c>
      <c r="I151" s="45" t="str">
        <f t="shared" si="64"/>
        <v/>
      </c>
      <c r="J151" s="46" t="str">
        <f t="shared" si="65"/>
        <v/>
      </c>
      <c r="K151" s="62">
        <f t="shared" si="66"/>
        <v>0</v>
      </c>
      <c r="L151" s="28" t="s">
        <v>63</v>
      </c>
      <c r="M151" s="12" t="str">
        <f t="shared" si="71"/>
        <v>-</v>
      </c>
      <c r="N151" s="12" t="str">
        <f t="shared" si="60"/>
        <v>-</v>
      </c>
      <c r="O151" s="12"/>
      <c r="Q151" s="62">
        <f t="shared" si="67"/>
        <v>0</v>
      </c>
      <c r="R151" s="28" t="s">
        <v>63</v>
      </c>
      <c r="S151" s="12" t="str">
        <f t="shared" si="72"/>
        <v>-</v>
      </c>
      <c r="T151" s="12" t="str">
        <f t="shared" si="61"/>
        <v>-</v>
      </c>
      <c r="U151" s="12"/>
      <c r="V151" s="12"/>
      <c r="W151" s="62">
        <f t="shared" si="68"/>
        <v>0</v>
      </c>
      <c r="X151" s="28" t="s">
        <v>63</v>
      </c>
      <c r="Y151" s="12" t="str">
        <f t="shared" si="73"/>
        <v>-</v>
      </c>
      <c r="Z151" s="12" t="str">
        <f t="shared" si="62"/>
        <v>-</v>
      </c>
      <c r="AA151" s="12"/>
      <c r="AB151" s="64"/>
      <c r="AC151" s="62">
        <f t="shared" si="69"/>
        <v>0</v>
      </c>
      <c r="AD151" s="28" t="s">
        <v>63</v>
      </c>
      <c r="AE151" s="12" t="str">
        <f t="shared" si="74"/>
        <v>-</v>
      </c>
      <c r="AF151" s="12" t="str">
        <f t="shared" si="63"/>
        <v>-</v>
      </c>
      <c r="AG151" s="12"/>
      <c r="AH151" s="17"/>
      <c r="AI151" s="17"/>
      <c r="AJ151" s="2">
        <f t="shared" si="56"/>
        <v>0</v>
      </c>
      <c r="AK151" s="2">
        <f t="shared" si="57"/>
        <v>0</v>
      </c>
      <c r="AL151" s="2">
        <f t="shared" si="58"/>
        <v>0</v>
      </c>
      <c r="AM151" s="2">
        <f t="shared" si="59"/>
        <v>0</v>
      </c>
    </row>
    <row r="152" spans="1:39" outlineLevel="1" x14ac:dyDescent="0.25">
      <c r="A152" t="s">
        <v>35</v>
      </c>
      <c r="B152" s="7" t="str">
        <f t="shared" si="70"/>
        <v xml:space="preserve"> (x)</v>
      </c>
      <c r="C152" s="3">
        <v>3237</v>
      </c>
      <c r="I152" s="45" t="str">
        <f t="shared" si="64"/>
        <v/>
      </c>
      <c r="J152" s="46" t="str">
        <f t="shared" si="65"/>
        <v/>
      </c>
      <c r="K152" s="62">
        <f t="shared" si="66"/>
        <v>0</v>
      </c>
      <c r="L152" s="28" t="s">
        <v>63</v>
      </c>
      <c r="M152" s="12" t="str">
        <f t="shared" si="71"/>
        <v>-</v>
      </c>
      <c r="N152" s="12" t="str">
        <f t="shared" si="60"/>
        <v>-</v>
      </c>
      <c r="O152" s="12"/>
      <c r="Q152" s="62">
        <f t="shared" si="67"/>
        <v>0</v>
      </c>
      <c r="R152" s="28" t="s">
        <v>63</v>
      </c>
      <c r="S152" s="12" t="str">
        <f t="shared" si="72"/>
        <v>-</v>
      </c>
      <c r="T152" s="12" t="str">
        <f t="shared" si="61"/>
        <v>-</v>
      </c>
      <c r="U152" s="12"/>
      <c r="V152" s="12"/>
      <c r="W152" s="62">
        <f t="shared" si="68"/>
        <v>0</v>
      </c>
      <c r="X152" s="28" t="s">
        <v>63</v>
      </c>
      <c r="Y152" s="12" t="str">
        <f t="shared" si="73"/>
        <v>-</v>
      </c>
      <c r="Z152" s="12" t="str">
        <f t="shared" si="62"/>
        <v>-</v>
      </c>
      <c r="AA152" s="12"/>
      <c r="AB152" s="64"/>
      <c r="AC152" s="62">
        <f t="shared" si="69"/>
        <v>0</v>
      </c>
      <c r="AD152" s="28" t="s">
        <v>63</v>
      </c>
      <c r="AE152" s="12" t="str">
        <f t="shared" si="74"/>
        <v>-</v>
      </c>
      <c r="AF152" s="12" t="str">
        <f t="shared" si="63"/>
        <v>-</v>
      </c>
      <c r="AG152" s="12"/>
      <c r="AH152" s="17"/>
      <c r="AI152" s="17"/>
      <c r="AJ152" s="2">
        <f t="shared" si="56"/>
        <v>0</v>
      </c>
      <c r="AK152" s="2">
        <f t="shared" si="57"/>
        <v>0</v>
      </c>
      <c r="AL152" s="2">
        <f t="shared" si="58"/>
        <v>0</v>
      </c>
      <c r="AM152" s="2">
        <f t="shared" si="59"/>
        <v>0</v>
      </c>
    </row>
    <row r="153" spans="1:39" outlineLevel="1" x14ac:dyDescent="0.25">
      <c r="A153" t="s">
        <v>35</v>
      </c>
      <c r="B153" s="7" t="str">
        <f t="shared" si="70"/>
        <v xml:space="preserve"> (x)</v>
      </c>
      <c r="C153" s="3">
        <v>3238</v>
      </c>
      <c r="I153" s="45" t="str">
        <f t="shared" si="64"/>
        <v/>
      </c>
      <c r="J153" s="46" t="str">
        <f t="shared" si="65"/>
        <v/>
      </c>
      <c r="K153" s="62">
        <f t="shared" si="66"/>
        <v>0</v>
      </c>
      <c r="L153" s="28" t="s">
        <v>63</v>
      </c>
      <c r="M153" s="12" t="str">
        <f t="shared" si="71"/>
        <v>-</v>
      </c>
      <c r="N153" s="12" t="str">
        <f t="shared" si="60"/>
        <v>-</v>
      </c>
      <c r="O153" s="12"/>
      <c r="Q153" s="62">
        <f t="shared" si="67"/>
        <v>0</v>
      </c>
      <c r="R153" s="28" t="s">
        <v>63</v>
      </c>
      <c r="S153" s="12" t="str">
        <f t="shared" si="72"/>
        <v>-</v>
      </c>
      <c r="T153" s="12" t="str">
        <f t="shared" si="61"/>
        <v>-</v>
      </c>
      <c r="U153" s="12"/>
      <c r="V153" s="12"/>
      <c r="W153" s="62">
        <f t="shared" si="68"/>
        <v>0</v>
      </c>
      <c r="X153" s="28" t="s">
        <v>63</v>
      </c>
      <c r="Y153" s="12" t="str">
        <f t="shared" si="73"/>
        <v>-</v>
      </c>
      <c r="Z153" s="12" t="str">
        <f t="shared" si="62"/>
        <v>-</v>
      </c>
      <c r="AA153" s="12"/>
      <c r="AB153" s="64"/>
      <c r="AC153" s="62">
        <f t="shared" si="69"/>
        <v>0</v>
      </c>
      <c r="AD153" s="28" t="s">
        <v>63</v>
      </c>
      <c r="AE153" s="12" t="str">
        <f t="shared" si="74"/>
        <v>-</v>
      </c>
      <c r="AF153" s="12" t="str">
        <f t="shared" si="63"/>
        <v>-</v>
      </c>
      <c r="AG153" s="12"/>
      <c r="AH153" s="17"/>
      <c r="AI153" s="17"/>
      <c r="AJ153" s="2">
        <f t="shared" si="56"/>
        <v>0</v>
      </c>
      <c r="AK153" s="2">
        <f t="shared" si="57"/>
        <v>0</v>
      </c>
      <c r="AL153" s="2">
        <f t="shared" si="58"/>
        <v>0</v>
      </c>
      <c r="AM153" s="2">
        <f t="shared" si="59"/>
        <v>0</v>
      </c>
    </row>
    <row r="154" spans="1:39" outlineLevel="1" x14ac:dyDescent="0.25">
      <c r="A154" t="s">
        <v>35</v>
      </c>
      <c r="B154" s="7" t="str">
        <f t="shared" si="70"/>
        <v xml:space="preserve"> (x)</v>
      </c>
      <c r="C154" s="3">
        <v>3239</v>
      </c>
      <c r="I154" s="45" t="str">
        <f t="shared" si="64"/>
        <v/>
      </c>
      <c r="J154" s="46" t="str">
        <f t="shared" si="65"/>
        <v/>
      </c>
      <c r="K154" s="62">
        <f t="shared" si="66"/>
        <v>0</v>
      </c>
      <c r="L154" s="28" t="s">
        <v>63</v>
      </c>
      <c r="M154" s="12" t="str">
        <f t="shared" si="71"/>
        <v>-</v>
      </c>
      <c r="N154" s="12" t="str">
        <f t="shared" si="60"/>
        <v>-</v>
      </c>
      <c r="O154" s="12"/>
      <c r="Q154" s="62">
        <f t="shared" si="67"/>
        <v>0</v>
      </c>
      <c r="R154" s="28" t="s">
        <v>63</v>
      </c>
      <c r="S154" s="12" t="str">
        <f t="shared" si="72"/>
        <v>-</v>
      </c>
      <c r="T154" s="12" t="str">
        <f t="shared" si="61"/>
        <v>-</v>
      </c>
      <c r="U154" s="12"/>
      <c r="V154" s="12"/>
      <c r="W154" s="62">
        <f t="shared" si="68"/>
        <v>0</v>
      </c>
      <c r="X154" s="28" t="s">
        <v>63</v>
      </c>
      <c r="Y154" s="12" t="str">
        <f t="shared" si="73"/>
        <v>-</v>
      </c>
      <c r="Z154" s="12" t="str">
        <f t="shared" si="62"/>
        <v>-</v>
      </c>
      <c r="AA154" s="12"/>
      <c r="AB154" s="64"/>
      <c r="AC154" s="62">
        <f t="shared" si="69"/>
        <v>0</v>
      </c>
      <c r="AD154" s="28" t="s">
        <v>63</v>
      </c>
      <c r="AE154" s="12" t="str">
        <f t="shared" si="74"/>
        <v>-</v>
      </c>
      <c r="AF154" s="12" t="str">
        <f t="shared" si="63"/>
        <v>-</v>
      </c>
      <c r="AG154" s="12"/>
      <c r="AH154" s="17"/>
      <c r="AI154" s="17"/>
      <c r="AJ154" s="2">
        <f t="shared" si="56"/>
        <v>0</v>
      </c>
      <c r="AK154" s="2">
        <f t="shared" si="57"/>
        <v>0</v>
      </c>
      <c r="AL154" s="2">
        <f t="shared" si="58"/>
        <v>0</v>
      </c>
      <c r="AM154" s="2">
        <f t="shared" si="59"/>
        <v>0</v>
      </c>
    </row>
    <row r="155" spans="1:39" outlineLevel="1" x14ac:dyDescent="0.25">
      <c r="A155" t="s">
        <v>35</v>
      </c>
      <c r="B155" s="7" t="str">
        <f t="shared" si="70"/>
        <v xml:space="preserve"> (x)</v>
      </c>
      <c r="C155" s="3">
        <v>3240</v>
      </c>
      <c r="I155" s="45" t="str">
        <f t="shared" si="64"/>
        <v/>
      </c>
      <c r="J155" s="46" t="str">
        <f t="shared" si="65"/>
        <v/>
      </c>
      <c r="K155" s="62">
        <f t="shared" si="66"/>
        <v>0</v>
      </c>
      <c r="L155" s="28" t="s">
        <v>63</v>
      </c>
      <c r="M155" s="12" t="str">
        <f t="shared" si="71"/>
        <v>-</v>
      </c>
      <c r="N155" s="12" t="str">
        <f t="shared" si="60"/>
        <v>-</v>
      </c>
      <c r="O155" s="12"/>
      <c r="Q155" s="62">
        <f t="shared" si="67"/>
        <v>0</v>
      </c>
      <c r="R155" s="28" t="s">
        <v>63</v>
      </c>
      <c r="S155" s="12" t="str">
        <f t="shared" si="72"/>
        <v>-</v>
      </c>
      <c r="T155" s="12" t="str">
        <f t="shared" si="61"/>
        <v>-</v>
      </c>
      <c r="U155" s="12"/>
      <c r="V155" s="12"/>
      <c r="W155" s="62">
        <f t="shared" si="68"/>
        <v>0</v>
      </c>
      <c r="X155" s="28" t="s">
        <v>63</v>
      </c>
      <c r="Y155" s="12" t="str">
        <f t="shared" si="73"/>
        <v>-</v>
      </c>
      <c r="Z155" s="12" t="str">
        <f t="shared" si="62"/>
        <v>-</v>
      </c>
      <c r="AA155" s="12"/>
      <c r="AB155" s="64"/>
      <c r="AC155" s="62">
        <f t="shared" si="69"/>
        <v>0</v>
      </c>
      <c r="AD155" s="28" t="s">
        <v>63</v>
      </c>
      <c r="AE155" s="12" t="str">
        <f t="shared" si="74"/>
        <v>-</v>
      </c>
      <c r="AF155" s="12" t="str">
        <f t="shared" si="63"/>
        <v>-</v>
      </c>
      <c r="AG155" s="12"/>
      <c r="AH155" s="17"/>
      <c r="AI155" s="17"/>
      <c r="AJ155" s="2">
        <f t="shared" si="56"/>
        <v>0</v>
      </c>
      <c r="AK155" s="2">
        <f t="shared" si="57"/>
        <v>0</v>
      </c>
      <c r="AL155" s="2">
        <f t="shared" si="58"/>
        <v>0</v>
      </c>
      <c r="AM155" s="2">
        <f t="shared" si="59"/>
        <v>0</v>
      </c>
    </row>
    <row r="156" spans="1:39" outlineLevel="1" x14ac:dyDescent="0.25">
      <c r="A156" t="s">
        <v>35</v>
      </c>
      <c r="B156" s="7" t="str">
        <f t="shared" si="70"/>
        <v xml:space="preserve"> (x)</v>
      </c>
      <c r="C156" s="3">
        <v>3241</v>
      </c>
      <c r="I156" s="45" t="str">
        <f t="shared" si="64"/>
        <v/>
      </c>
      <c r="J156" s="46" t="str">
        <f t="shared" si="65"/>
        <v/>
      </c>
      <c r="K156" s="62">
        <f t="shared" si="66"/>
        <v>0</v>
      </c>
      <c r="L156" s="28" t="s">
        <v>63</v>
      </c>
      <c r="M156" s="12" t="str">
        <f t="shared" si="71"/>
        <v>-</v>
      </c>
      <c r="N156" s="12" t="str">
        <f t="shared" si="60"/>
        <v>-</v>
      </c>
      <c r="O156" s="12"/>
      <c r="Q156" s="62">
        <f t="shared" si="67"/>
        <v>0</v>
      </c>
      <c r="R156" s="28" t="s">
        <v>63</v>
      </c>
      <c r="S156" s="12" t="str">
        <f t="shared" si="72"/>
        <v>-</v>
      </c>
      <c r="T156" s="12" t="str">
        <f t="shared" si="61"/>
        <v>-</v>
      </c>
      <c r="U156" s="12"/>
      <c r="V156" s="12"/>
      <c r="W156" s="62">
        <f t="shared" si="68"/>
        <v>0</v>
      </c>
      <c r="X156" s="28" t="s">
        <v>63</v>
      </c>
      <c r="Y156" s="12" t="str">
        <f t="shared" si="73"/>
        <v>-</v>
      </c>
      <c r="Z156" s="12" t="str">
        <f t="shared" si="62"/>
        <v>-</v>
      </c>
      <c r="AA156" s="12"/>
      <c r="AB156" s="64"/>
      <c r="AC156" s="62">
        <f t="shared" si="69"/>
        <v>0</v>
      </c>
      <c r="AD156" s="28" t="s">
        <v>63</v>
      </c>
      <c r="AE156" s="12" t="str">
        <f t="shared" si="74"/>
        <v>-</v>
      </c>
      <c r="AF156" s="12" t="str">
        <f t="shared" si="63"/>
        <v>-</v>
      </c>
      <c r="AG156" s="12"/>
      <c r="AH156" s="17"/>
      <c r="AI156" s="17"/>
      <c r="AJ156" s="2">
        <f t="shared" si="56"/>
        <v>0</v>
      </c>
      <c r="AK156" s="2">
        <f t="shared" si="57"/>
        <v>0</v>
      </c>
      <c r="AL156" s="2">
        <f t="shared" si="58"/>
        <v>0</v>
      </c>
      <c r="AM156" s="2">
        <f t="shared" si="59"/>
        <v>0</v>
      </c>
    </row>
    <row r="157" spans="1:39" outlineLevel="1" x14ac:dyDescent="0.25">
      <c r="A157" t="s">
        <v>35</v>
      </c>
      <c r="B157" s="7" t="str">
        <f t="shared" si="70"/>
        <v xml:space="preserve"> (x)</v>
      </c>
      <c r="C157" s="3">
        <v>3242</v>
      </c>
      <c r="I157" s="45" t="str">
        <f t="shared" si="64"/>
        <v/>
      </c>
      <c r="J157" s="46" t="str">
        <f t="shared" si="65"/>
        <v/>
      </c>
      <c r="K157" s="62">
        <f t="shared" si="66"/>
        <v>0</v>
      </c>
      <c r="L157" s="28" t="s">
        <v>63</v>
      </c>
      <c r="M157" s="12" t="str">
        <f t="shared" si="71"/>
        <v>-</v>
      </c>
      <c r="N157" s="12" t="str">
        <f t="shared" si="60"/>
        <v>-</v>
      </c>
      <c r="O157" s="12"/>
      <c r="Q157" s="62">
        <f t="shared" si="67"/>
        <v>0</v>
      </c>
      <c r="R157" s="28" t="s">
        <v>63</v>
      </c>
      <c r="S157" s="12" t="str">
        <f t="shared" si="72"/>
        <v>-</v>
      </c>
      <c r="T157" s="12" t="str">
        <f t="shared" si="61"/>
        <v>-</v>
      </c>
      <c r="U157" s="12"/>
      <c r="V157" s="12"/>
      <c r="W157" s="62">
        <f t="shared" si="68"/>
        <v>0</v>
      </c>
      <c r="X157" s="28" t="s">
        <v>63</v>
      </c>
      <c r="Y157" s="12" t="str">
        <f t="shared" si="73"/>
        <v>-</v>
      </c>
      <c r="Z157" s="12" t="str">
        <f t="shared" si="62"/>
        <v>-</v>
      </c>
      <c r="AA157" s="12"/>
      <c r="AB157" s="64"/>
      <c r="AC157" s="62">
        <f t="shared" si="69"/>
        <v>0</v>
      </c>
      <c r="AD157" s="28" t="s">
        <v>63</v>
      </c>
      <c r="AE157" s="12" t="str">
        <f t="shared" si="74"/>
        <v>-</v>
      </c>
      <c r="AF157" s="12" t="str">
        <f t="shared" si="63"/>
        <v>-</v>
      </c>
      <c r="AG157" s="12"/>
      <c r="AH157" s="17"/>
      <c r="AI157" s="17"/>
      <c r="AJ157" s="2">
        <f t="shared" si="56"/>
        <v>0</v>
      </c>
      <c r="AK157" s="2">
        <f t="shared" si="57"/>
        <v>0</v>
      </c>
      <c r="AL157" s="2">
        <f t="shared" si="58"/>
        <v>0</v>
      </c>
      <c r="AM157" s="2">
        <f t="shared" si="59"/>
        <v>0</v>
      </c>
    </row>
    <row r="158" spans="1:39" outlineLevel="1" x14ac:dyDescent="0.25">
      <c r="A158" t="s">
        <v>35</v>
      </c>
      <c r="B158" s="7" t="str">
        <f t="shared" si="70"/>
        <v xml:space="preserve"> (x)</v>
      </c>
      <c r="C158" s="3">
        <v>3243</v>
      </c>
      <c r="I158" s="45" t="str">
        <f t="shared" si="64"/>
        <v/>
      </c>
      <c r="J158" s="46" t="str">
        <f t="shared" si="65"/>
        <v/>
      </c>
      <c r="K158" s="62">
        <f t="shared" si="66"/>
        <v>0</v>
      </c>
      <c r="L158" s="28" t="s">
        <v>63</v>
      </c>
      <c r="M158" s="12" t="str">
        <f t="shared" si="71"/>
        <v>-</v>
      </c>
      <c r="N158" s="12" t="str">
        <f t="shared" si="60"/>
        <v>-</v>
      </c>
      <c r="O158" s="12"/>
      <c r="Q158" s="62">
        <f t="shared" si="67"/>
        <v>0</v>
      </c>
      <c r="R158" s="28" t="s">
        <v>63</v>
      </c>
      <c r="S158" s="12" t="str">
        <f t="shared" si="72"/>
        <v>-</v>
      </c>
      <c r="T158" s="12" t="str">
        <f t="shared" si="61"/>
        <v>-</v>
      </c>
      <c r="U158" s="12"/>
      <c r="V158" s="12"/>
      <c r="W158" s="62">
        <f t="shared" si="68"/>
        <v>0</v>
      </c>
      <c r="X158" s="28" t="s">
        <v>63</v>
      </c>
      <c r="Y158" s="12" t="str">
        <f t="shared" si="73"/>
        <v>-</v>
      </c>
      <c r="Z158" s="12" t="str">
        <f t="shared" si="62"/>
        <v>-</v>
      </c>
      <c r="AA158" s="12"/>
      <c r="AB158" s="64"/>
      <c r="AC158" s="62">
        <f t="shared" si="69"/>
        <v>0</v>
      </c>
      <c r="AD158" s="28" t="s">
        <v>63</v>
      </c>
      <c r="AE158" s="12" t="str">
        <f t="shared" si="74"/>
        <v>-</v>
      </c>
      <c r="AF158" s="12" t="str">
        <f t="shared" si="63"/>
        <v>-</v>
      </c>
      <c r="AG158" s="12"/>
      <c r="AH158" s="17"/>
      <c r="AI158" s="17"/>
      <c r="AJ158" s="2">
        <f t="shared" si="56"/>
        <v>0</v>
      </c>
      <c r="AK158" s="2">
        <f t="shared" si="57"/>
        <v>0</v>
      </c>
      <c r="AL158" s="2">
        <f t="shared" si="58"/>
        <v>0</v>
      </c>
      <c r="AM158" s="2">
        <f t="shared" si="59"/>
        <v>0</v>
      </c>
    </row>
    <row r="159" spans="1:39" outlineLevel="1" x14ac:dyDescent="0.25">
      <c r="A159" t="s">
        <v>35</v>
      </c>
      <c r="B159" s="7" t="str">
        <f t="shared" si="70"/>
        <v xml:space="preserve"> (x)</v>
      </c>
      <c r="C159" s="3">
        <v>3244</v>
      </c>
      <c r="I159" s="45" t="str">
        <f t="shared" si="64"/>
        <v/>
      </c>
      <c r="J159" s="46" t="str">
        <f t="shared" si="65"/>
        <v/>
      </c>
      <c r="K159" s="62">
        <f t="shared" si="66"/>
        <v>0</v>
      </c>
      <c r="L159" s="28" t="s">
        <v>63</v>
      </c>
      <c r="M159" s="12" t="str">
        <f t="shared" si="71"/>
        <v>-</v>
      </c>
      <c r="N159" s="12" t="str">
        <f t="shared" si="60"/>
        <v>-</v>
      </c>
      <c r="O159" s="12"/>
      <c r="Q159" s="62">
        <f t="shared" si="67"/>
        <v>0</v>
      </c>
      <c r="R159" s="28" t="s">
        <v>63</v>
      </c>
      <c r="S159" s="12" t="str">
        <f t="shared" si="72"/>
        <v>-</v>
      </c>
      <c r="T159" s="12" t="str">
        <f t="shared" si="61"/>
        <v>-</v>
      </c>
      <c r="U159" s="12"/>
      <c r="V159" s="12"/>
      <c r="W159" s="62">
        <f t="shared" si="68"/>
        <v>0</v>
      </c>
      <c r="X159" s="28" t="s">
        <v>63</v>
      </c>
      <c r="Y159" s="12" t="str">
        <f t="shared" si="73"/>
        <v>-</v>
      </c>
      <c r="Z159" s="12" t="str">
        <f t="shared" si="62"/>
        <v>-</v>
      </c>
      <c r="AA159" s="12"/>
      <c r="AB159" s="64"/>
      <c r="AC159" s="62">
        <f t="shared" si="69"/>
        <v>0</v>
      </c>
      <c r="AD159" s="28" t="s">
        <v>63</v>
      </c>
      <c r="AE159" s="12" t="str">
        <f t="shared" si="74"/>
        <v>-</v>
      </c>
      <c r="AF159" s="12" t="str">
        <f t="shared" si="63"/>
        <v>-</v>
      </c>
      <c r="AG159" s="12"/>
      <c r="AH159" s="17"/>
      <c r="AI159" s="17"/>
      <c r="AJ159" s="2">
        <f t="shared" si="56"/>
        <v>0</v>
      </c>
      <c r="AK159" s="2">
        <f t="shared" si="57"/>
        <v>0</v>
      </c>
      <c r="AL159" s="2">
        <f t="shared" si="58"/>
        <v>0</v>
      </c>
      <c r="AM159" s="2">
        <f t="shared" si="59"/>
        <v>0</v>
      </c>
    </row>
    <row r="160" spans="1:39" outlineLevel="1" x14ac:dyDescent="0.25">
      <c r="A160" t="s">
        <v>35</v>
      </c>
      <c r="B160" s="7" t="str">
        <f t="shared" si="70"/>
        <v xml:space="preserve"> (x)</v>
      </c>
      <c r="C160" s="3">
        <v>3245</v>
      </c>
      <c r="I160" s="45" t="str">
        <f t="shared" si="64"/>
        <v/>
      </c>
      <c r="J160" s="46" t="str">
        <f t="shared" si="65"/>
        <v/>
      </c>
      <c r="K160" s="62">
        <f t="shared" si="66"/>
        <v>0</v>
      </c>
      <c r="L160" s="28" t="s">
        <v>63</v>
      </c>
      <c r="M160" s="12" t="str">
        <f t="shared" si="71"/>
        <v>-</v>
      </c>
      <c r="N160" s="12" t="str">
        <f t="shared" si="60"/>
        <v>-</v>
      </c>
      <c r="O160" s="12"/>
      <c r="Q160" s="62">
        <f t="shared" si="67"/>
        <v>0</v>
      </c>
      <c r="R160" s="28" t="s">
        <v>63</v>
      </c>
      <c r="S160" s="12" t="str">
        <f t="shared" si="72"/>
        <v>-</v>
      </c>
      <c r="T160" s="12" t="str">
        <f t="shared" si="61"/>
        <v>-</v>
      </c>
      <c r="U160" s="12"/>
      <c r="V160" s="12"/>
      <c r="W160" s="62">
        <f t="shared" si="68"/>
        <v>0</v>
      </c>
      <c r="X160" s="28" t="s">
        <v>63</v>
      </c>
      <c r="Y160" s="12" t="str">
        <f t="shared" si="73"/>
        <v>-</v>
      </c>
      <c r="Z160" s="12" t="str">
        <f t="shared" si="62"/>
        <v>-</v>
      </c>
      <c r="AA160" s="12"/>
      <c r="AB160" s="64"/>
      <c r="AC160" s="62">
        <f t="shared" si="69"/>
        <v>0</v>
      </c>
      <c r="AD160" s="28" t="s">
        <v>63</v>
      </c>
      <c r="AE160" s="12" t="str">
        <f t="shared" si="74"/>
        <v>-</v>
      </c>
      <c r="AF160" s="12" t="str">
        <f t="shared" si="63"/>
        <v>-</v>
      </c>
      <c r="AG160" s="12"/>
      <c r="AH160" s="17"/>
      <c r="AI160" s="17"/>
      <c r="AJ160" s="2">
        <f t="shared" si="56"/>
        <v>0</v>
      </c>
      <c r="AK160" s="2">
        <f t="shared" si="57"/>
        <v>0</v>
      </c>
      <c r="AL160" s="2">
        <f t="shared" si="58"/>
        <v>0</v>
      </c>
      <c r="AM160" s="2">
        <f t="shared" si="59"/>
        <v>0</v>
      </c>
    </row>
    <row r="161" spans="1:40" outlineLevel="1" x14ac:dyDescent="0.25">
      <c r="A161" t="s">
        <v>35</v>
      </c>
      <c r="B161" s="7" t="str">
        <f t="shared" si="70"/>
        <v xml:space="preserve"> (x)</v>
      </c>
      <c r="C161" s="3">
        <v>3246</v>
      </c>
      <c r="I161" s="45" t="str">
        <f t="shared" si="64"/>
        <v/>
      </c>
      <c r="J161" s="46" t="str">
        <f t="shared" si="65"/>
        <v/>
      </c>
      <c r="K161" s="62">
        <f t="shared" si="66"/>
        <v>0</v>
      </c>
      <c r="L161" s="28" t="s">
        <v>63</v>
      </c>
      <c r="M161" s="12" t="str">
        <f t="shared" si="71"/>
        <v>-</v>
      </c>
      <c r="N161" s="12" t="str">
        <f t="shared" si="60"/>
        <v>-</v>
      </c>
      <c r="O161" s="12"/>
      <c r="Q161" s="62">
        <f t="shared" si="67"/>
        <v>0</v>
      </c>
      <c r="R161" s="28" t="s">
        <v>63</v>
      </c>
      <c r="S161" s="12" t="str">
        <f t="shared" si="72"/>
        <v>-</v>
      </c>
      <c r="T161" s="12" t="str">
        <f t="shared" si="61"/>
        <v>-</v>
      </c>
      <c r="U161" s="12"/>
      <c r="V161" s="12"/>
      <c r="W161" s="62">
        <f t="shared" si="68"/>
        <v>0</v>
      </c>
      <c r="X161" s="28" t="s">
        <v>63</v>
      </c>
      <c r="Y161" s="12" t="str">
        <f t="shared" si="73"/>
        <v>-</v>
      </c>
      <c r="Z161" s="12" t="str">
        <f t="shared" si="62"/>
        <v>-</v>
      </c>
      <c r="AA161" s="12"/>
      <c r="AB161" s="64"/>
      <c r="AC161" s="62">
        <f t="shared" si="69"/>
        <v>0</v>
      </c>
      <c r="AD161" s="28" t="s">
        <v>63</v>
      </c>
      <c r="AE161" s="12" t="str">
        <f t="shared" si="74"/>
        <v>-</v>
      </c>
      <c r="AF161" s="12" t="str">
        <f t="shared" si="63"/>
        <v>-</v>
      </c>
      <c r="AG161" s="12"/>
      <c r="AH161" s="17"/>
      <c r="AI161" s="17"/>
      <c r="AJ161" s="2">
        <f t="shared" si="56"/>
        <v>0</v>
      </c>
      <c r="AK161" s="2">
        <f t="shared" si="57"/>
        <v>0</v>
      </c>
      <c r="AL161" s="2">
        <f t="shared" si="58"/>
        <v>0</v>
      </c>
      <c r="AM161" s="2">
        <f t="shared" si="59"/>
        <v>0</v>
      </c>
    </row>
    <row r="162" spans="1:40" outlineLevel="1" x14ac:dyDescent="0.25">
      <c r="A162" t="s">
        <v>35</v>
      </c>
      <c r="B162" s="7" t="str">
        <f t="shared" si="70"/>
        <v xml:space="preserve"> (x)</v>
      </c>
      <c r="C162" s="3">
        <v>3247</v>
      </c>
      <c r="I162" s="45" t="str">
        <f t="shared" si="64"/>
        <v/>
      </c>
      <c r="J162" s="46" t="str">
        <f t="shared" si="65"/>
        <v/>
      </c>
      <c r="K162" s="62">
        <f t="shared" si="66"/>
        <v>0</v>
      </c>
      <c r="L162" s="28" t="s">
        <v>63</v>
      </c>
      <c r="M162" s="12" t="str">
        <f t="shared" si="71"/>
        <v>-</v>
      </c>
      <c r="N162" s="12" t="str">
        <f t="shared" si="60"/>
        <v>-</v>
      </c>
      <c r="O162" s="12"/>
      <c r="Q162" s="62">
        <f t="shared" si="67"/>
        <v>0</v>
      </c>
      <c r="R162" s="28" t="s">
        <v>63</v>
      </c>
      <c r="S162" s="12" t="str">
        <f t="shared" si="72"/>
        <v>-</v>
      </c>
      <c r="T162" s="12" t="str">
        <f t="shared" si="61"/>
        <v>-</v>
      </c>
      <c r="U162" s="12"/>
      <c r="V162" s="12"/>
      <c r="W162" s="62">
        <f t="shared" si="68"/>
        <v>0</v>
      </c>
      <c r="X162" s="28" t="s">
        <v>63</v>
      </c>
      <c r="Y162" s="12" t="str">
        <f t="shared" si="73"/>
        <v>-</v>
      </c>
      <c r="Z162" s="12" t="str">
        <f t="shared" si="62"/>
        <v>-</v>
      </c>
      <c r="AA162" s="12"/>
      <c r="AB162" s="64"/>
      <c r="AC162" s="62">
        <f t="shared" si="69"/>
        <v>0</v>
      </c>
      <c r="AD162" s="28" t="s">
        <v>63</v>
      </c>
      <c r="AE162" s="12" t="str">
        <f t="shared" si="74"/>
        <v>-</v>
      </c>
      <c r="AF162" s="12" t="str">
        <f t="shared" si="63"/>
        <v>-</v>
      </c>
      <c r="AG162" s="12"/>
      <c r="AH162" s="17"/>
      <c r="AI162" s="17"/>
      <c r="AJ162" s="2">
        <f t="shared" si="56"/>
        <v>0</v>
      </c>
      <c r="AK162" s="2">
        <f t="shared" si="57"/>
        <v>0</v>
      </c>
      <c r="AL162" s="2">
        <f t="shared" si="58"/>
        <v>0</v>
      </c>
      <c r="AM162" s="2">
        <f t="shared" si="59"/>
        <v>0</v>
      </c>
    </row>
    <row r="163" spans="1:40" outlineLevel="1" x14ac:dyDescent="0.25">
      <c r="A163" t="s">
        <v>35</v>
      </c>
      <c r="B163" s="7" t="str">
        <f t="shared" si="70"/>
        <v xml:space="preserve"> (x)</v>
      </c>
      <c r="C163" s="3">
        <v>3248</v>
      </c>
      <c r="I163" s="45" t="str">
        <f t="shared" si="64"/>
        <v/>
      </c>
      <c r="J163" s="46" t="str">
        <f t="shared" si="65"/>
        <v/>
      </c>
      <c r="K163" s="62">
        <f t="shared" si="66"/>
        <v>0</v>
      </c>
      <c r="L163" s="28" t="s">
        <v>63</v>
      </c>
      <c r="M163" s="12" t="str">
        <f t="shared" si="71"/>
        <v>-</v>
      </c>
      <c r="N163" s="12" t="str">
        <f t="shared" si="60"/>
        <v>-</v>
      </c>
      <c r="O163" s="12"/>
      <c r="Q163" s="62">
        <f t="shared" si="67"/>
        <v>0</v>
      </c>
      <c r="R163" s="28" t="s">
        <v>63</v>
      </c>
      <c r="S163" s="12" t="str">
        <f t="shared" si="72"/>
        <v>-</v>
      </c>
      <c r="T163" s="12" t="str">
        <f t="shared" si="61"/>
        <v>-</v>
      </c>
      <c r="U163" s="12"/>
      <c r="V163" s="12"/>
      <c r="W163" s="62">
        <f t="shared" si="68"/>
        <v>0</v>
      </c>
      <c r="X163" s="28" t="s">
        <v>63</v>
      </c>
      <c r="Y163" s="12" t="str">
        <f t="shared" si="73"/>
        <v>-</v>
      </c>
      <c r="Z163" s="12" t="str">
        <f t="shared" si="62"/>
        <v>-</v>
      </c>
      <c r="AA163" s="12"/>
      <c r="AB163" s="64"/>
      <c r="AC163" s="62">
        <f t="shared" si="69"/>
        <v>0</v>
      </c>
      <c r="AD163" s="28" t="s">
        <v>63</v>
      </c>
      <c r="AE163" s="12" t="str">
        <f t="shared" si="74"/>
        <v>-</v>
      </c>
      <c r="AF163" s="12" t="str">
        <f t="shared" si="63"/>
        <v>-</v>
      </c>
      <c r="AG163" s="12"/>
      <c r="AH163" s="17"/>
      <c r="AI163" s="17"/>
      <c r="AJ163" s="2">
        <f t="shared" si="56"/>
        <v>0</v>
      </c>
      <c r="AK163" s="2">
        <f t="shared" si="57"/>
        <v>0</v>
      </c>
      <c r="AL163" s="2">
        <f t="shared" si="58"/>
        <v>0</v>
      </c>
      <c r="AM163" s="2">
        <f t="shared" si="59"/>
        <v>0</v>
      </c>
    </row>
    <row r="164" spans="1:40" outlineLevel="1" x14ac:dyDescent="0.25">
      <c r="A164" t="s">
        <v>35</v>
      </c>
      <c r="B164" s="7" t="str">
        <f t="shared" si="70"/>
        <v xml:space="preserve"> (x)</v>
      </c>
      <c r="C164" s="3">
        <v>3249</v>
      </c>
      <c r="I164" s="45" t="str">
        <f t="shared" si="64"/>
        <v/>
      </c>
      <c r="J164" s="46" t="str">
        <f t="shared" si="65"/>
        <v/>
      </c>
      <c r="K164" s="62">
        <f t="shared" si="66"/>
        <v>0</v>
      </c>
      <c r="L164" s="28" t="s">
        <v>63</v>
      </c>
      <c r="M164" s="12" t="str">
        <f t="shared" si="71"/>
        <v>-</v>
      </c>
      <c r="N164" s="12" t="str">
        <f t="shared" si="60"/>
        <v>-</v>
      </c>
      <c r="O164" s="12"/>
      <c r="Q164" s="62">
        <f t="shared" si="67"/>
        <v>0</v>
      </c>
      <c r="R164" s="28" t="s">
        <v>63</v>
      </c>
      <c r="S164" s="12" t="str">
        <f t="shared" si="72"/>
        <v>-</v>
      </c>
      <c r="T164" s="12" t="str">
        <f t="shared" si="61"/>
        <v>-</v>
      </c>
      <c r="U164" s="12"/>
      <c r="V164" s="12"/>
      <c r="W164" s="62">
        <f t="shared" si="68"/>
        <v>0</v>
      </c>
      <c r="X164" s="28" t="s">
        <v>63</v>
      </c>
      <c r="Y164" s="12" t="str">
        <f t="shared" si="73"/>
        <v>-</v>
      </c>
      <c r="Z164" s="12" t="str">
        <f t="shared" si="62"/>
        <v>-</v>
      </c>
      <c r="AA164" s="12"/>
      <c r="AB164" s="64"/>
      <c r="AC164" s="62">
        <f t="shared" si="69"/>
        <v>0</v>
      </c>
      <c r="AD164" s="28" t="s">
        <v>63</v>
      </c>
      <c r="AE164" s="12" t="str">
        <f t="shared" si="74"/>
        <v>-</v>
      </c>
      <c r="AF164" s="12" t="str">
        <f t="shared" si="63"/>
        <v>-</v>
      </c>
      <c r="AG164" s="12"/>
      <c r="AH164" s="17"/>
      <c r="AI164" s="17"/>
      <c r="AJ164" s="2">
        <f t="shared" si="56"/>
        <v>0</v>
      </c>
      <c r="AK164" s="2">
        <f t="shared" si="57"/>
        <v>0</v>
      </c>
      <c r="AL164" s="2">
        <f t="shared" si="58"/>
        <v>0</v>
      </c>
      <c r="AM164" s="2">
        <f t="shared" si="59"/>
        <v>0</v>
      </c>
    </row>
    <row r="165" spans="1:40" outlineLevel="1" x14ac:dyDescent="0.25">
      <c r="A165" t="s">
        <v>35</v>
      </c>
      <c r="B165" s="7" t="str">
        <f t="shared" si="70"/>
        <v xml:space="preserve"> (x)</v>
      </c>
      <c r="C165" s="3">
        <v>3250</v>
      </c>
      <c r="I165" s="45" t="str">
        <f t="shared" si="64"/>
        <v/>
      </c>
      <c r="J165" s="46" t="str">
        <f t="shared" si="65"/>
        <v/>
      </c>
      <c r="K165" s="62">
        <f t="shared" si="66"/>
        <v>0</v>
      </c>
      <c r="L165" s="28" t="s">
        <v>63</v>
      </c>
      <c r="M165" s="12" t="str">
        <f t="shared" si="71"/>
        <v>-</v>
      </c>
      <c r="N165" s="12" t="str">
        <f t="shared" si="60"/>
        <v>-</v>
      </c>
      <c r="O165" s="12"/>
      <c r="Q165" s="62">
        <f t="shared" si="67"/>
        <v>0</v>
      </c>
      <c r="R165" s="28" t="s">
        <v>63</v>
      </c>
      <c r="S165" s="12" t="str">
        <f t="shared" si="72"/>
        <v>-</v>
      </c>
      <c r="T165" s="12" t="str">
        <f t="shared" si="61"/>
        <v>-</v>
      </c>
      <c r="U165" s="12"/>
      <c r="V165" s="12"/>
      <c r="W165" s="62">
        <f t="shared" si="68"/>
        <v>0</v>
      </c>
      <c r="X165" s="28" t="s">
        <v>63</v>
      </c>
      <c r="Y165" s="12" t="str">
        <f t="shared" si="73"/>
        <v>-</v>
      </c>
      <c r="Z165" s="12" t="str">
        <f t="shared" si="62"/>
        <v>-</v>
      </c>
      <c r="AA165" s="12"/>
      <c r="AB165" s="64"/>
      <c r="AC165" s="62">
        <f t="shared" si="69"/>
        <v>0</v>
      </c>
      <c r="AD165" s="28" t="s">
        <v>63</v>
      </c>
      <c r="AE165" s="12" t="str">
        <f t="shared" si="74"/>
        <v>-</v>
      </c>
      <c r="AF165" s="12" t="str">
        <f t="shared" si="63"/>
        <v>-</v>
      </c>
      <c r="AG165" s="12"/>
      <c r="AH165" s="17"/>
      <c r="AI165" s="17"/>
      <c r="AJ165" s="2">
        <f t="shared" si="56"/>
        <v>0</v>
      </c>
      <c r="AK165" s="2">
        <f t="shared" si="57"/>
        <v>0</v>
      </c>
      <c r="AL165" s="2">
        <f t="shared" si="58"/>
        <v>0</v>
      </c>
      <c r="AM165" s="2">
        <f t="shared" si="59"/>
        <v>0</v>
      </c>
    </row>
    <row r="166" spans="1:40" outlineLevel="1" x14ac:dyDescent="0.25">
      <c r="A166" t="s">
        <v>35</v>
      </c>
      <c r="B166" s="6" t="str">
        <f>IF(OR(E166="-",F166="-"),"-",D166&amp;" ("&amp;E166&amp;"x"&amp;F166&amp;")")</f>
        <v>Seite außen SY32 (660x360)</v>
      </c>
      <c r="C166" s="3" t="s">
        <v>15</v>
      </c>
      <c r="D166" s="6" t="s">
        <v>48</v>
      </c>
      <c r="E166">
        <v>660</v>
      </c>
      <c r="F166">
        <v>360</v>
      </c>
      <c r="G166">
        <v>720</v>
      </c>
      <c r="H166">
        <v>360</v>
      </c>
      <c r="I166" s="45">
        <f t="shared" si="64"/>
        <v>0.23760000000000003</v>
      </c>
      <c r="J166" s="46">
        <f t="shared" si="65"/>
        <v>2.04</v>
      </c>
      <c r="K166" s="62">
        <f t="shared" si="66"/>
        <v>0</v>
      </c>
      <c r="L166" s="28" t="s">
        <v>63</v>
      </c>
      <c r="M166" s="12" t="str">
        <f t="shared" si="71"/>
        <v>-</v>
      </c>
      <c r="N166" s="12" t="str">
        <f t="shared" si="60"/>
        <v>-</v>
      </c>
      <c r="O166" s="30" t="s">
        <v>72</v>
      </c>
      <c r="Q166" s="62">
        <f t="shared" si="67"/>
        <v>0</v>
      </c>
      <c r="R166" s="28" t="s">
        <v>63</v>
      </c>
      <c r="S166" s="12" t="str">
        <f t="shared" si="72"/>
        <v>-</v>
      </c>
      <c r="T166" s="12" t="str">
        <f t="shared" si="61"/>
        <v>-</v>
      </c>
      <c r="U166" s="30" t="s">
        <v>73</v>
      </c>
      <c r="V166" s="30"/>
      <c r="W166" s="62">
        <f t="shared" si="68"/>
        <v>0</v>
      </c>
      <c r="X166" s="28" t="s">
        <v>63</v>
      </c>
      <c r="Y166" s="12" t="str">
        <f t="shared" si="73"/>
        <v>-</v>
      </c>
      <c r="Z166" s="12" t="str">
        <f t="shared" si="62"/>
        <v>-</v>
      </c>
      <c r="AA166" s="30" t="s">
        <v>73</v>
      </c>
      <c r="AB166" s="64"/>
      <c r="AC166" s="62">
        <f t="shared" si="69"/>
        <v>0</v>
      </c>
      <c r="AD166" s="28" t="s">
        <v>63</v>
      </c>
      <c r="AE166" s="12" t="str">
        <f t="shared" si="74"/>
        <v>-</v>
      </c>
      <c r="AF166" s="12" t="str">
        <f t="shared" si="63"/>
        <v>-</v>
      </c>
      <c r="AG166" s="30" t="s">
        <v>73</v>
      </c>
      <c r="AH166" s="17"/>
      <c r="AI166" s="17"/>
      <c r="AJ166" s="2">
        <f t="shared" si="56"/>
        <v>0</v>
      </c>
      <c r="AK166" s="2">
        <f t="shared" si="57"/>
        <v>0</v>
      </c>
      <c r="AL166" s="2">
        <f t="shared" si="58"/>
        <v>0</v>
      </c>
      <c r="AM166" s="2">
        <f t="shared" si="59"/>
        <v>0</v>
      </c>
    </row>
    <row r="167" spans="1:40" s="14" customFormat="1" x14ac:dyDescent="0.25">
      <c r="A167" s="32"/>
      <c r="B167" s="5" t="s">
        <v>16</v>
      </c>
      <c r="C167" s="5"/>
      <c r="D167" s="5"/>
      <c r="E167" s="5"/>
      <c r="F167" s="5"/>
      <c r="G167" s="5"/>
      <c r="H167" s="5"/>
      <c r="I167" s="44" t="str">
        <f t="shared" si="64"/>
        <v/>
      </c>
      <c r="J167" s="44" t="str">
        <f t="shared" si="65"/>
        <v/>
      </c>
      <c r="K167" s="62">
        <f t="shared" si="66"/>
        <v>0</v>
      </c>
      <c r="L167" s="11" t="s">
        <v>63</v>
      </c>
      <c r="M167" s="15">
        <f>AVERAGE(M168:M218)</f>
        <v>0.45652979988992748</v>
      </c>
      <c r="N167" s="15" t="str">
        <f t="shared" si="60"/>
        <v>-</v>
      </c>
      <c r="O167" s="15"/>
      <c r="P167" s="17"/>
      <c r="Q167" s="62">
        <f t="shared" si="67"/>
        <v>0</v>
      </c>
      <c r="R167" s="11" t="s">
        <v>63</v>
      </c>
      <c r="S167" s="15">
        <f>AVERAGE(S168:S218)</f>
        <v>0.47653885773235033</v>
      </c>
      <c r="T167" s="15" t="str">
        <f t="shared" si="61"/>
        <v>-</v>
      </c>
      <c r="U167" s="15"/>
      <c r="V167" s="15"/>
      <c r="W167" s="62">
        <f t="shared" si="68"/>
        <v>10</v>
      </c>
      <c r="X167" s="11">
        <v>0</v>
      </c>
      <c r="Y167" s="15">
        <f>AVERAGE(Y168:Y218)</f>
        <v>0.41547426933300974</v>
      </c>
      <c r="Z167" s="15">
        <f t="shared" si="62"/>
        <v>10</v>
      </c>
      <c r="AA167" s="15"/>
      <c r="AB167" s="64"/>
      <c r="AC167" s="62">
        <f t="shared" si="69"/>
        <v>0</v>
      </c>
      <c r="AD167" s="11" t="s">
        <v>68</v>
      </c>
      <c r="AE167" s="15">
        <f>AVERAGE(AE168:AE218)</f>
        <v>0.40654519884250778</v>
      </c>
      <c r="AF167" s="15" t="str">
        <f t="shared" si="63"/>
        <v>-</v>
      </c>
      <c r="AG167" s="15"/>
      <c r="AH167" s="17"/>
      <c r="AI167" s="63"/>
      <c r="AJ167" s="4">
        <f t="shared" si="56"/>
        <v>0</v>
      </c>
      <c r="AK167" s="4">
        <f t="shared" si="57"/>
        <v>0</v>
      </c>
      <c r="AL167" s="4">
        <f t="shared" si="58"/>
        <v>0</v>
      </c>
      <c r="AM167" s="4">
        <f t="shared" si="59"/>
        <v>11</v>
      </c>
      <c r="AN167" s="32"/>
    </row>
    <row r="168" spans="1:40" outlineLevel="1" x14ac:dyDescent="0.25">
      <c r="A168" t="s">
        <v>16</v>
      </c>
      <c r="B168" s="7" t="str">
        <f t="shared" ref="B168:B199" si="75">IF(OR(E168="-",F168="-"),"-",D168&amp;" ("&amp;E168&amp;"x"&amp;F168&amp;")")</f>
        <v>Rücken (360x180)</v>
      </c>
      <c r="C168">
        <v>3300</v>
      </c>
      <c r="D168" s="7" t="s">
        <v>16</v>
      </c>
      <c r="E168">
        <v>360</v>
      </c>
      <c r="F168">
        <v>180</v>
      </c>
      <c r="I168" s="45">
        <f t="shared" si="64"/>
        <v>0.12959999999999999</v>
      </c>
      <c r="J168" s="46">
        <f t="shared" si="65"/>
        <v>1.44</v>
      </c>
      <c r="K168" s="62">
        <f t="shared" si="66"/>
        <v>34</v>
      </c>
      <c r="L168" s="28">
        <v>18</v>
      </c>
      <c r="M168" s="13">
        <f t="shared" ref="M168:M199" si="76">IFERROR(K168/L168-1,"-")</f>
        <v>0.88888888888888884</v>
      </c>
      <c r="N168" s="12">
        <f t="shared" si="60"/>
        <v>16</v>
      </c>
      <c r="O168" s="12"/>
      <c r="Q168" s="62">
        <f t="shared" si="67"/>
        <v>114</v>
      </c>
      <c r="R168" s="28">
        <v>70</v>
      </c>
      <c r="S168" s="13">
        <f t="shared" ref="S168:S199" si="77">IFERROR(Q168/R168-1,"-")</f>
        <v>0.62857142857142856</v>
      </c>
      <c r="T168" s="12">
        <f t="shared" si="61"/>
        <v>44</v>
      </c>
      <c r="U168" s="30" t="s">
        <v>72</v>
      </c>
      <c r="V168" s="30"/>
      <c r="W168" s="62">
        <f t="shared" si="68"/>
        <v>89</v>
      </c>
      <c r="X168" s="28">
        <v>59</v>
      </c>
      <c r="Y168" s="13">
        <f t="shared" ref="Y168:Y199" si="78">IFERROR(W168/X168-1,"-")</f>
        <v>0.50847457627118642</v>
      </c>
      <c r="Z168" s="12">
        <f t="shared" si="62"/>
        <v>30</v>
      </c>
      <c r="AA168" s="30" t="s">
        <v>72</v>
      </c>
      <c r="AB168" s="64"/>
      <c r="AC168" s="62">
        <f t="shared" si="69"/>
        <v>201</v>
      </c>
      <c r="AD168" s="28">
        <v>142</v>
      </c>
      <c r="AE168" s="13">
        <f t="shared" ref="AE168:AE199" si="79">IFERROR(AC168/AD168-1,"-")</f>
        <v>0.41549295774647876</v>
      </c>
      <c r="AF168" s="12">
        <f t="shared" si="63"/>
        <v>59</v>
      </c>
      <c r="AG168" s="30" t="s">
        <v>72</v>
      </c>
      <c r="AH168" s="17"/>
      <c r="AI168" s="16"/>
      <c r="AJ168" s="2">
        <f t="shared" si="56"/>
        <v>37</v>
      </c>
      <c r="AK168" s="2">
        <f t="shared" si="57"/>
        <v>125</v>
      </c>
      <c r="AL168" s="2">
        <f t="shared" si="58"/>
        <v>221</v>
      </c>
      <c r="AM168" s="2">
        <f t="shared" si="59"/>
        <v>98</v>
      </c>
    </row>
    <row r="169" spans="1:40" outlineLevel="1" x14ac:dyDescent="0.25">
      <c r="A169" t="s">
        <v>16</v>
      </c>
      <c r="B169" s="7" t="str">
        <f t="shared" si="75"/>
        <v>Rücken (420x180)</v>
      </c>
      <c r="C169">
        <v>3301</v>
      </c>
      <c r="D169" s="7" t="s">
        <v>16</v>
      </c>
      <c r="E169">
        <v>420</v>
      </c>
      <c r="F169">
        <v>180</v>
      </c>
      <c r="I169" s="45">
        <f t="shared" si="64"/>
        <v>0.1512</v>
      </c>
      <c r="J169" s="46">
        <f t="shared" si="65"/>
        <v>1.56</v>
      </c>
      <c r="K169" s="62">
        <f t="shared" si="66"/>
        <v>34</v>
      </c>
      <c r="L169" s="28">
        <v>21</v>
      </c>
      <c r="M169" s="13">
        <f t="shared" si="76"/>
        <v>0.61904761904761907</v>
      </c>
      <c r="N169" s="12">
        <f t="shared" si="60"/>
        <v>13</v>
      </c>
      <c r="O169" s="12"/>
      <c r="Q169" s="62">
        <f t="shared" si="67"/>
        <v>121</v>
      </c>
      <c r="R169" s="28">
        <v>75</v>
      </c>
      <c r="S169" s="13">
        <f t="shared" si="77"/>
        <v>0.61333333333333329</v>
      </c>
      <c r="T169" s="12">
        <f t="shared" si="61"/>
        <v>46</v>
      </c>
      <c r="U169" s="30" t="s">
        <v>72</v>
      </c>
      <c r="V169" s="30"/>
      <c r="W169" s="62">
        <f t="shared" si="68"/>
        <v>92</v>
      </c>
      <c r="X169" s="28">
        <v>61</v>
      </c>
      <c r="Y169" s="13">
        <f t="shared" si="78"/>
        <v>0.50819672131147531</v>
      </c>
      <c r="Z169" s="12">
        <f t="shared" si="62"/>
        <v>31</v>
      </c>
      <c r="AA169" s="30" t="s">
        <v>72</v>
      </c>
      <c r="AB169" s="64"/>
      <c r="AC169" s="62">
        <f t="shared" si="69"/>
        <v>202</v>
      </c>
      <c r="AD169" s="28">
        <v>143</v>
      </c>
      <c r="AE169" s="13">
        <f t="shared" si="79"/>
        <v>0.41258741258741249</v>
      </c>
      <c r="AF169" s="12">
        <f t="shared" si="63"/>
        <v>59</v>
      </c>
      <c r="AG169" s="30" t="s">
        <v>72</v>
      </c>
      <c r="AH169" s="17"/>
      <c r="AI169" s="16"/>
      <c r="AJ169" s="2">
        <f t="shared" si="56"/>
        <v>37</v>
      </c>
      <c r="AK169" s="2">
        <f t="shared" si="57"/>
        <v>133</v>
      </c>
      <c r="AL169" s="2">
        <f t="shared" si="58"/>
        <v>222</v>
      </c>
      <c r="AM169" s="2">
        <f t="shared" si="59"/>
        <v>101</v>
      </c>
    </row>
    <row r="170" spans="1:40" outlineLevel="1" x14ac:dyDescent="0.25">
      <c r="A170" t="s">
        <v>16</v>
      </c>
      <c r="B170" s="7" t="str">
        <f t="shared" si="75"/>
        <v>Rücken (580x180)</v>
      </c>
      <c r="C170">
        <v>3302</v>
      </c>
      <c r="D170" s="7" t="s">
        <v>16</v>
      </c>
      <c r="E170">
        <v>580</v>
      </c>
      <c r="F170">
        <v>180</v>
      </c>
      <c r="I170" s="45">
        <f t="shared" si="64"/>
        <v>0.20879999999999999</v>
      </c>
      <c r="J170" s="46">
        <f t="shared" si="65"/>
        <v>1.88</v>
      </c>
      <c r="K170" s="62">
        <f t="shared" si="66"/>
        <v>43</v>
      </c>
      <c r="L170" s="28">
        <v>28</v>
      </c>
      <c r="M170" s="13">
        <f t="shared" si="76"/>
        <v>0.53571428571428581</v>
      </c>
      <c r="N170" s="12">
        <f t="shared" si="60"/>
        <v>15</v>
      </c>
      <c r="O170" s="30" t="s">
        <v>72</v>
      </c>
      <c r="Q170" s="62">
        <f t="shared" si="67"/>
        <v>161</v>
      </c>
      <c r="R170" s="28">
        <v>105</v>
      </c>
      <c r="S170" s="13">
        <f t="shared" si="77"/>
        <v>0.53333333333333344</v>
      </c>
      <c r="T170" s="12">
        <f t="shared" si="61"/>
        <v>56</v>
      </c>
      <c r="U170" s="30" t="s">
        <v>72</v>
      </c>
      <c r="V170" s="30"/>
      <c r="W170" s="62">
        <f t="shared" si="68"/>
        <v>130</v>
      </c>
      <c r="X170" s="28">
        <v>89</v>
      </c>
      <c r="Y170" s="13">
        <f t="shared" si="78"/>
        <v>0.4606741573033708</v>
      </c>
      <c r="Z170" s="12">
        <f t="shared" si="62"/>
        <v>41</v>
      </c>
      <c r="AA170" s="30" t="s">
        <v>72</v>
      </c>
      <c r="AB170" s="64"/>
      <c r="AC170" s="62">
        <f t="shared" si="69"/>
        <v>208</v>
      </c>
      <c r="AD170" s="28">
        <v>147</v>
      </c>
      <c r="AE170" s="13">
        <f t="shared" si="79"/>
        <v>0.41496598639455784</v>
      </c>
      <c r="AF170" s="12">
        <f t="shared" si="63"/>
        <v>61</v>
      </c>
      <c r="AG170" s="30" t="s">
        <v>72</v>
      </c>
      <c r="AH170" s="17"/>
      <c r="AI170" s="16"/>
      <c r="AJ170" s="2">
        <f t="shared" si="56"/>
        <v>47</v>
      </c>
      <c r="AK170" s="2">
        <f t="shared" si="57"/>
        <v>177</v>
      </c>
      <c r="AL170" s="2">
        <f t="shared" si="58"/>
        <v>229</v>
      </c>
      <c r="AM170" s="2">
        <f t="shared" si="59"/>
        <v>143</v>
      </c>
    </row>
    <row r="171" spans="1:40" outlineLevel="1" x14ac:dyDescent="0.25">
      <c r="A171" t="s">
        <v>16</v>
      </c>
      <c r="B171" s="7" t="str">
        <f t="shared" si="75"/>
        <v>Rücken (780x180)</v>
      </c>
      <c r="C171">
        <v>3303</v>
      </c>
      <c r="D171" s="7" t="s">
        <v>16</v>
      </c>
      <c r="E171">
        <v>780</v>
      </c>
      <c r="F171">
        <v>180</v>
      </c>
      <c r="I171" s="45">
        <f t="shared" si="64"/>
        <v>0.28079999999999999</v>
      </c>
      <c r="J171" s="46">
        <f t="shared" si="65"/>
        <v>2.2800000000000002</v>
      </c>
      <c r="K171" s="62">
        <f t="shared" si="66"/>
        <v>56</v>
      </c>
      <c r="L171" s="28">
        <v>38</v>
      </c>
      <c r="M171" s="13">
        <f t="shared" si="76"/>
        <v>0.47368421052631571</v>
      </c>
      <c r="N171" s="12">
        <f t="shared" si="60"/>
        <v>18</v>
      </c>
      <c r="O171" s="30" t="s">
        <v>72</v>
      </c>
      <c r="Q171" s="62">
        <f t="shared" si="67"/>
        <v>185</v>
      </c>
      <c r="R171" s="28">
        <v>123</v>
      </c>
      <c r="S171" s="13">
        <f t="shared" si="77"/>
        <v>0.50406504065040658</v>
      </c>
      <c r="T171" s="12">
        <f t="shared" si="61"/>
        <v>62</v>
      </c>
      <c r="U171" s="30" t="s">
        <v>72</v>
      </c>
      <c r="V171" s="30"/>
      <c r="W171" s="62">
        <f t="shared" si="68"/>
        <v>144</v>
      </c>
      <c r="X171" s="28">
        <v>100</v>
      </c>
      <c r="Y171" s="13">
        <f t="shared" si="78"/>
        <v>0.43999999999999995</v>
      </c>
      <c r="Z171" s="12">
        <f t="shared" si="62"/>
        <v>44</v>
      </c>
      <c r="AA171" s="30" t="s">
        <v>72</v>
      </c>
      <c r="AB171" s="64"/>
      <c r="AC171" s="62">
        <f t="shared" si="69"/>
        <v>212</v>
      </c>
      <c r="AD171" s="28">
        <v>150</v>
      </c>
      <c r="AE171" s="13">
        <f t="shared" si="79"/>
        <v>0.41333333333333333</v>
      </c>
      <c r="AF171" s="12">
        <f t="shared" si="63"/>
        <v>62</v>
      </c>
      <c r="AG171" s="30" t="s">
        <v>72</v>
      </c>
      <c r="AH171" s="17"/>
      <c r="AI171" s="16"/>
      <c r="AJ171" s="2">
        <f t="shared" si="56"/>
        <v>62</v>
      </c>
      <c r="AK171" s="2">
        <f t="shared" si="57"/>
        <v>204</v>
      </c>
      <c r="AL171" s="2">
        <f t="shared" si="58"/>
        <v>233</v>
      </c>
      <c r="AM171" s="2">
        <f t="shared" si="59"/>
        <v>158</v>
      </c>
    </row>
    <row r="172" spans="1:40" outlineLevel="1" x14ac:dyDescent="0.25">
      <c r="A172" t="s">
        <v>16</v>
      </c>
      <c r="B172" s="7" t="str">
        <f t="shared" si="75"/>
        <v>Rücken (980x180)</v>
      </c>
      <c r="C172">
        <v>3304</v>
      </c>
      <c r="D172" s="7" t="s">
        <v>16</v>
      </c>
      <c r="E172">
        <v>980</v>
      </c>
      <c r="F172">
        <v>180</v>
      </c>
      <c r="I172" s="45">
        <f t="shared" si="64"/>
        <v>0.3528</v>
      </c>
      <c r="J172" s="46">
        <f t="shared" si="65"/>
        <v>2.6799999999999997</v>
      </c>
      <c r="K172" s="62">
        <f t="shared" si="66"/>
        <v>70</v>
      </c>
      <c r="L172" s="28">
        <v>48</v>
      </c>
      <c r="M172" s="13">
        <f t="shared" si="76"/>
        <v>0.45833333333333326</v>
      </c>
      <c r="N172" s="12">
        <f t="shared" si="60"/>
        <v>22</v>
      </c>
      <c r="O172" s="30" t="s">
        <v>72</v>
      </c>
      <c r="Q172" s="62">
        <f t="shared" si="67"/>
        <v>223</v>
      </c>
      <c r="R172" s="28">
        <v>151</v>
      </c>
      <c r="S172" s="13">
        <f t="shared" si="77"/>
        <v>0.47682119205298013</v>
      </c>
      <c r="T172" s="12">
        <f t="shared" si="61"/>
        <v>72</v>
      </c>
      <c r="U172" s="30" t="s">
        <v>72</v>
      </c>
      <c r="V172" s="30"/>
      <c r="W172" s="62">
        <f t="shared" si="68"/>
        <v>174</v>
      </c>
      <c r="X172" s="28">
        <v>122</v>
      </c>
      <c r="Y172" s="13">
        <f t="shared" si="78"/>
        <v>0.42622950819672134</v>
      </c>
      <c r="Z172" s="12">
        <f t="shared" si="62"/>
        <v>52</v>
      </c>
      <c r="AA172" s="30" t="s">
        <v>72</v>
      </c>
      <c r="AB172" s="64"/>
      <c r="AC172" s="62">
        <f t="shared" si="69"/>
        <v>229</v>
      </c>
      <c r="AD172" s="28">
        <v>163</v>
      </c>
      <c r="AE172" s="13">
        <f t="shared" si="79"/>
        <v>0.4049079754601228</v>
      </c>
      <c r="AF172" s="12">
        <f t="shared" si="63"/>
        <v>66</v>
      </c>
      <c r="AG172" s="30" t="s">
        <v>72</v>
      </c>
      <c r="AH172" s="17"/>
      <c r="AI172" s="16"/>
      <c r="AJ172" s="2">
        <f t="shared" si="56"/>
        <v>77</v>
      </c>
      <c r="AK172" s="2">
        <f t="shared" si="57"/>
        <v>245</v>
      </c>
      <c r="AL172" s="2">
        <f t="shared" si="58"/>
        <v>252</v>
      </c>
      <c r="AM172" s="2">
        <f t="shared" si="59"/>
        <v>191</v>
      </c>
    </row>
    <row r="173" spans="1:40" outlineLevel="1" x14ac:dyDescent="0.25">
      <c r="A173" t="s">
        <v>16</v>
      </c>
      <c r="B173" s="7" t="str">
        <f t="shared" si="75"/>
        <v>Rücken (360x360)</v>
      </c>
      <c r="C173">
        <v>3305</v>
      </c>
      <c r="D173" s="7" t="s">
        <v>16</v>
      </c>
      <c r="E173">
        <v>360</v>
      </c>
      <c r="F173">
        <v>360</v>
      </c>
      <c r="I173" s="45">
        <f t="shared" si="64"/>
        <v>0.12959999999999999</v>
      </c>
      <c r="J173" s="46">
        <f t="shared" si="65"/>
        <v>1.44</v>
      </c>
      <c r="K173" s="62">
        <f t="shared" si="66"/>
        <v>34</v>
      </c>
      <c r="L173" s="28">
        <v>21</v>
      </c>
      <c r="M173" s="13">
        <f t="shared" si="76"/>
        <v>0.61904761904761907</v>
      </c>
      <c r="N173" s="12">
        <f t="shared" si="60"/>
        <v>13</v>
      </c>
      <c r="O173" s="30" t="s">
        <v>72</v>
      </c>
      <c r="Q173" s="62">
        <f t="shared" si="67"/>
        <v>114</v>
      </c>
      <c r="R173" s="28">
        <v>70</v>
      </c>
      <c r="S173" s="13">
        <f t="shared" si="77"/>
        <v>0.62857142857142856</v>
      </c>
      <c r="T173" s="12">
        <f t="shared" si="61"/>
        <v>44</v>
      </c>
      <c r="U173" s="30" t="s">
        <v>72</v>
      </c>
      <c r="V173" s="30"/>
      <c r="W173" s="62">
        <f t="shared" si="68"/>
        <v>89</v>
      </c>
      <c r="X173" s="28">
        <v>59</v>
      </c>
      <c r="Y173" s="13">
        <f t="shared" si="78"/>
        <v>0.50847457627118642</v>
      </c>
      <c r="Z173" s="12">
        <f t="shared" si="62"/>
        <v>30</v>
      </c>
      <c r="AA173" s="30" t="s">
        <v>72</v>
      </c>
      <c r="AB173" s="64"/>
      <c r="AC173" s="62">
        <f t="shared" si="69"/>
        <v>177</v>
      </c>
      <c r="AD173" s="28">
        <v>124</v>
      </c>
      <c r="AE173" s="13">
        <f t="shared" si="79"/>
        <v>0.42741935483870974</v>
      </c>
      <c r="AF173" s="12">
        <f t="shared" si="63"/>
        <v>53</v>
      </c>
      <c r="AG173" s="30" t="s">
        <v>72</v>
      </c>
      <c r="AH173" s="17"/>
      <c r="AI173" s="16"/>
      <c r="AJ173" s="2">
        <f t="shared" si="56"/>
        <v>37</v>
      </c>
      <c r="AK173" s="2">
        <f t="shared" si="57"/>
        <v>125</v>
      </c>
      <c r="AL173" s="2">
        <f t="shared" si="58"/>
        <v>195</v>
      </c>
      <c r="AM173" s="2">
        <f t="shared" si="59"/>
        <v>98</v>
      </c>
    </row>
    <row r="174" spans="1:40" outlineLevel="1" x14ac:dyDescent="0.25">
      <c r="A174" t="s">
        <v>16</v>
      </c>
      <c r="B174" s="7" t="str">
        <f t="shared" si="75"/>
        <v>Rücken (420x360)</v>
      </c>
      <c r="C174">
        <v>3306</v>
      </c>
      <c r="D174" s="7" t="s">
        <v>16</v>
      </c>
      <c r="E174">
        <v>420</v>
      </c>
      <c r="F174">
        <v>360</v>
      </c>
      <c r="I174" s="45">
        <f t="shared" si="64"/>
        <v>0.1512</v>
      </c>
      <c r="J174" s="46">
        <f t="shared" si="65"/>
        <v>1.56</v>
      </c>
      <c r="K174" s="62">
        <f t="shared" si="66"/>
        <v>34</v>
      </c>
      <c r="L174" s="28">
        <v>21</v>
      </c>
      <c r="M174" s="13">
        <f t="shared" si="76"/>
        <v>0.61904761904761907</v>
      </c>
      <c r="N174" s="12">
        <f t="shared" si="60"/>
        <v>13</v>
      </c>
      <c r="O174" s="30" t="s">
        <v>72</v>
      </c>
      <c r="Q174" s="62">
        <f t="shared" si="67"/>
        <v>121</v>
      </c>
      <c r="R174" s="28">
        <v>75</v>
      </c>
      <c r="S174" s="13">
        <f t="shared" si="77"/>
        <v>0.61333333333333329</v>
      </c>
      <c r="T174" s="12">
        <f t="shared" si="61"/>
        <v>46</v>
      </c>
      <c r="U174" s="30" t="s">
        <v>72</v>
      </c>
      <c r="V174" s="30"/>
      <c r="W174" s="62">
        <f t="shared" si="68"/>
        <v>92</v>
      </c>
      <c r="X174" s="28">
        <v>61</v>
      </c>
      <c r="Y174" s="13">
        <f t="shared" si="78"/>
        <v>0.50819672131147531</v>
      </c>
      <c r="Z174" s="12">
        <f t="shared" si="62"/>
        <v>31</v>
      </c>
      <c r="AA174" s="30" t="s">
        <v>72</v>
      </c>
      <c r="AB174" s="64"/>
      <c r="AC174" s="62">
        <f t="shared" si="69"/>
        <v>178</v>
      </c>
      <c r="AD174" s="28">
        <v>125</v>
      </c>
      <c r="AE174" s="13">
        <f t="shared" si="79"/>
        <v>0.42399999999999993</v>
      </c>
      <c r="AF174" s="12">
        <f t="shared" si="63"/>
        <v>53</v>
      </c>
      <c r="AG174" s="30" t="s">
        <v>72</v>
      </c>
      <c r="AH174" s="17"/>
      <c r="AI174" s="16"/>
      <c r="AJ174" s="2">
        <f t="shared" si="56"/>
        <v>37</v>
      </c>
      <c r="AK174" s="2">
        <f t="shared" si="57"/>
        <v>133</v>
      </c>
      <c r="AL174" s="2">
        <f t="shared" si="58"/>
        <v>196</v>
      </c>
      <c r="AM174" s="2">
        <f t="shared" si="59"/>
        <v>101</v>
      </c>
    </row>
    <row r="175" spans="1:40" outlineLevel="1" x14ac:dyDescent="0.25">
      <c r="A175" t="s">
        <v>16</v>
      </c>
      <c r="B175" s="7" t="str">
        <f t="shared" si="75"/>
        <v>Rücken (580x360)</v>
      </c>
      <c r="C175">
        <v>3307</v>
      </c>
      <c r="D175" s="7" t="s">
        <v>16</v>
      </c>
      <c r="E175">
        <v>580</v>
      </c>
      <c r="F175">
        <v>360</v>
      </c>
      <c r="I175" s="45">
        <f t="shared" si="64"/>
        <v>0.20879999999999999</v>
      </c>
      <c r="J175" s="46">
        <f t="shared" si="65"/>
        <v>1.88</v>
      </c>
      <c r="K175" s="62">
        <f t="shared" si="66"/>
        <v>43</v>
      </c>
      <c r="L175" s="28">
        <v>28</v>
      </c>
      <c r="M175" s="13">
        <f t="shared" si="76"/>
        <v>0.53571428571428581</v>
      </c>
      <c r="N175" s="12">
        <f t="shared" si="60"/>
        <v>15</v>
      </c>
      <c r="O175" s="30" t="s">
        <v>72</v>
      </c>
      <c r="Q175" s="62">
        <f t="shared" si="67"/>
        <v>161</v>
      </c>
      <c r="R175" s="28">
        <v>105</v>
      </c>
      <c r="S175" s="13">
        <f t="shared" si="77"/>
        <v>0.53333333333333344</v>
      </c>
      <c r="T175" s="12">
        <f t="shared" si="61"/>
        <v>56</v>
      </c>
      <c r="U175" s="30" t="s">
        <v>72</v>
      </c>
      <c r="V175" s="30"/>
      <c r="W175" s="62">
        <f t="shared" si="68"/>
        <v>130</v>
      </c>
      <c r="X175" s="28">
        <v>89</v>
      </c>
      <c r="Y175" s="13">
        <f t="shared" si="78"/>
        <v>0.4606741573033708</v>
      </c>
      <c r="Z175" s="12">
        <f t="shared" si="62"/>
        <v>41</v>
      </c>
      <c r="AA175" s="30" t="s">
        <v>72</v>
      </c>
      <c r="AB175" s="64"/>
      <c r="AC175" s="62">
        <f t="shared" si="69"/>
        <v>185</v>
      </c>
      <c r="AD175" s="28">
        <v>130</v>
      </c>
      <c r="AE175" s="13">
        <f t="shared" si="79"/>
        <v>0.42307692307692313</v>
      </c>
      <c r="AF175" s="12">
        <f t="shared" si="63"/>
        <v>55</v>
      </c>
      <c r="AG175" s="30" t="s">
        <v>72</v>
      </c>
      <c r="AH175" s="17"/>
      <c r="AI175" s="16"/>
      <c r="AJ175" s="2">
        <f t="shared" si="56"/>
        <v>47</v>
      </c>
      <c r="AK175" s="2">
        <f t="shared" si="57"/>
        <v>177</v>
      </c>
      <c r="AL175" s="2">
        <f t="shared" si="58"/>
        <v>204</v>
      </c>
      <c r="AM175" s="2">
        <f t="shared" si="59"/>
        <v>143</v>
      </c>
    </row>
    <row r="176" spans="1:40" outlineLevel="1" x14ac:dyDescent="0.25">
      <c r="A176" t="s">
        <v>16</v>
      </c>
      <c r="B176" s="7" t="str">
        <f t="shared" si="75"/>
        <v>Rücken (780x360)</v>
      </c>
      <c r="C176">
        <v>3308</v>
      </c>
      <c r="D176" s="7" t="s">
        <v>16</v>
      </c>
      <c r="E176">
        <v>780</v>
      </c>
      <c r="F176">
        <v>360</v>
      </c>
      <c r="I176" s="45">
        <f t="shared" si="64"/>
        <v>0.28079999999999999</v>
      </c>
      <c r="J176" s="46">
        <f t="shared" si="65"/>
        <v>2.2800000000000002</v>
      </c>
      <c r="K176" s="62">
        <f t="shared" si="66"/>
        <v>56</v>
      </c>
      <c r="L176" s="28">
        <v>38</v>
      </c>
      <c r="M176" s="13">
        <f t="shared" si="76"/>
        <v>0.47368421052631571</v>
      </c>
      <c r="N176" s="12">
        <f t="shared" si="60"/>
        <v>18</v>
      </c>
      <c r="O176" s="30" t="s">
        <v>72</v>
      </c>
      <c r="Q176" s="62">
        <f t="shared" si="67"/>
        <v>185</v>
      </c>
      <c r="R176" s="28">
        <v>123</v>
      </c>
      <c r="S176" s="13">
        <f t="shared" si="77"/>
        <v>0.50406504065040658</v>
      </c>
      <c r="T176" s="12">
        <f t="shared" si="61"/>
        <v>62</v>
      </c>
      <c r="U176" s="30" t="s">
        <v>72</v>
      </c>
      <c r="V176" s="30"/>
      <c r="W176" s="62">
        <f t="shared" si="68"/>
        <v>144</v>
      </c>
      <c r="X176" s="28">
        <v>100</v>
      </c>
      <c r="Y176" s="13">
        <f t="shared" si="78"/>
        <v>0.43999999999999995</v>
      </c>
      <c r="Z176" s="12">
        <f t="shared" si="62"/>
        <v>44</v>
      </c>
      <c r="AA176" s="30" t="s">
        <v>72</v>
      </c>
      <c r="AB176" s="64"/>
      <c r="AC176" s="62">
        <f t="shared" si="69"/>
        <v>190</v>
      </c>
      <c r="AD176" s="28">
        <v>134</v>
      </c>
      <c r="AE176" s="13">
        <f t="shared" si="79"/>
        <v>0.41791044776119413</v>
      </c>
      <c r="AF176" s="12">
        <f t="shared" si="63"/>
        <v>56</v>
      </c>
      <c r="AG176" s="30" t="s">
        <v>72</v>
      </c>
      <c r="AH176" s="17"/>
      <c r="AI176" s="16"/>
      <c r="AJ176" s="2">
        <f t="shared" si="56"/>
        <v>62</v>
      </c>
      <c r="AK176" s="2">
        <f t="shared" si="57"/>
        <v>204</v>
      </c>
      <c r="AL176" s="2">
        <f t="shared" si="58"/>
        <v>209</v>
      </c>
      <c r="AM176" s="2">
        <f t="shared" si="59"/>
        <v>158</v>
      </c>
    </row>
    <row r="177" spans="1:39" outlineLevel="1" x14ac:dyDescent="0.25">
      <c r="A177" t="s">
        <v>16</v>
      </c>
      <c r="B177" s="7" t="str">
        <f t="shared" si="75"/>
        <v>Rücken (980x360)</v>
      </c>
      <c r="C177">
        <v>3309</v>
      </c>
      <c r="D177" s="7" t="s">
        <v>16</v>
      </c>
      <c r="E177">
        <v>980</v>
      </c>
      <c r="F177">
        <v>360</v>
      </c>
      <c r="I177" s="45">
        <f t="shared" si="64"/>
        <v>0.3528</v>
      </c>
      <c r="J177" s="46">
        <f t="shared" si="65"/>
        <v>2.6799999999999997</v>
      </c>
      <c r="K177" s="62">
        <f t="shared" si="66"/>
        <v>70</v>
      </c>
      <c r="L177" s="28">
        <v>48</v>
      </c>
      <c r="M177" s="13">
        <f t="shared" si="76"/>
        <v>0.45833333333333326</v>
      </c>
      <c r="N177" s="12">
        <f t="shared" si="60"/>
        <v>22</v>
      </c>
      <c r="O177" s="30" t="s">
        <v>72</v>
      </c>
      <c r="Q177" s="62">
        <f t="shared" si="67"/>
        <v>223</v>
      </c>
      <c r="R177" s="28">
        <v>151</v>
      </c>
      <c r="S177" s="13">
        <f t="shared" si="77"/>
        <v>0.47682119205298013</v>
      </c>
      <c r="T177" s="12">
        <f t="shared" si="61"/>
        <v>72</v>
      </c>
      <c r="U177" s="30" t="s">
        <v>72</v>
      </c>
      <c r="V177" s="30"/>
      <c r="W177" s="62">
        <f t="shared" si="68"/>
        <v>174</v>
      </c>
      <c r="X177" s="28">
        <v>122</v>
      </c>
      <c r="Y177" s="13">
        <f t="shared" si="78"/>
        <v>0.42622950819672134</v>
      </c>
      <c r="Z177" s="12">
        <f t="shared" si="62"/>
        <v>52</v>
      </c>
      <c r="AA177" s="30" t="s">
        <v>72</v>
      </c>
      <c r="AB177" s="64"/>
      <c r="AC177" s="62">
        <f t="shared" si="69"/>
        <v>209</v>
      </c>
      <c r="AD177" s="28">
        <v>148</v>
      </c>
      <c r="AE177" s="13">
        <f t="shared" si="79"/>
        <v>0.41216216216216206</v>
      </c>
      <c r="AF177" s="12">
        <f t="shared" si="63"/>
        <v>61</v>
      </c>
      <c r="AG177" s="30" t="s">
        <v>72</v>
      </c>
      <c r="AH177" s="17"/>
      <c r="AI177" s="16"/>
      <c r="AJ177" s="2">
        <f t="shared" si="56"/>
        <v>77</v>
      </c>
      <c r="AK177" s="2">
        <f t="shared" si="57"/>
        <v>245</v>
      </c>
      <c r="AL177" s="2">
        <f t="shared" si="58"/>
        <v>230</v>
      </c>
      <c r="AM177" s="2">
        <f t="shared" si="59"/>
        <v>191</v>
      </c>
    </row>
    <row r="178" spans="1:39" outlineLevel="1" x14ac:dyDescent="0.25">
      <c r="A178" t="s">
        <v>16</v>
      </c>
      <c r="B178" s="7" t="str">
        <f t="shared" si="75"/>
        <v>Rücken (360x720)</v>
      </c>
      <c r="C178">
        <v>3310</v>
      </c>
      <c r="D178" s="7" t="s">
        <v>16</v>
      </c>
      <c r="E178">
        <v>360</v>
      </c>
      <c r="F178">
        <v>720</v>
      </c>
      <c r="I178" s="45">
        <f t="shared" si="64"/>
        <v>0.25919999999999999</v>
      </c>
      <c r="J178" s="46">
        <f t="shared" si="65"/>
        <v>2.16</v>
      </c>
      <c r="K178" s="62">
        <f t="shared" si="66"/>
        <v>52</v>
      </c>
      <c r="L178" s="28">
        <v>35</v>
      </c>
      <c r="M178" s="13">
        <f t="shared" si="76"/>
        <v>0.48571428571428577</v>
      </c>
      <c r="N178" s="12">
        <f t="shared" si="60"/>
        <v>17</v>
      </c>
      <c r="O178" s="30" t="s">
        <v>72</v>
      </c>
      <c r="Q178" s="62">
        <f t="shared" si="67"/>
        <v>181</v>
      </c>
      <c r="R178" s="28">
        <v>120</v>
      </c>
      <c r="S178" s="13">
        <f t="shared" si="77"/>
        <v>0.5083333333333333</v>
      </c>
      <c r="T178" s="12">
        <f t="shared" si="61"/>
        <v>61</v>
      </c>
      <c r="U178" s="30" t="s">
        <v>72</v>
      </c>
      <c r="V178" s="30"/>
      <c r="W178" s="62">
        <f t="shared" si="68"/>
        <v>143</v>
      </c>
      <c r="X178" s="28">
        <v>99</v>
      </c>
      <c r="Y178" s="13">
        <f t="shared" si="78"/>
        <v>0.44444444444444442</v>
      </c>
      <c r="Z178" s="12">
        <f t="shared" si="62"/>
        <v>44</v>
      </c>
      <c r="AA178" s="30" t="s">
        <v>72</v>
      </c>
      <c r="AB178" s="64"/>
      <c r="AC178" s="62">
        <f t="shared" si="69"/>
        <v>212</v>
      </c>
      <c r="AD178" s="28">
        <v>150</v>
      </c>
      <c r="AE178" s="13">
        <f t="shared" si="79"/>
        <v>0.41333333333333333</v>
      </c>
      <c r="AF178" s="12">
        <f t="shared" si="63"/>
        <v>62</v>
      </c>
      <c r="AG178" s="30" t="s">
        <v>72</v>
      </c>
      <c r="AH178" s="17"/>
      <c r="AI178" s="16"/>
      <c r="AJ178" s="2">
        <f t="shared" si="56"/>
        <v>57</v>
      </c>
      <c r="AK178" s="2">
        <f t="shared" si="57"/>
        <v>199</v>
      </c>
      <c r="AL178" s="2">
        <f t="shared" si="58"/>
        <v>233</v>
      </c>
      <c r="AM178" s="2">
        <f t="shared" si="59"/>
        <v>157</v>
      </c>
    </row>
    <row r="179" spans="1:39" outlineLevel="1" x14ac:dyDescent="0.25">
      <c r="A179" t="s">
        <v>16</v>
      </c>
      <c r="B179" s="7" t="str">
        <f t="shared" si="75"/>
        <v>Rücken (420x720)</v>
      </c>
      <c r="C179">
        <v>3311</v>
      </c>
      <c r="D179" s="7" t="s">
        <v>16</v>
      </c>
      <c r="E179">
        <v>420</v>
      </c>
      <c r="F179">
        <v>720</v>
      </c>
      <c r="I179" s="45">
        <f t="shared" si="64"/>
        <v>0.3024</v>
      </c>
      <c r="J179" s="46">
        <f t="shared" si="65"/>
        <v>2.2799999999999998</v>
      </c>
      <c r="K179" s="62">
        <f t="shared" si="66"/>
        <v>60</v>
      </c>
      <c r="L179" s="28">
        <v>41</v>
      </c>
      <c r="M179" s="13">
        <f t="shared" si="76"/>
        <v>0.46341463414634143</v>
      </c>
      <c r="N179" s="12">
        <f t="shared" si="60"/>
        <v>19</v>
      </c>
      <c r="O179" s="30" t="s">
        <v>72</v>
      </c>
      <c r="Q179" s="62">
        <f t="shared" si="67"/>
        <v>212</v>
      </c>
      <c r="R179" s="28">
        <v>143</v>
      </c>
      <c r="S179" s="13">
        <f t="shared" si="77"/>
        <v>0.4825174825174825</v>
      </c>
      <c r="T179" s="12">
        <f t="shared" si="61"/>
        <v>69</v>
      </c>
      <c r="U179" s="30" t="s">
        <v>72</v>
      </c>
      <c r="V179" s="30"/>
      <c r="W179" s="62">
        <f t="shared" si="68"/>
        <v>166</v>
      </c>
      <c r="X179" s="28">
        <v>116</v>
      </c>
      <c r="Y179" s="13">
        <f t="shared" si="78"/>
        <v>0.43103448275862077</v>
      </c>
      <c r="Z179" s="12">
        <f t="shared" si="62"/>
        <v>50</v>
      </c>
      <c r="AA179" s="30" t="s">
        <v>72</v>
      </c>
      <c r="AB179" s="64"/>
      <c r="AC179" s="62">
        <f t="shared" si="69"/>
        <v>212</v>
      </c>
      <c r="AD179" s="28">
        <v>150</v>
      </c>
      <c r="AE179" s="13">
        <f t="shared" si="79"/>
        <v>0.41333333333333333</v>
      </c>
      <c r="AF179" s="12">
        <f t="shared" si="63"/>
        <v>62</v>
      </c>
      <c r="AG179" s="30" t="s">
        <v>72</v>
      </c>
      <c r="AH179" s="17"/>
      <c r="AI179" s="16"/>
      <c r="AJ179" s="2">
        <f t="shared" si="56"/>
        <v>66</v>
      </c>
      <c r="AK179" s="2">
        <f t="shared" si="57"/>
        <v>233</v>
      </c>
      <c r="AL179" s="2">
        <f t="shared" si="58"/>
        <v>233</v>
      </c>
      <c r="AM179" s="2">
        <f t="shared" si="59"/>
        <v>183</v>
      </c>
    </row>
    <row r="180" spans="1:39" outlineLevel="1" x14ac:dyDescent="0.25">
      <c r="A180" t="s">
        <v>16</v>
      </c>
      <c r="B180" s="7" t="str">
        <f t="shared" si="75"/>
        <v>Rücken (580x720)</v>
      </c>
      <c r="C180">
        <v>3312</v>
      </c>
      <c r="D180" s="7" t="s">
        <v>16</v>
      </c>
      <c r="E180">
        <v>580</v>
      </c>
      <c r="F180">
        <v>720</v>
      </c>
      <c r="I180" s="45">
        <f t="shared" si="64"/>
        <v>0.41759999999999997</v>
      </c>
      <c r="J180" s="46">
        <f t="shared" si="65"/>
        <v>2.5999999999999996</v>
      </c>
      <c r="K180" s="62">
        <f t="shared" si="66"/>
        <v>82</v>
      </c>
      <c r="L180" s="28">
        <v>57</v>
      </c>
      <c r="M180" s="13">
        <f t="shared" si="76"/>
        <v>0.43859649122807021</v>
      </c>
      <c r="N180" s="12">
        <f t="shared" si="60"/>
        <v>25</v>
      </c>
      <c r="O180" s="30" t="s">
        <v>72</v>
      </c>
      <c r="Q180" s="62">
        <f t="shared" si="67"/>
        <v>262</v>
      </c>
      <c r="R180" s="28">
        <v>180</v>
      </c>
      <c r="S180" s="13">
        <f t="shared" si="77"/>
        <v>0.45555555555555549</v>
      </c>
      <c r="T180" s="12">
        <f t="shared" si="61"/>
        <v>82</v>
      </c>
      <c r="U180" s="30" t="s">
        <v>72</v>
      </c>
      <c r="V180" s="30"/>
      <c r="W180" s="62">
        <f t="shared" si="68"/>
        <v>216</v>
      </c>
      <c r="X180" s="28">
        <v>153</v>
      </c>
      <c r="Y180" s="13">
        <f t="shared" si="78"/>
        <v>0.41176470588235303</v>
      </c>
      <c r="Z180" s="12">
        <f t="shared" si="62"/>
        <v>63</v>
      </c>
      <c r="AA180" s="30" t="s">
        <v>72</v>
      </c>
      <c r="AB180" s="64"/>
      <c r="AC180" s="62">
        <f t="shared" si="69"/>
        <v>245</v>
      </c>
      <c r="AD180" s="28">
        <v>175</v>
      </c>
      <c r="AE180" s="13">
        <f t="shared" si="79"/>
        <v>0.39999999999999991</v>
      </c>
      <c r="AF180" s="12">
        <f t="shared" si="63"/>
        <v>70</v>
      </c>
      <c r="AG180" s="30" t="s">
        <v>72</v>
      </c>
      <c r="AH180" s="17"/>
      <c r="AI180" s="16"/>
      <c r="AJ180" s="2">
        <f t="shared" si="56"/>
        <v>90</v>
      </c>
      <c r="AK180" s="2">
        <f t="shared" si="57"/>
        <v>288</v>
      </c>
      <c r="AL180" s="2">
        <f t="shared" si="58"/>
        <v>270</v>
      </c>
      <c r="AM180" s="2">
        <f t="shared" si="59"/>
        <v>238</v>
      </c>
    </row>
    <row r="181" spans="1:39" outlineLevel="1" x14ac:dyDescent="0.25">
      <c r="A181" t="s">
        <v>16</v>
      </c>
      <c r="B181" s="7" t="str">
        <f t="shared" si="75"/>
        <v>Rücken (780x720)</v>
      </c>
      <c r="C181">
        <v>3313</v>
      </c>
      <c r="D181" s="7" t="s">
        <v>16</v>
      </c>
      <c r="E181">
        <v>780</v>
      </c>
      <c r="F181">
        <v>720</v>
      </c>
      <c r="I181" s="45">
        <f t="shared" si="64"/>
        <v>0.56159999999999999</v>
      </c>
      <c r="J181" s="46">
        <f t="shared" si="65"/>
        <v>3</v>
      </c>
      <c r="K181" s="62">
        <f t="shared" si="66"/>
        <v>107</v>
      </c>
      <c r="L181" s="28">
        <v>76</v>
      </c>
      <c r="M181" s="13">
        <f t="shared" si="76"/>
        <v>0.40789473684210531</v>
      </c>
      <c r="N181" s="12">
        <f t="shared" si="60"/>
        <v>31</v>
      </c>
      <c r="O181" s="30" t="s">
        <v>72</v>
      </c>
      <c r="Q181" s="62">
        <f t="shared" si="67"/>
        <v>355</v>
      </c>
      <c r="R181" s="28">
        <v>249</v>
      </c>
      <c r="S181" s="13">
        <f t="shared" si="77"/>
        <v>0.42570281124497988</v>
      </c>
      <c r="T181" s="12">
        <f t="shared" si="61"/>
        <v>106</v>
      </c>
      <c r="U181" s="30" t="s">
        <v>72</v>
      </c>
      <c r="V181" s="30"/>
      <c r="W181" s="62">
        <f t="shared" si="68"/>
        <v>277</v>
      </c>
      <c r="X181" s="28">
        <v>199</v>
      </c>
      <c r="Y181" s="13">
        <f t="shared" si="78"/>
        <v>0.3919597989949748</v>
      </c>
      <c r="Z181" s="12">
        <f t="shared" si="62"/>
        <v>78</v>
      </c>
      <c r="AA181" s="30" t="s">
        <v>72</v>
      </c>
      <c r="AB181" s="64"/>
      <c r="AC181" s="62">
        <f t="shared" si="69"/>
        <v>268</v>
      </c>
      <c r="AD181" s="28">
        <v>192</v>
      </c>
      <c r="AE181" s="13">
        <f t="shared" si="79"/>
        <v>0.39583333333333326</v>
      </c>
      <c r="AF181" s="12">
        <f t="shared" si="63"/>
        <v>76</v>
      </c>
      <c r="AG181" s="30" t="s">
        <v>72</v>
      </c>
      <c r="AH181" s="17"/>
      <c r="AI181" s="16"/>
      <c r="AJ181" s="2">
        <f t="shared" si="56"/>
        <v>118</v>
      </c>
      <c r="AK181" s="2">
        <f t="shared" si="57"/>
        <v>391</v>
      </c>
      <c r="AL181" s="2">
        <f t="shared" si="58"/>
        <v>295</v>
      </c>
      <c r="AM181" s="2">
        <f t="shared" si="59"/>
        <v>305</v>
      </c>
    </row>
    <row r="182" spans="1:39" outlineLevel="1" x14ac:dyDescent="0.25">
      <c r="A182" t="s">
        <v>16</v>
      </c>
      <c r="B182" s="7" t="str">
        <f t="shared" si="75"/>
        <v>Rücken (980x720)</v>
      </c>
      <c r="C182">
        <v>3314</v>
      </c>
      <c r="D182" s="7" t="s">
        <v>16</v>
      </c>
      <c r="E182">
        <v>980</v>
      </c>
      <c r="F182">
        <v>720</v>
      </c>
      <c r="I182" s="45">
        <f t="shared" si="64"/>
        <v>0.7056</v>
      </c>
      <c r="J182" s="46">
        <f t="shared" si="65"/>
        <v>3.4</v>
      </c>
      <c r="K182" s="62">
        <f t="shared" si="66"/>
        <v>134</v>
      </c>
      <c r="L182" s="28">
        <v>96</v>
      </c>
      <c r="M182" s="13">
        <f t="shared" si="76"/>
        <v>0.39583333333333326</v>
      </c>
      <c r="N182" s="12">
        <f t="shared" si="60"/>
        <v>38</v>
      </c>
      <c r="O182" s="30" t="s">
        <v>72</v>
      </c>
      <c r="Q182" s="62">
        <f t="shared" si="67"/>
        <v>406</v>
      </c>
      <c r="R182" s="28">
        <v>287</v>
      </c>
      <c r="S182" s="13">
        <f t="shared" si="77"/>
        <v>0.41463414634146334</v>
      </c>
      <c r="T182" s="12">
        <f t="shared" si="61"/>
        <v>119</v>
      </c>
      <c r="U182" s="30" t="s">
        <v>72</v>
      </c>
      <c r="V182" s="30"/>
      <c r="W182" s="62">
        <f t="shared" si="68"/>
        <v>320</v>
      </c>
      <c r="X182" s="28">
        <v>231</v>
      </c>
      <c r="Y182" s="13">
        <f t="shared" si="78"/>
        <v>0.38528138528138522</v>
      </c>
      <c r="Z182" s="12">
        <f t="shared" si="62"/>
        <v>89</v>
      </c>
      <c r="AA182" s="30" t="s">
        <v>72</v>
      </c>
      <c r="AB182" s="64"/>
      <c r="AC182" s="62">
        <f t="shared" si="69"/>
        <v>329</v>
      </c>
      <c r="AD182" s="28">
        <v>237</v>
      </c>
      <c r="AE182" s="13">
        <f t="shared" si="79"/>
        <v>0.38818565400843874</v>
      </c>
      <c r="AF182" s="12">
        <f t="shared" si="63"/>
        <v>92</v>
      </c>
      <c r="AG182" s="30" t="s">
        <v>72</v>
      </c>
      <c r="AH182" s="17"/>
      <c r="AI182" s="16"/>
      <c r="AJ182" s="2">
        <f t="shared" si="56"/>
        <v>147</v>
      </c>
      <c r="AK182" s="2">
        <f t="shared" si="57"/>
        <v>447</v>
      </c>
      <c r="AL182" s="2">
        <f t="shared" si="58"/>
        <v>362</v>
      </c>
      <c r="AM182" s="2">
        <f t="shared" si="59"/>
        <v>352</v>
      </c>
    </row>
    <row r="183" spans="1:39" outlineLevel="1" x14ac:dyDescent="0.25">
      <c r="A183" t="s">
        <v>16</v>
      </c>
      <c r="B183" s="7" t="str">
        <f t="shared" si="75"/>
        <v>Rücken (360x1080)</v>
      </c>
      <c r="C183">
        <v>3315</v>
      </c>
      <c r="D183" s="7" t="s">
        <v>16</v>
      </c>
      <c r="E183">
        <v>360</v>
      </c>
      <c r="F183">
        <v>1080</v>
      </c>
      <c r="I183" s="45">
        <f t="shared" si="64"/>
        <v>0.38880000000000003</v>
      </c>
      <c r="J183" s="46">
        <f t="shared" si="65"/>
        <v>2.88</v>
      </c>
      <c r="K183" s="62">
        <f t="shared" si="66"/>
        <v>88</v>
      </c>
      <c r="L183" s="28">
        <v>62</v>
      </c>
      <c r="M183" s="13">
        <f t="shared" si="76"/>
        <v>0.41935483870967749</v>
      </c>
      <c r="N183" s="12">
        <f t="shared" si="60"/>
        <v>26</v>
      </c>
      <c r="O183" s="30" t="s">
        <v>72</v>
      </c>
      <c r="Q183" s="62">
        <f t="shared" si="67"/>
        <v>267</v>
      </c>
      <c r="R183" s="28">
        <v>184</v>
      </c>
      <c r="S183" s="13">
        <f t="shared" si="77"/>
        <v>0.45108695652173902</v>
      </c>
      <c r="T183" s="12">
        <f t="shared" si="61"/>
        <v>83</v>
      </c>
      <c r="U183" s="30" t="s">
        <v>72</v>
      </c>
      <c r="V183" s="30"/>
      <c r="W183" s="62">
        <f t="shared" si="68"/>
        <v>222</v>
      </c>
      <c r="X183" s="28">
        <v>158</v>
      </c>
      <c r="Y183" s="13">
        <f t="shared" si="78"/>
        <v>0.40506329113924044</v>
      </c>
      <c r="Z183" s="12">
        <f t="shared" si="62"/>
        <v>64</v>
      </c>
      <c r="AA183" s="30" t="s">
        <v>72</v>
      </c>
      <c r="AB183" s="64"/>
      <c r="AC183" s="62">
        <f t="shared" si="69"/>
        <v>240</v>
      </c>
      <c r="AD183" s="28">
        <v>171</v>
      </c>
      <c r="AE183" s="13">
        <f t="shared" si="79"/>
        <v>0.40350877192982448</v>
      </c>
      <c r="AF183" s="12">
        <f t="shared" si="63"/>
        <v>69</v>
      </c>
      <c r="AG183" s="30" t="s">
        <v>72</v>
      </c>
      <c r="AH183" s="17"/>
      <c r="AI183" s="16"/>
      <c r="AJ183" s="2">
        <f t="shared" si="56"/>
        <v>97</v>
      </c>
      <c r="AK183" s="2">
        <f t="shared" si="57"/>
        <v>294</v>
      </c>
      <c r="AL183" s="2">
        <f t="shared" si="58"/>
        <v>264</v>
      </c>
      <c r="AM183" s="2">
        <f t="shared" si="59"/>
        <v>244</v>
      </c>
    </row>
    <row r="184" spans="1:39" outlineLevel="1" x14ac:dyDescent="0.25">
      <c r="A184" t="s">
        <v>16</v>
      </c>
      <c r="B184" s="7" t="str">
        <f t="shared" si="75"/>
        <v>Rücken (420x1080)</v>
      </c>
      <c r="C184">
        <v>3316</v>
      </c>
      <c r="D184" s="7" t="s">
        <v>16</v>
      </c>
      <c r="E184">
        <v>420</v>
      </c>
      <c r="F184">
        <v>1080</v>
      </c>
      <c r="I184" s="45">
        <f t="shared" si="64"/>
        <v>0.45359999999999995</v>
      </c>
      <c r="J184" s="46">
        <f t="shared" si="65"/>
        <v>3</v>
      </c>
      <c r="K184" s="62">
        <f t="shared" si="66"/>
        <v>88</v>
      </c>
      <c r="L184" s="28">
        <v>62</v>
      </c>
      <c r="M184" s="13">
        <f t="shared" si="76"/>
        <v>0.41935483870967749</v>
      </c>
      <c r="N184" s="12">
        <f t="shared" si="60"/>
        <v>26</v>
      </c>
      <c r="O184" s="30" t="s">
        <v>72</v>
      </c>
      <c r="Q184" s="62">
        <f t="shared" si="67"/>
        <v>304</v>
      </c>
      <c r="R184" s="28">
        <v>211</v>
      </c>
      <c r="S184" s="13">
        <f t="shared" si="77"/>
        <v>0.44075829383886256</v>
      </c>
      <c r="T184" s="12">
        <f t="shared" si="61"/>
        <v>93</v>
      </c>
      <c r="U184" s="30" t="s">
        <v>72</v>
      </c>
      <c r="V184" s="30"/>
      <c r="W184" s="62">
        <f t="shared" si="68"/>
        <v>241</v>
      </c>
      <c r="X184" s="28">
        <v>172</v>
      </c>
      <c r="Y184" s="13">
        <f t="shared" si="78"/>
        <v>0.40116279069767447</v>
      </c>
      <c r="Z184" s="12">
        <f t="shared" si="62"/>
        <v>69</v>
      </c>
      <c r="AA184" s="30" t="s">
        <v>72</v>
      </c>
      <c r="AB184" s="64"/>
      <c r="AC184" s="62">
        <f t="shared" si="69"/>
        <v>259</v>
      </c>
      <c r="AD184" s="28">
        <v>185</v>
      </c>
      <c r="AE184" s="13">
        <f t="shared" si="79"/>
        <v>0.39999999999999991</v>
      </c>
      <c r="AF184" s="12">
        <f t="shared" si="63"/>
        <v>74</v>
      </c>
      <c r="AG184" s="30" t="s">
        <v>72</v>
      </c>
      <c r="AH184" s="17"/>
      <c r="AI184" s="16"/>
      <c r="AJ184" s="2">
        <f t="shared" si="56"/>
        <v>97</v>
      </c>
      <c r="AK184" s="2">
        <f t="shared" si="57"/>
        <v>334</v>
      </c>
      <c r="AL184" s="2">
        <f t="shared" si="58"/>
        <v>285</v>
      </c>
      <c r="AM184" s="2">
        <f t="shared" si="59"/>
        <v>265</v>
      </c>
    </row>
    <row r="185" spans="1:39" outlineLevel="1" x14ac:dyDescent="0.25">
      <c r="A185" t="s">
        <v>16</v>
      </c>
      <c r="B185" s="7" t="str">
        <f t="shared" si="75"/>
        <v>Rücken (580x1080)</v>
      </c>
      <c r="C185">
        <v>3317</v>
      </c>
      <c r="D185" s="7" t="s">
        <v>16</v>
      </c>
      <c r="E185">
        <v>580</v>
      </c>
      <c r="F185">
        <v>1080</v>
      </c>
      <c r="I185" s="45">
        <f t="shared" si="64"/>
        <v>0.62639999999999996</v>
      </c>
      <c r="J185" s="46">
        <f t="shared" si="65"/>
        <v>3.3200000000000003</v>
      </c>
      <c r="K185" s="62">
        <f t="shared" si="66"/>
        <v>119</v>
      </c>
      <c r="L185" s="28">
        <v>85</v>
      </c>
      <c r="M185" s="13">
        <f t="shared" si="76"/>
        <v>0.39999999999999991</v>
      </c>
      <c r="N185" s="12">
        <f t="shared" si="60"/>
        <v>34</v>
      </c>
      <c r="O185" s="30" t="s">
        <v>72</v>
      </c>
      <c r="Q185" s="62">
        <f t="shared" si="67"/>
        <v>377</v>
      </c>
      <c r="R185" s="28">
        <v>266</v>
      </c>
      <c r="S185" s="13">
        <f t="shared" si="77"/>
        <v>0.41729323308270683</v>
      </c>
      <c r="T185" s="12">
        <f t="shared" si="61"/>
        <v>111</v>
      </c>
      <c r="U185" s="30" t="s">
        <v>72</v>
      </c>
      <c r="V185" s="30"/>
      <c r="W185" s="62">
        <f t="shared" si="68"/>
        <v>300</v>
      </c>
      <c r="X185" s="28">
        <v>216</v>
      </c>
      <c r="Y185" s="13">
        <f t="shared" si="78"/>
        <v>0.38888888888888884</v>
      </c>
      <c r="Z185" s="12">
        <f t="shared" si="62"/>
        <v>84</v>
      </c>
      <c r="AA185" s="30" t="s">
        <v>72</v>
      </c>
      <c r="AB185" s="64"/>
      <c r="AC185" s="62">
        <f t="shared" si="69"/>
        <v>307</v>
      </c>
      <c r="AD185" s="28">
        <v>221</v>
      </c>
      <c r="AE185" s="13">
        <f t="shared" si="79"/>
        <v>0.38914027149321262</v>
      </c>
      <c r="AF185" s="12">
        <f t="shared" si="63"/>
        <v>86</v>
      </c>
      <c r="AG185" s="30" t="s">
        <v>72</v>
      </c>
      <c r="AH185" s="17"/>
      <c r="AI185" s="16"/>
      <c r="AJ185" s="2">
        <f t="shared" ref="AJ185:AJ248" si="80">+IFERROR(ROUND(K185*(1+AJ$2),0),"-")</f>
        <v>131</v>
      </c>
      <c r="AK185" s="2">
        <f t="shared" ref="AK185:AK248" si="81">+IFERROR(ROUND(Q185*(1+AK$2),0),"-")</f>
        <v>415</v>
      </c>
      <c r="AL185" s="2">
        <f t="shared" ref="AL185:AL248" si="82">+IFERROR(ROUND(AC185*(1+AL$2),0),"-")</f>
        <v>338</v>
      </c>
      <c r="AM185" s="2">
        <f t="shared" ref="AM185:AM248" si="83">+IFERROR(ROUND(W185*(1+AM$2),0),"-")</f>
        <v>330</v>
      </c>
    </row>
    <row r="186" spans="1:39" outlineLevel="1" x14ac:dyDescent="0.25">
      <c r="A186" t="s">
        <v>16</v>
      </c>
      <c r="B186" s="7" t="str">
        <f t="shared" si="75"/>
        <v>Rücken (780x1080)</v>
      </c>
      <c r="C186">
        <v>3318</v>
      </c>
      <c r="D186" s="7" t="s">
        <v>16</v>
      </c>
      <c r="E186">
        <v>780</v>
      </c>
      <c r="F186">
        <v>1080</v>
      </c>
      <c r="I186" s="45">
        <f t="shared" si="64"/>
        <v>0.84239999999999993</v>
      </c>
      <c r="J186" s="46">
        <f t="shared" si="65"/>
        <v>3.72</v>
      </c>
      <c r="K186" s="62">
        <f t="shared" si="66"/>
        <v>161</v>
      </c>
      <c r="L186" s="28">
        <v>116</v>
      </c>
      <c r="M186" s="13">
        <f t="shared" si="76"/>
        <v>0.38793103448275867</v>
      </c>
      <c r="N186" s="12">
        <f t="shared" si="60"/>
        <v>45</v>
      </c>
      <c r="O186" s="30" t="s">
        <v>72</v>
      </c>
      <c r="Q186" s="62">
        <f t="shared" si="67"/>
        <v>517</v>
      </c>
      <c r="R186" s="28">
        <v>370</v>
      </c>
      <c r="S186" s="13">
        <f t="shared" si="77"/>
        <v>0.39729729729729724</v>
      </c>
      <c r="T186" s="12">
        <f t="shared" si="61"/>
        <v>147</v>
      </c>
      <c r="U186" s="30" t="s">
        <v>72</v>
      </c>
      <c r="V186" s="30"/>
      <c r="W186" s="62">
        <f t="shared" si="68"/>
        <v>409</v>
      </c>
      <c r="X186" s="28">
        <v>297</v>
      </c>
      <c r="Y186" s="13">
        <f t="shared" si="78"/>
        <v>0.37710437710437716</v>
      </c>
      <c r="Z186" s="12">
        <f t="shared" si="62"/>
        <v>112</v>
      </c>
      <c r="AA186" s="30" t="s">
        <v>72</v>
      </c>
      <c r="AB186" s="64"/>
      <c r="AC186" s="62">
        <f t="shared" si="69"/>
        <v>385</v>
      </c>
      <c r="AD186" s="28">
        <v>279</v>
      </c>
      <c r="AE186" s="13">
        <f t="shared" si="79"/>
        <v>0.37992831541218641</v>
      </c>
      <c r="AF186" s="12">
        <f t="shared" si="63"/>
        <v>106</v>
      </c>
      <c r="AG186" s="30" t="s">
        <v>72</v>
      </c>
      <c r="AH186" s="17"/>
      <c r="AI186" s="16"/>
      <c r="AJ186" s="2">
        <f t="shared" si="80"/>
        <v>177</v>
      </c>
      <c r="AK186" s="2">
        <f t="shared" si="81"/>
        <v>569</v>
      </c>
      <c r="AL186" s="2">
        <f t="shared" si="82"/>
        <v>424</v>
      </c>
      <c r="AM186" s="2">
        <f t="shared" si="83"/>
        <v>450</v>
      </c>
    </row>
    <row r="187" spans="1:39" outlineLevel="1" x14ac:dyDescent="0.25">
      <c r="A187" t="s">
        <v>16</v>
      </c>
      <c r="B187" s="7" t="str">
        <f t="shared" si="75"/>
        <v>Rücken (980x1080)</v>
      </c>
      <c r="C187">
        <v>3319</v>
      </c>
      <c r="D187" s="7" t="s">
        <v>16</v>
      </c>
      <c r="E187">
        <v>980</v>
      </c>
      <c r="F187">
        <v>1080</v>
      </c>
      <c r="I187" s="45">
        <f t="shared" si="64"/>
        <v>1.0584</v>
      </c>
      <c r="J187" s="46">
        <f t="shared" si="65"/>
        <v>4.12</v>
      </c>
      <c r="K187" s="62">
        <f t="shared" si="66"/>
        <v>200</v>
      </c>
      <c r="L187" s="28">
        <v>145</v>
      </c>
      <c r="M187" s="13">
        <f t="shared" si="76"/>
        <v>0.3793103448275863</v>
      </c>
      <c r="N187" s="12">
        <f t="shared" si="60"/>
        <v>55</v>
      </c>
      <c r="O187" s="30" t="s">
        <v>72</v>
      </c>
      <c r="Q187" s="62">
        <f t="shared" si="67"/>
        <v>626</v>
      </c>
      <c r="R187" s="28">
        <v>451</v>
      </c>
      <c r="S187" s="13">
        <f t="shared" si="77"/>
        <v>0.38802660753880258</v>
      </c>
      <c r="T187" s="12">
        <f t="shared" si="61"/>
        <v>175</v>
      </c>
      <c r="U187" s="30" t="s">
        <v>72</v>
      </c>
      <c r="V187" s="30"/>
      <c r="W187" s="62">
        <f t="shared" si="68"/>
        <v>474</v>
      </c>
      <c r="X187" s="28">
        <v>345</v>
      </c>
      <c r="Y187" s="13">
        <f t="shared" si="78"/>
        <v>0.37391304347826093</v>
      </c>
      <c r="Z187" s="12">
        <f t="shared" si="62"/>
        <v>129</v>
      </c>
      <c r="AA187" s="30" t="s">
        <v>72</v>
      </c>
      <c r="AB187" s="64"/>
      <c r="AC187" s="62">
        <f t="shared" si="69"/>
        <v>431</v>
      </c>
      <c r="AD187" s="28">
        <v>313</v>
      </c>
      <c r="AE187" s="13">
        <f t="shared" si="79"/>
        <v>0.3769968051118211</v>
      </c>
      <c r="AF187" s="12">
        <f t="shared" si="63"/>
        <v>118</v>
      </c>
      <c r="AG187" s="30" t="s">
        <v>72</v>
      </c>
      <c r="AH187" s="17"/>
      <c r="AI187" s="16"/>
      <c r="AJ187" s="2">
        <f t="shared" si="80"/>
        <v>220</v>
      </c>
      <c r="AK187" s="2">
        <f t="shared" si="81"/>
        <v>689</v>
      </c>
      <c r="AL187" s="2">
        <f t="shared" si="82"/>
        <v>474</v>
      </c>
      <c r="AM187" s="2">
        <f t="shared" si="83"/>
        <v>521</v>
      </c>
    </row>
    <row r="188" spans="1:39" outlineLevel="1" x14ac:dyDescent="0.25">
      <c r="A188" t="s">
        <v>16</v>
      </c>
      <c r="B188" s="7" t="str">
        <f t="shared" si="75"/>
        <v>Rücken (360x1440)</v>
      </c>
      <c r="C188">
        <v>3320</v>
      </c>
      <c r="D188" s="7" t="s">
        <v>16</v>
      </c>
      <c r="E188">
        <v>360</v>
      </c>
      <c r="F188">
        <v>1440</v>
      </c>
      <c r="I188" s="45">
        <f t="shared" si="64"/>
        <v>0.51839999999999997</v>
      </c>
      <c r="J188" s="46">
        <f t="shared" si="65"/>
        <v>3.5999999999999996</v>
      </c>
      <c r="K188" s="62">
        <f t="shared" si="66"/>
        <v>100</v>
      </c>
      <c r="L188" s="28">
        <v>71</v>
      </c>
      <c r="M188" s="13">
        <f t="shared" si="76"/>
        <v>0.40845070422535201</v>
      </c>
      <c r="N188" s="12">
        <f t="shared" si="60"/>
        <v>29</v>
      </c>
      <c r="O188" s="30" t="s">
        <v>72</v>
      </c>
      <c r="Q188" s="62">
        <f t="shared" si="67"/>
        <v>336</v>
      </c>
      <c r="R188" s="28">
        <v>235</v>
      </c>
      <c r="S188" s="13">
        <f t="shared" si="77"/>
        <v>0.42978723404255326</v>
      </c>
      <c r="T188" s="12">
        <f t="shared" si="61"/>
        <v>101</v>
      </c>
      <c r="U188" s="30" t="s">
        <v>72</v>
      </c>
      <c r="V188" s="30"/>
      <c r="W188" s="62">
        <f t="shared" si="68"/>
        <v>281</v>
      </c>
      <c r="X188" s="28">
        <v>202</v>
      </c>
      <c r="Y188" s="13">
        <f t="shared" si="78"/>
        <v>0.39108910891089099</v>
      </c>
      <c r="Z188" s="12">
        <f t="shared" si="62"/>
        <v>79</v>
      </c>
      <c r="AA188" s="30" t="s">
        <v>72</v>
      </c>
      <c r="AB188" s="64"/>
      <c r="AC188" s="62">
        <f t="shared" si="69"/>
        <v>529</v>
      </c>
      <c r="AD188" s="28" t="s">
        <v>63</v>
      </c>
      <c r="AE188" s="13" t="str">
        <f t="shared" si="79"/>
        <v>-</v>
      </c>
      <c r="AF188" s="12" t="str">
        <f t="shared" si="63"/>
        <v>-</v>
      </c>
      <c r="AG188" s="30" t="s">
        <v>72</v>
      </c>
      <c r="AH188" s="17"/>
      <c r="AI188" s="16"/>
      <c r="AJ188" s="2">
        <f t="shared" si="80"/>
        <v>110</v>
      </c>
      <c r="AK188" s="2">
        <f t="shared" si="81"/>
        <v>370</v>
      </c>
      <c r="AL188" s="2">
        <f t="shared" si="82"/>
        <v>582</v>
      </c>
      <c r="AM188" s="2">
        <f t="shared" si="83"/>
        <v>309</v>
      </c>
    </row>
    <row r="189" spans="1:39" outlineLevel="1" x14ac:dyDescent="0.25">
      <c r="A189" t="s">
        <v>16</v>
      </c>
      <c r="B189" s="7" t="str">
        <f t="shared" si="75"/>
        <v>Rücken (420x1440)</v>
      </c>
      <c r="C189">
        <v>3321</v>
      </c>
      <c r="D189" s="7" t="s">
        <v>16</v>
      </c>
      <c r="E189">
        <v>420</v>
      </c>
      <c r="F189">
        <v>1440</v>
      </c>
      <c r="I189" s="45">
        <f t="shared" si="64"/>
        <v>0.6048</v>
      </c>
      <c r="J189" s="46">
        <f t="shared" si="65"/>
        <v>3.7199999999999998</v>
      </c>
      <c r="K189" s="62">
        <f t="shared" si="66"/>
        <v>115</v>
      </c>
      <c r="L189" s="28">
        <v>82</v>
      </c>
      <c r="M189" s="13">
        <f t="shared" si="76"/>
        <v>0.40243902439024382</v>
      </c>
      <c r="N189" s="12">
        <f t="shared" si="60"/>
        <v>33</v>
      </c>
      <c r="O189" s="30" t="s">
        <v>72</v>
      </c>
      <c r="Q189" s="62">
        <f t="shared" si="67"/>
        <v>365</v>
      </c>
      <c r="R189" s="28">
        <v>257</v>
      </c>
      <c r="S189" s="13">
        <f t="shared" si="77"/>
        <v>0.42023346303501952</v>
      </c>
      <c r="T189" s="12">
        <f t="shared" si="61"/>
        <v>108</v>
      </c>
      <c r="U189" s="30" t="s">
        <v>72</v>
      </c>
      <c r="V189" s="30"/>
      <c r="W189" s="62">
        <f t="shared" si="68"/>
        <v>291</v>
      </c>
      <c r="X189" s="28">
        <v>209</v>
      </c>
      <c r="Y189" s="13">
        <f t="shared" si="78"/>
        <v>0.39234449760765555</v>
      </c>
      <c r="Z189" s="12">
        <f t="shared" si="62"/>
        <v>82</v>
      </c>
      <c r="AA189" s="30" t="s">
        <v>72</v>
      </c>
      <c r="AB189" s="64"/>
      <c r="AC189" s="62">
        <f t="shared" si="69"/>
        <v>547</v>
      </c>
      <c r="AD189" s="28" t="s">
        <v>63</v>
      </c>
      <c r="AE189" s="13" t="str">
        <f t="shared" si="79"/>
        <v>-</v>
      </c>
      <c r="AF189" s="12" t="str">
        <f t="shared" si="63"/>
        <v>-</v>
      </c>
      <c r="AG189" s="30" t="s">
        <v>72</v>
      </c>
      <c r="AH189" s="17"/>
      <c r="AI189" s="16"/>
      <c r="AJ189" s="2">
        <f t="shared" si="80"/>
        <v>127</v>
      </c>
      <c r="AK189" s="2">
        <f t="shared" si="81"/>
        <v>402</v>
      </c>
      <c r="AL189" s="2">
        <f t="shared" si="82"/>
        <v>602</v>
      </c>
      <c r="AM189" s="2">
        <f t="shared" si="83"/>
        <v>320</v>
      </c>
    </row>
    <row r="190" spans="1:39" outlineLevel="1" x14ac:dyDescent="0.25">
      <c r="A190" t="s">
        <v>16</v>
      </c>
      <c r="B190" s="7" t="str">
        <f t="shared" si="75"/>
        <v>Rücken (580x1440)</v>
      </c>
      <c r="C190">
        <v>3322</v>
      </c>
      <c r="D190" s="7" t="s">
        <v>16</v>
      </c>
      <c r="E190">
        <v>580</v>
      </c>
      <c r="F190">
        <v>1440</v>
      </c>
      <c r="I190" s="45">
        <f t="shared" si="64"/>
        <v>0.83519999999999994</v>
      </c>
      <c r="J190" s="46">
        <f t="shared" si="65"/>
        <v>4.04</v>
      </c>
      <c r="K190" s="62">
        <f t="shared" si="66"/>
        <v>158</v>
      </c>
      <c r="L190" s="28">
        <v>114</v>
      </c>
      <c r="M190" s="13">
        <f t="shared" si="76"/>
        <v>0.38596491228070184</v>
      </c>
      <c r="N190" s="12">
        <f t="shared" si="60"/>
        <v>44</v>
      </c>
      <c r="O190" s="30" t="s">
        <v>72</v>
      </c>
      <c r="Q190" s="62">
        <f t="shared" si="67"/>
        <v>484</v>
      </c>
      <c r="R190" s="28">
        <v>345</v>
      </c>
      <c r="S190" s="13">
        <f t="shared" si="77"/>
        <v>0.40289855072463765</v>
      </c>
      <c r="T190" s="12">
        <f t="shared" si="61"/>
        <v>139</v>
      </c>
      <c r="U190" s="30" t="s">
        <v>72</v>
      </c>
      <c r="V190" s="30"/>
      <c r="W190" s="62">
        <f t="shared" si="68"/>
        <v>400</v>
      </c>
      <c r="X190" s="28">
        <v>290</v>
      </c>
      <c r="Y190" s="13">
        <f t="shared" si="78"/>
        <v>0.3793103448275863</v>
      </c>
      <c r="Z190" s="12">
        <f t="shared" si="62"/>
        <v>110</v>
      </c>
      <c r="AA190" s="30" t="s">
        <v>72</v>
      </c>
      <c r="AB190" s="64"/>
      <c r="AC190" s="62">
        <f t="shared" si="69"/>
        <v>752</v>
      </c>
      <c r="AD190" s="28" t="s">
        <v>63</v>
      </c>
      <c r="AE190" s="13" t="str">
        <f t="shared" si="79"/>
        <v>-</v>
      </c>
      <c r="AF190" s="12" t="str">
        <f t="shared" si="63"/>
        <v>-</v>
      </c>
      <c r="AG190" s="12"/>
      <c r="AH190" s="17"/>
      <c r="AI190" s="16"/>
      <c r="AJ190" s="2">
        <f t="shared" si="80"/>
        <v>174</v>
      </c>
      <c r="AK190" s="2">
        <f t="shared" si="81"/>
        <v>532</v>
      </c>
      <c r="AL190" s="2">
        <f t="shared" si="82"/>
        <v>827</v>
      </c>
      <c r="AM190" s="2">
        <f t="shared" si="83"/>
        <v>440</v>
      </c>
    </row>
    <row r="191" spans="1:39" outlineLevel="1" x14ac:dyDescent="0.25">
      <c r="A191" t="s">
        <v>16</v>
      </c>
      <c r="B191" s="7" t="str">
        <f t="shared" si="75"/>
        <v>Rücken (780x1440)</v>
      </c>
      <c r="C191">
        <v>3323</v>
      </c>
      <c r="D191" s="7" t="s">
        <v>16</v>
      </c>
      <c r="E191">
        <v>780</v>
      </c>
      <c r="F191">
        <v>1440</v>
      </c>
      <c r="I191" s="45">
        <f t="shared" si="64"/>
        <v>1.1232</v>
      </c>
      <c r="J191" s="46">
        <f t="shared" si="65"/>
        <v>4.4399999999999995</v>
      </c>
      <c r="K191" s="62">
        <f t="shared" si="66"/>
        <v>211</v>
      </c>
      <c r="L191" s="28">
        <v>153</v>
      </c>
      <c r="M191" s="13">
        <f t="shared" si="76"/>
        <v>0.37908496732026142</v>
      </c>
      <c r="N191" s="12">
        <f t="shared" si="60"/>
        <v>58</v>
      </c>
      <c r="O191" s="30" t="s">
        <v>72</v>
      </c>
      <c r="Q191" s="62">
        <f t="shared" si="67"/>
        <v>630</v>
      </c>
      <c r="R191" s="28">
        <v>454</v>
      </c>
      <c r="S191" s="13">
        <f t="shared" si="77"/>
        <v>0.38766519823788537</v>
      </c>
      <c r="T191" s="12">
        <f t="shared" si="61"/>
        <v>176</v>
      </c>
      <c r="U191" s="30" t="s">
        <v>72</v>
      </c>
      <c r="V191" s="30"/>
      <c r="W191" s="62">
        <f t="shared" si="68"/>
        <v>499</v>
      </c>
      <c r="X191" s="28">
        <v>364</v>
      </c>
      <c r="Y191" s="13">
        <f t="shared" si="78"/>
        <v>0.37087912087912089</v>
      </c>
      <c r="Z191" s="12">
        <f t="shared" si="62"/>
        <v>135</v>
      </c>
      <c r="AA191" s="30" t="s">
        <v>72</v>
      </c>
      <c r="AB191" s="64"/>
      <c r="AC191" s="62">
        <f t="shared" si="69"/>
        <v>939</v>
      </c>
      <c r="AD191" s="28" t="s">
        <v>63</v>
      </c>
      <c r="AE191" s="13" t="str">
        <f t="shared" si="79"/>
        <v>-</v>
      </c>
      <c r="AF191" s="12" t="str">
        <f t="shared" si="63"/>
        <v>-</v>
      </c>
      <c r="AG191" s="12"/>
      <c r="AH191" s="17"/>
      <c r="AI191" s="16"/>
      <c r="AJ191" s="2">
        <f t="shared" si="80"/>
        <v>232</v>
      </c>
      <c r="AK191" s="2">
        <f t="shared" si="81"/>
        <v>693</v>
      </c>
      <c r="AL191" s="2">
        <f t="shared" si="82"/>
        <v>1033</v>
      </c>
      <c r="AM191" s="2">
        <f t="shared" si="83"/>
        <v>549</v>
      </c>
    </row>
    <row r="192" spans="1:39" outlineLevel="1" x14ac:dyDescent="0.25">
      <c r="A192" t="s">
        <v>16</v>
      </c>
      <c r="B192" s="7" t="str">
        <f t="shared" si="75"/>
        <v>Rücken (980x1440)</v>
      </c>
      <c r="C192">
        <v>3324</v>
      </c>
      <c r="D192" s="7" t="s">
        <v>16</v>
      </c>
      <c r="E192">
        <v>980</v>
      </c>
      <c r="F192">
        <v>1440</v>
      </c>
      <c r="I192" s="45">
        <f t="shared" si="64"/>
        <v>1.4112</v>
      </c>
      <c r="J192" s="46">
        <f t="shared" si="65"/>
        <v>4.84</v>
      </c>
      <c r="K192" s="62">
        <f t="shared" si="66"/>
        <v>264</v>
      </c>
      <c r="L192" s="28">
        <v>193</v>
      </c>
      <c r="M192" s="13">
        <f t="shared" si="76"/>
        <v>0.36787564766839376</v>
      </c>
      <c r="N192" s="12">
        <f t="shared" si="60"/>
        <v>71</v>
      </c>
      <c r="O192" s="30" t="s">
        <v>72</v>
      </c>
      <c r="Q192" s="62">
        <f t="shared" si="67"/>
        <v>778</v>
      </c>
      <c r="R192" s="28">
        <v>564</v>
      </c>
      <c r="S192" s="13">
        <f t="shared" si="77"/>
        <v>0.37943262411347511</v>
      </c>
      <c r="T192" s="12">
        <f t="shared" si="61"/>
        <v>214</v>
      </c>
      <c r="U192" s="30" t="s">
        <v>72</v>
      </c>
      <c r="V192" s="30"/>
      <c r="W192" s="62">
        <f t="shared" si="68"/>
        <v>616</v>
      </c>
      <c r="X192" s="28">
        <v>451</v>
      </c>
      <c r="Y192" s="13">
        <f t="shared" si="78"/>
        <v>0.36585365853658547</v>
      </c>
      <c r="Z192" s="12">
        <f t="shared" si="62"/>
        <v>165</v>
      </c>
      <c r="AA192" s="30" t="s">
        <v>72</v>
      </c>
      <c r="AB192" s="64"/>
      <c r="AC192" s="62">
        <f t="shared" si="69"/>
        <v>1159</v>
      </c>
      <c r="AD192" s="28" t="s">
        <v>63</v>
      </c>
      <c r="AE192" s="13" t="str">
        <f t="shared" si="79"/>
        <v>-</v>
      </c>
      <c r="AF192" s="12" t="str">
        <f t="shared" si="63"/>
        <v>-</v>
      </c>
      <c r="AG192" s="12"/>
      <c r="AH192" s="17"/>
      <c r="AI192" s="16"/>
      <c r="AJ192" s="2">
        <f t="shared" si="80"/>
        <v>290</v>
      </c>
      <c r="AK192" s="2">
        <f t="shared" si="81"/>
        <v>856</v>
      </c>
      <c r="AL192" s="2">
        <f t="shared" si="82"/>
        <v>1275</v>
      </c>
      <c r="AM192" s="2">
        <f t="shared" si="83"/>
        <v>678</v>
      </c>
    </row>
    <row r="193" spans="1:39" outlineLevel="1" x14ac:dyDescent="0.25">
      <c r="A193" t="s">
        <v>16</v>
      </c>
      <c r="B193" s="7" t="str">
        <f t="shared" si="75"/>
        <v>Rücken (360x1800)</v>
      </c>
      <c r="C193">
        <v>3325</v>
      </c>
      <c r="D193" s="7" t="s">
        <v>16</v>
      </c>
      <c r="E193">
        <v>360</v>
      </c>
      <c r="F193">
        <v>1800</v>
      </c>
      <c r="I193" s="45">
        <f t="shared" si="64"/>
        <v>0.64800000000000002</v>
      </c>
      <c r="J193" s="46">
        <f t="shared" si="65"/>
        <v>4.32</v>
      </c>
      <c r="K193" s="62">
        <f t="shared" si="66"/>
        <v>125</v>
      </c>
      <c r="L193" s="28">
        <v>89</v>
      </c>
      <c r="M193" s="13">
        <f t="shared" si="76"/>
        <v>0.40449438202247201</v>
      </c>
      <c r="N193" s="12">
        <f t="shared" si="60"/>
        <v>36</v>
      </c>
      <c r="O193" s="30" t="s">
        <v>72</v>
      </c>
      <c r="Q193" s="62">
        <f t="shared" si="67"/>
        <v>246</v>
      </c>
      <c r="R193" s="28" t="s">
        <v>63</v>
      </c>
      <c r="S193" s="47"/>
      <c r="T193" s="50"/>
      <c r="U193" s="51"/>
      <c r="V193" s="51"/>
      <c r="W193" s="62">
        <f t="shared" si="68"/>
        <v>343</v>
      </c>
      <c r="X193" s="28">
        <v>248</v>
      </c>
      <c r="Y193" s="13">
        <f t="shared" si="78"/>
        <v>0.38306451612903225</v>
      </c>
      <c r="Z193" s="12">
        <f t="shared" si="62"/>
        <v>95</v>
      </c>
      <c r="AA193" s="30" t="s">
        <v>72</v>
      </c>
      <c r="AB193" s="64"/>
      <c r="AC193" s="62">
        <f t="shared" si="69"/>
        <v>645</v>
      </c>
      <c r="AD193" s="28" t="s">
        <v>63</v>
      </c>
      <c r="AE193" s="13" t="str">
        <f t="shared" si="79"/>
        <v>-</v>
      </c>
      <c r="AF193" s="12" t="str">
        <f t="shared" si="63"/>
        <v>-</v>
      </c>
      <c r="AG193" s="12"/>
      <c r="AH193" s="17"/>
      <c r="AI193" s="16"/>
      <c r="AJ193" s="2">
        <f t="shared" si="80"/>
        <v>138</v>
      </c>
      <c r="AK193" s="2">
        <f t="shared" si="81"/>
        <v>271</v>
      </c>
      <c r="AL193" s="2">
        <f t="shared" si="82"/>
        <v>710</v>
      </c>
      <c r="AM193" s="2">
        <f t="shared" si="83"/>
        <v>377</v>
      </c>
    </row>
    <row r="194" spans="1:39" outlineLevel="1" x14ac:dyDescent="0.25">
      <c r="A194" t="s">
        <v>16</v>
      </c>
      <c r="B194" s="7" t="str">
        <f t="shared" si="75"/>
        <v>Rücken (420x1800)</v>
      </c>
      <c r="C194">
        <v>3326</v>
      </c>
      <c r="D194" s="7" t="s">
        <v>16</v>
      </c>
      <c r="E194">
        <v>420</v>
      </c>
      <c r="F194">
        <v>1800</v>
      </c>
      <c r="I194" s="45">
        <f t="shared" si="64"/>
        <v>0.75600000000000001</v>
      </c>
      <c r="J194" s="46">
        <f t="shared" si="65"/>
        <v>4.4400000000000004</v>
      </c>
      <c r="K194" s="62">
        <f t="shared" si="66"/>
        <v>143</v>
      </c>
      <c r="L194" s="28">
        <v>103</v>
      </c>
      <c r="M194" s="13">
        <f t="shared" si="76"/>
        <v>0.38834951456310685</v>
      </c>
      <c r="N194" s="12">
        <f t="shared" si="60"/>
        <v>40</v>
      </c>
      <c r="O194" s="30" t="s">
        <v>72</v>
      </c>
      <c r="Q194" s="62">
        <f t="shared" si="67"/>
        <v>281</v>
      </c>
      <c r="R194" s="28" t="s">
        <v>63</v>
      </c>
      <c r="S194" s="47"/>
      <c r="T194" s="50"/>
      <c r="U194" s="51"/>
      <c r="V194" s="51"/>
      <c r="W194" s="62">
        <f t="shared" si="68"/>
        <v>350</v>
      </c>
      <c r="X194" s="28">
        <v>253</v>
      </c>
      <c r="Y194" s="13">
        <f t="shared" si="78"/>
        <v>0.38339920948616601</v>
      </c>
      <c r="Z194" s="12">
        <f t="shared" si="62"/>
        <v>97</v>
      </c>
      <c r="AA194" s="30" t="s">
        <v>72</v>
      </c>
      <c r="AB194" s="64"/>
      <c r="AC194" s="62">
        <f t="shared" si="69"/>
        <v>658</v>
      </c>
      <c r="AD194" s="28" t="s">
        <v>63</v>
      </c>
      <c r="AE194" s="13" t="str">
        <f t="shared" si="79"/>
        <v>-</v>
      </c>
      <c r="AF194" s="12" t="str">
        <f t="shared" si="63"/>
        <v>-</v>
      </c>
      <c r="AG194" s="12"/>
      <c r="AH194" s="17"/>
      <c r="AI194" s="16"/>
      <c r="AJ194" s="2">
        <f t="shared" si="80"/>
        <v>157</v>
      </c>
      <c r="AK194" s="2">
        <f t="shared" si="81"/>
        <v>309</v>
      </c>
      <c r="AL194" s="2">
        <f t="shared" si="82"/>
        <v>724</v>
      </c>
      <c r="AM194" s="2">
        <f t="shared" si="83"/>
        <v>385</v>
      </c>
    </row>
    <row r="195" spans="1:39" outlineLevel="1" x14ac:dyDescent="0.25">
      <c r="A195" t="s">
        <v>16</v>
      </c>
      <c r="B195" s="7" t="str">
        <f t="shared" si="75"/>
        <v>Rücken (580x1800)</v>
      </c>
      <c r="C195">
        <v>3327</v>
      </c>
      <c r="D195" s="7" t="s">
        <v>16</v>
      </c>
      <c r="E195">
        <v>580</v>
      </c>
      <c r="F195">
        <v>1800</v>
      </c>
      <c r="I195" s="45">
        <f t="shared" si="64"/>
        <v>1.044</v>
      </c>
      <c r="J195" s="46">
        <f t="shared" si="65"/>
        <v>4.76</v>
      </c>
      <c r="K195" s="62">
        <f t="shared" si="66"/>
        <v>197</v>
      </c>
      <c r="L195" s="28">
        <v>143</v>
      </c>
      <c r="M195" s="13">
        <f t="shared" si="76"/>
        <v>0.37762237762237771</v>
      </c>
      <c r="N195" s="12">
        <f t="shared" si="60"/>
        <v>54</v>
      </c>
      <c r="O195" s="30" t="s">
        <v>72</v>
      </c>
      <c r="Q195" s="62">
        <f t="shared" si="67"/>
        <v>388</v>
      </c>
      <c r="R195" s="28" t="s">
        <v>63</v>
      </c>
      <c r="S195" s="47"/>
      <c r="T195" s="50"/>
      <c r="U195" s="51"/>
      <c r="V195" s="51"/>
      <c r="W195" s="62">
        <f t="shared" si="68"/>
        <v>467</v>
      </c>
      <c r="X195" s="28">
        <v>340</v>
      </c>
      <c r="Y195" s="13">
        <f t="shared" si="78"/>
        <v>0.37352941176470589</v>
      </c>
      <c r="Z195" s="12">
        <f t="shared" si="62"/>
        <v>127</v>
      </c>
      <c r="AA195" s="30" t="s">
        <v>72</v>
      </c>
      <c r="AB195" s="64"/>
      <c r="AC195" s="62">
        <f t="shared" si="69"/>
        <v>879</v>
      </c>
      <c r="AD195" s="28" t="s">
        <v>63</v>
      </c>
      <c r="AE195" s="13" t="str">
        <f t="shared" si="79"/>
        <v>-</v>
      </c>
      <c r="AF195" s="12" t="str">
        <f t="shared" si="63"/>
        <v>-</v>
      </c>
      <c r="AG195" s="12"/>
      <c r="AH195" s="17"/>
      <c r="AI195" s="16"/>
      <c r="AJ195" s="2">
        <f t="shared" si="80"/>
        <v>217</v>
      </c>
      <c r="AK195" s="2">
        <f t="shared" si="81"/>
        <v>427</v>
      </c>
      <c r="AL195" s="2">
        <f t="shared" si="82"/>
        <v>967</v>
      </c>
      <c r="AM195" s="2">
        <f t="shared" si="83"/>
        <v>514</v>
      </c>
    </row>
    <row r="196" spans="1:39" outlineLevel="1" x14ac:dyDescent="0.25">
      <c r="A196" t="s">
        <v>16</v>
      </c>
      <c r="B196" s="7" t="str">
        <f t="shared" si="75"/>
        <v>Rücken (780x1800)</v>
      </c>
      <c r="C196">
        <v>3328</v>
      </c>
      <c r="D196" s="7" t="s">
        <v>16</v>
      </c>
      <c r="E196">
        <v>780</v>
      </c>
      <c r="F196">
        <v>1800</v>
      </c>
      <c r="I196" s="45">
        <f t="shared" si="64"/>
        <v>1.4039999999999999</v>
      </c>
      <c r="J196" s="46">
        <f t="shared" si="65"/>
        <v>5.16</v>
      </c>
      <c r="K196" s="62">
        <f t="shared" si="66"/>
        <v>264</v>
      </c>
      <c r="L196" s="28">
        <v>193</v>
      </c>
      <c r="M196" s="13">
        <f t="shared" si="76"/>
        <v>0.36787564766839376</v>
      </c>
      <c r="N196" s="12">
        <f t="shared" si="60"/>
        <v>71</v>
      </c>
      <c r="O196" s="30" t="s">
        <v>72</v>
      </c>
      <c r="Q196" s="62">
        <f t="shared" si="67"/>
        <v>520</v>
      </c>
      <c r="R196" s="28" t="s">
        <v>63</v>
      </c>
      <c r="S196" s="47"/>
      <c r="T196" s="50"/>
      <c r="U196" s="51"/>
      <c r="V196" s="51"/>
      <c r="W196" s="62">
        <f t="shared" si="68"/>
        <v>612</v>
      </c>
      <c r="X196" s="28">
        <v>448</v>
      </c>
      <c r="Y196" s="13">
        <f t="shared" si="78"/>
        <v>0.3660714285714286</v>
      </c>
      <c r="Z196" s="12">
        <f t="shared" si="62"/>
        <v>164</v>
      </c>
      <c r="AA196" s="30" t="s">
        <v>72</v>
      </c>
      <c r="AB196" s="64"/>
      <c r="AC196" s="62">
        <f t="shared" si="69"/>
        <v>1151</v>
      </c>
      <c r="AD196" s="28" t="s">
        <v>63</v>
      </c>
      <c r="AE196" s="13" t="str">
        <f t="shared" si="79"/>
        <v>-</v>
      </c>
      <c r="AF196" s="12" t="str">
        <f t="shared" si="63"/>
        <v>-</v>
      </c>
      <c r="AG196" s="12"/>
      <c r="AH196" s="17"/>
      <c r="AI196" s="16"/>
      <c r="AJ196" s="2">
        <f t="shared" si="80"/>
        <v>290</v>
      </c>
      <c r="AK196" s="2">
        <f t="shared" si="81"/>
        <v>572</v>
      </c>
      <c r="AL196" s="2">
        <f t="shared" si="82"/>
        <v>1266</v>
      </c>
      <c r="AM196" s="2">
        <f t="shared" si="83"/>
        <v>673</v>
      </c>
    </row>
    <row r="197" spans="1:39" ht="14.25" customHeight="1" outlineLevel="1" x14ac:dyDescent="0.25">
      <c r="A197" t="s">
        <v>16</v>
      </c>
      <c r="B197" s="7" t="str">
        <f t="shared" si="75"/>
        <v>Rücken (980x1800)</v>
      </c>
      <c r="C197">
        <v>3329</v>
      </c>
      <c r="D197" s="7" t="s">
        <v>16</v>
      </c>
      <c r="E197">
        <v>980</v>
      </c>
      <c r="F197">
        <v>1800</v>
      </c>
      <c r="I197" s="45">
        <f t="shared" si="64"/>
        <v>1.764</v>
      </c>
      <c r="J197" s="46">
        <f t="shared" si="65"/>
        <v>5.5600000000000005</v>
      </c>
      <c r="K197" s="62">
        <f t="shared" si="66"/>
        <v>329</v>
      </c>
      <c r="L197" s="28">
        <v>241</v>
      </c>
      <c r="M197" s="13">
        <f t="shared" si="76"/>
        <v>0.36514522821576767</v>
      </c>
      <c r="N197" s="12">
        <f t="shared" si="60"/>
        <v>88</v>
      </c>
      <c r="O197" s="30" t="s">
        <v>72</v>
      </c>
      <c r="Q197" s="62">
        <f t="shared" si="67"/>
        <v>648</v>
      </c>
      <c r="R197" s="28" t="s">
        <v>63</v>
      </c>
      <c r="S197" s="47"/>
      <c r="T197" s="50"/>
      <c r="U197" s="51"/>
      <c r="V197" s="51"/>
      <c r="W197" s="62">
        <f t="shared" si="68"/>
        <v>753</v>
      </c>
      <c r="X197" s="28">
        <v>553</v>
      </c>
      <c r="Y197" s="13">
        <f t="shared" si="78"/>
        <v>0.36166365280289337</v>
      </c>
      <c r="Z197" s="12">
        <f t="shared" si="62"/>
        <v>200</v>
      </c>
      <c r="AA197" s="30" t="s">
        <v>72</v>
      </c>
      <c r="AB197" s="64"/>
      <c r="AC197" s="62">
        <f t="shared" si="69"/>
        <v>1417</v>
      </c>
      <c r="AD197" s="28" t="s">
        <v>63</v>
      </c>
      <c r="AE197" s="13" t="str">
        <f t="shared" si="79"/>
        <v>-</v>
      </c>
      <c r="AF197" s="12" t="str">
        <f t="shared" si="63"/>
        <v>-</v>
      </c>
      <c r="AG197" s="12"/>
      <c r="AH197" s="17"/>
      <c r="AI197" s="16"/>
      <c r="AJ197" s="2">
        <f t="shared" si="80"/>
        <v>362</v>
      </c>
      <c r="AK197" s="2">
        <f t="shared" si="81"/>
        <v>713</v>
      </c>
      <c r="AL197" s="2">
        <f t="shared" si="82"/>
        <v>1559</v>
      </c>
      <c r="AM197" s="2">
        <f t="shared" si="83"/>
        <v>828</v>
      </c>
    </row>
    <row r="198" spans="1:39" ht="14.25" customHeight="1" outlineLevel="1" x14ac:dyDescent="0.25">
      <c r="A198" t="s">
        <v>16</v>
      </c>
      <c r="B198" s="7" t="str">
        <f t="shared" si="75"/>
        <v>Rücken (420x580)</v>
      </c>
      <c r="C198" s="40">
        <v>3006</v>
      </c>
      <c r="D198" s="7" t="s">
        <v>16</v>
      </c>
      <c r="E198" s="9">
        <v>420</v>
      </c>
      <c r="F198" s="9">
        <v>580</v>
      </c>
      <c r="I198" s="45">
        <f t="shared" si="64"/>
        <v>0.24359999999999998</v>
      </c>
      <c r="J198" s="46">
        <f t="shared" si="65"/>
        <v>2</v>
      </c>
      <c r="K198" s="62">
        <f t="shared" si="66"/>
        <v>0</v>
      </c>
      <c r="L198" s="28" t="s">
        <v>63</v>
      </c>
      <c r="M198" s="12" t="str">
        <f t="shared" si="76"/>
        <v>-</v>
      </c>
      <c r="N198" s="12" t="str">
        <f t="shared" ref="N198:N261" si="84">IFERROR(K198-L198,"-")</f>
        <v>-</v>
      </c>
      <c r="O198" s="12"/>
      <c r="Q198" s="62">
        <f t="shared" si="67"/>
        <v>0</v>
      </c>
      <c r="R198" s="28" t="s">
        <v>63</v>
      </c>
      <c r="S198" s="12" t="str">
        <f t="shared" si="77"/>
        <v>-</v>
      </c>
      <c r="T198" s="12" t="str">
        <f t="shared" ref="T198:T261" si="85">IFERROR(Q198-R198,"-")</f>
        <v>-</v>
      </c>
      <c r="U198" s="12"/>
      <c r="V198" s="12"/>
      <c r="W198" s="62">
        <f t="shared" si="68"/>
        <v>147</v>
      </c>
      <c r="X198" s="28">
        <v>102</v>
      </c>
      <c r="Y198" s="13">
        <f t="shared" si="78"/>
        <v>0.44117647058823528</v>
      </c>
      <c r="Z198" s="12">
        <f t="shared" ref="Z198:Z261" si="86">IFERROR(W198-X198,"-")</f>
        <v>45</v>
      </c>
      <c r="AA198" s="12"/>
      <c r="AB198" s="64"/>
      <c r="AC198" s="62">
        <f t="shared" si="69"/>
        <v>186</v>
      </c>
      <c r="AD198" s="28">
        <v>131</v>
      </c>
      <c r="AE198" s="12">
        <f t="shared" si="79"/>
        <v>0.41984732824427473</v>
      </c>
      <c r="AF198" s="12">
        <f t="shared" ref="AF198:AF261" si="87">IFERROR(AC198-AD198,"-")</f>
        <v>55</v>
      </c>
      <c r="AG198" s="12"/>
      <c r="AH198" s="17"/>
      <c r="AI198" s="17"/>
      <c r="AJ198" s="2">
        <f t="shared" si="80"/>
        <v>0</v>
      </c>
      <c r="AK198" s="2">
        <f t="shared" si="81"/>
        <v>0</v>
      </c>
      <c r="AL198" s="2">
        <f t="shared" si="82"/>
        <v>205</v>
      </c>
      <c r="AM198" s="2">
        <f t="shared" si="83"/>
        <v>162</v>
      </c>
    </row>
    <row r="199" spans="1:39" ht="14.25" customHeight="1" outlineLevel="1" x14ac:dyDescent="0.25">
      <c r="A199" t="s">
        <v>16</v>
      </c>
      <c r="B199" s="7" t="str">
        <f t="shared" si="75"/>
        <v>Rücken (580x580)</v>
      </c>
      <c r="C199" s="40">
        <v>3007</v>
      </c>
      <c r="D199" s="7" t="s">
        <v>16</v>
      </c>
      <c r="E199" s="9">
        <v>580</v>
      </c>
      <c r="F199" s="9">
        <v>580</v>
      </c>
      <c r="I199" s="45">
        <f t="shared" ref="I199:I262" si="88">+IF($E199="","",MAX($E199,360)/1000*MAX($F199,360)/1000)</f>
        <v>0.33639999999999998</v>
      </c>
      <c r="J199" s="46">
        <f t="shared" ref="J199:J262" si="89">IF($F199="","",2*MAX($E199,360)/1000+2*MAX($F199,360)/1000)</f>
        <v>2.3199999999999998</v>
      </c>
      <c r="K199" s="62">
        <f t="shared" ref="K199:K262" si="90">+IFERROR(MAX($J$5,ROUND(L199*(1+L$2)^N$2+J$2,0)),0)</f>
        <v>67</v>
      </c>
      <c r="L199" s="28">
        <v>46</v>
      </c>
      <c r="M199" s="13">
        <f t="shared" si="76"/>
        <v>0.45652173913043481</v>
      </c>
      <c r="N199" s="12">
        <f t="shared" si="84"/>
        <v>21</v>
      </c>
      <c r="O199" s="12"/>
      <c r="Q199" s="62">
        <f t="shared" ref="Q199:Q262" si="91">+IFERROR(IF(AND(R199="-",K199&gt;0),ROUND(V$4*K199,0),ROUND(R199*(1+S$2)^U$2+Q$2,0)),0)</f>
        <v>132</v>
      </c>
      <c r="R199" s="28" t="s">
        <v>63</v>
      </c>
      <c r="S199" s="12" t="str">
        <f t="shared" si="77"/>
        <v>-</v>
      </c>
      <c r="T199" s="12" t="str">
        <f t="shared" si="85"/>
        <v>-</v>
      </c>
      <c r="U199" s="12"/>
      <c r="V199" s="12"/>
      <c r="W199" s="62">
        <f t="shared" ref="W199:W262" si="92">+IFERROR(IF(AND(X199="-",Q199&gt;0),ROUND(AB$4*Q199,0),ROUND(X199*(1+Y$2)^AA$2+W$2,0)),0)</f>
        <v>183</v>
      </c>
      <c r="X199" s="28">
        <v>129</v>
      </c>
      <c r="Y199" s="13">
        <f t="shared" si="78"/>
        <v>0.41860465116279078</v>
      </c>
      <c r="Z199" s="12">
        <f t="shared" si="86"/>
        <v>54</v>
      </c>
      <c r="AA199" s="12"/>
      <c r="AB199" s="64"/>
      <c r="AC199" s="62">
        <f t="shared" ref="AC199:AC262" si="93">+IFERROR(IF(AND(AD199="-",W199&gt;0),ROUND(AH$4*W199,0),ROUND(AD199*(1+AE$2)^AG$2+AC$2,0)),0)</f>
        <v>191</v>
      </c>
      <c r="AD199" s="28">
        <v>135</v>
      </c>
      <c r="AE199" s="12">
        <f t="shared" si="79"/>
        <v>0.41481481481481475</v>
      </c>
      <c r="AF199" s="12">
        <f t="shared" si="87"/>
        <v>56</v>
      </c>
      <c r="AG199" s="12"/>
      <c r="AH199" s="17"/>
      <c r="AI199" s="17"/>
      <c r="AJ199" s="2">
        <f t="shared" si="80"/>
        <v>74</v>
      </c>
      <c r="AK199" s="2">
        <f t="shared" si="81"/>
        <v>145</v>
      </c>
      <c r="AL199" s="2">
        <f t="shared" si="82"/>
        <v>210</v>
      </c>
      <c r="AM199" s="2">
        <f t="shared" si="83"/>
        <v>201</v>
      </c>
    </row>
    <row r="200" spans="1:39" ht="14.25" customHeight="1" outlineLevel="1" x14ac:dyDescent="0.25">
      <c r="A200" t="s">
        <v>16</v>
      </c>
      <c r="B200" s="7" t="str">
        <f t="shared" ref="B200:B218" si="94">IF(OR(E200="-",F200="-"),"-",D200&amp;" ("&amp;E200&amp;"x"&amp;F200&amp;")")</f>
        <v>Rücken (780x580)</v>
      </c>
      <c r="C200" s="40">
        <v>3008</v>
      </c>
      <c r="D200" s="7" t="s">
        <v>16</v>
      </c>
      <c r="E200">
        <v>780</v>
      </c>
      <c r="F200">
        <v>580</v>
      </c>
      <c r="I200" s="45">
        <f t="shared" si="88"/>
        <v>0.45240000000000002</v>
      </c>
      <c r="J200" s="46">
        <f t="shared" si="89"/>
        <v>2.7199999999999998</v>
      </c>
      <c r="K200" s="62">
        <f t="shared" si="90"/>
        <v>87</v>
      </c>
      <c r="L200" s="28">
        <v>61</v>
      </c>
      <c r="M200" s="12">
        <f t="shared" ref="M200:M221" si="95">IFERROR(K200/L200-1,"-")</f>
        <v>0.42622950819672134</v>
      </c>
      <c r="N200" s="12">
        <f t="shared" si="84"/>
        <v>26</v>
      </c>
      <c r="O200" s="12"/>
      <c r="Q200" s="62">
        <f t="shared" si="91"/>
        <v>171</v>
      </c>
      <c r="R200" s="28" t="s">
        <v>63</v>
      </c>
      <c r="S200" s="12" t="str">
        <f t="shared" ref="S200:S221" si="96">IFERROR(Q200/R200-1,"-")</f>
        <v>-</v>
      </c>
      <c r="T200" s="12" t="str">
        <f t="shared" si="85"/>
        <v>-</v>
      </c>
      <c r="U200" s="12"/>
      <c r="V200" s="12"/>
      <c r="W200" s="62">
        <f t="shared" si="92"/>
        <v>225</v>
      </c>
      <c r="X200" s="28">
        <v>160</v>
      </c>
      <c r="Y200" s="13">
        <f t="shared" ref="Y200:Y221" si="97">IFERROR(W200/X200-1,"-")</f>
        <v>0.40625</v>
      </c>
      <c r="Z200" s="12">
        <f t="shared" si="86"/>
        <v>65</v>
      </c>
      <c r="AA200" s="12"/>
      <c r="AB200" s="64"/>
      <c r="AC200" s="62">
        <f t="shared" si="93"/>
        <v>237</v>
      </c>
      <c r="AD200" s="28">
        <v>169</v>
      </c>
      <c r="AE200" s="12">
        <f t="shared" ref="AE200:AE221" si="98">IFERROR(AC200/AD200-1,"-")</f>
        <v>0.4023668639053255</v>
      </c>
      <c r="AF200" s="12">
        <f t="shared" si="87"/>
        <v>68</v>
      </c>
      <c r="AG200" s="12"/>
      <c r="AH200" s="17"/>
      <c r="AI200" s="17"/>
      <c r="AJ200" s="2">
        <f t="shared" si="80"/>
        <v>96</v>
      </c>
      <c r="AK200" s="2">
        <f t="shared" si="81"/>
        <v>188</v>
      </c>
      <c r="AL200" s="2">
        <f t="shared" si="82"/>
        <v>261</v>
      </c>
      <c r="AM200" s="2">
        <f t="shared" si="83"/>
        <v>248</v>
      </c>
    </row>
    <row r="201" spans="1:39" ht="14.25" customHeight="1" outlineLevel="1" x14ac:dyDescent="0.25">
      <c r="A201" t="s">
        <v>16</v>
      </c>
      <c r="B201" s="7" t="str">
        <f t="shared" ref="B201" si="99">IF(OR(E201="-",F201="-"),"-",D201&amp;" ("&amp;E201&amp;"x"&amp;F201&amp;")")</f>
        <v>Rücken (980x580)</v>
      </c>
      <c r="C201" s="40">
        <v>3009</v>
      </c>
      <c r="D201" s="7" t="s">
        <v>16</v>
      </c>
      <c r="E201">
        <v>980</v>
      </c>
      <c r="F201">
        <v>580</v>
      </c>
      <c r="I201" s="45">
        <f t="shared" si="88"/>
        <v>0.56840000000000002</v>
      </c>
      <c r="J201" s="46">
        <f t="shared" si="89"/>
        <v>3.12</v>
      </c>
      <c r="K201" s="62">
        <f t="shared" si="90"/>
        <v>0</v>
      </c>
      <c r="L201" s="28" t="s">
        <v>63</v>
      </c>
      <c r="M201" s="12" t="str">
        <f t="shared" si="95"/>
        <v>-</v>
      </c>
      <c r="N201" s="12" t="str">
        <f t="shared" si="84"/>
        <v>-</v>
      </c>
      <c r="O201" s="12"/>
      <c r="Q201" s="62">
        <f t="shared" si="91"/>
        <v>0</v>
      </c>
      <c r="R201" s="28" t="s">
        <v>63</v>
      </c>
      <c r="S201" s="12" t="str">
        <f t="shared" si="96"/>
        <v>-</v>
      </c>
      <c r="T201" s="12" t="str">
        <f t="shared" si="85"/>
        <v>-</v>
      </c>
      <c r="U201" s="12"/>
      <c r="V201" s="12"/>
      <c r="W201" s="62">
        <f t="shared" si="92"/>
        <v>286</v>
      </c>
      <c r="X201" s="28">
        <v>205</v>
      </c>
      <c r="Y201" s="13">
        <f t="shared" si="97"/>
        <v>0.3951219512195121</v>
      </c>
      <c r="Z201" s="12">
        <f t="shared" si="86"/>
        <v>81</v>
      </c>
      <c r="AA201" s="12"/>
      <c r="AB201" s="64"/>
      <c r="AC201" s="62">
        <f t="shared" si="93"/>
        <v>276</v>
      </c>
      <c r="AD201" s="28">
        <v>198</v>
      </c>
      <c r="AE201" s="12">
        <f t="shared" si="98"/>
        <v>0.39393939393939403</v>
      </c>
      <c r="AF201" s="12">
        <f t="shared" si="87"/>
        <v>78</v>
      </c>
      <c r="AG201" s="12"/>
      <c r="AH201" s="17"/>
      <c r="AI201" s="17"/>
      <c r="AJ201" s="2">
        <f t="shared" si="80"/>
        <v>0</v>
      </c>
      <c r="AK201" s="2">
        <f t="shared" si="81"/>
        <v>0</v>
      </c>
      <c r="AL201" s="2">
        <f t="shared" si="82"/>
        <v>304</v>
      </c>
      <c r="AM201" s="2">
        <f t="shared" si="83"/>
        <v>315</v>
      </c>
    </row>
    <row r="202" spans="1:39" ht="14.25" customHeight="1" outlineLevel="1" x14ac:dyDescent="0.25">
      <c r="A202" t="s">
        <v>16</v>
      </c>
      <c r="B202" s="7" t="str">
        <f>IF(OR(E202="-",F202="-"),"-",D202&amp;" ("&amp;E202&amp;"x"&amp;F202&amp;")")</f>
        <v>Rücken (660x360)</v>
      </c>
      <c r="C202" s="3">
        <v>3334</v>
      </c>
      <c r="D202" s="7" t="s">
        <v>16</v>
      </c>
      <c r="E202">
        <v>660</v>
      </c>
      <c r="F202">
        <v>360</v>
      </c>
      <c r="I202" s="45">
        <f t="shared" si="88"/>
        <v>0.23760000000000003</v>
      </c>
      <c r="J202" s="46">
        <f t="shared" si="89"/>
        <v>2.04</v>
      </c>
      <c r="K202" s="62">
        <f t="shared" si="90"/>
        <v>0</v>
      </c>
      <c r="L202" s="28" t="s">
        <v>63</v>
      </c>
      <c r="M202" s="12" t="str">
        <f t="shared" si="95"/>
        <v>-</v>
      </c>
      <c r="N202" s="12" t="str">
        <f t="shared" si="84"/>
        <v>-</v>
      </c>
      <c r="O202" s="12"/>
      <c r="Q202" s="62">
        <f t="shared" si="91"/>
        <v>0</v>
      </c>
      <c r="R202" s="28" t="s">
        <v>63</v>
      </c>
      <c r="S202" s="12" t="str">
        <f t="shared" si="96"/>
        <v>-</v>
      </c>
      <c r="T202" s="12" t="str">
        <f t="shared" si="85"/>
        <v>-</v>
      </c>
      <c r="U202" s="12"/>
      <c r="V202" s="12"/>
      <c r="W202" s="62">
        <f t="shared" si="92"/>
        <v>0</v>
      </c>
      <c r="X202" s="28" t="s">
        <v>63</v>
      </c>
      <c r="Y202" s="13" t="str">
        <f t="shared" si="97"/>
        <v>-</v>
      </c>
      <c r="Z202" s="12" t="str">
        <f t="shared" si="86"/>
        <v>-</v>
      </c>
      <c r="AA202" s="12"/>
      <c r="AB202" s="64"/>
      <c r="AC202" s="62">
        <f t="shared" si="93"/>
        <v>0</v>
      </c>
      <c r="AD202" s="28" t="s">
        <v>63</v>
      </c>
      <c r="AE202" s="12" t="str">
        <f t="shared" si="98"/>
        <v>-</v>
      </c>
      <c r="AF202" s="12" t="str">
        <f t="shared" si="87"/>
        <v>-</v>
      </c>
      <c r="AG202" s="12"/>
      <c r="AH202" s="17"/>
      <c r="AI202" s="17"/>
      <c r="AJ202" s="2">
        <f t="shared" si="80"/>
        <v>0</v>
      </c>
      <c r="AK202" s="2">
        <f t="shared" si="81"/>
        <v>0</v>
      </c>
      <c r="AL202" s="2">
        <f t="shared" si="82"/>
        <v>0</v>
      </c>
      <c r="AM202" s="2">
        <f t="shared" si="83"/>
        <v>0</v>
      </c>
    </row>
    <row r="203" spans="1:39" ht="14.25" customHeight="1" outlineLevel="1" x14ac:dyDescent="0.25">
      <c r="A203" t="s">
        <v>16</v>
      </c>
      <c r="B203" s="7" t="str">
        <f t="shared" si="94"/>
        <v>Rücken (660x420)</v>
      </c>
      <c r="C203" s="3">
        <v>3335</v>
      </c>
      <c r="D203" s="7" t="s">
        <v>16</v>
      </c>
      <c r="E203">
        <v>660</v>
      </c>
      <c r="F203">
        <v>420</v>
      </c>
      <c r="I203" s="45">
        <f t="shared" si="88"/>
        <v>0.2772</v>
      </c>
      <c r="J203" s="46">
        <f t="shared" si="89"/>
        <v>2.16</v>
      </c>
      <c r="K203" s="62">
        <f t="shared" si="90"/>
        <v>0</v>
      </c>
      <c r="L203" s="28" t="s">
        <v>63</v>
      </c>
      <c r="M203" s="12" t="str">
        <f t="shared" si="95"/>
        <v>-</v>
      </c>
      <c r="N203" s="12" t="str">
        <f t="shared" si="84"/>
        <v>-</v>
      </c>
      <c r="O203" s="12"/>
      <c r="Q203" s="62">
        <f t="shared" si="91"/>
        <v>0</v>
      </c>
      <c r="R203" s="28" t="s">
        <v>63</v>
      </c>
      <c r="S203" s="12" t="str">
        <f t="shared" si="96"/>
        <v>-</v>
      </c>
      <c r="T203" s="12" t="str">
        <f t="shared" si="85"/>
        <v>-</v>
      </c>
      <c r="U203" s="12"/>
      <c r="V203" s="12"/>
      <c r="W203" s="62">
        <f t="shared" si="92"/>
        <v>0</v>
      </c>
      <c r="X203" s="28" t="s">
        <v>63</v>
      </c>
      <c r="Y203" s="13" t="str">
        <f t="shared" si="97"/>
        <v>-</v>
      </c>
      <c r="Z203" s="12" t="str">
        <f t="shared" si="86"/>
        <v>-</v>
      </c>
      <c r="AA203" s="12"/>
      <c r="AB203" s="64"/>
      <c r="AC203" s="62">
        <f t="shared" si="93"/>
        <v>0</v>
      </c>
      <c r="AD203" s="28" t="s">
        <v>63</v>
      </c>
      <c r="AE203" s="12" t="str">
        <f t="shared" si="98"/>
        <v>-</v>
      </c>
      <c r="AF203" s="12" t="str">
        <f t="shared" si="87"/>
        <v>-</v>
      </c>
      <c r="AG203" s="12"/>
      <c r="AH203" s="17"/>
      <c r="AI203" s="17"/>
      <c r="AJ203" s="2">
        <f t="shared" si="80"/>
        <v>0</v>
      </c>
      <c r="AK203" s="2">
        <f t="shared" si="81"/>
        <v>0</v>
      </c>
      <c r="AL203" s="2">
        <f t="shared" si="82"/>
        <v>0</v>
      </c>
      <c r="AM203" s="2">
        <f t="shared" si="83"/>
        <v>0</v>
      </c>
    </row>
    <row r="204" spans="1:39" ht="14.25" customHeight="1" outlineLevel="1" x14ac:dyDescent="0.25">
      <c r="A204" t="s">
        <v>16</v>
      </c>
      <c r="B204" s="7" t="str">
        <f t="shared" si="94"/>
        <v>Rücken (660x980)</v>
      </c>
      <c r="C204" s="3">
        <v>3336</v>
      </c>
      <c r="D204" s="7" t="s">
        <v>16</v>
      </c>
      <c r="E204">
        <v>660</v>
      </c>
      <c r="F204">
        <v>980</v>
      </c>
      <c r="I204" s="45">
        <f t="shared" si="88"/>
        <v>0.64680000000000004</v>
      </c>
      <c r="J204" s="46">
        <f t="shared" si="89"/>
        <v>3.2800000000000002</v>
      </c>
      <c r="K204" s="62">
        <f t="shared" si="90"/>
        <v>0</v>
      </c>
      <c r="L204" s="28" t="s">
        <v>63</v>
      </c>
      <c r="M204" s="12" t="str">
        <f t="shared" si="95"/>
        <v>-</v>
      </c>
      <c r="N204" s="12" t="str">
        <f t="shared" si="84"/>
        <v>-</v>
      </c>
      <c r="O204" s="12"/>
      <c r="Q204" s="62">
        <f t="shared" si="91"/>
        <v>0</v>
      </c>
      <c r="R204" s="28" t="s">
        <v>63</v>
      </c>
      <c r="S204" s="12" t="str">
        <f t="shared" si="96"/>
        <v>-</v>
      </c>
      <c r="T204" s="12" t="str">
        <f t="shared" si="85"/>
        <v>-</v>
      </c>
      <c r="U204" s="12"/>
      <c r="V204" s="12"/>
      <c r="W204" s="62">
        <f t="shared" si="92"/>
        <v>0</v>
      </c>
      <c r="X204" s="28" t="s">
        <v>63</v>
      </c>
      <c r="Y204" s="13" t="str">
        <f t="shared" si="97"/>
        <v>-</v>
      </c>
      <c r="Z204" s="12" t="str">
        <f t="shared" si="86"/>
        <v>-</v>
      </c>
      <c r="AA204" s="12"/>
      <c r="AB204" s="64"/>
      <c r="AC204" s="62">
        <f t="shared" si="93"/>
        <v>0</v>
      </c>
      <c r="AD204" s="28" t="s">
        <v>63</v>
      </c>
      <c r="AE204" s="12" t="str">
        <f t="shared" si="98"/>
        <v>-</v>
      </c>
      <c r="AF204" s="12" t="str">
        <f t="shared" si="87"/>
        <v>-</v>
      </c>
      <c r="AG204" s="12"/>
      <c r="AH204" s="17"/>
      <c r="AI204" s="17"/>
      <c r="AJ204" s="2">
        <f t="shared" si="80"/>
        <v>0</v>
      </c>
      <c r="AK204" s="2">
        <f t="shared" si="81"/>
        <v>0</v>
      </c>
      <c r="AL204" s="2">
        <f t="shared" si="82"/>
        <v>0</v>
      </c>
      <c r="AM204" s="2">
        <f t="shared" si="83"/>
        <v>0</v>
      </c>
    </row>
    <row r="205" spans="1:39" ht="14.25" customHeight="1" outlineLevel="1" x14ac:dyDescent="0.25">
      <c r="A205" t="s">
        <v>16</v>
      </c>
      <c r="B205" s="7" t="str">
        <f t="shared" si="94"/>
        <v xml:space="preserve"> (x)</v>
      </c>
      <c r="C205" s="3">
        <v>3337</v>
      </c>
      <c r="I205" s="45" t="str">
        <f t="shared" si="88"/>
        <v/>
      </c>
      <c r="J205" s="46" t="str">
        <f t="shared" si="89"/>
        <v/>
      </c>
      <c r="K205" s="62">
        <f t="shared" si="90"/>
        <v>0</v>
      </c>
      <c r="L205" s="28" t="s">
        <v>63</v>
      </c>
      <c r="M205" s="12" t="str">
        <f t="shared" si="95"/>
        <v>-</v>
      </c>
      <c r="N205" s="12" t="str">
        <f t="shared" si="84"/>
        <v>-</v>
      </c>
      <c r="O205" s="12"/>
      <c r="Q205" s="62">
        <f t="shared" si="91"/>
        <v>0</v>
      </c>
      <c r="R205" s="28" t="s">
        <v>63</v>
      </c>
      <c r="S205" s="12" t="str">
        <f t="shared" si="96"/>
        <v>-</v>
      </c>
      <c r="T205" s="12" t="str">
        <f t="shared" si="85"/>
        <v>-</v>
      </c>
      <c r="U205" s="12"/>
      <c r="V205" s="12"/>
      <c r="W205" s="62">
        <f t="shared" si="92"/>
        <v>0</v>
      </c>
      <c r="X205" s="28" t="s">
        <v>63</v>
      </c>
      <c r="Y205" s="13" t="str">
        <f t="shared" si="97"/>
        <v>-</v>
      </c>
      <c r="Z205" s="12" t="str">
        <f t="shared" si="86"/>
        <v>-</v>
      </c>
      <c r="AA205" s="12"/>
      <c r="AB205" s="64"/>
      <c r="AC205" s="62">
        <f t="shared" si="93"/>
        <v>0</v>
      </c>
      <c r="AD205" s="28" t="s">
        <v>63</v>
      </c>
      <c r="AE205" s="12" t="str">
        <f t="shared" si="98"/>
        <v>-</v>
      </c>
      <c r="AF205" s="12" t="str">
        <f t="shared" si="87"/>
        <v>-</v>
      </c>
      <c r="AG205" s="12"/>
      <c r="AH205" s="17"/>
      <c r="AI205" s="17"/>
      <c r="AJ205" s="2">
        <f t="shared" si="80"/>
        <v>0</v>
      </c>
      <c r="AK205" s="2">
        <f t="shared" si="81"/>
        <v>0</v>
      </c>
      <c r="AL205" s="2">
        <f t="shared" si="82"/>
        <v>0</v>
      </c>
      <c r="AM205" s="2">
        <f t="shared" si="83"/>
        <v>0</v>
      </c>
    </row>
    <row r="206" spans="1:39" ht="14.25" customHeight="1" outlineLevel="1" x14ac:dyDescent="0.25">
      <c r="A206" t="s">
        <v>16</v>
      </c>
      <c r="B206" s="7" t="str">
        <f t="shared" si="94"/>
        <v xml:space="preserve"> (x)</v>
      </c>
      <c r="C206" s="3">
        <v>3338</v>
      </c>
      <c r="I206" s="45" t="str">
        <f t="shared" si="88"/>
        <v/>
      </c>
      <c r="J206" s="46" t="str">
        <f t="shared" si="89"/>
        <v/>
      </c>
      <c r="K206" s="62">
        <f t="shared" si="90"/>
        <v>0</v>
      </c>
      <c r="L206" s="28" t="s">
        <v>63</v>
      </c>
      <c r="M206" s="12" t="str">
        <f t="shared" si="95"/>
        <v>-</v>
      </c>
      <c r="N206" s="12" t="str">
        <f t="shared" si="84"/>
        <v>-</v>
      </c>
      <c r="O206" s="12"/>
      <c r="Q206" s="62">
        <f t="shared" si="91"/>
        <v>0</v>
      </c>
      <c r="R206" s="28" t="s">
        <v>63</v>
      </c>
      <c r="S206" s="12" t="str">
        <f t="shared" si="96"/>
        <v>-</v>
      </c>
      <c r="T206" s="12" t="str">
        <f t="shared" si="85"/>
        <v>-</v>
      </c>
      <c r="U206" s="12"/>
      <c r="V206" s="12"/>
      <c r="W206" s="62">
        <f t="shared" si="92"/>
        <v>0</v>
      </c>
      <c r="X206" s="28" t="s">
        <v>63</v>
      </c>
      <c r="Y206" s="13" t="str">
        <f t="shared" si="97"/>
        <v>-</v>
      </c>
      <c r="Z206" s="12" t="str">
        <f t="shared" si="86"/>
        <v>-</v>
      </c>
      <c r="AA206" s="12"/>
      <c r="AB206" s="64"/>
      <c r="AC206" s="62">
        <f t="shared" si="93"/>
        <v>0</v>
      </c>
      <c r="AD206" s="28" t="s">
        <v>63</v>
      </c>
      <c r="AE206" s="12" t="str">
        <f t="shared" si="98"/>
        <v>-</v>
      </c>
      <c r="AF206" s="12" t="str">
        <f t="shared" si="87"/>
        <v>-</v>
      </c>
      <c r="AG206" s="12"/>
      <c r="AH206" s="17"/>
      <c r="AI206" s="17"/>
      <c r="AJ206" s="2">
        <f t="shared" si="80"/>
        <v>0</v>
      </c>
      <c r="AK206" s="2">
        <f t="shared" si="81"/>
        <v>0</v>
      </c>
      <c r="AL206" s="2">
        <f t="shared" si="82"/>
        <v>0</v>
      </c>
      <c r="AM206" s="2">
        <f t="shared" si="83"/>
        <v>0</v>
      </c>
    </row>
    <row r="207" spans="1:39" ht="14.25" customHeight="1" outlineLevel="1" x14ac:dyDescent="0.25">
      <c r="A207" t="s">
        <v>16</v>
      </c>
      <c r="B207" s="7" t="str">
        <f t="shared" si="94"/>
        <v xml:space="preserve"> (x)</v>
      </c>
      <c r="C207" s="3">
        <v>3339</v>
      </c>
      <c r="I207" s="45" t="str">
        <f t="shared" si="88"/>
        <v/>
      </c>
      <c r="J207" s="46" t="str">
        <f t="shared" si="89"/>
        <v/>
      </c>
      <c r="K207" s="62">
        <f t="shared" si="90"/>
        <v>0</v>
      </c>
      <c r="L207" s="28" t="s">
        <v>63</v>
      </c>
      <c r="M207" s="12" t="str">
        <f t="shared" si="95"/>
        <v>-</v>
      </c>
      <c r="N207" s="12" t="str">
        <f t="shared" si="84"/>
        <v>-</v>
      </c>
      <c r="O207" s="12"/>
      <c r="Q207" s="62">
        <f t="shared" si="91"/>
        <v>0</v>
      </c>
      <c r="R207" s="28" t="s">
        <v>63</v>
      </c>
      <c r="S207" s="12" t="str">
        <f t="shared" si="96"/>
        <v>-</v>
      </c>
      <c r="T207" s="12" t="str">
        <f t="shared" si="85"/>
        <v>-</v>
      </c>
      <c r="U207" s="12"/>
      <c r="V207" s="12"/>
      <c r="W207" s="62">
        <f t="shared" si="92"/>
        <v>0</v>
      </c>
      <c r="X207" s="28" t="s">
        <v>63</v>
      </c>
      <c r="Y207" s="13" t="str">
        <f t="shared" si="97"/>
        <v>-</v>
      </c>
      <c r="Z207" s="12" t="str">
        <f t="shared" si="86"/>
        <v>-</v>
      </c>
      <c r="AA207" s="12"/>
      <c r="AB207" s="64"/>
      <c r="AC207" s="62">
        <f t="shared" si="93"/>
        <v>0</v>
      </c>
      <c r="AD207" s="28" t="s">
        <v>63</v>
      </c>
      <c r="AE207" s="12" t="str">
        <f t="shared" si="98"/>
        <v>-</v>
      </c>
      <c r="AF207" s="12" t="str">
        <f t="shared" si="87"/>
        <v>-</v>
      </c>
      <c r="AG207" s="12"/>
      <c r="AH207" s="17"/>
      <c r="AI207" s="17"/>
      <c r="AJ207" s="2">
        <f t="shared" si="80"/>
        <v>0</v>
      </c>
      <c r="AK207" s="2">
        <f t="shared" si="81"/>
        <v>0</v>
      </c>
      <c r="AL207" s="2">
        <f t="shared" si="82"/>
        <v>0</v>
      </c>
      <c r="AM207" s="2">
        <f t="shared" si="83"/>
        <v>0</v>
      </c>
    </row>
    <row r="208" spans="1:39" ht="14.25" customHeight="1" outlineLevel="1" x14ac:dyDescent="0.25">
      <c r="A208" t="s">
        <v>16</v>
      </c>
      <c r="B208" s="7" t="str">
        <f t="shared" si="94"/>
        <v xml:space="preserve"> (x)</v>
      </c>
      <c r="C208" s="3">
        <v>3340</v>
      </c>
      <c r="I208" s="45" t="str">
        <f t="shared" si="88"/>
        <v/>
      </c>
      <c r="J208" s="46" t="str">
        <f t="shared" si="89"/>
        <v/>
      </c>
      <c r="K208" s="62">
        <f t="shared" si="90"/>
        <v>0</v>
      </c>
      <c r="L208" s="28" t="s">
        <v>63</v>
      </c>
      <c r="M208" s="12" t="str">
        <f t="shared" si="95"/>
        <v>-</v>
      </c>
      <c r="N208" s="12" t="str">
        <f t="shared" si="84"/>
        <v>-</v>
      </c>
      <c r="O208" s="12"/>
      <c r="Q208" s="62">
        <f t="shared" si="91"/>
        <v>0</v>
      </c>
      <c r="R208" s="28" t="s">
        <v>63</v>
      </c>
      <c r="S208" s="12" t="str">
        <f t="shared" si="96"/>
        <v>-</v>
      </c>
      <c r="T208" s="12" t="str">
        <f t="shared" si="85"/>
        <v>-</v>
      </c>
      <c r="U208" s="12"/>
      <c r="V208" s="12"/>
      <c r="W208" s="62">
        <f t="shared" si="92"/>
        <v>0</v>
      </c>
      <c r="X208" s="28" t="s">
        <v>63</v>
      </c>
      <c r="Y208" s="13" t="str">
        <f t="shared" si="97"/>
        <v>-</v>
      </c>
      <c r="Z208" s="12" t="str">
        <f t="shared" si="86"/>
        <v>-</v>
      </c>
      <c r="AA208" s="12"/>
      <c r="AB208" s="64"/>
      <c r="AC208" s="62">
        <f t="shared" si="93"/>
        <v>0</v>
      </c>
      <c r="AD208" s="28" t="s">
        <v>63</v>
      </c>
      <c r="AE208" s="12" t="str">
        <f t="shared" si="98"/>
        <v>-</v>
      </c>
      <c r="AF208" s="12" t="str">
        <f t="shared" si="87"/>
        <v>-</v>
      </c>
      <c r="AG208" s="12"/>
      <c r="AH208" s="17"/>
      <c r="AI208" s="17"/>
      <c r="AJ208" s="2">
        <f t="shared" si="80"/>
        <v>0</v>
      </c>
      <c r="AK208" s="2">
        <f t="shared" si="81"/>
        <v>0</v>
      </c>
      <c r="AL208" s="2">
        <f t="shared" si="82"/>
        <v>0</v>
      </c>
      <c r="AM208" s="2">
        <f t="shared" si="83"/>
        <v>0</v>
      </c>
    </row>
    <row r="209" spans="1:40" ht="14.25" customHeight="1" outlineLevel="1" x14ac:dyDescent="0.25">
      <c r="A209" t="s">
        <v>16</v>
      </c>
      <c r="B209" s="7" t="str">
        <f t="shared" si="94"/>
        <v xml:space="preserve"> (x)</v>
      </c>
      <c r="C209" s="3">
        <v>3341</v>
      </c>
      <c r="I209" s="45" t="str">
        <f t="shared" si="88"/>
        <v/>
      </c>
      <c r="J209" s="46" t="str">
        <f t="shared" si="89"/>
        <v/>
      </c>
      <c r="K209" s="62">
        <f t="shared" si="90"/>
        <v>0</v>
      </c>
      <c r="L209" s="28" t="s">
        <v>63</v>
      </c>
      <c r="M209" s="12" t="str">
        <f t="shared" si="95"/>
        <v>-</v>
      </c>
      <c r="N209" s="12" t="str">
        <f t="shared" si="84"/>
        <v>-</v>
      </c>
      <c r="O209" s="12"/>
      <c r="Q209" s="62">
        <f t="shared" si="91"/>
        <v>0</v>
      </c>
      <c r="R209" s="28" t="s">
        <v>63</v>
      </c>
      <c r="S209" s="12" t="str">
        <f t="shared" si="96"/>
        <v>-</v>
      </c>
      <c r="T209" s="12" t="str">
        <f t="shared" si="85"/>
        <v>-</v>
      </c>
      <c r="U209" s="12"/>
      <c r="V209" s="12"/>
      <c r="W209" s="62">
        <f t="shared" si="92"/>
        <v>0</v>
      </c>
      <c r="X209" s="28" t="s">
        <v>63</v>
      </c>
      <c r="Y209" s="12" t="str">
        <f t="shared" si="97"/>
        <v>-</v>
      </c>
      <c r="Z209" s="12" t="str">
        <f t="shared" si="86"/>
        <v>-</v>
      </c>
      <c r="AA209" s="12"/>
      <c r="AB209" s="64"/>
      <c r="AC209" s="62">
        <f t="shared" si="93"/>
        <v>0</v>
      </c>
      <c r="AD209" s="28" t="s">
        <v>63</v>
      </c>
      <c r="AE209" s="12" t="str">
        <f t="shared" si="98"/>
        <v>-</v>
      </c>
      <c r="AF209" s="12" t="str">
        <f t="shared" si="87"/>
        <v>-</v>
      </c>
      <c r="AG209" s="12"/>
      <c r="AH209" s="17"/>
      <c r="AI209" s="17"/>
      <c r="AJ209" s="2">
        <f t="shared" si="80"/>
        <v>0</v>
      </c>
      <c r="AK209" s="2">
        <f t="shared" si="81"/>
        <v>0</v>
      </c>
      <c r="AL209" s="2">
        <f t="shared" si="82"/>
        <v>0</v>
      </c>
      <c r="AM209" s="2">
        <f t="shared" si="83"/>
        <v>0</v>
      </c>
    </row>
    <row r="210" spans="1:40" ht="14.25" customHeight="1" outlineLevel="1" x14ac:dyDescent="0.25">
      <c r="A210" t="s">
        <v>16</v>
      </c>
      <c r="B210" s="7" t="str">
        <f t="shared" si="94"/>
        <v xml:space="preserve"> (x)</v>
      </c>
      <c r="C210" s="3">
        <v>3342</v>
      </c>
      <c r="I210" s="45" t="str">
        <f t="shared" si="88"/>
        <v/>
      </c>
      <c r="J210" s="46" t="str">
        <f t="shared" si="89"/>
        <v/>
      </c>
      <c r="K210" s="62">
        <f t="shared" si="90"/>
        <v>0</v>
      </c>
      <c r="L210" s="28" t="s">
        <v>63</v>
      </c>
      <c r="M210" s="12" t="str">
        <f t="shared" si="95"/>
        <v>-</v>
      </c>
      <c r="N210" s="12" t="str">
        <f t="shared" si="84"/>
        <v>-</v>
      </c>
      <c r="O210" s="12"/>
      <c r="Q210" s="62">
        <f t="shared" si="91"/>
        <v>0</v>
      </c>
      <c r="R210" s="28" t="s">
        <v>63</v>
      </c>
      <c r="S210" s="12" t="str">
        <f t="shared" si="96"/>
        <v>-</v>
      </c>
      <c r="T210" s="12" t="str">
        <f t="shared" si="85"/>
        <v>-</v>
      </c>
      <c r="U210" s="12"/>
      <c r="V210" s="12"/>
      <c r="W210" s="62">
        <f t="shared" si="92"/>
        <v>0</v>
      </c>
      <c r="X210" s="28" t="s">
        <v>63</v>
      </c>
      <c r="Y210" s="12" t="str">
        <f t="shared" si="97"/>
        <v>-</v>
      </c>
      <c r="Z210" s="12" t="str">
        <f t="shared" si="86"/>
        <v>-</v>
      </c>
      <c r="AA210" s="12"/>
      <c r="AB210" s="64"/>
      <c r="AC210" s="62">
        <f t="shared" si="93"/>
        <v>0</v>
      </c>
      <c r="AD210" s="28" t="s">
        <v>63</v>
      </c>
      <c r="AE210" s="12" t="str">
        <f t="shared" si="98"/>
        <v>-</v>
      </c>
      <c r="AF210" s="12" t="str">
        <f t="shared" si="87"/>
        <v>-</v>
      </c>
      <c r="AG210" s="12"/>
      <c r="AH210" s="17"/>
      <c r="AI210" s="17"/>
      <c r="AJ210" s="2">
        <f t="shared" si="80"/>
        <v>0</v>
      </c>
      <c r="AK210" s="2">
        <f t="shared" si="81"/>
        <v>0</v>
      </c>
      <c r="AL210" s="2">
        <f t="shared" si="82"/>
        <v>0</v>
      </c>
      <c r="AM210" s="2">
        <f t="shared" si="83"/>
        <v>0</v>
      </c>
    </row>
    <row r="211" spans="1:40" ht="14.25" customHeight="1" outlineLevel="1" x14ac:dyDescent="0.25">
      <c r="A211" t="s">
        <v>16</v>
      </c>
      <c r="B211" s="7" t="str">
        <f t="shared" si="94"/>
        <v xml:space="preserve"> (x)</v>
      </c>
      <c r="C211" s="3">
        <v>3343</v>
      </c>
      <c r="I211" s="45" t="str">
        <f t="shared" si="88"/>
        <v/>
      </c>
      <c r="J211" s="46" t="str">
        <f t="shared" si="89"/>
        <v/>
      </c>
      <c r="K211" s="62">
        <f t="shared" si="90"/>
        <v>0</v>
      </c>
      <c r="L211" s="28" t="s">
        <v>63</v>
      </c>
      <c r="M211" s="12" t="str">
        <f t="shared" si="95"/>
        <v>-</v>
      </c>
      <c r="N211" s="12" t="str">
        <f t="shared" si="84"/>
        <v>-</v>
      </c>
      <c r="O211" s="12"/>
      <c r="Q211" s="62">
        <f t="shared" si="91"/>
        <v>0</v>
      </c>
      <c r="R211" s="28" t="s">
        <v>63</v>
      </c>
      <c r="S211" s="12" t="str">
        <f t="shared" si="96"/>
        <v>-</v>
      </c>
      <c r="T211" s="12" t="str">
        <f t="shared" si="85"/>
        <v>-</v>
      </c>
      <c r="U211" s="12"/>
      <c r="V211" s="12"/>
      <c r="W211" s="62">
        <f t="shared" si="92"/>
        <v>0</v>
      </c>
      <c r="X211" s="28" t="s">
        <v>63</v>
      </c>
      <c r="Y211" s="12" t="str">
        <f t="shared" si="97"/>
        <v>-</v>
      </c>
      <c r="Z211" s="12" t="str">
        <f t="shared" si="86"/>
        <v>-</v>
      </c>
      <c r="AA211" s="12"/>
      <c r="AB211" s="64"/>
      <c r="AC211" s="62">
        <f t="shared" si="93"/>
        <v>0</v>
      </c>
      <c r="AD211" s="28" t="s">
        <v>63</v>
      </c>
      <c r="AE211" s="12" t="str">
        <f t="shared" si="98"/>
        <v>-</v>
      </c>
      <c r="AF211" s="12" t="str">
        <f t="shared" si="87"/>
        <v>-</v>
      </c>
      <c r="AG211" s="12"/>
      <c r="AH211" s="17"/>
      <c r="AI211" s="17"/>
      <c r="AJ211" s="2">
        <f t="shared" si="80"/>
        <v>0</v>
      </c>
      <c r="AK211" s="2">
        <f t="shared" si="81"/>
        <v>0</v>
      </c>
      <c r="AL211" s="2">
        <f t="shared" si="82"/>
        <v>0</v>
      </c>
      <c r="AM211" s="2">
        <f t="shared" si="83"/>
        <v>0</v>
      </c>
    </row>
    <row r="212" spans="1:40" ht="14.25" customHeight="1" outlineLevel="1" x14ac:dyDescent="0.25">
      <c r="A212" t="s">
        <v>16</v>
      </c>
      <c r="B212" s="7" t="str">
        <f t="shared" si="94"/>
        <v xml:space="preserve"> (x)</v>
      </c>
      <c r="C212" s="3">
        <v>3344</v>
      </c>
      <c r="I212" s="45" t="str">
        <f t="shared" si="88"/>
        <v/>
      </c>
      <c r="J212" s="46" t="str">
        <f t="shared" si="89"/>
        <v/>
      </c>
      <c r="K212" s="62">
        <f t="shared" si="90"/>
        <v>0</v>
      </c>
      <c r="L212" s="28" t="s">
        <v>63</v>
      </c>
      <c r="M212" s="12" t="str">
        <f t="shared" si="95"/>
        <v>-</v>
      </c>
      <c r="N212" s="12" t="str">
        <f t="shared" si="84"/>
        <v>-</v>
      </c>
      <c r="O212" s="12"/>
      <c r="Q212" s="62">
        <f t="shared" si="91"/>
        <v>0</v>
      </c>
      <c r="R212" s="28" t="s">
        <v>63</v>
      </c>
      <c r="S212" s="12" t="str">
        <f t="shared" si="96"/>
        <v>-</v>
      </c>
      <c r="T212" s="12" t="str">
        <f t="shared" si="85"/>
        <v>-</v>
      </c>
      <c r="U212" s="12"/>
      <c r="V212" s="12"/>
      <c r="W212" s="62">
        <f t="shared" si="92"/>
        <v>0</v>
      </c>
      <c r="X212" s="28" t="s">
        <v>63</v>
      </c>
      <c r="Y212" s="12" t="str">
        <f t="shared" si="97"/>
        <v>-</v>
      </c>
      <c r="Z212" s="12" t="str">
        <f t="shared" si="86"/>
        <v>-</v>
      </c>
      <c r="AA212" s="12"/>
      <c r="AB212" s="64"/>
      <c r="AC212" s="62">
        <f t="shared" si="93"/>
        <v>0</v>
      </c>
      <c r="AD212" s="28" t="s">
        <v>63</v>
      </c>
      <c r="AE212" s="12" t="str">
        <f t="shared" si="98"/>
        <v>-</v>
      </c>
      <c r="AF212" s="12" t="str">
        <f t="shared" si="87"/>
        <v>-</v>
      </c>
      <c r="AG212" s="12"/>
      <c r="AH212" s="17"/>
      <c r="AI212" s="17"/>
      <c r="AJ212" s="2">
        <f t="shared" si="80"/>
        <v>0</v>
      </c>
      <c r="AK212" s="2">
        <f t="shared" si="81"/>
        <v>0</v>
      </c>
      <c r="AL212" s="2">
        <f t="shared" si="82"/>
        <v>0</v>
      </c>
      <c r="AM212" s="2">
        <f t="shared" si="83"/>
        <v>0</v>
      </c>
    </row>
    <row r="213" spans="1:40" ht="14.25" customHeight="1" outlineLevel="1" x14ac:dyDescent="0.25">
      <c r="A213" t="s">
        <v>16</v>
      </c>
      <c r="B213" s="7" t="str">
        <f t="shared" si="94"/>
        <v xml:space="preserve"> (x)</v>
      </c>
      <c r="C213" s="3">
        <v>3345</v>
      </c>
      <c r="I213" s="45" t="str">
        <f t="shared" si="88"/>
        <v/>
      </c>
      <c r="J213" s="46" t="str">
        <f t="shared" si="89"/>
        <v/>
      </c>
      <c r="K213" s="62">
        <f t="shared" si="90"/>
        <v>0</v>
      </c>
      <c r="L213" s="28" t="s">
        <v>63</v>
      </c>
      <c r="M213" s="12" t="str">
        <f t="shared" si="95"/>
        <v>-</v>
      </c>
      <c r="N213" s="12" t="str">
        <f t="shared" si="84"/>
        <v>-</v>
      </c>
      <c r="O213" s="12"/>
      <c r="Q213" s="62">
        <f t="shared" si="91"/>
        <v>0</v>
      </c>
      <c r="R213" s="28" t="s">
        <v>63</v>
      </c>
      <c r="S213" s="12" t="str">
        <f t="shared" si="96"/>
        <v>-</v>
      </c>
      <c r="T213" s="12" t="str">
        <f t="shared" si="85"/>
        <v>-</v>
      </c>
      <c r="U213" s="12"/>
      <c r="V213" s="12"/>
      <c r="W213" s="62">
        <f t="shared" si="92"/>
        <v>0</v>
      </c>
      <c r="X213" s="28" t="s">
        <v>63</v>
      </c>
      <c r="Y213" s="12" t="str">
        <f t="shared" si="97"/>
        <v>-</v>
      </c>
      <c r="Z213" s="12" t="str">
        <f t="shared" si="86"/>
        <v>-</v>
      </c>
      <c r="AA213" s="12"/>
      <c r="AB213" s="64"/>
      <c r="AC213" s="62">
        <f t="shared" si="93"/>
        <v>0</v>
      </c>
      <c r="AD213" s="28" t="s">
        <v>63</v>
      </c>
      <c r="AE213" s="12" t="str">
        <f t="shared" si="98"/>
        <v>-</v>
      </c>
      <c r="AF213" s="12" t="str">
        <f t="shared" si="87"/>
        <v>-</v>
      </c>
      <c r="AG213" s="12"/>
      <c r="AH213" s="17"/>
      <c r="AI213" s="17"/>
      <c r="AJ213" s="2">
        <f t="shared" si="80"/>
        <v>0</v>
      </c>
      <c r="AK213" s="2">
        <f t="shared" si="81"/>
        <v>0</v>
      </c>
      <c r="AL213" s="2">
        <f t="shared" si="82"/>
        <v>0</v>
      </c>
      <c r="AM213" s="2">
        <f t="shared" si="83"/>
        <v>0</v>
      </c>
    </row>
    <row r="214" spans="1:40" ht="14.25" customHeight="1" outlineLevel="1" x14ac:dyDescent="0.25">
      <c r="A214" t="s">
        <v>16</v>
      </c>
      <c r="B214" s="7" t="str">
        <f t="shared" si="94"/>
        <v xml:space="preserve"> (x)</v>
      </c>
      <c r="C214" s="3">
        <v>3346</v>
      </c>
      <c r="I214" s="45" t="str">
        <f t="shared" si="88"/>
        <v/>
      </c>
      <c r="J214" s="46" t="str">
        <f t="shared" si="89"/>
        <v/>
      </c>
      <c r="K214" s="62">
        <f t="shared" si="90"/>
        <v>0</v>
      </c>
      <c r="L214" s="28" t="s">
        <v>63</v>
      </c>
      <c r="M214" s="12" t="str">
        <f t="shared" si="95"/>
        <v>-</v>
      </c>
      <c r="N214" s="12" t="str">
        <f t="shared" si="84"/>
        <v>-</v>
      </c>
      <c r="O214" s="12"/>
      <c r="Q214" s="62">
        <f t="shared" si="91"/>
        <v>0</v>
      </c>
      <c r="R214" s="28" t="s">
        <v>63</v>
      </c>
      <c r="S214" s="12" t="str">
        <f t="shared" si="96"/>
        <v>-</v>
      </c>
      <c r="T214" s="12" t="str">
        <f t="shared" si="85"/>
        <v>-</v>
      </c>
      <c r="U214" s="12"/>
      <c r="V214" s="12"/>
      <c r="W214" s="62">
        <f t="shared" si="92"/>
        <v>0</v>
      </c>
      <c r="X214" s="28" t="s">
        <v>63</v>
      </c>
      <c r="Y214" s="12" t="str">
        <f t="shared" si="97"/>
        <v>-</v>
      </c>
      <c r="Z214" s="12" t="str">
        <f t="shared" si="86"/>
        <v>-</v>
      </c>
      <c r="AA214" s="12"/>
      <c r="AB214" s="64"/>
      <c r="AC214" s="62">
        <f t="shared" si="93"/>
        <v>0</v>
      </c>
      <c r="AD214" s="28" t="s">
        <v>63</v>
      </c>
      <c r="AE214" s="12" t="str">
        <f t="shared" si="98"/>
        <v>-</v>
      </c>
      <c r="AF214" s="12" t="str">
        <f t="shared" si="87"/>
        <v>-</v>
      </c>
      <c r="AG214" s="12"/>
      <c r="AH214" s="17"/>
      <c r="AI214" s="17"/>
      <c r="AJ214" s="2">
        <f t="shared" si="80"/>
        <v>0</v>
      </c>
      <c r="AK214" s="2">
        <f t="shared" si="81"/>
        <v>0</v>
      </c>
      <c r="AL214" s="2">
        <f t="shared" si="82"/>
        <v>0</v>
      </c>
      <c r="AM214" s="2">
        <f t="shared" si="83"/>
        <v>0</v>
      </c>
    </row>
    <row r="215" spans="1:40" ht="14.25" customHeight="1" outlineLevel="1" x14ac:dyDescent="0.25">
      <c r="A215" t="s">
        <v>16</v>
      </c>
      <c r="B215" s="7" t="str">
        <f t="shared" si="94"/>
        <v xml:space="preserve"> (x)</v>
      </c>
      <c r="C215" s="3">
        <v>3347</v>
      </c>
      <c r="I215" s="45" t="str">
        <f t="shared" si="88"/>
        <v/>
      </c>
      <c r="J215" s="46" t="str">
        <f t="shared" si="89"/>
        <v/>
      </c>
      <c r="K215" s="62">
        <f t="shared" si="90"/>
        <v>0</v>
      </c>
      <c r="L215" s="28" t="s">
        <v>63</v>
      </c>
      <c r="M215" s="12" t="str">
        <f t="shared" si="95"/>
        <v>-</v>
      </c>
      <c r="N215" s="12" t="str">
        <f t="shared" si="84"/>
        <v>-</v>
      </c>
      <c r="O215" s="12"/>
      <c r="Q215" s="62">
        <f t="shared" si="91"/>
        <v>0</v>
      </c>
      <c r="R215" s="28" t="s">
        <v>63</v>
      </c>
      <c r="S215" s="12" t="str">
        <f t="shared" si="96"/>
        <v>-</v>
      </c>
      <c r="T215" s="12" t="str">
        <f t="shared" si="85"/>
        <v>-</v>
      </c>
      <c r="U215" s="12"/>
      <c r="V215" s="12"/>
      <c r="W215" s="62">
        <f t="shared" si="92"/>
        <v>0</v>
      </c>
      <c r="X215" s="28" t="s">
        <v>63</v>
      </c>
      <c r="Y215" s="12" t="str">
        <f t="shared" si="97"/>
        <v>-</v>
      </c>
      <c r="Z215" s="12" t="str">
        <f t="shared" si="86"/>
        <v>-</v>
      </c>
      <c r="AA215" s="12"/>
      <c r="AB215" s="64"/>
      <c r="AC215" s="62">
        <f t="shared" si="93"/>
        <v>0</v>
      </c>
      <c r="AD215" s="28" t="s">
        <v>63</v>
      </c>
      <c r="AE215" s="12" t="str">
        <f t="shared" si="98"/>
        <v>-</v>
      </c>
      <c r="AF215" s="12" t="str">
        <f t="shared" si="87"/>
        <v>-</v>
      </c>
      <c r="AG215" s="12"/>
      <c r="AH215" s="17"/>
      <c r="AI215" s="17"/>
      <c r="AJ215" s="2">
        <f t="shared" si="80"/>
        <v>0</v>
      </c>
      <c r="AK215" s="2">
        <f t="shared" si="81"/>
        <v>0</v>
      </c>
      <c r="AL215" s="2">
        <f t="shared" si="82"/>
        <v>0</v>
      </c>
      <c r="AM215" s="2">
        <f t="shared" si="83"/>
        <v>0</v>
      </c>
    </row>
    <row r="216" spans="1:40" ht="14.25" customHeight="1" outlineLevel="1" x14ac:dyDescent="0.25">
      <c r="A216" t="s">
        <v>16</v>
      </c>
      <c r="B216" s="7" t="str">
        <f t="shared" si="94"/>
        <v xml:space="preserve"> (x)</v>
      </c>
      <c r="C216" s="3">
        <v>3348</v>
      </c>
      <c r="I216" s="45" t="str">
        <f t="shared" si="88"/>
        <v/>
      </c>
      <c r="J216" s="46" t="str">
        <f t="shared" si="89"/>
        <v/>
      </c>
      <c r="K216" s="62">
        <f t="shared" si="90"/>
        <v>0</v>
      </c>
      <c r="L216" s="28" t="s">
        <v>63</v>
      </c>
      <c r="M216" s="12" t="str">
        <f t="shared" si="95"/>
        <v>-</v>
      </c>
      <c r="N216" s="12" t="str">
        <f t="shared" si="84"/>
        <v>-</v>
      </c>
      <c r="O216" s="12"/>
      <c r="Q216" s="62">
        <f t="shared" si="91"/>
        <v>0</v>
      </c>
      <c r="R216" s="28" t="s">
        <v>63</v>
      </c>
      <c r="S216" s="12" t="str">
        <f t="shared" si="96"/>
        <v>-</v>
      </c>
      <c r="T216" s="12" t="str">
        <f t="shared" si="85"/>
        <v>-</v>
      </c>
      <c r="U216" s="12"/>
      <c r="V216" s="12"/>
      <c r="W216" s="62">
        <f t="shared" si="92"/>
        <v>0</v>
      </c>
      <c r="X216" s="28" t="s">
        <v>63</v>
      </c>
      <c r="Y216" s="12" t="str">
        <f t="shared" si="97"/>
        <v>-</v>
      </c>
      <c r="Z216" s="12" t="str">
        <f t="shared" si="86"/>
        <v>-</v>
      </c>
      <c r="AA216" s="12"/>
      <c r="AB216" s="64"/>
      <c r="AC216" s="62">
        <f t="shared" si="93"/>
        <v>0</v>
      </c>
      <c r="AD216" s="28" t="s">
        <v>63</v>
      </c>
      <c r="AE216" s="12" t="str">
        <f t="shared" si="98"/>
        <v>-</v>
      </c>
      <c r="AF216" s="12" t="str">
        <f t="shared" si="87"/>
        <v>-</v>
      </c>
      <c r="AG216" s="12"/>
      <c r="AH216" s="17"/>
      <c r="AI216" s="17"/>
      <c r="AJ216" s="2">
        <f t="shared" si="80"/>
        <v>0</v>
      </c>
      <c r="AK216" s="2">
        <f t="shared" si="81"/>
        <v>0</v>
      </c>
      <c r="AL216" s="2">
        <f t="shared" si="82"/>
        <v>0</v>
      </c>
      <c r="AM216" s="2">
        <f t="shared" si="83"/>
        <v>0</v>
      </c>
    </row>
    <row r="217" spans="1:40" ht="14.25" customHeight="1" outlineLevel="1" x14ac:dyDescent="0.25">
      <c r="A217" t="s">
        <v>16</v>
      </c>
      <c r="B217" s="7" t="str">
        <f t="shared" si="94"/>
        <v xml:space="preserve"> (x)</v>
      </c>
      <c r="C217" s="3">
        <v>3349</v>
      </c>
      <c r="I217" s="45" t="str">
        <f t="shared" si="88"/>
        <v/>
      </c>
      <c r="J217" s="46" t="str">
        <f t="shared" si="89"/>
        <v/>
      </c>
      <c r="K217" s="62">
        <f t="shared" si="90"/>
        <v>0</v>
      </c>
      <c r="L217" s="28" t="s">
        <v>63</v>
      </c>
      <c r="M217" s="12" t="str">
        <f t="shared" si="95"/>
        <v>-</v>
      </c>
      <c r="N217" s="12" t="str">
        <f t="shared" si="84"/>
        <v>-</v>
      </c>
      <c r="O217" s="12"/>
      <c r="Q217" s="62">
        <f t="shared" si="91"/>
        <v>0</v>
      </c>
      <c r="R217" s="28" t="s">
        <v>63</v>
      </c>
      <c r="S217" s="12" t="str">
        <f t="shared" si="96"/>
        <v>-</v>
      </c>
      <c r="T217" s="12" t="str">
        <f t="shared" si="85"/>
        <v>-</v>
      </c>
      <c r="U217" s="12"/>
      <c r="V217" s="12"/>
      <c r="W217" s="62">
        <f t="shared" si="92"/>
        <v>0</v>
      </c>
      <c r="X217" s="28" t="s">
        <v>63</v>
      </c>
      <c r="Y217" s="12" t="str">
        <f t="shared" si="97"/>
        <v>-</v>
      </c>
      <c r="Z217" s="12" t="str">
        <f t="shared" si="86"/>
        <v>-</v>
      </c>
      <c r="AA217" s="12"/>
      <c r="AB217" s="64"/>
      <c r="AC217" s="62">
        <f t="shared" si="93"/>
        <v>0</v>
      </c>
      <c r="AD217" s="28" t="s">
        <v>63</v>
      </c>
      <c r="AE217" s="12" t="str">
        <f t="shared" si="98"/>
        <v>-</v>
      </c>
      <c r="AF217" s="12" t="str">
        <f t="shared" si="87"/>
        <v>-</v>
      </c>
      <c r="AG217" s="12"/>
      <c r="AH217" s="17"/>
      <c r="AI217" s="17"/>
      <c r="AJ217" s="2">
        <f t="shared" si="80"/>
        <v>0</v>
      </c>
      <c r="AK217" s="2">
        <f t="shared" si="81"/>
        <v>0</v>
      </c>
      <c r="AL217" s="2">
        <f t="shared" si="82"/>
        <v>0</v>
      </c>
      <c r="AM217" s="2">
        <f t="shared" si="83"/>
        <v>0</v>
      </c>
    </row>
    <row r="218" spans="1:40" ht="14.25" customHeight="1" outlineLevel="1" x14ac:dyDescent="0.25">
      <c r="A218" t="s">
        <v>16</v>
      </c>
      <c r="B218" s="7" t="str">
        <f t="shared" si="94"/>
        <v xml:space="preserve"> (x)</v>
      </c>
      <c r="C218" s="3">
        <v>3350</v>
      </c>
      <c r="I218" s="45" t="str">
        <f t="shared" si="88"/>
        <v/>
      </c>
      <c r="J218" s="46" t="str">
        <f t="shared" si="89"/>
        <v/>
      </c>
      <c r="K218" s="62">
        <f t="shared" si="90"/>
        <v>0</v>
      </c>
      <c r="L218" s="28" t="s">
        <v>63</v>
      </c>
      <c r="M218" s="12" t="str">
        <f t="shared" si="95"/>
        <v>-</v>
      </c>
      <c r="N218" s="12" t="str">
        <f t="shared" si="84"/>
        <v>-</v>
      </c>
      <c r="O218" s="12"/>
      <c r="Q218" s="62">
        <f t="shared" si="91"/>
        <v>0</v>
      </c>
      <c r="R218" s="28" t="s">
        <v>63</v>
      </c>
      <c r="S218" s="12" t="str">
        <f t="shared" si="96"/>
        <v>-</v>
      </c>
      <c r="T218" s="12" t="str">
        <f t="shared" si="85"/>
        <v>-</v>
      </c>
      <c r="U218" s="12"/>
      <c r="V218" s="12"/>
      <c r="W218" s="62">
        <f t="shared" si="92"/>
        <v>0</v>
      </c>
      <c r="X218" s="28" t="s">
        <v>63</v>
      </c>
      <c r="Y218" s="12" t="str">
        <f t="shared" si="97"/>
        <v>-</v>
      </c>
      <c r="Z218" s="12" t="str">
        <f t="shared" si="86"/>
        <v>-</v>
      </c>
      <c r="AA218" s="12"/>
      <c r="AB218" s="64"/>
      <c r="AC218" s="62">
        <f t="shared" si="93"/>
        <v>0</v>
      </c>
      <c r="AD218" s="28" t="s">
        <v>63</v>
      </c>
      <c r="AE218" s="12" t="str">
        <f t="shared" si="98"/>
        <v>-</v>
      </c>
      <c r="AF218" s="12" t="str">
        <f t="shared" si="87"/>
        <v>-</v>
      </c>
      <c r="AG218" s="12"/>
      <c r="AH218" s="17"/>
      <c r="AI218" s="17"/>
      <c r="AJ218" s="2">
        <f t="shared" si="80"/>
        <v>0</v>
      </c>
      <c r="AK218" s="2">
        <f t="shared" si="81"/>
        <v>0</v>
      </c>
      <c r="AL218" s="2">
        <f t="shared" si="82"/>
        <v>0</v>
      </c>
      <c r="AM218" s="2">
        <f t="shared" si="83"/>
        <v>0</v>
      </c>
    </row>
    <row r="219" spans="1:40" outlineLevel="1" x14ac:dyDescent="0.25">
      <c r="A219" t="s">
        <v>16</v>
      </c>
      <c r="B219" s="6" t="str">
        <f>IF(OR(E219="-",F219="-"),"-",D219&amp;" ("&amp;E219&amp;"x"&amp;F219&amp;")")</f>
        <v>Rücken (662x412)</v>
      </c>
      <c r="C219" s="3" t="s">
        <v>26</v>
      </c>
      <c r="D219" s="6" t="s">
        <v>16</v>
      </c>
      <c r="E219">
        <v>662</v>
      </c>
      <c r="F219">
        <v>412</v>
      </c>
      <c r="G219">
        <v>720</v>
      </c>
      <c r="H219">
        <v>420</v>
      </c>
      <c r="I219" s="45">
        <f t="shared" si="88"/>
        <v>0.27274400000000004</v>
      </c>
      <c r="J219" s="46">
        <f t="shared" si="89"/>
        <v>2.1480000000000001</v>
      </c>
      <c r="K219" s="62">
        <f t="shared" si="90"/>
        <v>0</v>
      </c>
      <c r="L219" s="28" t="s">
        <v>63</v>
      </c>
      <c r="M219" s="12" t="str">
        <f t="shared" si="95"/>
        <v>-</v>
      </c>
      <c r="N219" s="12" t="str">
        <f t="shared" si="84"/>
        <v>-</v>
      </c>
      <c r="O219" s="30" t="s">
        <v>73</v>
      </c>
      <c r="Q219" s="62">
        <f t="shared" si="91"/>
        <v>0</v>
      </c>
      <c r="R219" s="28" t="s">
        <v>63</v>
      </c>
      <c r="S219" s="12" t="str">
        <f t="shared" si="96"/>
        <v>-</v>
      </c>
      <c r="T219" s="12" t="str">
        <f t="shared" si="85"/>
        <v>-</v>
      </c>
      <c r="U219" s="30" t="s">
        <v>73</v>
      </c>
      <c r="V219" s="30"/>
      <c r="W219" s="62">
        <f t="shared" si="92"/>
        <v>0</v>
      </c>
      <c r="X219" s="28" t="s">
        <v>63</v>
      </c>
      <c r="Y219" s="12" t="str">
        <f t="shared" si="97"/>
        <v>-</v>
      </c>
      <c r="Z219" s="12" t="str">
        <f t="shared" si="86"/>
        <v>-</v>
      </c>
      <c r="AA219" s="30" t="s">
        <v>73</v>
      </c>
      <c r="AB219" s="64"/>
      <c r="AC219" s="62">
        <f t="shared" si="93"/>
        <v>0</v>
      </c>
      <c r="AD219" s="28" t="s">
        <v>63</v>
      </c>
      <c r="AE219" s="12" t="str">
        <f t="shared" si="98"/>
        <v>-</v>
      </c>
      <c r="AF219" s="12" t="str">
        <f t="shared" si="87"/>
        <v>-</v>
      </c>
      <c r="AG219" s="30" t="s">
        <v>73</v>
      </c>
      <c r="AH219" s="17"/>
      <c r="AI219" s="17"/>
      <c r="AJ219" s="2">
        <f t="shared" si="80"/>
        <v>0</v>
      </c>
      <c r="AK219" s="2">
        <f t="shared" si="81"/>
        <v>0</v>
      </c>
      <c r="AL219" s="2">
        <f t="shared" si="82"/>
        <v>0</v>
      </c>
      <c r="AM219" s="2">
        <f t="shared" si="83"/>
        <v>0</v>
      </c>
    </row>
    <row r="220" spans="1:40" outlineLevel="1" x14ac:dyDescent="0.25">
      <c r="A220" t="s">
        <v>16</v>
      </c>
      <c r="B220" s="6" t="str">
        <f>IF(OR(E220="-",F220="-"),"-",D220&amp;" ("&amp;E220&amp;"x"&amp;F220&amp;")")</f>
        <v>Rücken (780x660)</v>
      </c>
      <c r="C220" s="3" t="s">
        <v>17</v>
      </c>
      <c r="D220" s="6" t="s">
        <v>16</v>
      </c>
      <c r="E220">
        <v>780</v>
      </c>
      <c r="F220">
        <v>660</v>
      </c>
      <c r="G220">
        <v>780</v>
      </c>
      <c r="H220">
        <v>720</v>
      </c>
      <c r="I220" s="45">
        <f t="shared" si="88"/>
        <v>0.51480000000000004</v>
      </c>
      <c r="J220" s="46">
        <f t="shared" si="89"/>
        <v>2.88</v>
      </c>
      <c r="K220" s="62">
        <f t="shared" si="90"/>
        <v>0</v>
      </c>
      <c r="L220" s="28" t="s">
        <v>63</v>
      </c>
      <c r="M220" s="12" t="str">
        <f t="shared" si="95"/>
        <v>-</v>
      </c>
      <c r="N220" s="12" t="str">
        <f t="shared" si="84"/>
        <v>-</v>
      </c>
      <c r="O220" s="30" t="s">
        <v>73</v>
      </c>
      <c r="Q220" s="62">
        <f t="shared" si="91"/>
        <v>0</v>
      </c>
      <c r="R220" s="28" t="s">
        <v>63</v>
      </c>
      <c r="S220" s="12" t="str">
        <f t="shared" si="96"/>
        <v>-</v>
      </c>
      <c r="T220" s="12" t="str">
        <f t="shared" si="85"/>
        <v>-</v>
      </c>
      <c r="U220" s="30" t="s">
        <v>73</v>
      </c>
      <c r="V220" s="30"/>
      <c r="W220" s="62">
        <f t="shared" si="92"/>
        <v>0</v>
      </c>
      <c r="X220" s="28" t="s">
        <v>63</v>
      </c>
      <c r="Y220" s="12" t="str">
        <f t="shared" si="97"/>
        <v>-</v>
      </c>
      <c r="Z220" s="12" t="str">
        <f t="shared" si="86"/>
        <v>-</v>
      </c>
      <c r="AA220" s="30" t="s">
        <v>73</v>
      </c>
      <c r="AB220" s="64"/>
      <c r="AC220" s="62">
        <f t="shared" si="93"/>
        <v>0</v>
      </c>
      <c r="AD220" s="28" t="s">
        <v>63</v>
      </c>
      <c r="AE220" s="12" t="str">
        <f t="shared" si="98"/>
        <v>-</v>
      </c>
      <c r="AF220" s="12" t="str">
        <f t="shared" si="87"/>
        <v>-</v>
      </c>
      <c r="AG220" s="30" t="s">
        <v>73</v>
      </c>
      <c r="AH220" s="17"/>
      <c r="AI220" s="17"/>
      <c r="AJ220" s="2">
        <f t="shared" si="80"/>
        <v>0</v>
      </c>
      <c r="AK220" s="2">
        <f t="shared" si="81"/>
        <v>0</v>
      </c>
      <c r="AL220" s="2">
        <f t="shared" si="82"/>
        <v>0</v>
      </c>
      <c r="AM220" s="2">
        <f t="shared" si="83"/>
        <v>0</v>
      </c>
    </row>
    <row r="221" spans="1:40" outlineLevel="1" x14ac:dyDescent="0.25">
      <c r="A221" t="s">
        <v>16</v>
      </c>
      <c r="B221" s="6" t="str">
        <f>IF(OR(E221="-",F221="-"),"-",D221&amp;" ("&amp;E221&amp;"x"&amp;F221&amp;")")</f>
        <v>Rücken (580x660)</v>
      </c>
      <c r="C221" s="3" t="s">
        <v>5</v>
      </c>
      <c r="D221" s="6" t="s">
        <v>16</v>
      </c>
      <c r="E221">
        <v>580</v>
      </c>
      <c r="F221">
        <v>660</v>
      </c>
      <c r="I221" s="45">
        <f t="shared" si="88"/>
        <v>0.38279999999999997</v>
      </c>
      <c r="J221" s="46">
        <f t="shared" si="89"/>
        <v>2.48</v>
      </c>
      <c r="K221" s="62">
        <f t="shared" si="90"/>
        <v>0</v>
      </c>
      <c r="L221" s="28" t="s">
        <v>63</v>
      </c>
      <c r="M221" s="12" t="str">
        <f t="shared" si="95"/>
        <v>-</v>
      </c>
      <c r="N221" s="12" t="str">
        <f t="shared" si="84"/>
        <v>-</v>
      </c>
      <c r="O221" s="30" t="s">
        <v>73</v>
      </c>
      <c r="Q221" s="62">
        <f t="shared" si="91"/>
        <v>0</v>
      </c>
      <c r="R221" s="28" t="s">
        <v>63</v>
      </c>
      <c r="S221" s="12" t="str">
        <f t="shared" si="96"/>
        <v>-</v>
      </c>
      <c r="T221" s="12" t="str">
        <f t="shared" si="85"/>
        <v>-</v>
      </c>
      <c r="U221" s="30" t="s">
        <v>73</v>
      </c>
      <c r="V221" s="30"/>
      <c r="W221" s="62">
        <f t="shared" si="92"/>
        <v>0</v>
      </c>
      <c r="X221" s="28" t="s">
        <v>63</v>
      </c>
      <c r="Y221" s="12" t="str">
        <f t="shared" si="97"/>
        <v>-</v>
      </c>
      <c r="Z221" s="12" t="str">
        <f t="shared" si="86"/>
        <v>-</v>
      </c>
      <c r="AA221" s="30" t="s">
        <v>73</v>
      </c>
      <c r="AB221" s="64"/>
      <c r="AC221" s="62">
        <f t="shared" si="93"/>
        <v>0</v>
      </c>
      <c r="AD221" s="28" t="s">
        <v>63</v>
      </c>
      <c r="AE221" s="12" t="str">
        <f t="shared" si="98"/>
        <v>-</v>
      </c>
      <c r="AF221" s="12" t="str">
        <f t="shared" si="87"/>
        <v>-</v>
      </c>
      <c r="AG221" s="30" t="s">
        <v>73</v>
      </c>
      <c r="AH221" s="17"/>
      <c r="AI221" s="17"/>
      <c r="AJ221" s="2">
        <f t="shared" si="80"/>
        <v>0</v>
      </c>
      <c r="AK221" s="2">
        <f t="shared" si="81"/>
        <v>0</v>
      </c>
      <c r="AL221" s="2">
        <f t="shared" si="82"/>
        <v>0</v>
      </c>
      <c r="AM221" s="2">
        <f t="shared" si="83"/>
        <v>0</v>
      </c>
    </row>
    <row r="222" spans="1:40" s="14" customFormat="1" x14ac:dyDescent="0.25">
      <c r="A222" s="32"/>
      <c r="B222" s="5" t="s">
        <v>47</v>
      </c>
      <c r="C222" s="5"/>
      <c r="D222" s="5"/>
      <c r="E222" s="5"/>
      <c r="F222" s="5"/>
      <c r="G222" s="5"/>
      <c r="H222" s="5"/>
      <c r="I222" s="44" t="str">
        <f t="shared" si="88"/>
        <v/>
      </c>
      <c r="J222" s="44" t="str">
        <f t="shared" si="89"/>
        <v/>
      </c>
      <c r="K222" s="62">
        <f t="shared" si="90"/>
        <v>0</v>
      </c>
      <c r="L222" s="11" t="s">
        <v>63</v>
      </c>
      <c r="M222" s="15">
        <f>AVERAGE(M223:M273)</f>
        <v>0.46222078134635547</v>
      </c>
      <c r="N222" s="15" t="str">
        <f t="shared" si="84"/>
        <v>-</v>
      </c>
      <c r="O222" s="15"/>
      <c r="P222" s="17"/>
      <c r="Q222" s="62">
        <f t="shared" si="91"/>
        <v>0</v>
      </c>
      <c r="R222" s="11" t="s">
        <v>63</v>
      </c>
      <c r="S222" s="15">
        <f>AVERAGE(S223:S273)</f>
        <v>0.46734587043743858</v>
      </c>
      <c r="T222" s="15" t="str">
        <f t="shared" si="85"/>
        <v>-</v>
      </c>
      <c r="U222" s="15"/>
      <c r="V222" s="15"/>
      <c r="W222" s="62">
        <f t="shared" si="92"/>
        <v>10</v>
      </c>
      <c r="X222" s="11">
        <v>0</v>
      </c>
      <c r="Y222" s="15">
        <f>AVERAGE(Y223:Y273)</f>
        <v>0.41036969249366068</v>
      </c>
      <c r="Z222" s="15">
        <f t="shared" si="86"/>
        <v>10</v>
      </c>
      <c r="AA222" s="15"/>
      <c r="AB222" s="64"/>
      <c r="AC222" s="62">
        <f t="shared" si="93"/>
        <v>0</v>
      </c>
      <c r="AD222" s="11" t="s">
        <v>68</v>
      </c>
      <c r="AE222" s="15">
        <f>AVERAGE(AE223:AE273)</f>
        <v>0.40535355530649686</v>
      </c>
      <c r="AF222" s="15" t="str">
        <f t="shared" si="87"/>
        <v>-</v>
      </c>
      <c r="AG222" s="15"/>
      <c r="AH222" s="17"/>
      <c r="AI222" s="63"/>
      <c r="AJ222" s="4">
        <f t="shared" si="80"/>
        <v>0</v>
      </c>
      <c r="AK222" s="4">
        <f t="shared" si="81"/>
        <v>0</v>
      </c>
      <c r="AL222" s="4">
        <f t="shared" si="82"/>
        <v>0</v>
      </c>
      <c r="AM222" s="4">
        <f t="shared" si="83"/>
        <v>11</v>
      </c>
      <c r="AN222" s="32"/>
    </row>
    <row r="223" spans="1:40" outlineLevel="1" x14ac:dyDescent="0.25">
      <c r="A223" t="s">
        <v>35</v>
      </c>
      <c r="B223" s="7" t="str">
        <f t="shared" ref="B223:B288" si="100">IF(OR(E223="-",F223="-"),"-",D223&amp;" ("&amp;E223&amp;"x"&amp;F223&amp;")")</f>
        <v>Seite innen (360x180)</v>
      </c>
      <c r="C223">
        <v>3500</v>
      </c>
      <c r="D223" s="7" t="s">
        <v>47</v>
      </c>
      <c r="E223">
        <v>360</v>
      </c>
      <c r="F223">
        <v>180</v>
      </c>
      <c r="I223" s="45">
        <f t="shared" si="88"/>
        <v>0.12959999999999999</v>
      </c>
      <c r="J223" s="46">
        <f t="shared" si="89"/>
        <v>1.44</v>
      </c>
      <c r="K223" s="62">
        <f t="shared" si="90"/>
        <v>34</v>
      </c>
      <c r="L223" s="28">
        <v>18</v>
      </c>
      <c r="M223" s="13">
        <f t="shared" ref="M223:M254" si="101">IFERROR(K223/L223-1,"-")</f>
        <v>0.88888888888888884</v>
      </c>
      <c r="N223" s="12">
        <f t="shared" si="84"/>
        <v>16</v>
      </c>
      <c r="O223" s="30" t="s">
        <v>72</v>
      </c>
      <c r="Q223" s="62">
        <f t="shared" si="91"/>
        <v>114</v>
      </c>
      <c r="R223" s="28">
        <v>70</v>
      </c>
      <c r="S223" s="13">
        <f t="shared" ref="S223:S254" si="102">IFERROR(Q223/R223-1,"-")</f>
        <v>0.62857142857142856</v>
      </c>
      <c r="T223" s="12">
        <f t="shared" si="85"/>
        <v>44</v>
      </c>
      <c r="U223" s="30" t="s">
        <v>72</v>
      </c>
      <c r="V223" s="30"/>
      <c r="W223" s="62">
        <f t="shared" si="92"/>
        <v>89</v>
      </c>
      <c r="X223" s="28">
        <v>59</v>
      </c>
      <c r="Y223" s="13">
        <f t="shared" ref="Y223:Y254" si="103">IFERROR(W223/X223-1,"-")</f>
        <v>0.50847457627118642</v>
      </c>
      <c r="Z223" s="12">
        <f t="shared" si="86"/>
        <v>30</v>
      </c>
      <c r="AA223" s="30" t="s">
        <v>72</v>
      </c>
      <c r="AB223" s="64"/>
      <c r="AC223" s="62">
        <f t="shared" si="93"/>
        <v>201</v>
      </c>
      <c r="AD223" s="28">
        <v>142</v>
      </c>
      <c r="AE223" s="13">
        <f t="shared" ref="AE223:AE254" si="104">IFERROR(AC223/AD223-1,"-")</f>
        <v>0.41549295774647876</v>
      </c>
      <c r="AF223" s="12">
        <f t="shared" si="87"/>
        <v>59</v>
      </c>
      <c r="AG223" s="30" t="s">
        <v>72</v>
      </c>
      <c r="AH223" s="17"/>
      <c r="AI223" s="16"/>
      <c r="AJ223" s="2">
        <f t="shared" si="80"/>
        <v>37</v>
      </c>
      <c r="AK223" s="2">
        <f t="shared" si="81"/>
        <v>125</v>
      </c>
      <c r="AL223" s="2">
        <f t="shared" si="82"/>
        <v>221</v>
      </c>
      <c r="AM223" s="2">
        <f t="shared" si="83"/>
        <v>98</v>
      </c>
    </row>
    <row r="224" spans="1:40" outlineLevel="1" x14ac:dyDescent="0.25">
      <c r="A224" t="s">
        <v>35</v>
      </c>
      <c r="B224" s="7" t="str">
        <f t="shared" si="100"/>
        <v>Seite innen (360x360)</v>
      </c>
      <c r="C224">
        <v>3501</v>
      </c>
      <c r="D224" s="7" t="s">
        <v>47</v>
      </c>
      <c r="E224">
        <v>360</v>
      </c>
      <c r="F224">
        <v>360</v>
      </c>
      <c r="I224" s="45">
        <f t="shared" si="88"/>
        <v>0.12959999999999999</v>
      </c>
      <c r="J224" s="46">
        <f t="shared" si="89"/>
        <v>1.44</v>
      </c>
      <c r="K224" s="62">
        <f t="shared" si="90"/>
        <v>34</v>
      </c>
      <c r="L224" s="28">
        <v>18</v>
      </c>
      <c r="M224" s="13">
        <f t="shared" si="101"/>
        <v>0.88888888888888884</v>
      </c>
      <c r="N224" s="12">
        <f t="shared" si="84"/>
        <v>16</v>
      </c>
      <c r="O224" s="30" t="s">
        <v>72</v>
      </c>
      <c r="Q224" s="62">
        <f t="shared" si="91"/>
        <v>114</v>
      </c>
      <c r="R224" s="28">
        <v>70</v>
      </c>
      <c r="S224" s="13">
        <f t="shared" si="102"/>
        <v>0.62857142857142856</v>
      </c>
      <c r="T224" s="12">
        <f t="shared" si="85"/>
        <v>44</v>
      </c>
      <c r="U224" s="30" t="s">
        <v>72</v>
      </c>
      <c r="V224" s="30"/>
      <c r="W224" s="62">
        <f t="shared" si="92"/>
        <v>89</v>
      </c>
      <c r="X224" s="28">
        <v>59</v>
      </c>
      <c r="Y224" s="13">
        <f t="shared" si="103"/>
        <v>0.50847457627118642</v>
      </c>
      <c r="Z224" s="12">
        <f t="shared" si="86"/>
        <v>30</v>
      </c>
      <c r="AA224" s="30" t="s">
        <v>72</v>
      </c>
      <c r="AB224" s="64"/>
      <c r="AC224" s="62">
        <f t="shared" si="93"/>
        <v>177</v>
      </c>
      <c r="AD224" s="28">
        <v>124</v>
      </c>
      <c r="AE224" s="13">
        <f t="shared" si="104"/>
        <v>0.42741935483870974</v>
      </c>
      <c r="AF224" s="12">
        <f t="shared" si="87"/>
        <v>53</v>
      </c>
      <c r="AG224" s="30" t="s">
        <v>72</v>
      </c>
      <c r="AH224" s="17"/>
      <c r="AI224" s="16"/>
      <c r="AJ224" s="2">
        <f t="shared" si="80"/>
        <v>37</v>
      </c>
      <c r="AK224" s="2">
        <f t="shared" si="81"/>
        <v>125</v>
      </c>
      <c r="AL224" s="2">
        <f t="shared" si="82"/>
        <v>195</v>
      </c>
      <c r="AM224" s="2">
        <f t="shared" si="83"/>
        <v>98</v>
      </c>
    </row>
    <row r="225" spans="1:39" outlineLevel="1" x14ac:dyDescent="0.25">
      <c r="A225" t="s">
        <v>35</v>
      </c>
      <c r="B225" s="7" t="str">
        <f t="shared" si="100"/>
        <v>Seite innen (360x720)</v>
      </c>
      <c r="C225">
        <v>3502</v>
      </c>
      <c r="D225" s="7" t="s">
        <v>47</v>
      </c>
      <c r="E225">
        <v>360</v>
      </c>
      <c r="F225">
        <v>720</v>
      </c>
      <c r="I225" s="45">
        <f t="shared" si="88"/>
        <v>0.25919999999999999</v>
      </c>
      <c r="J225" s="46">
        <f t="shared" si="89"/>
        <v>2.16</v>
      </c>
      <c r="K225" s="62">
        <f t="shared" si="90"/>
        <v>52</v>
      </c>
      <c r="L225" s="28">
        <v>35</v>
      </c>
      <c r="M225" s="13">
        <f t="shared" si="101"/>
        <v>0.48571428571428577</v>
      </c>
      <c r="N225" s="12">
        <f t="shared" si="84"/>
        <v>17</v>
      </c>
      <c r="O225" s="30" t="s">
        <v>72</v>
      </c>
      <c r="Q225" s="62">
        <f t="shared" si="91"/>
        <v>181</v>
      </c>
      <c r="R225" s="28">
        <v>120</v>
      </c>
      <c r="S225" s="13">
        <f t="shared" si="102"/>
        <v>0.5083333333333333</v>
      </c>
      <c r="T225" s="12">
        <f t="shared" si="85"/>
        <v>61</v>
      </c>
      <c r="U225" s="30" t="s">
        <v>72</v>
      </c>
      <c r="V225" s="30"/>
      <c r="W225" s="62">
        <f t="shared" si="92"/>
        <v>143</v>
      </c>
      <c r="X225" s="28">
        <v>99</v>
      </c>
      <c r="Y225" s="13">
        <f t="shared" si="103"/>
        <v>0.44444444444444442</v>
      </c>
      <c r="Z225" s="12">
        <f t="shared" si="86"/>
        <v>44</v>
      </c>
      <c r="AA225" s="30" t="s">
        <v>72</v>
      </c>
      <c r="AB225" s="64"/>
      <c r="AC225" s="62">
        <f t="shared" si="93"/>
        <v>212</v>
      </c>
      <c r="AD225" s="28">
        <v>150</v>
      </c>
      <c r="AE225" s="13">
        <f t="shared" si="104"/>
        <v>0.41333333333333333</v>
      </c>
      <c r="AF225" s="12">
        <f t="shared" si="87"/>
        <v>62</v>
      </c>
      <c r="AG225" s="30" t="s">
        <v>72</v>
      </c>
      <c r="AH225" s="17"/>
      <c r="AI225" s="16"/>
      <c r="AJ225" s="2">
        <f t="shared" si="80"/>
        <v>57</v>
      </c>
      <c r="AK225" s="2">
        <f t="shared" si="81"/>
        <v>199</v>
      </c>
      <c r="AL225" s="2">
        <f t="shared" si="82"/>
        <v>233</v>
      </c>
      <c r="AM225" s="2">
        <f t="shared" si="83"/>
        <v>157</v>
      </c>
    </row>
    <row r="226" spans="1:39" outlineLevel="1" x14ac:dyDescent="0.25">
      <c r="A226" t="s">
        <v>35</v>
      </c>
      <c r="B226" s="7" t="str">
        <f t="shared" si="100"/>
        <v>Seite innen (360x1080)</v>
      </c>
      <c r="C226">
        <v>3503</v>
      </c>
      <c r="D226" s="7" t="s">
        <v>47</v>
      </c>
      <c r="E226">
        <v>360</v>
      </c>
      <c r="F226">
        <v>1080</v>
      </c>
      <c r="I226" s="45">
        <f t="shared" si="88"/>
        <v>0.38880000000000003</v>
      </c>
      <c r="J226" s="46">
        <f t="shared" si="89"/>
        <v>2.88</v>
      </c>
      <c r="K226" s="62">
        <f t="shared" si="90"/>
        <v>76</v>
      </c>
      <c r="L226" s="28">
        <v>53</v>
      </c>
      <c r="M226" s="13">
        <f t="shared" si="101"/>
        <v>0.4339622641509433</v>
      </c>
      <c r="N226" s="12">
        <f t="shared" si="84"/>
        <v>23</v>
      </c>
      <c r="O226" s="30" t="s">
        <v>72</v>
      </c>
      <c r="Q226" s="62">
        <f t="shared" si="91"/>
        <v>267</v>
      </c>
      <c r="R226" s="28">
        <v>184</v>
      </c>
      <c r="S226" s="13">
        <f t="shared" si="102"/>
        <v>0.45108695652173902</v>
      </c>
      <c r="T226" s="12">
        <f t="shared" si="85"/>
        <v>83</v>
      </c>
      <c r="U226" s="30" t="s">
        <v>72</v>
      </c>
      <c r="V226" s="30"/>
      <c r="W226" s="62">
        <f t="shared" si="92"/>
        <v>222</v>
      </c>
      <c r="X226" s="28">
        <v>158</v>
      </c>
      <c r="Y226" s="13">
        <f t="shared" si="103"/>
        <v>0.40506329113924044</v>
      </c>
      <c r="Z226" s="12">
        <f t="shared" si="86"/>
        <v>64</v>
      </c>
      <c r="AA226" s="30" t="s">
        <v>72</v>
      </c>
      <c r="AB226" s="64"/>
      <c r="AC226" s="62">
        <f t="shared" si="93"/>
        <v>240</v>
      </c>
      <c r="AD226" s="28">
        <v>171</v>
      </c>
      <c r="AE226" s="13">
        <f t="shared" si="104"/>
        <v>0.40350877192982448</v>
      </c>
      <c r="AF226" s="12">
        <f t="shared" si="87"/>
        <v>69</v>
      </c>
      <c r="AG226" s="30" t="s">
        <v>72</v>
      </c>
      <c r="AH226" s="17"/>
      <c r="AI226" s="16"/>
      <c r="AJ226" s="2">
        <f t="shared" si="80"/>
        <v>84</v>
      </c>
      <c r="AK226" s="2">
        <f t="shared" si="81"/>
        <v>294</v>
      </c>
      <c r="AL226" s="2">
        <f t="shared" si="82"/>
        <v>264</v>
      </c>
      <c r="AM226" s="2">
        <f t="shared" si="83"/>
        <v>244</v>
      </c>
    </row>
    <row r="227" spans="1:39" outlineLevel="1" x14ac:dyDescent="0.25">
      <c r="A227" t="s">
        <v>35</v>
      </c>
      <c r="B227" s="7" t="str">
        <f t="shared" si="100"/>
        <v>Seite innen (360x1440)</v>
      </c>
      <c r="C227">
        <v>3504</v>
      </c>
      <c r="D227" s="7" t="s">
        <v>47</v>
      </c>
      <c r="E227">
        <v>360</v>
      </c>
      <c r="F227">
        <v>1440</v>
      </c>
      <c r="I227" s="45">
        <f t="shared" si="88"/>
        <v>0.51839999999999997</v>
      </c>
      <c r="J227" s="46">
        <f t="shared" si="89"/>
        <v>3.5999999999999996</v>
      </c>
      <c r="K227" s="62">
        <f t="shared" si="90"/>
        <v>100</v>
      </c>
      <c r="L227" s="28">
        <v>71</v>
      </c>
      <c r="M227" s="13">
        <f t="shared" si="101"/>
        <v>0.40845070422535201</v>
      </c>
      <c r="N227" s="12">
        <f t="shared" si="84"/>
        <v>29</v>
      </c>
      <c r="O227" s="30" t="s">
        <v>72</v>
      </c>
      <c r="Q227" s="62">
        <f t="shared" si="91"/>
        <v>336</v>
      </c>
      <c r="R227" s="28">
        <v>235</v>
      </c>
      <c r="S227" s="13">
        <f t="shared" si="102"/>
        <v>0.42978723404255326</v>
      </c>
      <c r="T227" s="12">
        <f t="shared" si="85"/>
        <v>101</v>
      </c>
      <c r="U227" s="30" t="s">
        <v>72</v>
      </c>
      <c r="V227" s="30"/>
      <c r="W227" s="62">
        <f t="shared" si="92"/>
        <v>281</v>
      </c>
      <c r="X227" s="28">
        <v>202</v>
      </c>
      <c r="Y227" s="13">
        <f t="shared" si="103"/>
        <v>0.39108910891089099</v>
      </c>
      <c r="Z227" s="12">
        <f t="shared" si="86"/>
        <v>79</v>
      </c>
      <c r="AA227" s="30" t="s">
        <v>72</v>
      </c>
      <c r="AB227" s="64"/>
      <c r="AC227" s="62">
        <f t="shared" si="93"/>
        <v>529</v>
      </c>
      <c r="AD227" s="28" t="s">
        <v>63</v>
      </c>
      <c r="AE227" s="13" t="str">
        <f t="shared" si="104"/>
        <v>-</v>
      </c>
      <c r="AF227" s="12" t="str">
        <f t="shared" si="87"/>
        <v>-</v>
      </c>
      <c r="AG227" s="30" t="s">
        <v>72</v>
      </c>
      <c r="AH227" s="17"/>
      <c r="AI227" s="16"/>
      <c r="AJ227" s="2">
        <f t="shared" si="80"/>
        <v>110</v>
      </c>
      <c r="AK227" s="2">
        <f t="shared" si="81"/>
        <v>370</v>
      </c>
      <c r="AL227" s="2">
        <f t="shared" si="82"/>
        <v>582</v>
      </c>
      <c r="AM227" s="2">
        <f t="shared" si="83"/>
        <v>309</v>
      </c>
    </row>
    <row r="228" spans="1:39" outlineLevel="1" x14ac:dyDescent="0.25">
      <c r="A228" t="s">
        <v>35</v>
      </c>
      <c r="B228" s="7" t="str">
        <f t="shared" si="100"/>
        <v>Seite innen (360x1800)</v>
      </c>
      <c r="C228">
        <v>3505</v>
      </c>
      <c r="D228" s="7" t="s">
        <v>47</v>
      </c>
      <c r="E228">
        <v>360</v>
      </c>
      <c r="F228">
        <v>1800</v>
      </c>
      <c r="I228" s="45">
        <f t="shared" si="88"/>
        <v>0.64800000000000002</v>
      </c>
      <c r="J228" s="46">
        <f t="shared" si="89"/>
        <v>4.32</v>
      </c>
      <c r="K228" s="62">
        <f t="shared" si="90"/>
        <v>125</v>
      </c>
      <c r="L228" s="28">
        <v>89</v>
      </c>
      <c r="M228" s="13">
        <f t="shared" si="101"/>
        <v>0.40449438202247201</v>
      </c>
      <c r="N228" s="12">
        <f t="shared" si="84"/>
        <v>36</v>
      </c>
      <c r="O228" s="30" t="s">
        <v>72</v>
      </c>
      <c r="Q228" s="62">
        <f t="shared" si="91"/>
        <v>246</v>
      </c>
      <c r="R228" s="28" t="s">
        <v>63</v>
      </c>
      <c r="S228" s="47"/>
      <c r="T228" s="50"/>
      <c r="U228" s="51"/>
      <c r="V228" s="51"/>
      <c r="W228" s="62">
        <f t="shared" si="92"/>
        <v>343</v>
      </c>
      <c r="X228" s="28">
        <v>248</v>
      </c>
      <c r="Y228" s="13">
        <f t="shared" si="103"/>
        <v>0.38306451612903225</v>
      </c>
      <c r="Z228" s="12">
        <f t="shared" si="86"/>
        <v>95</v>
      </c>
      <c r="AA228" s="30" t="s">
        <v>72</v>
      </c>
      <c r="AB228" s="64"/>
      <c r="AC228" s="62">
        <f t="shared" si="93"/>
        <v>645</v>
      </c>
      <c r="AD228" s="28" t="s">
        <v>63</v>
      </c>
      <c r="AE228" s="13" t="str">
        <f t="shared" si="104"/>
        <v>-</v>
      </c>
      <c r="AF228" s="12" t="str">
        <f t="shared" si="87"/>
        <v>-</v>
      </c>
      <c r="AG228" s="30" t="s">
        <v>72</v>
      </c>
      <c r="AH228" s="17"/>
      <c r="AI228" s="16"/>
      <c r="AJ228" s="2">
        <f t="shared" si="80"/>
        <v>138</v>
      </c>
      <c r="AK228" s="2">
        <f t="shared" si="81"/>
        <v>271</v>
      </c>
      <c r="AL228" s="2">
        <f t="shared" si="82"/>
        <v>710</v>
      </c>
      <c r="AM228" s="2">
        <f t="shared" si="83"/>
        <v>377</v>
      </c>
    </row>
    <row r="229" spans="1:39" outlineLevel="1" x14ac:dyDescent="0.25">
      <c r="A229" t="s">
        <v>35</v>
      </c>
      <c r="B229" s="7" t="str">
        <f t="shared" si="100"/>
        <v>Seite innen (580x180)</v>
      </c>
      <c r="C229">
        <v>3506</v>
      </c>
      <c r="D229" s="7" t="s">
        <v>47</v>
      </c>
      <c r="E229">
        <v>580</v>
      </c>
      <c r="F229">
        <v>180</v>
      </c>
      <c r="I229" s="45">
        <f t="shared" si="88"/>
        <v>0.20879999999999999</v>
      </c>
      <c r="J229" s="46">
        <f t="shared" si="89"/>
        <v>1.88</v>
      </c>
      <c r="K229" s="62">
        <f t="shared" si="90"/>
        <v>43</v>
      </c>
      <c r="L229" s="28">
        <v>28</v>
      </c>
      <c r="M229" s="13">
        <f t="shared" si="101"/>
        <v>0.53571428571428581</v>
      </c>
      <c r="N229" s="12">
        <f t="shared" si="84"/>
        <v>15</v>
      </c>
      <c r="O229" s="30" t="s">
        <v>72</v>
      </c>
      <c r="Q229" s="62">
        <f t="shared" si="91"/>
        <v>161</v>
      </c>
      <c r="R229" s="28">
        <v>105</v>
      </c>
      <c r="S229" s="13">
        <f t="shared" si="102"/>
        <v>0.53333333333333344</v>
      </c>
      <c r="T229" s="12">
        <f t="shared" si="85"/>
        <v>56</v>
      </c>
      <c r="U229" s="30" t="s">
        <v>72</v>
      </c>
      <c r="V229" s="30"/>
      <c r="W229" s="62">
        <f t="shared" si="92"/>
        <v>130</v>
      </c>
      <c r="X229" s="28">
        <v>89</v>
      </c>
      <c r="Y229" s="13">
        <f t="shared" si="103"/>
        <v>0.4606741573033708</v>
      </c>
      <c r="Z229" s="12">
        <f t="shared" si="86"/>
        <v>41</v>
      </c>
      <c r="AA229" s="30" t="s">
        <v>72</v>
      </c>
      <c r="AB229" s="64"/>
      <c r="AC229" s="62">
        <f t="shared" si="93"/>
        <v>208</v>
      </c>
      <c r="AD229" s="28">
        <v>147</v>
      </c>
      <c r="AE229" s="13">
        <f t="shared" si="104"/>
        <v>0.41496598639455784</v>
      </c>
      <c r="AF229" s="12">
        <f t="shared" si="87"/>
        <v>61</v>
      </c>
      <c r="AG229" s="30" t="s">
        <v>72</v>
      </c>
      <c r="AH229" s="17"/>
      <c r="AI229" s="16"/>
      <c r="AJ229" s="2">
        <f t="shared" si="80"/>
        <v>47</v>
      </c>
      <c r="AK229" s="2">
        <f t="shared" si="81"/>
        <v>177</v>
      </c>
      <c r="AL229" s="2">
        <f t="shared" si="82"/>
        <v>229</v>
      </c>
      <c r="AM229" s="2">
        <f t="shared" si="83"/>
        <v>143</v>
      </c>
    </row>
    <row r="230" spans="1:39" outlineLevel="1" x14ac:dyDescent="0.25">
      <c r="A230" t="s">
        <v>35</v>
      </c>
      <c r="B230" s="7" t="str">
        <f t="shared" si="100"/>
        <v>Seite innen (580x360)</v>
      </c>
      <c r="C230">
        <v>3507</v>
      </c>
      <c r="D230" s="7" t="s">
        <v>47</v>
      </c>
      <c r="E230">
        <v>580</v>
      </c>
      <c r="F230">
        <v>360</v>
      </c>
      <c r="I230" s="45">
        <f t="shared" si="88"/>
        <v>0.20879999999999999</v>
      </c>
      <c r="J230" s="46">
        <f t="shared" si="89"/>
        <v>1.88</v>
      </c>
      <c r="K230" s="62">
        <f t="shared" si="90"/>
        <v>43</v>
      </c>
      <c r="L230" s="28">
        <v>28</v>
      </c>
      <c r="M230" s="13">
        <f t="shared" si="101"/>
        <v>0.53571428571428581</v>
      </c>
      <c r="N230" s="12">
        <f t="shared" si="84"/>
        <v>15</v>
      </c>
      <c r="O230" s="30" t="s">
        <v>72</v>
      </c>
      <c r="Q230" s="62">
        <f t="shared" si="91"/>
        <v>161</v>
      </c>
      <c r="R230" s="28">
        <v>105</v>
      </c>
      <c r="S230" s="13">
        <f t="shared" si="102"/>
        <v>0.53333333333333344</v>
      </c>
      <c r="T230" s="12">
        <f t="shared" si="85"/>
        <v>56</v>
      </c>
      <c r="U230" s="30" t="s">
        <v>72</v>
      </c>
      <c r="V230" s="30"/>
      <c r="W230" s="62">
        <f t="shared" si="92"/>
        <v>130</v>
      </c>
      <c r="X230" s="28">
        <v>89</v>
      </c>
      <c r="Y230" s="13">
        <f t="shared" si="103"/>
        <v>0.4606741573033708</v>
      </c>
      <c r="Z230" s="12">
        <f t="shared" si="86"/>
        <v>41</v>
      </c>
      <c r="AA230" s="30" t="s">
        <v>72</v>
      </c>
      <c r="AB230" s="64"/>
      <c r="AC230" s="62">
        <f t="shared" si="93"/>
        <v>185</v>
      </c>
      <c r="AD230" s="28">
        <v>130</v>
      </c>
      <c r="AE230" s="13">
        <f t="shared" si="104"/>
        <v>0.42307692307692313</v>
      </c>
      <c r="AF230" s="12">
        <f t="shared" si="87"/>
        <v>55</v>
      </c>
      <c r="AG230" s="30" t="s">
        <v>72</v>
      </c>
      <c r="AH230" s="17"/>
      <c r="AI230" s="16"/>
      <c r="AJ230" s="2">
        <f t="shared" si="80"/>
        <v>47</v>
      </c>
      <c r="AK230" s="2">
        <f t="shared" si="81"/>
        <v>177</v>
      </c>
      <c r="AL230" s="2">
        <f t="shared" si="82"/>
        <v>204</v>
      </c>
      <c r="AM230" s="2">
        <f t="shared" si="83"/>
        <v>143</v>
      </c>
    </row>
    <row r="231" spans="1:39" outlineLevel="1" x14ac:dyDescent="0.25">
      <c r="A231" t="s">
        <v>35</v>
      </c>
      <c r="B231" s="7" t="str">
        <f t="shared" si="100"/>
        <v>Seite innen (580x720)</v>
      </c>
      <c r="C231">
        <v>3508</v>
      </c>
      <c r="D231" s="7" t="s">
        <v>47</v>
      </c>
      <c r="E231">
        <v>580</v>
      </c>
      <c r="F231">
        <v>720</v>
      </c>
      <c r="I231" s="45">
        <f t="shared" si="88"/>
        <v>0.41759999999999997</v>
      </c>
      <c r="J231" s="46">
        <f t="shared" si="89"/>
        <v>2.5999999999999996</v>
      </c>
      <c r="K231" s="62">
        <f t="shared" si="90"/>
        <v>82</v>
      </c>
      <c r="L231" s="28">
        <v>57</v>
      </c>
      <c r="M231" s="13">
        <f t="shared" si="101"/>
        <v>0.43859649122807021</v>
      </c>
      <c r="N231" s="12">
        <f t="shared" si="84"/>
        <v>25</v>
      </c>
      <c r="O231" s="30" t="s">
        <v>72</v>
      </c>
      <c r="Q231" s="62">
        <f t="shared" si="91"/>
        <v>262</v>
      </c>
      <c r="R231" s="28">
        <v>180</v>
      </c>
      <c r="S231" s="13">
        <f t="shared" si="102"/>
        <v>0.45555555555555549</v>
      </c>
      <c r="T231" s="12">
        <f t="shared" si="85"/>
        <v>82</v>
      </c>
      <c r="U231" s="30" t="s">
        <v>72</v>
      </c>
      <c r="V231" s="30"/>
      <c r="W231" s="62">
        <f t="shared" si="92"/>
        <v>216</v>
      </c>
      <c r="X231" s="28">
        <v>153</v>
      </c>
      <c r="Y231" s="13">
        <f t="shared" si="103"/>
        <v>0.41176470588235303</v>
      </c>
      <c r="Z231" s="12">
        <f t="shared" si="86"/>
        <v>63</v>
      </c>
      <c r="AA231" s="30" t="s">
        <v>72</v>
      </c>
      <c r="AB231" s="64"/>
      <c r="AC231" s="62">
        <f t="shared" si="93"/>
        <v>245</v>
      </c>
      <c r="AD231" s="28">
        <v>175</v>
      </c>
      <c r="AE231" s="13">
        <f t="shared" si="104"/>
        <v>0.39999999999999991</v>
      </c>
      <c r="AF231" s="12">
        <f t="shared" si="87"/>
        <v>70</v>
      </c>
      <c r="AG231" s="30" t="s">
        <v>72</v>
      </c>
      <c r="AH231" s="17"/>
      <c r="AI231" s="16"/>
      <c r="AJ231" s="2">
        <f t="shared" si="80"/>
        <v>90</v>
      </c>
      <c r="AK231" s="2">
        <f t="shared" si="81"/>
        <v>288</v>
      </c>
      <c r="AL231" s="2">
        <f t="shared" si="82"/>
        <v>270</v>
      </c>
      <c r="AM231" s="2">
        <f t="shared" si="83"/>
        <v>238</v>
      </c>
    </row>
    <row r="232" spans="1:39" outlineLevel="1" x14ac:dyDescent="0.25">
      <c r="A232" t="s">
        <v>35</v>
      </c>
      <c r="B232" s="7" t="str">
        <f t="shared" si="100"/>
        <v>Seite innen (580x1080)</v>
      </c>
      <c r="C232">
        <v>3509</v>
      </c>
      <c r="D232" s="7" t="s">
        <v>47</v>
      </c>
      <c r="E232">
        <v>580</v>
      </c>
      <c r="F232">
        <v>1080</v>
      </c>
      <c r="I232" s="45">
        <f t="shared" si="88"/>
        <v>0.62639999999999996</v>
      </c>
      <c r="J232" s="46">
        <f t="shared" si="89"/>
        <v>3.3200000000000003</v>
      </c>
      <c r="K232" s="62">
        <f t="shared" si="90"/>
        <v>119</v>
      </c>
      <c r="L232" s="28">
        <v>85</v>
      </c>
      <c r="M232" s="13">
        <f t="shared" si="101"/>
        <v>0.39999999999999991</v>
      </c>
      <c r="N232" s="12">
        <f t="shared" si="84"/>
        <v>34</v>
      </c>
      <c r="O232" s="30" t="s">
        <v>72</v>
      </c>
      <c r="Q232" s="62">
        <f t="shared" si="91"/>
        <v>377</v>
      </c>
      <c r="R232" s="28">
        <v>266</v>
      </c>
      <c r="S232" s="13">
        <f t="shared" si="102"/>
        <v>0.41729323308270683</v>
      </c>
      <c r="T232" s="12">
        <f t="shared" si="85"/>
        <v>111</v>
      </c>
      <c r="U232" s="30" t="s">
        <v>72</v>
      </c>
      <c r="V232" s="30"/>
      <c r="W232" s="62">
        <f t="shared" si="92"/>
        <v>300</v>
      </c>
      <c r="X232" s="28">
        <v>216</v>
      </c>
      <c r="Y232" s="13">
        <f t="shared" si="103"/>
        <v>0.38888888888888884</v>
      </c>
      <c r="Z232" s="12">
        <f t="shared" si="86"/>
        <v>84</v>
      </c>
      <c r="AA232" s="30" t="s">
        <v>72</v>
      </c>
      <c r="AB232" s="64"/>
      <c r="AC232" s="62">
        <f t="shared" si="93"/>
        <v>307</v>
      </c>
      <c r="AD232" s="28">
        <v>221</v>
      </c>
      <c r="AE232" s="13">
        <f t="shared" si="104"/>
        <v>0.38914027149321262</v>
      </c>
      <c r="AF232" s="12">
        <f t="shared" si="87"/>
        <v>86</v>
      </c>
      <c r="AG232" s="30" t="s">
        <v>72</v>
      </c>
      <c r="AH232" s="17"/>
      <c r="AI232" s="16"/>
      <c r="AJ232" s="2">
        <f t="shared" si="80"/>
        <v>131</v>
      </c>
      <c r="AK232" s="2">
        <f t="shared" si="81"/>
        <v>415</v>
      </c>
      <c r="AL232" s="2">
        <f t="shared" si="82"/>
        <v>338</v>
      </c>
      <c r="AM232" s="2">
        <f t="shared" si="83"/>
        <v>330</v>
      </c>
    </row>
    <row r="233" spans="1:39" outlineLevel="1" x14ac:dyDescent="0.25">
      <c r="A233" t="s">
        <v>35</v>
      </c>
      <c r="B233" s="7" t="str">
        <f t="shared" si="100"/>
        <v>Seite innen (580x1440)</v>
      </c>
      <c r="C233">
        <v>3510</v>
      </c>
      <c r="D233" s="7" t="s">
        <v>47</v>
      </c>
      <c r="E233">
        <v>580</v>
      </c>
      <c r="F233">
        <v>1440</v>
      </c>
      <c r="I233" s="45">
        <f t="shared" si="88"/>
        <v>0.83519999999999994</v>
      </c>
      <c r="J233" s="46">
        <f t="shared" si="89"/>
        <v>4.04</v>
      </c>
      <c r="K233" s="62">
        <f t="shared" si="90"/>
        <v>158</v>
      </c>
      <c r="L233" s="28">
        <v>114</v>
      </c>
      <c r="M233" s="13">
        <f t="shared" si="101"/>
        <v>0.38596491228070184</v>
      </c>
      <c r="N233" s="12">
        <f t="shared" si="84"/>
        <v>44</v>
      </c>
      <c r="O233" s="30" t="s">
        <v>72</v>
      </c>
      <c r="Q233" s="62">
        <f t="shared" si="91"/>
        <v>484</v>
      </c>
      <c r="R233" s="28">
        <v>345</v>
      </c>
      <c r="S233" s="13">
        <f t="shared" si="102"/>
        <v>0.40289855072463765</v>
      </c>
      <c r="T233" s="12">
        <f t="shared" si="85"/>
        <v>139</v>
      </c>
      <c r="U233" s="30" t="s">
        <v>72</v>
      </c>
      <c r="V233" s="30"/>
      <c r="W233" s="62">
        <f t="shared" si="92"/>
        <v>400</v>
      </c>
      <c r="X233" s="28">
        <v>290</v>
      </c>
      <c r="Y233" s="13">
        <f t="shared" si="103"/>
        <v>0.3793103448275863</v>
      </c>
      <c r="Z233" s="12">
        <f t="shared" si="86"/>
        <v>110</v>
      </c>
      <c r="AA233" s="30" t="s">
        <v>72</v>
      </c>
      <c r="AB233" s="64"/>
      <c r="AC233" s="62">
        <f t="shared" si="93"/>
        <v>752</v>
      </c>
      <c r="AD233" s="28" t="s">
        <v>63</v>
      </c>
      <c r="AE233" s="13" t="str">
        <f t="shared" si="104"/>
        <v>-</v>
      </c>
      <c r="AF233" s="12" t="str">
        <f t="shared" si="87"/>
        <v>-</v>
      </c>
      <c r="AG233" s="30" t="s">
        <v>72</v>
      </c>
      <c r="AH233" s="17"/>
      <c r="AI233" s="16"/>
      <c r="AJ233" s="2">
        <f t="shared" si="80"/>
        <v>174</v>
      </c>
      <c r="AK233" s="2">
        <f t="shared" si="81"/>
        <v>532</v>
      </c>
      <c r="AL233" s="2">
        <f t="shared" si="82"/>
        <v>827</v>
      </c>
      <c r="AM233" s="2">
        <f t="shared" si="83"/>
        <v>440</v>
      </c>
    </row>
    <row r="234" spans="1:39" outlineLevel="1" x14ac:dyDescent="0.25">
      <c r="A234" t="s">
        <v>35</v>
      </c>
      <c r="B234" s="7" t="str">
        <f t="shared" si="100"/>
        <v>Seite innen (580x1800)</v>
      </c>
      <c r="C234">
        <v>3511</v>
      </c>
      <c r="D234" s="7" t="s">
        <v>47</v>
      </c>
      <c r="E234">
        <v>580</v>
      </c>
      <c r="F234">
        <v>1800</v>
      </c>
      <c r="I234" s="45">
        <f t="shared" si="88"/>
        <v>1.044</v>
      </c>
      <c r="J234" s="46">
        <f t="shared" si="89"/>
        <v>4.76</v>
      </c>
      <c r="K234" s="62">
        <f t="shared" si="90"/>
        <v>197</v>
      </c>
      <c r="L234" s="28">
        <v>143</v>
      </c>
      <c r="M234" s="13">
        <f t="shared" si="101"/>
        <v>0.37762237762237771</v>
      </c>
      <c r="N234" s="12">
        <f t="shared" si="84"/>
        <v>54</v>
      </c>
      <c r="O234" s="30" t="s">
        <v>72</v>
      </c>
      <c r="Q234" s="62">
        <f t="shared" si="91"/>
        <v>388</v>
      </c>
      <c r="R234" s="28" t="s">
        <v>63</v>
      </c>
      <c r="S234" s="47"/>
      <c r="T234" s="50"/>
      <c r="U234" s="51"/>
      <c r="V234" s="51"/>
      <c r="W234" s="62">
        <f t="shared" si="92"/>
        <v>467</v>
      </c>
      <c r="X234" s="28">
        <v>340</v>
      </c>
      <c r="Y234" s="13">
        <f t="shared" si="103"/>
        <v>0.37352941176470589</v>
      </c>
      <c r="Z234" s="12">
        <f t="shared" si="86"/>
        <v>127</v>
      </c>
      <c r="AA234" s="30" t="s">
        <v>72</v>
      </c>
      <c r="AB234" s="64"/>
      <c r="AC234" s="62">
        <f t="shared" si="93"/>
        <v>879</v>
      </c>
      <c r="AD234" s="28" t="s">
        <v>63</v>
      </c>
      <c r="AE234" s="13" t="str">
        <f t="shared" si="104"/>
        <v>-</v>
      </c>
      <c r="AF234" s="12" t="str">
        <f t="shared" si="87"/>
        <v>-</v>
      </c>
      <c r="AG234" s="30" t="s">
        <v>72</v>
      </c>
      <c r="AH234" s="17"/>
      <c r="AI234" s="16"/>
      <c r="AJ234" s="2">
        <f t="shared" si="80"/>
        <v>217</v>
      </c>
      <c r="AK234" s="2">
        <f t="shared" si="81"/>
        <v>427</v>
      </c>
      <c r="AL234" s="2">
        <f t="shared" si="82"/>
        <v>967</v>
      </c>
      <c r="AM234" s="2">
        <f t="shared" si="83"/>
        <v>514</v>
      </c>
    </row>
    <row r="235" spans="1:39" outlineLevel="1" x14ac:dyDescent="0.25">
      <c r="A235" t="s">
        <v>35</v>
      </c>
      <c r="B235" s="7" t="str">
        <f t="shared" si="100"/>
        <v>Seite innen (180x780)</v>
      </c>
      <c r="C235">
        <v>3512</v>
      </c>
      <c r="D235" s="7" t="s">
        <v>47</v>
      </c>
      <c r="E235">
        <v>180</v>
      </c>
      <c r="F235">
        <v>780</v>
      </c>
      <c r="I235" s="45">
        <f t="shared" si="88"/>
        <v>0.28079999999999999</v>
      </c>
      <c r="J235" s="46">
        <f t="shared" si="89"/>
        <v>2.2800000000000002</v>
      </c>
      <c r="K235" s="62">
        <f t="shared" si="90"/>
        <v>56</v>
      </c>
      <c r="L235" s="28">
        <v>38</v>
      </c>
      <c r="M235" s="13">
        <f t="shared" si="101"/>
        <v>0.47368421052631571</v>
      </c>
      <c r="N235" s="12">
        <f t="shared" si="84"/>
        <v>18</v>
      </c>
      <c r="O235" s="30" t="s">
        <v>72</v>
      </c>
      <c r="Q235" s="62">
        <f t="shared" si="91"/>
        <v>185</v>
      </c>
      <c r="R235" s="28">
        <v>123</v>
      </c>
      <c r="S235" s="13">
        <f t="shared" si="102"/>
        <v>0.50406504065040658</v>
      </c>
      <c r="T235" s="12">
        <f t="shared" si="85"/>
        <v>62</v>
      </c>
      <c r="U235" s="30" t="s">
        <v>72</v>
      </c>
      <c r="V235" s="30"/>
      <c r="W235" s="62">
        <f t="shared" si="92"/>
        <v>144</v>
      </c>
      <c r="X235" s="28">
        <v>100</v>
      </c>
      <c r="Y235" s="13">
        <f t="shared" si="103"/>
        <v>0.43999999999999995</v>
      </c>
      <c r="Z235" s="12">
        <f t="shared" si="86"/>
        <v>44</v>
      </c>
      <c r="AA235" s="12"/>
      <c r="AB235" s="64"/>
      <c r="AC235" s="62">
        <f t="shared" si="93"/>
        <v>212</v>
      </c>
      <c r="AD235" s="28">
        <v>150</v>
      </c>
      <c r="AE235" s="13">
        <f t="shared" si="104"/>
        <v>0.41333333333333333</v>
      </c>
      <c r="AF235" s="12">
        <f t="shared" si="87"/>
        <v>62</v>
      </c>
      <c r="AG235" s="30" t="s">
        <v>72</v>
      </c>
      <c r="AH235" s="17"/>
      <c r="AI235" s="16"/>
      <c r="AJ235" s="2">
        <f t="shared" si="80"/>
        <v>62</v>
      </c>
      <c r="AK235" s="2">
        <f t="shared" si="81"/>
        <v>204</v>
      </c>
      <c r="AL235" s="2">
        <f t="shared" si="82"/>
        <v>233</v>
      </c>
      <c r="AM235" s="2">
        <f t="shared" si="83"/>
        <v>158</v>
      </c>
    </row>
    <row r="236" spans="1:39" outlineLevel="1" x14ac:dyDescent="0.25">
      <c r="A236" t="s">
        <v>35</v>
      </c>
      <c r="B236" s="7" t="str">
        <f t="shared" si="100"/>
        <v>Seite innen (180x980)</v>
      </c>
      <c r="C236">
        <v>3513</v>
      </c>
      <c r="D236" s="7" t="s">
        <v>47</v>
      </c>
      <c r="E236">
        <v>180</v>
      </c>
      <c r="F236">
        <v>980</v>
      </c>
      <c r="I236" s="45">
        <f t="shared" si="88"/>
        <v>0.3528</v>
      </c>
      <c r="J236" s="46">
        <f t="shared" si="89"/>
        <v>2.6799999999999997</v>
      </c>
      <c r="K236" s="62">
        <f t="shared" si="90"/>
        <v>70</v>
      </c>
      <c r="L236" s="28">
        <v>48</v>
      </c>
      <c r="M236" s="13">
        <f t="shared" si="101"/>
        <v>0.45833333333333326</v>
      </c>
      <c r="N236" s="12">
        <f t="shared" si="84"/>
        <v>22</v>
      </c>
      <c r="O236" s="30" t="s">
        <v>72</v>
      </c>
      <c r="Q236" s="62">
        <f t="shared" si="91"/>
        <v>223</v>
      </c>
      <c r="R236" s="28">
        <v>151</v>
      </c>
      <c r="S236" s="13">
        <f t="shared" si="102"/>
        <v>0.47682119205298013</v>
      </c>
      <c r="T236" s="12">
        <f t="shared" si="85"/>
        <v>72</v>
      </c>
      <c r="U236" s="30" t="s">
        <v>72</v>
      </c>
      <c r="V236" s="30"/>
      <c r="W236" s="62">
        <f t="shared" si="92"/>
        <v>174</v>
      </c>
      <c r="X236" s="28">
        <v>122</v>
      </c>
      <c r="Y236" s="13">
        <f t="shared" si="103"/>
        <v>0.42622950819672134</v>
      </c>
      <c r="Z236" s="12">
        <f t="shared" si="86"/>
        <v>52</v>
      </c>
      <c r="AA236" s="12"/>
      <c r="AB236" s="64"/>
      <c r="AC236" s="62">
        <f t="shared" si="93"/>
        <v>229</v>
      </c>
      <c r="AD236" s="28">
        <v>163</v>
      </c>
      <c r="AE236" s="13">
        <f t="shared" si="104"/>
        <v>0.4049079754601228</v>
      </c>
      <c r="AF236" s="12">
        <f t="shared" si="87"/>
        <v>66</v>
      </c>
      <c r="AG236" s="30" t="s">
        <v>72</v>
      </c>
      <c r="AH236" s="17"/>
      <c r="AI236" s="16"/>
      <c r="AJ236" s="2">
        <f t="shared" si="80"/>
        <v>77</v>
      </c>
      <c r="AK236" s="2">
        <f t="shared" si="81"/>
        <v>245</v>
      </c>
      <c r="AL236" s="2">
        <f t="shared" si="82"/>
        <v>252</v>
      </c>
      <c r="AM236" s="2">
        <f t="shared" si="83"/>
        <v>191</v>
      </c>
    </row>
    <row r="237" spans="1:39" outlineLevel="1" x14ac:dyDescent="0.25">
      <c r="A237" t="s">
        <v>35</v>
      </c>
      <c r="B237" s="7" t="str">
        <f t="shared" si="100"/>
        <v>Seite innen (360x780)</v>
      </c>
      <c r="C237">
        <v>3514</v>
      </c>
      <c r="D237" s="7" t="s">
        <v>47</v>
      </c>
      <c r="E237">
        <v>360</v>
      </c>
      <c r="F237">
        <v>780</v>
      </c>
      <c r="I237" s="45">
        <f t="shared" si="88"/>
        <v>0.28079999999999999</v>
      </c>
      <c r="J237" s="46">
        <f t="shared" si="89"/>
        <v>2.2800000000000002</v>
      </c>
      <c r="K237" s="62">
        <f t="shared" si="90"/>
        <v>56</v>
      </c>
      <c r="L237" s="28">
        <v>38</v>
      </c>
      <c r="M237" s="13">
        <f t="shared" si="101"/>
        <v>0.47368421052631571</v>
      </c>
      <c r="N237" s="12">
        <f t="shared" si="84"/>
        <v>18</v>
      </c>
      <c r="O237" s="30" t="s">
        <v>72</v>
      </c>
      <c r="Q237" s="62">
        <f t="shared" si="91"/>
        <v>185</v>
      </c>
      <c r="R237" s="28">
        <v>123</v>
      </c>
      <c r="S237" s="13">
        <f t="shared" si="102"/>
        <v>0.50406504065040658</v>
      </c>
      <c r="T237" s="12">
        <f t="shared" si="85"/>
        <v>62</v>
      </c>
      <c r="U237" s="30" t="s">
        <v>72</v>
      </c>
      <c r="V237" s="30"/>
      <c r="W237" s="62">
        <f t="shared" si="92"/>
        <v>144</v>
      </c>
      <c r="X237" s="28">
        <v>100</v>
      </c>
      <c r="Y237" s="13">
        <f t="shared" si="103"/>
        <v>0.43999999999999995</v>
      </c>
      <c r="Z237" s="12">
        <f t="shared" si="86"/>
        <v>44</v>
      </c>
      <c r="AA237" s="12"/>
      <c r="AB237" s="64"/>
      <c r="AC237" s="62">
        <f t="shared" si="93"/>
        <v>190</v>
      </c>
      <c r="AD237" s="28">
        <v>134</v>
      </c>
      <c r="AE237" s="13">
        <f t="shared" si="104"/>
        <v>0.41791044776119413</v>
      </c>
      <c r="AF237" s="12">
        <f t="shared" si="87"/>
        <v>56</v>
      </c>
      <c r="AG237" s="30" t="s">
        <v>72</v>
      </c>
      <c r="AH237" s="17"/>
      <c r="AI237" s="16"/>
      <c r="AJ237" s="2">
        <f t="shared" si="80"/>
        <v>62</v>
      </c>
      <c r="AK237" s="2">
        <f t="shared" si="81"/>
        <v>204</v>
      </c>
      <c r="AL237" s="2">
        <f t="shared" si="82"/>
        <v>209</v>
      </c>
      <c r="AM237" s="2">
        <f t="shared" si="83"/>
        <v>158</v>
      </c>
    </row>
    <row r="238" spans="1:39" outlineLevel="1" x14ac:dyDescent="0.25">
      <c r="A238" t="s">
        <v>35</v>
      </c>
      <c r="B238" s="7" t="str">
        <f t="shared" si="100"/>
        <v>Seite innen (360x980)</v>
      </c>
      <c r="C238">
        <v>3515</v>
      </c>
      <c r="D238" s="7" t="s">
        <v>47</v>
      </c>
      <c r="E238">
        <v>360</v>
      </c>
      <c r="F238">
        <v>980</v>
      </c>
      <c r="I238" s="45">
        <f t="shared" si="88"/>
        <v>0.3528</v>
      </c>
      <c r="J238" s="46">
        <f t="shared" si="89"/>
        <v>2.6799999999999997</v>
      </c>
      <c r="K238" s="62">
        <f t="shared" si="90"/>
        <v>70</v>
      </c>
      <c r="L238" s="28">
        <v>48</v>
      </c>
      <c r="M238" s="13">
        <f t="shared" si="101"/>
        <v>0.45833333333333326</v>
      </c>
      <c r="N238" s="12">
        <f t="shared" si="84"/>
        <v>22</v>
      </c>
      <c r="O238" s="30" t="s">
        <v>72</v>
      </c>
      <c r="Q238" s="62">
        <f t="shared" si="91"/>
        <v>223</v>
      </c>
      <c r="R238" s="28">
        <v>151</v>
      </c>
      <c r="S238" s="13">
        <f t="shared" si="102"/>
        <v>0.47682119205298013</v>
      </c>
      <c r="T238" s="12">
        <f t="shared" si="85"/>
        <v>72</v>
      </c>
      <c r="U238" s="30" t="s">
        <v>72</v>
      </c>
      <c r="V238" s="30"/>
      <c r="W238" s="62">
        <f t="shared" si="92"/>
        <v>174</v>
      </c>
      <c r="X238" s="28">
        <v>122</v>
      </c>
      <c r="Y238" s="13">
        <f t="shared" si="103"/>
        <v>0.42622950819672134</v>
      </c>
      <c r="Z238" s="12">
        <f t="shared" si="86"/>
        <v>52</v>
      </c>
      <c r="AA238" s="12"/>
      <c r="AB238" s="64"/>
      <c r="AC238" s="62">
        <f t="shared" si="93"/>
        <v>209</v>
      </c>
      <c r="AD238" s="28">
        <v>148</v>
      </c>
      <c r="AE238" s="13">
        <f t="shared" si="104"/>
        <v>0.41216216216216206</v>
      </c>
      <c r="AF238" s="12">
        <f t="shared" si="87"/>
        <v>61</v>
      </c>
      <c r="AG238" s="30" t="s">
        <v>72</v>
      </c>
      <c r="AH238" s="17"/>
      <c r="AI238" s="16"/>
      <c r="AJ238" s="2">
        <f t="shared" si="80"/>
        <v>77</v>
      </c>
      <c r="AK238" s="2">
        <f t="shared" si="81"/>
        <v>245</v>
      </c>
      <c r="AL238" s="2">
        <f t="shared" si="82"/>
        <v>230</v>
      </c>
      <c r="AM238" s="2">
        <f t="shared" si="83"/>
        <v>191</v>
      </c>
    </row>
    <row r="239" spans="1:39" outlineLevel="1" x14ac:dyDescent="0.25">
      <c r="A239" t="s">
        <v>35</v>
      </c>
      <c r="B239" s="7" t="str">
        <f t="shared" si="100"/>
        <v>Seite innen (720x780)</v>
      </c>
      <c r="C239">
        <v>3516</v>
      </c>
      <c r="D239" s="7" t="s">
        <v>47</v>
      </c>
      <c r="E239">
        <v>720</v>
      </c>
      <c r="F239">
        <v>780</v>
      </c>
      <c r="I239" s="45">
        <f t="shared" si="88"/>
        <v>0.56159999999999999</v>
      </c>
      <c r="J239" s="46">
        <f t="shared" si="89"/>
        <v>3</v>
      </c>
      <c r="K239" s="62">
        <f t="shared" si="90"/>
        <v>107</v>
      </c>
      <c r="L239" s="28">
        <v>76</v>
      </c>
      <c r="M239" s="13">
        <f t="shared" si="101"/>
        <v>0.40789473684210531</v>
      </c>
      <c r="N239" s="12">
        <f t="shared" si="84"/>
        <v>31</v>
      </c>
      <c r="O239" s="30" t="s">
        <v>72</v>
      </c>
      <c r="Q239" s="62">
        <f t="shared" si="91"/>
        <v>355</v>
      </c>
      <c r="R239" s="28">
        <v>249</v>
      </c>
      <c r="S239" s="13">
        <f t="shared" si="102"/>
        <v>0.42570281124497988</v>
      </c>
      <c r="T239" s="12">
        <f t="shared" si="85"/>
        <v>106</v>
      </c>
      <c r="U239" s="30" t="s">
        <v>72</v>
      </c>
      <c r="V239" s="30"/>
      <c r="W239" s="62">
        <f t="shared" si="92"/>
        <v>277</v>
      </c>
      <c r="X239" s="28">
        <v>199</v>
      </c>
      <c r="Y239" s="13">
        <f t="shared" si="103"/>
        <v>0.3919597989949748</v>
      </c>
      <c r="Z239" s="12">
        <f t="shared" si="86"/>
        <v>78</v>
      </c>
      <c r="AA239" s="12"/>
      <c r="AB239" s="64"/>
      <c r="AC239" s="62">
        <f t="shared" si="93"/>
        <v>268</v>
      </c>
      <c r="AD239" s="28">
        <v>192</v>
      </c>
      <c r="AE239" s="13">
        <f t="shared" si="104"/>
        <v>0.39583333333333326</v>
      </c>
      <c r="AF239" s="12">
        <f t="shared" si="87"/>
        <v>76</v>
      </c>
      <c r="AG239" s="30" t="s">
        <v>72</v>
      </c>
      <c r="AH239" s="17"/>
      <c r="AI239" s="16"/>
      <c r="AJ239" s="2">
        <f t="shared" si="80"/>
        <v>118</v>
      </c>
      <c r="AK239" s="2">
        <f t="shared" si="81"/>
        <v>391</v>
      </c>
      <c r="AL239" s="2">
        <f t="shared" si="82"/>
        <v>295</v>
      </c>
      <c r="AM239" s="2">
        <f t="shared" si="83"/>
        <v>305</v>
      </c>
    </row>
    <row r="240" spans="1:39" outlineLevel="1" x14ac:dyDescent="0.25">
      <c r="A240" t="s">
        <v>35</v>
      </c>
      <c r="B240" s="7" t="str">
        <f t="shared" si="100"/>
        <v>Seite innen (720x980)</v>
      </c>
      <c r="C240">
        <v>3517</v>
      </c>
      <c r="D240" s="7" t="s">
        <v>47</v>
      </c>
      <c r="E240">
        <v>720</v>
      </c>
      <c r="F240">
        <v>980</v>
      </c>
      <c r="I240" s="45">
        <f t="shared" si="88"/>
        <v>0.7056</v>
      </c>
      <c r="J240" s="46">
        <f t="shared" si="89"/>
        <v>3.4</v>
      </c>
      <c r="K240" s="62">
        <f t="shared" si="90"/>
        <v>134</v>
      </c>
      <c r="L240" s="28">
        <v>96</v>
      </c>
      <c r="M240" s="13">
        <f t="shared" si="101"/>
        <v>0.39583333333333326</v>
      </c>
      <c r="N240" s="12">
        <f t="shared" si="84"/>
        <v>38</v>
      </c>
      <c r="O240" s="30" t="s">
        <v>72</v>
      </c>
      <c r="Q240" s="62">
        <f t="shared" si="91"/>
        <v>406</v>
      </c>
      <c r="R240" s="28">
        <v>287</v>
      </c>
      <c r="S240" s="13">
        <f t="shared" si="102"/>
        <v>0.41463414634146334</v>
      </c>
      <c r="T240" s="12">
        <f t="shared" si="85"/>
        <v>119</v>
      </c>
      <c r="U240" s="30" t="s">
        <v>72</v>
      </c>
      <c r="V240" s="30"/>
      <c r="W240" s="62">
        <f t="shared" si="92"/>
        <v>320</v>
      </c>
      <c r="X240" s="28">
        <v>231</v>
      </c>
      <c r="Y240" s="13">
        <f t="shared" si="103"/>
        <v>0.38528138528138522</v>
      </c>
      <c r="Z240" s="12">
        <f t="shared" si="86"/>
        <v>89</v>
      </c>
      <c r="AA240" s="12"/>
      <c r="AB240" s="64"/>
      <c r="AC240" s="62">
        <f t="shared" si="93"/>
        <v>329</v>
      </c>
      <c r="AD240" s="28">
        <v>237</v>
      </c>
      <c r="AE240" s="13">
        <f t="shared" si="104"/>
        <v>0.38818565400843874</v>
      </c>
      <c r="AF240" s="12">
        <f t="shared" si="87"/>
        <v>92</v>
      </c>
      <c r="AG240" s="30" t="s">
        <v>72</v>
      </c>
      <c r="AH240" s="17"/>
      <c r="AI240" s="16"/>
      <c r="AJ240" s="2">
        <f t="shared" si="80"/>
        <v>147</v>
      </c>
      <c r="AK240" s="2">
        <f t="shared" si="81"/>
        <v>447</v>
      </c>
      <c r="AL240" s="2">
        <f t="shared" si="82"/>
        <v>362</v>
      </c>
      <c r="AM240" s="2">
        <f t="shared" si="83"/>
        <v>352</v>
      </c>
    </row>
    <row r="241" spans="1:39" outlineLevel="1" x14ac:dyDescent="0.25">
      <c r="A241" t="s">
        <v>35</v>
      </c>
      <c r="B241" s="7" t="str">
        <f t="shared" si="100"/>
        <v>Seite innen (1080x780)</v>
      </c>
      <c r="C241">
        <v>3518</v>
      </c>
      <c r="D241" s="7" t="s">
        <v>47</v>
      </c>
      <c r="E241">
        <v>1080</v>
      </c>
      <c r="F241">
        <v>780</v>
      </c>
      <c r="I241" s="45">
        <f t="shared" si="88"/>
        <v>0.84240000000000004</v>
      </c>
      <c r="J241" s="46">
        <f t="shared" si="89"/>
        <v>3.72</v>
      </c>
      <c r="K241" s="62">
        <f t="shared" si="90"/>
        <v>161</v>
      </c>
      <c r="L241" s="28">
        <v>116</v>
      </c>
      <c r="M241" s="13">
        <f t="shared" si="101"/>
        <v>0.38793103448275867</v>
      </c>
      <c r="N241" s="12">
        <f t="shared" si="84"/>
        <v>45</v>
      </c>
      <c r="O241" s="30" t="s">
        <v>72</v>
      </c>
      <c r="Q241" s="62">
        <f t="shared" si="91"/>
        <v>517</v>
      </c>
      <c r="R241" s="28">
        <v>370</v>
      </c>
      <c r="S241" s="13">
        <f t="shared" si="102"/>
        <v>0.39729729729729724</v>
      </c>
      <c r="T241" s="12">
        <f t="shared" si="85"/>
        <v>147</v>
      </c>
      <c r="U241" s="30" t="s">
        <v>72</v>
      </c>
      <c r="V241" s="30"/>
      <c r="W241" s="62">
        <f t="shared" si="92"/>
        <v>409</v>
      </c>
      <c r="X241" s="28">
        <v>297</v>
      </c>
      <c r="Y241" s="13">
        <f t="shared" si="103"/>
        <v>0.37710437710437716</v>
      </c>
      <c r="Z241" s="12">
        <f t="shared" si="86"/>
        <v>112</v>
      </c>
      <c r="AA241" s="12"/>
      <c r="AB241" s="64"/>
      <c r="AC241" s="62">
        <f t="shared" si="93"/>
        <v>385</v>
      </c>
      <c r="AD241" s="28">
        <v>279</v>
      </c>
      <c r="AE241" s="13">
        <f t="shared" si="104"/>
        <v>0.37992831541218641</v>
      </c>
      <c r="AF241" s="12">
        <f t="shared" si="87"/>
        <v>106</v>
      </c>
      <c r="AG241" s="30" t="s">
        <v>72</v>
      </c>
      <c r="AH241" s="17"/>
      <c r="AI241" s="16"/>
      <c r="AJ241" s="2">
        <f t="shared" si="80"/>
        <v>177</v>
      </c>
      <c r="AK241" s="2">
        <f t="shared" si="81"/>
        <v>569</v>
      </c>
      <c r="AL241" s="2">
        <f t="shared" si="82"/>
        <v>424</v>
      </c>
      <c r="AM241" s="2">
        <f t="shared" si="83"/>
        <v>450</v>
      </c>
    </row>
    <row r="242" spans="1:39" outlineLevel="1" x14ac:dyDescent="0.25">
      <c r="A242" t="s">
        <v>35</v>
      </c>
      <c r="B242" s="7" t="str">
        <f t="shared" si="100"/>
        <v>Seite innen (1080x980)</v>
      </c>
      <c r="C242">
        <v>3519</v>
      </c>
      <c r="D242" s="7" t="s">
        <v>47</v>
      </c>
      <c r="E242">
        <v>1080</v>
      </c>
      <c r="F242">
        <v>980</v>
      </c>
      <c r="I242" s="45">
        <f t="shared" si="88"/>
        <v>1.0584</v>
      </c>
      <c r="J242" s="46">
        <f t="shared" si="89"/>
        <v>4.12</v>
      </c>
      <c r="K242" s="62">
        <f t="shared" si="90"/>
        <v>200</v>
      </c>
      <c r="L242" s="28">
        <v>145</v>
      </c>
      <c r="M242" s="13">
        <f t="shared" si="101"/>
        <v>0.3793103448275863</v>
      </c>
      <c r="N242" s="12">
        <f t="shared" si="84"/>
        <v>55</v>
      </c>
      <c r="O242" s="30" t="s">
        <v>72</v>
      </c>
      <c r="Q242" s="62">
        <f t="shared" si="91"/>
        <v>626</v>
      </c>
      <c r="R242" s="28">
        <v>451</v>
      </c>
      <c r="S242" s="13">
        <f t="shared" si="102"/>
        <v>0.38802660753880258</v>
      </c>
      <c r="T242" s="12">
        <f t="shared" si="85"/>
        <v>175</v>
      </c>
      <c r="U242" s="30" t="s">
        <v>72</v>
      </c>
      <c r="V242" s="30"/>
      <c r="W242" s="62">
        <f t="shared" si="92"/>
        <v>474</v>
      </c>
      <c r="X242" s="28">
        <v>345</v>
      </c>
      <c r="Y242" s="13">
        <f t="shared" si="103"/>
        <v>0.37391304347826093</v>
      </c>
      <c r="Z242" s="12">
        <f t="shared" si="86"/>
        <v>129</v>
      </c>
      <c r="AA242" s="12"/>
      <c r="AB242" s="64"/>
      <c r="AC242" s="62">
        <f t="shared" si="93"/>
        <v>431</v>
      </c>
      <c r="AD242" s="28">
        <v>313</v>
      </c>
      <c r="AE242" s="13">
        <f t="shared" si="104"/>
        <v>0.3769968051118211</v>
      </c>
      <c r="AF242" s="12">
        <f t="shared" si="87"/>
        <v>118</v>
      </c>
      <c r="AG242" s="30" t="s">
        <v>72</v>
      </c>
      <c r="AH242" s="17"/>
      <c r="AI242" s="16"/>
      <c r="AJ242" s="2">
        <f t="shared" si="80"/>
        <v>220</v>
      </c>
      <c r="AK242" s="2">
        <f t="shared" si="81"/>
        <v>689</v>
      </c>
      <c r="AL242" s="2">
        <f t="shared" si="82"/>
        <v>474</v>
      </c>
      <c r="AM242" s="2">
        <f t="shared" si="83"/>
        <v>521</v>
      </c>
    </row>
    <row r="243" spans="1:39" outlineLevel="1" x14ac:dyDescent="0.25">
      <c r="A243" t="s">
        <v>35</v>
      </c>
      <c r="B243" s="7" t="str">
        <f t="shared" si="100"/>
        <v>Seite innen (1440x780)</v>
      </c>
      <c r="C243">
        <v>3520</v>
      </c>
      <c r="D243" s="7" t="s">
        <v>47</v>
      </c>
      <c r="E243">
        <v>1440</v>
      </c>
      <c r="F243">
        <v>780</v>
      </c>
      <c r="I243" s="45">
        <f t="shared" si="88"/>
        <v>1.1232</v>
      </c>
      <c r="J243" s="46">
        <f t="shared" si="89"/>
        <v>4.4399999999999995</v>
      </c>
      <c r="K243" s="62">
        <f t="shared" si="90"/>
        <v>211</v>
      </c>
      <c r="L243" s="28">
        <v>153</v>
      </c>
      <c r="M243" s="13">
        <f t="shared" si="101"/>
        <v>0.37908496732026142</v>
      </c>
      <c r="N243" s="12">
        <f t="shared" si="84"/>
        <v>58</v>
      </c>
      <c r="O243" s="30" t="s">
        <v>72</v>
      </c>
      <c r="Q243" s="62">
        <f t="shared" si="91"/>
        <v>630</v>
      </c>
      <c r="R243" s="28">
        <v>454</v>
      </c>
      <c r="S243" s="13">
        <f t="shared" si="102"/>
        <v>0.38766519823788537</v>
      </c>
      <c r="T243" s="12">
        <f t="shared" si="85"/>
        <v>176</v>
      </c>
      <c r="U243" s="30" t="s">
        <v>72</v>
      </c>
      <c r="V243" s="30"/>
      <c r="W243" s="62">
        <f t="shared" si="92"/>
        <v>499</v>
      </c>
      <c r="X243" s="28">
        <v>364</v>
      </c>
      <c r="Y243" s="13">
        <f t="shared" si="103"/>
        <v>0.37087912087912089</v>
      </c>
      <c r="Z243" s="12">
        <f t="shared" si="86"/>
        <v>135</v>
      </c>
      <c r="AA243" s="12"/>
      <c r="AB243" s="64"/>
      <c r="AC243" s="62">
        <f t="shared" si="93"/>
        <v>939</v>
      </c>
      <c r="AD243" s="28" t="s">
        <v>63</v>
      </c>
      <c r="AE243" s="13" t="str">
        <f t="shared" si="104"/>
        <v>-</v>
      </c>
      <c r="AF243" s="12" t="str">
        <f t="shared" si="87"/>
        <v>-</v>
      </c>
      <c r="AG243" s="12"/>
      <c r="AH243" s="17"/>
      <c r="AI243" s="16"/>
      <c r="AJ243" s="2">
        <f t="shared" si="80"/>
        <v>232</v>
      </c>
      <c r="AK243" s="2">
        <f t="shared" si="81"/>
        <v>693</v>
      </c>
      <c r="AL243" s="2">
        <f t="shared" si="82"/>
        <v>1033</v>
      </c>
      <c r="AM243" s="2">
        <f t="shared" si="83"/>
        <v>549</v>
      </c>
    </row>
    <row r="244" spans="1:39" outlineLevel="1" x14ac:dyDescent="0.25">
      <c r="A244" t="s">
        <v>35</v>
      </c>
      <c r="B244" s="7" t="str">
        <f t="shared" si="100"/>
        <v>Seite innen (1440x980)</v>
      </c>
      <c r="C244">
        <v>3521</v>
      </c>
      <c r="D244" s="7" t="s">
        <v>47</v>
      </c>
      <c r="E244">
        <v>1440</v>
      </c>
      <c r="F244">
        <v>980</v>
      </c>
      <c r="I244" s="45">
        <f t="shared" si="88"/>
        <v>1.4112</v>
      </c>
      <c r="J244" s="46">
        <f t="shared" si="89"/>
        <v>4.84</v>
      </c>
      <c r="K244" s="62">
        <f t="shared" si="90"/>
        <v>264</v>
      </c>
      <c r="L244" s="28">
        <v>193</v>
      </c>
      <c r="M244" s="13">
        <f t="shared" si="101"/>
        <v>0.36787564766839376</v>
      </c>
      <c r="N244" s="12">
        <f t="shared" si="84"/>
        <v>71</v>
      </c>
      <c r="O244" s="30" t="s">
        <v>72</v>
      </c>
      <c r="Q244" s="62">
        <f t="shared" si="91"/>
        <v>778</v>
      </c>
      <c r="R244" s="28">
        <v>564</v>
      </c>
      <c r="S244" s="13">
        <f t="shared" si="102"/>
        <v>0.37943262411347511</v>
      </c>
      <c r="T244" s="12">
        <f t="shared" si="85"/>
        <v>214</v>
      </c>
      <c r="U244" s="30" t="s">
        <v>72</v>
      </c>
      <c r="V244" s="30"/>
      <c r="W244" s="62">
        <f t="shared" si="92"/>
        <v>616</v>
      </c>
      <c r="X244" s="28">
        <v>451</v>
      </c>
      <c r="Y244" s="13">
        <f t="shared" si="103"/>
        <v>0.36585365853658547</v>
      </c>
      <c r="Z244" s="12">
        <f t="shared" si="86"/>
        <v>165</v>
      </c>
      <c r="AA244" s="12"/>
      <c r="AB244" s="64"/>
      <c r="AC244" s="62">
        <f t="shared" si="93"/>
        <v>1159</v>
      </c>
      <c r="AD244" s="28" t="s">
        <v>63</v>
      </c>
      <c r="AE244" s="13" t="str">
        <f t="shared" si="104"/>
        <v>-</v>
      </c>
      <c r="AF244" s="12" t="str">
        <f t="shared" si="87"/>
        <v>-</v>
      </c>
      <c r="AG244" s="12"/>
      <c r="AH244" s="17"/>
      <c r="AI244" s="16"/>
      <c r="AJ244" s="2">
        <f t="shared" si="80"/>
        <v>290</v>
      </c>
      <c r="AK244" s="2">
        <f t="shared" si="81"/>
        <v>856</v>
      </c>
      <c r="AL244" s="2">
        <f t="shared" si="82"/>
        <v>1275</v>
      </c>
      <c r="AM244" s="2">
        <f t="shared" si="83"/>
        <v>678</v>
      </c>
    </row>
    <row r="245" spans="1:39" outlineLevel="1" x14ac:dyDescent="0.25">
      <c r="A245" t="s">
        <v>35</v>
      </c>
      <c r="B245" s="7" t="str">
        <f t="shared" si="100"/>
        <v>Seite innen (1800x780)</v>
      </c>
      <c r="C245">
        <v>3522</v>
      </c>
      <c r="D245" s="7" t="s">
        <v>47</v>
      </c>
      <c r="E245">
        <v>1800</v>
      </c>
      <c r="F245">
        <v>780</v>
      </c>
      <c r="I245" s="45">
        <f t="shared" si="88"/>
        <v>1.4039999999999999</v>
      </c>
      <c r="J245" s="46">
        <f t="shared" si="89"/>
        <v>5.16</v>
      </c>
      <c r="K245" s="62">
        <f t="shared" si="90"/>
        <v>264</v>
      </c>
      <c r="L245" s="28">
        <v>193</v>
      </c>
      <c r="M245" s="13">
        <f t="shared" si="101"/>
        <v>0.36787564766839376</v>
      </c>
      <c r="N245" s="12">
        <f t="shared" si="84"/>
        <v>71</v>
      </c>
      <c r="O245" s="30" t="s">
        <v>72</v>
      </c>
      <c r="Q245" s="62">
        <f t="shared" si="91"/>
        <v>520</v>
      </c>
      <c r="R245" s="28" t="s">
        <v>63</v>
      </c>
      <c r="S245" s="47"/>
      <c r="T245" s="50"/>
      <c r="U245" s="51"/>
      <c r="V245" s="51"/>
      <c r="W245" s="62">
        <f t="shared" si="92"/>
        <v>612</v>
      </c>
      <c r="X245" s="28">
        <v>448</v>
      </c>
      <c r="Y245" s="13">
        <f t="shared" si="103"/>
        <v>0.3660714285714286</v>
      </c>
      <c r="Z245" s="12">
        <f t="shared" si="86"/>
        <v>164</v>
      </c>
      <c r="AA245" s="12"/>
      <c r="AB245" s="64"/>
      <c r="AC245" s="62">
        <f t="shared" si="93"/>
        <v>1151</v>
      </c>
      <c r="AD245" s="28" t="s">
        <v>63</v>
      </c>
      <c r="AE245" s="13" t="str">
        <f t="shared" si="104"/>
        <v>-</v>
      </c>
      <c r="AF245" s="12" t="str">
        <f t="shared" si="87"/>
        <v>-</v>
      </c>
      <c r="AG245" s="12"/>
      <c r="AI245" s="16"/>
      <c r="AJ245" s="2">
        <f t="shared" si="80"/>
        <v>290</v>
      </c>
      <c r="AK245" s="2">
        <f t="shared" si="81"/>
        <v>572</v>
      </c>
      <c r="AL245" s="2">
        <f t="shared" si="82"/>
        <v>1266</v>
      </c>
      <c r="AM245" s="2">
        <f t="shared" si="83"/>
        <v>673</v>
      </c>
    </row>
    <row r="246" spans="1:39" outlineLevel="1" x14ac:dyDescent="0.25">
      <c r="A246" t="s">
        <v>35</v>
      </c>
      <c r="B246" s="7" t="str">
        <f t="shared" si="100"/>
        <v>Seite innen (1800x980)</v>
      </c>
      <c r="C246">
        <v>3523</v>
      </c>
      <c r="D246" s="7" t="s">
        <v>47</v>
      </c>
      <c r="E246">
        <v>1800</v>
      </c>
      <c r="F246">
        <v>980</v>
      </c>
      <c r="I246" s="45">
        <f t="shared" si="88"/>
        <v>1.764</v>
      </c>
      <c r="J246" s="46">
        <f t="shared" si="89"/>
        <v>5.5600000000000005</v>
      </c>
      <c r="K246" s="62">
        <f t="shared" si="90"/>
        <v>329</v>
      </c>
      <c r="L246" s="28">
        <v>241</v>
      </c>
      <c r="M246" s="13">
        <f t="shared" si="101"/>
        <v>0.36514522821576767</v>
      </c>
      <c r="N246" s="12">
        <f t="shared" si="84"/>
        <v>88</v>
      </c>
      <c r="O246" s="30" t="s">
        <v>72</v>
      </c>
      <c r="Q246" s="62">
        <f t="shared" si="91"/>
        <v>648</v>
      </c>
      <c r="R246" s="28" t="s">
        <v>63</v>
      </c>
      <c r="S246" s="47"/>
      <c r="T246" s="50"/>
      <c r="U246" s="51"/>
      <c r="V246" s="51"/>
      <c r="W246" s="62">
        <f t="shared" si="92"/>
        <v>753</v>
      </c>
      <c r="X246" s="28">
        <v>553</v>
      </c>
      <c r="Y246" s="13">
        <f t="shared" si="103"/>
        <v>0.36166365280289337</v>
      </c>
      <c r="Z246" s="12">
        <f t="shared" si="86"/>
        <v>200</v>
      </c>
      <c r="AA246" s="12"/>
      <c r="AB246" s="64"/>
      <c r="AC246" s="62">
        <f t="shared" si="93"/>
        <v>1417</v>
      </c>
      <c r="AD246" s="28" t="s">
        <v>63</v>
      </c>
      <c r="AE246" s="13" t="str">
        <f t="shared" si="104"/>
        <v>-</v>
      </c>
      <c r="AF246" s="12" t="str">
        <f t="shared" si="87"/>
        <v>-</v>
      </c>
      <c r="AG246" s="12"/>
      <c r="AI246" s="16"/>
      <c r="AJ246" s="2">
        <f t="shared" si="80"/>
        <v>362</v>
      </c>
      <c r="AK246" s="2">
        <f t="shared" si="81"/>
        <v>713</v>
      </c>
      <c r="AL246" s="2">
        <f t="shared" si="82"/>
        <v>1559</v>
      </c>
      <c r="AM246" s="2">
        <f t="shared" si="83"/>
        <v>828</v>
      </c>
    </row>
    <row r="247" spans="1:39" outlineLevel="1" x14ac:dyDescent="0.25">
      <c r="A247" t="s">
        <v>35</v>
      </c>
      <c r="B247" s="7" t="str">
        <f t="shared" si="100"/>
        <v>Seite innen (580x580)</v>
      </c>
      <c r="C247" s="3">
        <v>3524</v>
      </c>
      <c r="D247" s="7" t="s">
        <v>47</v>
      </c>
      <c r="E247">
        <v>580</v>
      </c>
      <c r="F247">
        <v>580</v>
      </c>
      <c r="I247" s="45">
        <f t="shared" si="88"/>
        <v>0.33639999999999998</v>
      </c>
      <c r="J247" s="46">
        <f t="shared" si="89"/>
        <v>2.3199999999999998</v>
      </c>
      <c r="K247" s="62">
        <f t="shared" si="90"/>
        <v>67</v>
      </c>
      <c r="L247" s="28">
        <v>46</v>
      </c>
      <c r="M247" s="13">
        <f t="shared" si="101"/>
        <v>0.45652173913043481</v>
      </c>
      <c r="N247" s="12">
        <f t="shared" si="84"/>
        <v>21</v>
      </c>
      <c r="O247" s="12"/>
      <c r="Q247" s="62">
        <f t="shared" si="91"/>
        <v>228</v>
      </c>
      <c r="R247" s="28">
        <v>155</v>
      </c>
      <c r="S247" s="12">
        <f t="shared" si="102"/>
        <v>0.47096774193548385</v>
      </c>
      <c r="T247" s="12">
        <f t="shared" si="85"/>
        <v>73</v>
      </c>
      <c r="U247" s="12"/>
      <c r="V247" s="12"/>
      <c r="W247" s="62">
        <f t="shared" si="92"/>
        <v>183</v>
      </c>
      <c r="X247" s="28">
        <v>129</v>
      </c>
      <c r="Y247" s="13">
        <f t="shared" si="103"/>
        <v>0.41860465116279078</v>
      </c>
      <c r="Z247" s="12">
        <f t="shared" si="86"/>
        <v>54</v>
      </c>
      <c r="AA247" s="12"/>
      <c r="AB247" s="64"/>
      <c r="AC247" s="62">
        <f t="shared" si="93"/>
        <v>191</v>
      </c>
      <c r="AD247" s="28">
        <v>135</v>
      </c>
      <c r="AE247" s="12">
        <f t="shared" si="104"/>
        <v>0.41481481481481475</v>
      </c>
      <c r="AF247" s="12">
        <f t="shared" si="87"/>
        <v>56</v>
      </c>
      <c r="AG247" s="12"/>
      <c r="AH247" s="17"/>
      <c r="AI247" s="17"/>
      <c r="AJ247" s="2">
        <f t="shared" si="80"/>
        <v>74</v>
      </c>
      <c r="AK247" s="2">
        <f t="shared" si="81"/>
        <v>251</v>
      </c>
      <c r="AL247" s="2">
        <f t="shared" si="82"/>
        <v>210</v>
      </c>
      <c r="AM247" s="2">
        <f t="shared" si="83"/>
        <v>201</v>
      </c>
    </row>
    <row r="248" spans="1:39" outlineLevel="1" x14ac:dyDescent="0.25">
      <c r="A248" t="s">
        <v>35</v>
      </c>
      <c r="B248" s="7" t="str">
        <f t="shared" si="100"/>
        <v xml:space="preserve"> (x)</v>
      </c>
      <c r="C248" s="3">
        <v>3525</v>
      </c>
      <c r="I248" s="45" t="str">
        <f t="shared" si="88"/>
        <v/>
      </c>
      <c r="J248" s="46" t="str">
        <f t="shared" si="89"/>
        <v/>
      </c>
      <c r="K248" s="62">
        <f t="shared" si="90"/>
        <v>0</v>
      </c>
      <c r="L248" s="28" t="s">
        <v>63</v>
      </c>
      <c r="M248" s="12" t="str">
        <f t="shared" si="101"/>
        <v>-</v>
      </c>
      <c r="N248" s="12" t="str">
        <f t="shared" si="84"/>
        <v>-</v>
      </c>
      <c r="O248" s="12"/>
      <c r="Q248" s="62">
        <f t="shared" si="91"/>
        <v>0</v>
      </c>
      <c r="R248" s="28" t="s">
        <v>63</v>
      </c>
      <c r="S248" s="12" t="str">
        <f t="shared" si="102"/>
        <v>-</v>
      </c>
      <c r="T248" s="12" t="str">
        <f t="shared" si="85"/>
        <v>-</v>
      </c>
      <c r="U248" s="12"/>
      <c r="V248" s="12"/>
      <c r="W248" s="62">
        <f t="shared" si="92"/>
        <v>0</v>
      </c>
      <c r="X248" s="28" t="s">
        <v>63</v>
      </c>
      <c r="Y248" s="12" t="str">
        <f t="shared" si="103"/>
        <v>-</v>
      </c>
      <c r="Z248" s="12" t="str">
        <f t="shared" si="86"/>
        <v>-</v>
      </c>
      <c r="AA248" s="12"/>
      <c r="AB248" s="64"/>
      <c r="AC248" s="62">
        <f t="shared" si="93"/>
        <v>0</v>
      </c>
      <c r="AD248" s="28" t="s">
        <v>68</v>
      </c>
      <c r="AE248" s="12" t="str">
        <f t="shared" si="104"/>
        <v>-</v>
      </c>
      <c r="AF248" s="12" t="str">
        <f t="shared" si="87"/>
        <v>-</v>
      </c>
      <c r="AG248" s="12"/>
      <c r="AH248" s="17"/>
      <c r="AI248" s="17"/>
      <c r="AJ248" s="2">
        <f t="shared" si="80"/>
        <v>0</v>
      </c>
      <c r="AK248" s="2">
        <f t="shared" si="81"/>
        <v>0</v>
      </c>
      <c r="AL248" s="2">
        <f t="shared" si="82"/>
        <v>0</v>
      </c>
      <c r="AM248" s="2">
        <f t="shared" si="83"/>
        <v>0</v>
      </c>
    </row>
    <row r="249" spans="1:39" outlineLevel="1" x14ac:dyDescent="0.25">
      <c r="A249" t="s">
        <v>35</v>
      </c>
      <c r="B249" s="7" t="str">
        <f t="shared" si="100"/>
        <v xml:space="preserve"> (x)</v>
      </c>
      <c r="C249" s="3">
        <v>3526</v>
      </c>
      <c r="I249" s="45" t="str">
        <f t="shared" si="88"/>
        <v/>
      </c>
      <c r="J249" s="46" t="str">
        <f t="shared" si="89"/>
        <v/>
      </c>
      <c r="K249" s="62">
        <f t="shared" si="90"/>
        <v>0</v>
      </c>
      <c r="L249" s="28" t="s">
        <v>63</v>
      </c>
      <c r="M249" s="12" t="str">
        <f t="shared" si="101"/>
        <v>-</v>
      </c>
      <c r="N249" s="12" t="str">
        <f t="shared" si="84"/>
        <v>-</v>
      </c>
      <c r="O249" s="12"/>
      <c r="Q249" s="62">
        <f t="shared" si="91"/>
        <v>0</v>
      </c>
      <c r="R249" s="28" t="s">
        <v>63</v>
      </c>
      <c r="S249" s="12" t="str">
        <f t="shared" si="102"/>
        <v>-</v>
      </c>
      <c r="T249" s="12" t="str">
        <f t="shared" si="85"/>
        <v>-</v>
      </c>
      <c r="U249" s="12"/>
      <c r="V249" s="12"/>
      <c r="W249" s="62">
        <f t="shared" si="92"/>
        <v>0</v>
      </c>
      <c r="X249" s="28" t="s">
        <v>63</v>
      </c>
      <c r="Y249" s="12" t="str">
        <f t="shared" si="103"/>
        <v>-</v>
      </c>
      <c r="Z249" s="12" t="str">
        <f t="shared" si="86"/>
        <v>-</v>
      </c>
      <c r="AA249" s="12"/>
      <c r="AB249" s="64"/>
      <c r="AC249" s="62">
        <f t="shared" si="93"/>
        <v>0</v>
      </c>
      <c r="AD249" s="28" t="s">
        <v>68</v>
      </c>
      <c r="AE249" s="12" t="str">
        <f t="shared" si="104"/>
        <v>-</v>
      </c>
      <c r="AF249" s="12" t="str">
        <f t="shared" si="87"/>
        <v>-</v>
      </c>
      <c r="AG249" s="12"/>
      <c r="AH249" s="17"/>
      <c r="AI249" s="17"/>
      <c r="AJ249" s="2">
        <f t="shared" ref="AJ249:AJ312" si="105">+IFERROR(ROUND(K249*(1+AJ$2),0),"-")</f>
        <v>0</v>
      </c>
      <c r="AK249" s="2">
        <f t="shared" ref="AK249:AK312" si="106">+IFERROR(ROUND(Q249*(1+AK$2),0),"-")</f>
        <v>0</v>
      </c>
      <c r="AL249" s="2">
        <f t="shared" ref="AL249:AL312" si="107">+IFERROR(ROUND(AC249*(1+AL$2),0),"-")</f>
        <v>0</v>
      </c>
      <c r="AM249" s="2">
        <f t="shared" ref="AM249:AM312" si="108">+IFERROR(ROUND(W249*(1+AM$2),0),"-")</f>
        <v>0</v>
      </c>
    </row>
    <row r="250" spans="1:39" outlineLevel="1" x14ac:dyDescent="0.25">
      <c r="A250" t="s">
        <v>35</v>
      </c>
      <c r="B250" s="7" t="str">
        <f t="shared" si="100"/>
        <v xml:space="preserve"> (x)</v>
      </c>
      <c r="C250" s="3">
        <v>3527</v>
      </c>
      <c r="I250" s="45" t="str">
        <f t="shared" si="88"/>
        <v/>
      </c>
      <c r="J250" s="46" t="str">
        <f t="shared" si="89"/>
        <v/>
      </c>
      <c r="K250" s="62">
        <f t="shared" si="90"/>
        <v>0</v>
      </c>
      <c r="L250" s="28" t="s">
        <v>63</v>
      </c>
      <c r="M250" s="12" t="str">
        <f t="shared" si="101"/>
        <v>-</v>
      </c>
      <c r="N250" s="12" t="str">
        <f t="shared" si="84"/>
        <v>-</v>
      </c>
      <c r="O250" s="12"/>
      <c r="Q250" s="62">
        <f t="shared" si="91"/>
        <v>0</v>
      </c>
      <c r="R250" s="28" t="s">
        <v>63</v>
      </c>
      <c r="S250" s="12" t="str">
        <f t="shared" si="102"/>
        <v>-</v>
      </c>
      <c r="T250" s="12" t="str">
        <f t="shared" si="85"/>
        <v>-</v>
      </c>
      <c r="U250" s="12"/>
      <c r="V250" s="12"/>
      <c r="W250" s="62">
        <f t="shared" si="92"/>
        <v>0</v>
      </c>
      <c r="X250" s="28" t="s">
        <v>63</v>
      </c>
      <c r="Y250" s="12" t="str">
        <f t="shared" si="103"/>
        <v>-</v>
      </c>
      <c r="Z250" s="12" t="str">
        <f t="shared" si="86"/>
        <v>-</v>
      </c>
      <c r="AA250" s="12"/>
      <c r="AB250" s="64"/>
      <c r="AC250" s="62">
        <f t="shared" si="93"/>
        <v>0</v>
      </c>
      <c r="AD250" s="28" t="s">
        <v>68</v>
      </c>
      <c r="AE250" s="12" t="str">
        <f t="shared" si="104"/>
        <v>-</v>
      </c>
      <c r="AF250" s="12" t="str">
        <f t="shared" si="87"/>
        <v>-</v>
      </c>
      <c r="AG250" s="12"/>
      <c r="AH250" s="17"/>
      <c r="AI250" s="17"/>
      <c r="AJ250" s="2">
        <f t="shared" si="105"/>
        <v>0</v>
      </c>
      <c r="AK250" s="2">
        <f t="shared" si="106"/>
        <v>0</v>
      </c>
      <c r="AL250" s="2">
        <f t="shared" si="107"/>
        <v>0</v>
      </c>
      <c r="AM250" s="2">
        <f t="shared" si="108"/>
        <v>0</v>
      </c>
    </row>
    <row r="251" spans="1:39" outlineLevel="1" x14ac:dyDescent="0.25">
      <c r="A251" t="s">
        <v>35</v>
      </c>
      <c r="B251" s="7" t="str">
        <f t="shared" si="100"/>
        <v xml:space="preserve"> (x)</v>
      </c>
      <c r="C251" s="3">
        <v>3528</v>
      </c>
      <c r="I251" s="45" t="str">
        <f t="shared" si="88"/>
        <v/>
      </c>
      <c r="J251" s="46" t="str">
        <f t="shared" si="89"/>
        <v/>
      </c>
      <c r="K251" s="62">
        <f t="shared" si="90"/>
        <v>0</v>
      </c>
      <c r="L251" s="28" t="s">
        <v>63</v>
      </c>
      <c r="M251" s="12" t="str">
        <f t="shared" si="101"/>
        <v>-</v>
      </c>
      <c r="N251" s="12" t="str">
        <f t="shared" si="84"/>
        <v>-</v>
      </c>
      <c r="O251" s="12"/>
      <c r="Q251" s="62">
        <f t="shared" si="91"/>
        <v>0</v>
      </c>
      <c r="R251" s="28" t="s">
        <v>63</v>
      </c>
      <c r="S251" s="12" t="str">
        <f t="shared" si="102"/>
        <v>-</v>
      </c>
      <c r="T251" s="12" t="str">
        <f t="shared" si="85"/>
        <v>-</v>
      </c>
      <c r="U251" s="12"/>
      <c r="V251" s="12"/>
      <c r="W251" s="62">
        <f t="shared" si="92"/>
        <v>0</v>
      </c>
      <c r="X251" s="28" t="s">
        <v>63</v>
      </c>
      <c r="Y251" s="12" t="str">
        <f t="shared" si="103"/>
        <v>-</v>
      </c>
      <c r="Z251" s="12" t="str">
        <f t="shared" si="86"/>
        <v>-</v>
      </c>
      <c r="AA251" s="12"/>
      <c r="AB251" s="64"/>
      <c r="AC251" s="62">
        <f t="shared" si="93"/>
        <v>0</v>
      </c>
      <c r="AD251" s="28" t="s">
        <v>68</v>
      </c>
      <c r="AE251" s="12" t="str">
        <f t="shared" si="104"/>
        <v>-</v>
      </c>
      <c r="AF251" s="12" t="str">
        <f t="shared" si="87"/>
        <v>-</v>
      </c>
      <c r="AG251" s="12"/>
      <c r="AH251" s="17"/>
      <c r="AI251" s="17"/>
      <c r="AJ251" s="2">
        <f t="shared" si="105"/>
        <v>0</v>
      </c>
      <c r="AK251" s="2">
        <f t="shared" si="106"/>
        <v>0</v>
      </c>
      <c r="AL251" s="2">
        <f t="shared" si="107"/>
        <v>0</v>
      </c>
      <c r="AM251" s="2">
        <f t="shared" si="108"/>
        <v>0</v>
      </c>
    </row>
    <row r="252" spans="1:39" outlineLevel="1" x14ac:dyDescent="0.25">
      <c r="A252" t="s">
        <v>35</v>
      </c>
      <c r="B252" s="7" t="str">
        <f t="shared" si="100"/>
        <v xml:space="preserve"> (x)</v>
      </c>
      <c r="C252" s="3">
        <v>3529</v>
      </c>
      <c r="I252" s="45" t="str">
        <f t="shared" si="88"/>
        <v/>
      </c>
      <c r="J252" s="46" t="str">
        <f t="shared" si="89"/>
        <v/>
      </c>
      <c r="K252" s="62">
        <f t="shared" si="90"/>
        <v>0</v>
      </c>
      <c r="L252" s="28" t="s">
        <v>63</v>
      </c>
      <c r="M252" s="12" t="str">
        <f t="shared" si="101"/>
        <v>-</v>
      </c>
      <c r="N252" s="12" t="str">
        <f t="shared" si="84"/>
        <v>-</v>
      </c>
      <c r="O252" s="12"/>
      <c r="Q252" s="62">
        <f t="shared" si="91"/>
        <v>0</v>
      </c>
      <c r="R252" s="28" t="s">
        <v>63</v>
      </c>
      <c r="S252" s="12" t="str">
        <f t="shared" si="102"/>
        <v>-</v>
      </c>
      <c r="T252" s="12" t="str">
        <f t="shared" si="85"/>
        <v>-</v>
      </c>
      <c r="U252" s="12"/>
      <c r="V252" s="12"/>
      <c r="W252" s="62">
        <f t="shared" si="92"/>
        <v>0</v>
      </c>
      <c r="X252" s="28" t="s">
        <v>63</v>
      </c>
      <c r="Y252" s="12" t="str">
        <f t="shared" si="103"/>
        <v>-</v>
      </c>
      <c r="Z252" s="12" t="str">
        <f t="shared" si="86"/>
        <v>-</v>
      </c>
      <c r="AA252" s="12"/>
      <c r="AB252" s="64"/>
      <c r="AC252" s="62">
        <f t="shared" si="93"/>
        <v>0</v>
      </c>
      <c r="AD252" s="28" t="s">
        <v>68</v>
      </c>
      <c r="AE252" s="12" t="str">
        <f t="shared" si="104"/>
        <v>-</v>
      </c>
      <c r="AF252" s="12" t="str">
        <f t="shared" si="87"/>
        <v>-</v>
      </c>
      <c r="AG252" s="12"/>
      <c r="AH252" s="17"/>
      <c r="AI252" s="17"/>
      <c r="AJ252" s="2">
        <f t="shared" si="105"/>
        <v>0</v>
      </c>
      <c r="AK252" s="2">
        <f t="shared" si="106"/>
        <v>0</v>
      </c>
      <c r="AL252" s="2">
        <f t="shared" si="107"/>
        <v>0</v>
      </c>
      <c r="AM252" s="2">
        <f t="shared" si="108"/>
        <v>0</v>
      </c>
    </row>
    <row r="253" spans="1:39" outlineLevel="1" x14ac:dyDescent="0.25">
      <c r="A253" t="s">
        <v>35</v>
      </c>
      <c r="B253" s="7" t="str">
        <f t="shared" si="100"/>
        <v xml:space="preserve"> (x)</v>
      </c>
      <c r="C253" s="3">
        <v>3530</v>
      </c>
      <c r="I253" s="45" t="str">
        <f t="shared" si="88"/>
        <v/>
      </c>
      <c r="J253" s="46" t="str">
        <f t="shared" si="89"/>
        <v/>
      </c>
      <c r="K253" s="62">
        <f t="shared" si="90"/>
        <v>0</v>
      </c>
      <c r="L253" s="28" t="s">
        <v>63</v>
      </c>
      <c r="M253" s="12" t="str">
        <f t="shared" si="101"/>
        <v>-</v>
      </c>
      <c r="N253" s="12" t="str">
        <f t="shared" si="84"/>
        <v>-</v>
      </c>
      <c r="O253" s="12"/>
      <c r="Q253" s="62">
        <f t="shared" si="91"/>
        <v>0</v>
      </c>
      <c r="R253" s="28" t="s">
        <v>63</v>
      </c>
      <c r="S253" s="12" t="str">
        <f t="shared" si="102"/>
        <v>-</v>
      </c>
      <c r="T253" s="12" t="str">
        <f t="shared" si="85"/>
        <v>-</v>
      </c>
      <c r="U253" s="12"/>
      <c r="V253" s="12"/>
      <c r="W253" s="62">
        <f t="shared" si="92"/>
        <v>0</v>
      </c>
      <c r="X253" s="28" t="s">
        <v>63</v>
      </c>
      <c r="Y253" s="12" t="str">
        <f t="shared" si="103"/>
        <v>-</v>
      </c>
      <c r="Z253" s="12" t="str">
        <f t="shared" si="86"/>
        <v>-</v>
      </c>
      <c r="AA253" s="12"/>
      <c r="AB253" s="64"/>
      <c r="AC253" s="62">
        <f t="shared" si="93"/>
        <v>0</v>
      </c>
      <c r="AD253" s="28" t="s">
        <v>68</v>
      </c>
      <c r="AE253" s="12" t="str">
        <f t="shared" si="104"/>
        <v>-</v>
      </c>
      <c r="AF253" s="12" t="str">
        <f t="shared" si="87"/>
        <v>-</v>
      </c>
      <c r="AG253" s="12"/>
      <c r="AH253" s="17"/>
      <c r="AI253" s="17"/>
      <c r="AJ253" s="2">
        <f t="shared" si="105"/>
        <v>0</v>
      </c>
      <c r="AK253" s="2">
        <f t="shared" si="106"/>
        <v>0</v>
      </c>
      <c r="AL253" s="2">
        <f t="shared" si="107"/>
        <v>0</v>
      </c>
      <c r="AM253" s="2">
        <f t="shared" si="108"/>
        <v>0</v>
      </c>
    </row>
    <row r="254" spans="1:39" outlineLevel="1" x14ac:dyDescent="0.25">
      <c r="A254" t="s">
        <v>35</v>
      </c>
      <c r="B254" s="7" t="str">
        <f t="shared" si="100"/>
        <v xml:space="preserve"> (x)</v>
      </c>
      <c r="C254" s="3">
        <v>3531</v>
      </c>
      <c r="I254" s="45" t="str">
        <f t="shared" si="88"/>
        <v/>
      </c>
      <c r="J254" s="46" t="str">
        <f t="shared" si="89"/>
        <v/>
      </c>
      <c r="K254" s="62">
        <f t="shared" si="90"/>
        <v>0</v>
      </c>
      <c r="L254" s="28" t="s">
        <v>63</v>
      </c>
      <c r="M254" s="12" t="str">
        <f t="shared" si="101"/>
        <v>-</v>
      </c>
      <c r="N254" s="12" t="str">
        <f t="shared" si="84"/>
        <v>-</v>
      </c>
      <c r="O254" s="12"/>
      <c r="Q254" s="62">
        <f t="shared" si="91"/>
        <v>0</v>
      </c>
      <c r="R254" s="28" t="s">
        <v>63</v>
      </c>
      <c r="S254" s="12" t="str">
        <f t="shared" si="102"/>
        <v>-</v>
      </c>
      <c r="T254" s="12" t="str">
        <f t="shared" si="85"/>
        <v>-</v>
      </c>
      <c r="U254" s="12"/>
      <c r="V254" s="12"/>
      <c r="W254" s="62">
        <f t="shared" si="92"/>
        <v>0</v>
      </c>
      <c r="X254" s="28" t="s">
        <v>63</v>
      </c>
      <c r="Y254" s="12" t="str">
        <f t="shared" si="103"/>
        <v>-</v>
      </c>
      <c r="Z254" s="12" t="str">
        <f t="shared" si="86"/>
        <v>-</v>
      </c>
      <c r="AA254" s="12"/>
      <c r="AB254" s="64"/>
      <c r="AC254" s="62">
        <f t="shared" si="93"/>
        <v>0</v>
      </c>
      <c r="AD254" s="28" t="s">
        <v>68</v>
      </c>
      <c r="AE254" s="12" t="str">
        <f t="shared" si="104"/>
        <v>-</v>
      </c>
      <c r="AF254" s="12" t="str">
        <f t="shared" si="87"/>
        <v>-</v>
      </c>
      <c r="AG254" s="12"/>
      <c r="AH254" s="17"/>
      <c r="AI254" s="17"/>
      <c r="AJ254" s="2">
        <f t="shared" si="105"/>
        <v>0</v>
      </c>
      <c r="AK254" s="2">
        <f t="shared" si="106"/>
        <v>0</v>
      </c>
      <c r="AL254" s="2">
        <f t="shared" si="107"/>
        <v>0</v>
      </c>
      <c r="AM254" s="2">
        <f t="shared" si="108"/>
        <v>0</v>
      </c>
    </row>
    <row r="255" spans="1:39" outlineLevel="1" x14ac:dyDescent="0.25">
      <c r="A255" t="s">
        <v>35</v>
      </c>
      <c r="B255" s="7" t="str">
        <f t="shared" si="100"/>
        <v xml:space="preserve"> (x)</v>
      </c>
      <c r="C255" s="3">
        <v>3532</v>
      </c>
      <c r="I255" s="45" t="str">
        <f t="shared" si="88"/>
        <v/>
      </c>
      <c r="J255" s="46" t="str">
        <f t="shared" si="89"/>
        <v/>
      </c>
      <c r="K255" s="62">
        <f t="shared" si="90"/>
        <v>0</v>
      </c>
      <c r="L255" s="28" t="s">
        <v>63</v>
      </c>
      <c r="M255" s="12" t="str">
        <f t="shared" ref="M255:M275" si="109">IFERROR(K255/L255-1,"-")</f>
        <v>-</v>
      </c>
      <c r="N255" s="12" t="str">
        <f t="shared" si="84"/>
        <v>-</v>
      </c>
      <c r="O255" s="12"/>
      <c r="Q255" s="62">
        <f t="shared" si="91"/>
        <v>0</v>
      </c>
      <c r="R255" s="28" t="s">
        <v>63</v>
      </c>
      <c r="S255" s="12" t="str">
        <f t="shared" ref="S255:S275" si="110">IFERROR(Q255/R255-1,"-")</f>
        <v>-</v>
      </c>
      <c r="T255" s="12" t="str">
        <f t="shared" si="85"/>
        <v>-</v>
      </c>
      <c r="U255" s="12"/>
      <c r="V255" s="12"/>
      <c r="W255" s="62">
        <f t="shared" si="92"/>
        <v>0</v>
      </c>
      <c r="X255" s="28" t="s">
        <v>63</v>
      </c>
      <c r="Y255" s="12" t="str">
        <f t="shared" ref="Y255:Y275" si="111">IFERROR(W255/X255-1,"-")</f>
        <v>-</v>
      </c>
      <c r="Z255" s="12" t="str">
        <f t="shared" si="86"/>
        <v>-</v>
      </c>
      <c r="AA255" s="12"/>
      <c r="AB255" s="64"/>
      <c r="AC255" s="62">
        <f t="shared" si="93"/>
        <v>0</v>
      </c>
      <c r="AD255" s="28" t="s">
        <v>68</v>
      </c>
      <c r="AE255" s="12" t="str">
        <f t="shared" ref="AE255:AE275" si="112">IFERROR(AC255/AD255-1,"-")</f>
        <v>-</v>
      </c>
      <c r="AF255" s="12" t="str">
        <f t="shared" si="87"/>
        <v>-</v>
      </c>
      <c r="AG255" s="12"/>
      <c r="AH255" s="17"/>
      <c r="AI255" s="17"/>
      <c r="AJ255" s="2">
        <f t="shared" si="105"/>
        <v>0</v>
      </c>
      <c r="AK255" s="2">
        <f t="shared" si="106"/>
        <v>0</v>
      </c>
      <c r="AL255" s="2">
        <f t="shared" si="107"/>
        <v>0</v>
      </c>
      <c r="AM255" s="2">
        <f t="shared" si="108"/>
        <v>0</v>
      </c>
    </row>
    <row r="256" spans="1:39" outlineLevel="1" x14ac:dyDescent="0.25">
      <c r="A256" t="s">
        <v>35</v>
      </c>
      <c r="B256" s="7" t="str">
        <f t="shared" si="100"/>
        <v xml:space="preserve"> (x)</v>
      </c>
      <c r="C256" s="3">
        <v>3533</v>
      </c>
      <c r="I256" s="45" t="str">
        <f t="shared" si="88"/>
        <v/>
      </c>
      <c r="J256" s="46" t="str">
        <f t="shared" si="89"/>
        <v/>
      </c>
      <c r="K256" s="62">
        <f t="shared" si="90"/>
        <v>0</v>
      </c>
      <c r="L256" s="28" t="s">
        <v>63</v>
      </c>
      <c r="M256" s="12" t="str">
        <f t="shared" si="109"/>
        <v>-</v>
      </c>
      <c r="N256" s="12" t="str">
        <f t="shared" si="84"/>
        <v>-</v>
      </c>
      <c r="O256" s="12"/>
      <c r="Q256" s="62">
        <f t="shared" si="91"/>
        <v>0</v>
      </c>
      <c r="R256" s="28" t="s">
        <v>63</v>
      </c>
      <c r="S256" s="12" t="str">
        <f t="shared" si="110"/>
        <v>-</v>
      </c>
      <c r="T256" s="12" t="str">
        <f t="shared" si="85"/>
        <v>-</v>
      </c>
      <c r="U256" s="12"/>
      <c r="V256" s="12"/>
      <c r="W256" s="62">
        <f t="shared" si="92"/>
        <v>0</v>
      </c>
      <c r="X256" s="28" t="s">
        <v>63</v>
      </c>
      <c r="Y256" s="12" t="str">
        <f t="shared" si="111"/>
        <v>-</v>
      </c>
      <c r="Z256" s="12" t="str">
        <f t="shared" si="86"/>
        <v>-</v>
      </c>
      <c r="AA256" s="12"/>
      <c r="AB256" s="64"/>
      <c r="AC256" s="62">
        <f t="shared" si="93"/>
        <v>0</v>
      </c>
      <c r="AD256" s="28" t="s">
        <v>68</v>
      </c>
      <c r="AE256" s="12" t="str">
        <f t="shared" si="112"/>
        <v>-</v>
      </c>
      <c r="AF256" s="12" t="str">
        <f t="shared" si="87"/>
        <v>-</v>
      </c>
      <c r="AG256" s="12"/>
      <c r="AH256" s="17"/>
      <c r="AI256" s="17"/>
      <c r="AJ256" s="2">
        <f t="shared" si="105"/>
        <v>0</v>
      </c>
      <c r="AK256" s="2">
        <f t="shared" si="106"/>
        <v>0</v>
      </c>
      <c r="AL256" s="2">
        <f t="shared" si="107"/>
        <v>0</v>
      </c>
      <c r="AM256" s="2">
        <f t="shared" si="108"/>
        <v>0</v>
      </c>
    </row>
    <row r="257" spans="1:39" outlineLevel="1" x14ac:dyDescent="0.25">
      <c r="A257" t="s">
        <v>35</v>
      </c>
      <c r="B257" s="7" t="str">
        <f t="shared" si="100"/>
        <v xml:space="preserve"> (x)</v>
      </c>
      <c r="C257" s="3">
        <v>3534</v>
      </c>
      <c r="I257" s="45" t="str">
        <f t="shared" si="88"/>
        <v/>
      </c>
      <c r="J257" s="46" t="str">
        <f t="shared" si="89"/>
        <v/>
      </c>
      <c r="K257" s="62">
        <f t="shared" si="90"/>
        <v>0</v>
      </c>
      <c r="L257" s="28" t="s">
        <v>63</v>
      </c>
      <c r="M257" s="12" t="str">
        <f t="shared" si="109"/>
        <v>-</v>
      </c>
      <c r="N257" s="12" t="str">
        <f t="shared" si="84"/>
        <v>-</v>
      </c>
      <c r="O257" s="12"/>
      <c r="Q257" s="62">
        <f t="shared" si="91"/>
        <v>0</v>
      </c>
      <c r="R257" s="28" t="s">
        <v>63</v>
      </c>
      <c r="S257" s="12" t="str">
        <f t="shared" si="110"/>
        <v>-</v>
      </c>
      <c r="T257" s="12" t="str">
        <f t="shared" si="85"/>
        <v>-</v>
      </c>
      <c r="U257" s="12"/>
      <c r="V257" s="12"/>
      <c r="W257" s="62">
        <f t="shared" si="92"/>
        <v>0</v>
      </c>
      <c r="X257" s="28" t="s">
        <v>63</v>
      </c>
      <c r="Y257" s="12" t="str">
        <f t="shared" si="111"/>
        <v>-</v>
      </c>
      <c r="Z257" s="12" t="str">
        <f t="shared" si="86"/>
        <v>-</v>
      </c>
      <c r="AA257" s="12"/>
      <c r="AB257" s="64"/>
      <c r="AC257" s="62">
        <f t="shared" si="93"/>
        <v>0</v>
      </c>
      <c r="AD257" s="28" t="s">
        <v>68</v>
      </c>
      <c r="AE257" s="12" t="str">
        <f t="shared" si="112"/>
        <v>-</v>
      </c>
      <c r="AF257" s="12" t="str">
        <f t="shared" si="87"/>
        <v>-</v>
      </c>
      <c r="AG257" s="12"/>
      <c r="AH257" s="17"/>
      <c r="AI257" s="17"/>
      <c r="AJ257" s="2">
        <f t="shared" si="105"/>
        <v>0</v>
      </c>
      <c r="AK257" s="2">
        <f t="shared" si="106"/>
        <v>0</v>
      </c>
      <c r="AL257" s="2">
        <f t="shared" si="107"/>
        <v>0</v>
      </c>
      <c r="AM257" s="2">
        <f t="shared" si="108"/>
        <v>0</v>
      </c>
    </row>
    <row r="258" spans="1:39" outlineLevel="1" x14ac:dyDescent="0.25">
      <c r="A258" t="s">
        <v>35</v>
      </c>
      <c r="B258" s="7" t="str">
        <f t="shared" si="100"/>
        <v xml:space="preserve"> (x)</v>
      </c>
      <c r="C258" s="3">
        <v>3535</v>
      </c>
      <c r="I258" s="45" t="str">
        <f t="shared" si="88"/>
        <v/>
      </c>
      <c r="J258" s="46" t="str">
        <f t="shared" si="89"/>
        <v/>
      </c>
      <c r="K258" s="62">
        <f t="shared" si="90"/>
        <v>0</v>
      </c>
      <c r="L258" s="28" t="s">
        <v>63</v>
      </c>
      <c r="M258" s="12" t="str">
        <f t="shared" si="109"/>
        <v>-</v>
      </c>
      <c r="N258" s="12" t="str">
        <f t="shared" si="84"/>
        <v>-</v>
      </c>
      <c r="O258" s="12"/>
      <c r="Q258" s="62">
        <f t="shared" si="91"/>
        <v>0</v>
      </c>
      <c r="R258" s="28" t="s">
        <v>63</v>
      </c>
      <c r="S258" s="12" t="str">
        <f t="shared" si="110"/>
        <v>-</v>
      </c>
      <c r="T258" s="12" t="str">
        <f t="shared" si="85"/>
        <v>-</v>
      </c>
      <c r="U258" s="12"/>
      <c r="V258" s="12"/>
      <c r="W258" s="62">
        <f t="shared" si="92"/>
        <v>0</v>
      </c>
      <c r="X258" s="28" t="s">
        <v>63</v>
      </c>
      <c r="Y258" s="12" t="str">
        <f t="shared" si="111"/>
        <v>-</v>
      </c>
      <c r="Z258" s="12" t="str">
        <f t="shared" si="86"/>
        <v>-</v>
      </c>
      <c r="AA258" s="12"/>
      <c r="AB258" s="64"/>
      <c r="AC258" s="62">
        <f t="shared" si="93"/>
        <v>0</v>
      </c>
      <c r="AD258" s="28" t="s">
        <v>68</v>
      </c>
      <c r="AE258" s="12" t="str">
        <f t="shared" si="112"/>
        <v>-</v>
      </c>
      <c r="AF258" s="12" t="str">
        <f t="shared" si="87"/>
        <v>-</v>
      </c>
      <c r="AG258" s="12"/>
      <c r="AH258" s="17"/>
      <c r="AI258" s="17"/>
      <c r="AJ258" s="2">
        <f t="shared" si="105"/>
        <v>0</v>
      </c>
      <c r="AK258" s="2">
        <f t="shared" si="106"/>
        <v>0</v>
      </c>
      <c r="AL258" s="2">
        <f t="shared" si="107"/>
        <v>0</v>
      </c>
      <c r="AM258" s="2">
        <f t="shared" si="108"/>
        <v>0</v>
      </c>
    </row>
    <row r="259" spans="1:39" outlineLevel="1" x14ac:dyDescent="0.25">
      <c r="A259" t="s">
        <v>35</v>
      </c>
      <c r="B259" s="7" t="str">
        <f t="shared" si="100"/>
        <v xml:space="preserve"> (x)</v>
      </c>
      <c r="C259" s="3">
        <v>3536</v>
      </c>
      <c r="I259" s="45" t="str">
        <f t="shared" si="88"/>
        <v/>
      </c>
      <c r="J259" s="46" t="str">
        <f t="shared" si="89"/>
        <v/>
      </c>
      <c r="K259" s="62">
        <f t="shared" si="90"/>
        <v>0</v>
      </c>
      <c r="L259" s="28" t="s">
        <v>63</v>
      </c>
      <c r="M259" s="12" t="str">
        <f t="shared" si="109"/>
        <v>-</v>
      </c>
      <c r="N259" s="12" t="str">
        <f t="shared" si="84"/>
        <v>-</v>
      </c>
      <c r="O259" s="12"/>
      <c r="Q259" s="62">
        <f t="shared" si="91"/>
        <v>0</v>
      </c>
      <c r="R259" s="28" t="s">
        <v>63</v>
      </c>
      <c r="S259" s="12" t="str">
        <f t="shared" si="110"/>
        <v>-</v>
      </c>
      <c r="T259" s="12" t="str">
        <f t="shared" si="85"/>
        <v>-</v>
      </c>
      <c r="U259" s="12"/>
      <c r="V259" s="12"/>
      <c r="W259" s="62">
        <f t="shared" si="92"/>
        <v>0</v>
      </c>
      <c r="X259" s="28" t="s">
        <v>63</v>
      </c>
      <c r="Y259" s="12" t="str">
        <f t="shared" si="111"/>
        <v>-</v>
      </c>
      <c r="Z259" s="12" t="str">
        <f t="shared" si="86"/>
        <v>-</v>
      </c>
      <c r="AA259" s="12"/>
      <c r="AB259" s="64"/>
      <c r="AC259" s="62">
        <f t="shared" si="93"/>
        <v>0</v>
      </c>
      <c r="AD259" s="28" t="s">
        <v>68</v>
      </c>
      <c r="AE259" s="12" t="str">
        <f t="shared" si="112"/>
        <v>-</v>
      </c>
      <c r="AF259" s="12" t="str">
        <f t="shared" si="87"/>
        <v>-</v>
      </c>
      <c r="AG259" s="12"/>
      <c r="AH259" s="17"/>
      <c r="AI259" s="17"/>
      <c r="AJ259" s="2">
        <f t="shared" si="105"/>
        <v>0</v>
      </c>
      <c r="AK259" s="2">
        <f t="shared" si="106"/>
        <v>0</v>
      </c>
      <c r="AL259" s="2">
        <f t="shared" si="107"/>
        <v>0</v>
      </c>
      <c r="AM259" s="2">
        <f t="shared" si="108"/>
        <v>0</v>
      </c>
    </row>
    <row r="260" spans="1:39" outlineLevel="1" x14ac:dyDescent="0.25">
      <c r="A260" t="s">
        <v>35</v>
      </c>
      <c r="B260" s="7" t="str">
        <f t="shared" si="100"/>
        <v xml:space="preserve"> (x)</v>
      </c>
      <c r="C260" s="3">
        <v>3537</v>
      </c>
      <c r="I260" s="45" t="str">
        <f t="shared" si="88"/>
        <v/>
      </c>
      <c r="J260" s="46" t="str">
        <f t="shared" si="89"/>
        <v/>
      </c>
      <c r="K260" s="62">
        <f t="shared" si="90"/>
        <v>0</v>
      </c>
      <c r="L260" s="28" t="s">
        <v>63</v>
      </c>
      <c r="M260" s="12" t="str">
        <f t="shared" si="109"/>
        <v>-</v>
      </c>
      <c r="N260" s="12" t="str">
        <f t="shared" si="84"/>
        <v>-</v>
      </c>
      <c r="O260" s="12"/>
      <c r="Q260" s="62">
        <f t="shared" si="91"/>
        <v>0</v>
      </c>
      <c r="R260" s="28" t="s">
        <v>63</v>
      </c>
      <c r="S260" s="12" t="str">
        <f t="shared" si="110"/>
        <v>-</v>
      </c>
      <c r="T260" s="12" t="str">
        <f t="shared" si="85"/>
        <v>-</v>
      </c>
      <c r="U260" s="12"/>
      <c r="V260" s="12"/>
      <c r="W260" s="62">
        <f t="shared" si="92"/>
        <v>0</v>
      </c>
      <c r="X260" s="28" t="s">
        <v>63</v>
      </c>
      <c r="Y260" s="12" t="str">
        <f t="shared" si="111"/>
        <v>-</v>
      </c>
      <c r="Z260" s="12" t="str">
        <f t="shared" si="86"/>
        <v>-</v>
      </c>
      <c r="AA260" s="12"/>
      <c r="AB260" s="64"/>
      <c r="AC260" s="62">
        <f t="shared" si="93"/>
        <v>0</v>
      </c>
      <c r="AD260" s="28" t="s">
        <v>68</v>
      </c>
      <c r="AE260" s="12" t="str">
        <f t="shared" si="112"/>
        <v>-</v>
      </c>
      <c r="AF260" s="12" t="str">
        <f t="shared" si="87"/>
        <v>-</v>
      </c>
      <c r="AG260" s="12"/>
      <c r="AH260" s="17"/>
      <c r="AI260" s="17"/>
      <c r="AJ260" s="2">
        <f t="shared" si="105"/>
        <v>0</v>
      </c>
      <c r="AK260" s="2">
        <f t="shared" si="106"/>
        <v>0</v>
      </c>
      <c r="AL260" s="2">
        <f t="shared" si="107"/>
        <v>0</v>
      </c>
      <c r="AM260" s="2">
        <f t="shared" si="108"/>
        <v>0</v>
      </c>
    </row>
    <row r="261" spans="1:39" outlineLevel="1" x14ac:dyDescent="0.25">
      <c r="A261" t="s">
        <v>35</v>
      </c>
      <c r="B261" s="7" t="str">
        <f t="shared" si="100"/>
        <v xml:space="preserve"> (x)</v>
      </c>
      <c r="C261" s="3">
        <v>3538</v>
      </c>
      <c r="I261" s="45" t="str">
        <f t="shared" si="88"/>
        <v/>
      </c>
      <c r="J261" s="46" t="str">
        <f t="shared" si="89"/>
        <v/>
      </c>
      <c r="K261" s="62">
        <f t="shared" si="90"/>
        <v>0</v>
      </c>
      <c r="L261" s="28" t="s">
        <v>63</v>
      </c>
      <c r="M261" s="12" t="str">
        <f t="shared" si="109"/>
        <v>-</v>
      </c>
      <c r="N261" s="12" t="str">
        <f t="shared" si="84"/>
        <v>-</v>
      </c>
      <c r="O261" s="12"/>
      <c r="Q261" s="62">
        <f t="shared" si="91"/>
        <v>0</v>
      </c>
      <c r="R261" s="28" t="s">
        <v>63</v>
      </c>
      <c r="S261" s="12" t="str">
        <f t="shared" si="110"/>
        <v>-</v>
      </c>
      <c r="T261" s="12" t="str">
        <f t="shared" si="85"/>
        <v>-</v>
      </c>
      <c r="U261" s="12"/>
      <c r="V261" s="12"/>
      <c r="W261" s="62">
        <f t="shared" si="92"/>
        <v>0</v>
      </c>
      <c r="X261" s="28" t="s">
        <v>63</v>
      </c>
      <c r="Y261" s="12" t="str">
        <f t="shared" si="111"/>
        <v>-</v>
      </c>
      <c r="Z261" s="12" t="str">
        <f t="shared" si="86"/>
        <v>-</v>
      </c>
      <c r="AA261" s="12"/>
      <c r="AB261" s="64"/>
      <c r="AC261" s="62">
        <f t="shared" si="93"/>
        <v>0</v>
      </c>
      <c r="AD261" s="28" t="s">
        <v>68</v>
      </c>
      <c r="AE261" s="12" t="str">
        <f t="shared" si="112"/>
        <v>-</v>
      </c>
      <c r="AF261" s="12" t="str">
        <f t="shared" si="87"/>
        <v>-</v>
      </c>
      <c r="AG261" s="12"/>
      <c r="AH261" s="17"/>
      <c r="AI261" s="17"/>
      <c r="AJ261" s="2">
        <f t="shared" si="105"/>
        <v>0</v>
      </c>
      <c r="AK261" s="2">
        <f t="shared" si="106"/>
        <v>0</v>
      </c>
      <c r="AL261" s="2">
        <f t="shared" si="107"/>
        <v>0</v>
      </c>
      <c r="AM261" s="2">
        <f t="shared" si="108"/>
        <v>0</v>
      </c>
    </row>
    <row r="262" spans="1:39" outlineLevel="1" x14ac:dyDescent="0.25">
      <c r="A262" t="s">
        <v>35</v>
      </c>
      <c r="B262" s="7" t="str">
        <f t="shared" si="100"/>
        <v xml:space="preserve"> (x)</v>
      </c>
      <c r="C262" s="3">
        <v>3539</v>
      </c>
      <c r="I262" s="45" t="str">
        <f t="shared" si="88"/>
        <v/>
      </c>
      <c r="J262" s="46" t="str">
        <f t="shared" si="89"/>
        <v/>
      </c>
      <c r="K262" s="62">
        <f t="shared" si="90"/>
        <v>0</v>
      </c>
      <c r="L262" s="28" t="s">
        <v>63</v>
      </c>
      <c r="M262" s="12" t="str">
        <f t="shared" si="109"/>
        <v>-</v>
      </c>
      <c r="N262" s="12" t="str">
        <f t="shared" ref="N262:N325" si="113">IFERROR(K262-L262,"-")</f>
        <v>-</v>
      </c>
      <c r="O262" s="12"/>
      <c r="Q262" s="62">
        <f t="shared" si="91"/>
        <v>0</v>
      </c>
      <c r="R262" s="28" t="s">
        <v>63</v>
      </c>
      <c r="S262" s="12" t="str">
        <f t="shared" si="110"/>
        <v>-</v>
      </c>
      <c r="T262" s="12" t="str">
        <f t="shared" ref="T262:T325" si="114">IFERROR(Q262-R262,"-")</f>
        <v>-</v>
      </c>
      <c r="U262" s="12"/>
      <c r="V262" s="12"/>
      <c r="W262" s="62">
        <f t="shared" si="92"/>
        <v>0</v>
      </c>
      <c r="X262" s="28" t="s">
        <v>63</v>
      </c>
      <c r="Y262" s="12" t="str">
        <f t="shared" si="111"/>
        <v>-</v>
      </c>
      <c r="Z262" s="12" t="str">
        <f t="shared" ref="Z262:Z325" si="115">IFERROR(W262-X262,"-")</f>
        <v>-</v>
      </c>
      <c r="AA262" s="12"/>
      <c r="AB262" s="64"/>
      <c r="AC262" s="62">
        <f t="shared" si="93"/>
        <v>0</v>
      </c>
      <c r="AD262" s="28" t="s">
        <v>68</v>
      </c>
      <c r="AE262" s="12" t="str">
        <f t="shared" si="112"/>
        <v>-</v>
      </c>
      <c r="AF262" s="12" t="str">
        <f t="shared" ref="AF262:AF325" si="116">IFERROR(AC262-AD262,"-")</f>
        <v>-</v>
      </c>
      <c r="AG262" s="12"/>
      <c r="AH262" s="17"/>
      <c r="AI262" s="17"/>
      <c r="AJ262" s="2">
        <f t="shared" si="105"/>
        <v>0</v>
      </c>
      <c r="AK262" s="2">
        <f t="shared" si="106"/>
        <v>0</v>
      </c>
      <c r="AL262" s="2">
        <f t="shared" si="107"/>
        <v>0</v>
      </c>
      <c r="AM262" s="2">
        <f t="shared" si="108"/>
        <v>0</v>
      </c>
    </row>
    <row r="263" spans="1:39" outlineLevel="1" x14ac:dyDescent="0.25">
      <c r="A263" t="s">
        <v>35</v>
      </c>
      <c r="B263" s="7" t="str">
        <f t="shared" si="100"/>
        <v xml:space="preserve"> (x)</v>
      </c>
      <c r="C263" s="3">
        <v>3540</v>
      </c>
      <c r="I263" s="45" t="str">
        <f t="shared" ref="I263:I326" si="117">+IF($E263="","",MAX($E263,360)/1000*MAX($F263,360)/1000)</f>
        <v/>
      </c>
      <c r="J263" s="46" t="str">
        <f t="shared" ref="J263:J326" si="118">IF($F263="","",2*MAX($E263,360)/1000+2*MAX($F263,360)/1000)</f>
        <v/>
      </c>
      <c r="K263" s="62">
        <f t="shared" ref="K263:K326" si="119">+IFERROR(MAX($J$5,ROUND(L263*(1+L$2)^N$2+J$2,0)),0)</f>
        <v>0</v>
      </c>
      <c r="L263" s="28" t="s">
        <v>63</v>
      </c>
      <c r="M263" s="12" t="str">
        <f t="shared" si="109"/>
        <v>-</v>
      </c>
      <c r="N263" s="12" t="str">
        <f t="shared" si="113"/>
        <v>-</v>
      </c>
      <c r="O263" s="12"/>
      <c r="Q263" s="62">
        <f t="shared" ref="Q263:Q326" si="120">+IFERROR(IF(AND(R263="-",K263&gt;0),ROUND(V$4*K263,0),ROUND(R263*(1+S$2)^U$2+Q$2,0)),0)</f>
        <v>0</v>
      </c>
      <c r="R263" s="28" t="s">
        <v>63</v>
      </c>
      <c r="S263" s="12" t="str">
        <f t="shared" si="110"/>
        <v>-</v>
      </c>
      <c r="T263" s="12" t="str">
        <f t="shared" si="114"/>
        <v>-</v>
      </c>
      <c r="U263" s="12"/>
      <c r="V263" s="12"/>
      <c r="W263" s="62">
        <f t="shared" ref="W263:W326" si="121">+IFERROR(IF(AND(X263="-",Q263&gt;0),ROUND(AB$4*Q263,0),ROUND(X263*(1+Y$2)^AA$2+W$2,0)),0)</f>
        <v>0</v>
      </c>
      <c r="X263" s="28" t="s">
        <v>63</v>
      </c>
      <c r="Y263" s="12" t="str">
        <f t="shared" si="111"/>
        <v>-</v>
      </c>
      <c r="Z263" s="12" t="str">
        <f t="shared" si="115"/>
        <v>-</v>
      </c>
      <c r="AA263" s="12"/>
      <c r="AB263" s="64"/>
      <c r="AC263" s="62">
        <f t="shared" ref="AC263:AC326" si="122">+IFERROR(IF(AND(AD263="-",W263&gt;0),ROUND(AH$4*W263,0),ROUND(AD263*(1+AE$2)^AG$2+AC$2,0)),0)</f>
        <v>0</v>
      </c>
      <c r="AD263" s="28" t="s">
        <v>68</v>
      </c>
      <c r="AE263" s="12" t="str">
        <f t="shared" si="112"/>
        <v>-</v>
      </c>
      <c r="AF263" s="12" t="str">
        <f t="shared" si="116"/>
        <v>-</v>
      </c>
      <c r="AG263" s="12"/>
      <c r="AH263" s="17"/>
      <c r="AI263" s="17"/>
      <c r="AJ263" s="2">
        <f t="shared" si="105"/>
        <v>0</v>
      </c>
      <c r="AK263" s="2">
        <f t="shared" si="106"/>
        <v>0</v>
      </c>
      <c r="AL263" s="2">
        <f t="shared" si="107"/>
        <v>0</v>
      </c>
      <c r="AM263" s="2">
        <f t="shared" si="108"/>
        <v>0</v>
      </c>
    </row>
    <row r="264" spans="1:39" outlineLevel="1" x14ac:dyDescent="0.25">
      <c r="A264" t="s">
        <v>35</v>
      </c>
      <c r="B264" s="7" t="str">
        <f t="shared" si="100"/>
        <v xml:space="preserve"> (x)</v>
      </c>
      <c r="C264" s="3">
        <v>3541</v>
      </c>
      <c r="I264" s="45" t="str">
        <f t="shared" si="117"/>
        <v/>
      </c>
      <c r="J264" s="46" t="str">
        <f t="shared" si="118"/>
        <v/>
      </c>
      <c r="K264" s="62">
        <f t="shared" si="119"/>
        <v>0</v>
      </c>
      <c r="L264" s="28" t="s">
        <v>63</v>
      </c>
      <c r="M264" s="12" t="str">
        <f t="shared" si="109"/>
        <v>-</v>
      </c>
      <c r="N264" s="12" t="str">
        <f t="shared" si="113"/>
        <v>-</v>
      </c>
      <c r="O264" s="12"/>
      <c r="Q264" s="62">
        <f t="shared" si="120"/>
        <v>0</v>
      </c>
      <c r="R264" s="28" t="s">
        <v>63</v>
      </c>
      <c r="S264" s="12" t="str">
        <f t="shared" si="110"/>
        <v>-</v>
      </c>
      <c r="T264" s="12" t="str">
        <f t="shared" si="114"/>
        <v>-</v>
      </c>
      <c r="U264" s="12"/>
      <c r="V264" s="12"/>
      <c r="W264" s="62">
        <f t="shared" si="121"/>
        <v>0</v>
      </c>
      <c r="X264" s="28" t="s">
        <v>63</v>
      </c>
      <c r="Y264" s="12" t="str">
        <f t="shared" si="111"/>
        <v>-</v>
      </c>
      <c r="Z264" s="12" t="str">
        <f t="shared" si="115"/>
        <v>-</v>
      </c>
      <c r="AA264" s="12"/>
      <c r="AB264" s="64"/>
      <c r="AC264" s="62">
        <f t="shared" si="122"/>
        <v>0</v>
      </c>
      <c r="AD264" s="28" t="s">
        <v>68</v>
      </c>
      <c r="AE264" s="12" t="str">
        <f t="shared" si="112"/>
        <v>-</v>
      </c>
      <c r="AF264" s="12" t="str">
        <f t="shared" si="116"/>
        <v>-</v>
      </c>
      <c r="AG264" s="12"/>
      <c r="AH264" s="17"/>
      <c r="AI264" s="17"/>
      <c r="AJ264" s="2">
        <f t="shared" si="105"/>
        <v>0</v>
      </c>
      <c r="AK264" s="2">
        <f t="shared" si="106"/>
        <v>0</v>
      </c>
      <c r="AL264" s="2">
        <f t="shared" si="107"/>
        <v>0</v>
      </c>
      <c r="AM264" s="2">
        <f t="shared" si="108"/>
        <v>0</v>
      </c>
    </row>
    <row r="265" spans="1:39" outlineLevel="1" x14ac:dyDescent="0.25">
      <c r="A265" t="s">
        <v>35</v>
      </c>
      <c r="B265" s="7" t="str">
        <f t="shared" si="100"/>
        <v xml:space="preserve"> (x)</v>
      </c>
      <c r="C265" s="3">
        <v>3542</v>
      </c>
      <c r="I265" s="45" t="str">
        <f t="shared" si="117"/>
        <v/>
      </c>
      <c r="J265" s="46" t="str">
        <f t="shared" si="118"/>
        <v/>
      </c>
      <c r="K265" s="62">
        <f t="shared" si="119"/>
        <v>0</v>
      </c>
      <c r="L265" s="28" t="s">
        <v>63</v>
      </c>
      <c r="M265" s="12" t="str">
        <f t="shared" si="109"/>
        <v>-</v>
      </c>
      <c r="N265" s="12" t="str">
        <f t="shared" si="113"/>
        <v>-</v>
      </c>
      <c r="O265" s="12"/>
      <c r="Q265" s="62">
        <f t="shared" si="120"/>
        <v>0</v>
      </c>
      <c r="R265" s="28" t="s">
        <v>63</v>
      </c>
      <c r="S265" s="12" t="str">
        <f t="shared" si="110"/>
        <v>-</v>
      </c>
      <c r="T265" s="12" t="str">
        <f t="shared" si="114"/>
        <v>-</v>
      </c>
      <c r="U265" s="12"/>
      <c r="V265" s="12"/>
      <c r="W265" s="62">
        <f t="shared" si="121"/>
        <v>0</v>
      </c>
      <c r="X265" s="28" t="s">
        <v>63</v>
      </c>
      <c r="Y265" s="12" t="str">
        <f t="shared" si="111"/>
        <v>-</v>
      </c>
      <c r="Z265" s="12" t="str">
        <f t="shared" si="115"/>
        <v>-</v>
      </c>
      <c r="AA265" s="12"/>
      <c r="AB265" s="64"/>
      <c r="AC265" s="62">
        <f t="shared" si="122"/>
        <v>0</v>
      </c>
      <c r="AD265" s="28" t="s">
        <v>68</v>
      </c>
      <c r="AE265" s="12" t="str">
        <f t="shared" si="112"/>
        <v>-</v>
      </c>
      <c r="AF265" s="12" t="str">
        <f t="shared" si="116"/>
        <v>-</v>
      </c>
      <c r="AG265" s="12"/>
      <c r="AH265" s="17"/>
      <c r="AI265" s="17"/>
      <c r="AJ265" s="2">
        <f t="shared" si="105"/>
        <v>0</v>
      </c>
      <c r="AK265" s="2">
        <f t="shared" si="106"/>
        <v>0</v>
      </c>
      <c r="AL265" s="2">
        <f t="shared" si="107"/>
        <v>0</v>
      </c>
      <c r="AM265" s="2">
        <f t="shared" si="108"/>
        <v>0</v>
      </c>
    </row>
    <row r="266" spans="1:39" outlineLevel="1" x14ac:dyDescent="0.25">
      <c r="A266" t="s">
        <v>35</v>
      </c>
      <c r="B266" s="7" t="str">
        <f t="shared" si="100"/>
        <v xml:space="preserve"> (x)</v>
      </c>
      <c r="C266" s="3">
        <v>3543</v>
      </c>
      <c r="I266" s="45" t="str">
        <f t="shared" si="117"/>
        <v/>
      </c>
      <c r="J266" s="46" t="str">
        <f t="shared" si="118"/>
        <v/>
      </c>
      <c r="K266" s="62">
        <f t="shared" si="119"/>
        <v>0</v>
      </c>
      <c r="L266" s="28" t="s">
        <v>63</v>
      </c>
      <c r="M266" s="12" t="str">
        <f t="shared" si="109"/>
        <v>-</v>
      </c>
      <c r="N266" s="12" t="str">
        <f t="shared" si="113"/>
        <v>-</v>
      </c>
      <c r="O266" s="12"/>
      <c r="Q266" s="62">
        <f t="shared" si="120"/>
        <v>0</v>
      </c>
      <c r="R266" s="28" t="s">
        <v>63</v>
      </c>
      <c r="S266" s="12" t="str">
        <f t="shared" si="110"/>
        <v>-</v>
      </c>
      <c r="T266" s="12" t="str">
        <f t="shared" si="114"/>
        <v>-</v>
      </c>
      <c r="U266" s="12"/>
      <c r="V266" s="12"/>
      <c r="W266" s="62">
        <f t="shared" si="121"/>
        <v>0</v>
      </c>
      <c r="X266" s="28" t="s">
        <v>63</v>
      </c>
      <c r="Y266" s="12" t="str">
        <f t="shared" si="111"/>
        <v>-</v>
      </c>
      <c r="Z266" s="12" t="str">
        <f t="shared" si="115"/>
        <v>-</v>
      </c>
      <c r="AA266" s="12"/>
      <c r="AB266" s="64"/>
      <c r="AC266" s="62">
        <f t="shared" si="122"/>
        <v>0</v>
      </c>
      <c r="AD266" s="28" t="s">
        <v>68</v>
      </c>
      <c r="AE266" s="12" t="str">
        <f t="shared" si="112"/>
        <v>-</v>
      </c>
      <c r="AF266" s="12" t="str">
        <f t="shared" si="116"/>
        <v>-</v>
      </c>
      <c r="AG266" s="12"/>
      <c r="AH266" s="17"/>
      <c r="AI266" s="17"/>
      <c r="AJ266" s="2">
        <f t="shared" si="105"/>
        <v>0</v>
      </c>
      <c r="AK266" s="2">
        <f t="shared" si="106"/>
        <v>0</v>
      </c>
      <c r="AL266" s="2">
        <f t="shared" si="107"/>
        <v>0</v>
      </c>
      <c r="AM266" s="2">
        <f t="shared" si="108"/>
        <v>0</v>
      </c>
    </row>
    <row r="267" spans="1:39" outlineLevel="1" x14ac:dyDescent="0.25">
      <c r="A267" t="s">
        <v>35</v>
      </c>
      <c r="B267" s="7" t="str">
        <f t="shared" si="100"/>
        <v xml:space="preserve"> (x)</v>
      </c>
      <c r="C267" s="3">
        <v>3544</v>
      </c>
      <c r="I267" s="45" t="str">
        <f t="shared" si="117"/>
        <v/>
      </c>
      <c r="J267" s="46" t="str">
        <f t="shared" si="118"/>
        <v/>
      </c>
      <c r="K267" s="62">
        <f t="shared" si="119"/>
        <v>0</v>
      </c>
      <c r="L267" s="28" t="s">
        <v>63</v>
      </c>
      <c r="M267" s="12" t="str">
        <f t="shared" si="109"/>
        <v>-</v>
      </c>
      <c r="N267" s="12" t="str">
        <f t="shared" si="113"/>
        <v>-</v>
      </c>
      <c r="O267" s="12"/>
      <c r="Q267" s="62">
        <f t="shared" si="120"/>
        <v>0</v>
      </c>
      <c r="R267" s="28" t="s">
        <v>63</v>
      </c>
      <c r="S267" s="12" t="str">
        <f t="shared" si="110"/>
        <v>-</v>
      </c>
      <c r="T267" s="12" t="str">
        <f t="shared" si="114"/>
        <v>-</v>
      </c>
      <c r="U267" s="12"/>
      <c r="V267" s="12"/>
      <c r="W267" s="62">
        <f t="shared" si="121"/>
        <v>0</v>
      </c>
      <c r="X267" s="28" t="s">
        <v>63</v>
      </c>
      <c r="Y267" s="12" t="str">
        <f t="shared" si="111"/>
        <v>-</v>
      </c>
      <c r="Z267" s="12" t="str">
        <f t="shared" si="115"/>
        <v>-</v>
      </c>
      <c r="AA267" s="12"/>
      <c r="AB267" s="64"/>
      <c r="AC267" s="62">
        <f t="shared" si="122"/>
        <v>0</v>
      </c>
      <c r="AD267" s="28" t="s">
        <v>68</v>
      </c>
      <c r="AE267" s="12" t="str">
        <f t="shared" si="112"/>
        <v>-</v>
      </c>
      <c r="AF267" s="12" t="str">
        <f t="shared" si="116"/>
        <v>-</v>
      </c>
      <c r="AG267" s="12"/>
      <c r="AH267" s="17"/>
      <c r="AI267" s="17"/>
      <c r="AJ267" s="2">
        <f t="shared" si="105"/>
        <v>0</v>
      </c>
      <c r="AK267" s="2">
        <f t="shared" si="106"/>
        <v>0</v>
      </c>
      <c r="AL267" s="2">
        <f t="shared" si="107"/>
        <v>0</v>
      </c>
      <c r="AM267" s="2">
        <f t="shared" si="108"/>
        <v>0</v>
      </c>
    </row>
    <row r="268" spans="1:39" outlineLevel="1" x14ac:dyDescent="0.25">
      <c r="A268" t="s">
        <v>35</v>
      </c>
      <c r="B268" s="7" t="str">
        <f t="shared" si="100"/>
        <v xml:space="preserve"> (x)</v>
      </c>
      <c r="C268" s="3">
        <v>3545</v>
      </c>
      <c r="I268" s="45" t="str">
        <f t="shared" si="117"/>
        <v/>
      </c>
      <c r="J268" s="46" t="str">
        <f t="shared" si="118"/>
        <v/>
      </c>
      <c r="K268" s="62">
        <f t="shared" si="119"/>
        <v>0</v>
      </c>
      <c r="L268" s="28" t="s">
        <v>63</v>
      </c>
      <c r="M268" s="12" t="str">
        <f t="shared" si="109"/>
        <v>-</v>
      </c>
      <c r="N268" s="12" t="str">
        <f t="shared" si="113"/>
        <v>-</v>
      </c>
      <c r="O268" s="12"/>
      <c r="Q268" s="62">
        <f t="shared" si="120"/>
        <v>0</v>
      </c>
      <c r="R268" s="28" t="s">
        <v>63</v>
      </c>
      <c r="S268" s="12" t="str">
        <f t="shared" si="110"/>
        <v>-</v>
      </c>
      <c r="T268" s="12" t="str">
        <f t="shared" si="114"/>
        <v>-</v>
      </c>
      <c r="U268" s="12"/>
      <c r="V268" s="12"/>
      <c r="W268" s="62">
        <f t="shared" si="121"/>
        <v>0</v>
      </c>
      <c r="X268" s="28" t="s">
        <v>63</v>
      </c>
      <c r="Y268" s="12" t="str">
        <f t="shared" si="111"/>
        <v>-</v>
      </c>
      <c r="Z268" s="12" t="str">
        <f t="shared" si="115"/>
        <v>-</v>
      </c>
      <c r="AA268" s="12"/>
      <c r="AB268" s="64"/>
      <c r="AC268" s="62">
        <f t="shared" si="122"/>
        <v>0</v>
      </c>
      <c r="AD268" s="28" t="s">
        <v>68</v>
      </c>
      <c r="AE268" s="12" t="str">
        <f t="shared" si="112"/>
        <v>-</v>
      </c>
      <c r="AF268" s="12" t="str">
        <f t="shared" si="116"/>
        <v>-</v>
      </c>
      <c r="AG268" s="12"/>
      <c r="AH268" s="17"/>
      <c r="AI268" s="17"/>
      <c r="AJ268" s="2">
        <f t="shared" si="105"/>
        <v>0</v>
      </c>
      <c r="AK268" s="2">
        <f t="shared" si="106"/>
        <v>0</v>
      </c>
      <c r="AL268" s="2">
        <f t="shared" si="107"/>
        <v>0</v>
      </c>
      <c r="AM268" s="2">
        <f t="shared" si="108"/>
        <v>0</v>
      </c>
    </row>
    <row r="269" spans="1:39" outlineLevel="1" x14ac:dyDescent="0.25">
      <c r="A269" t="s">
        <v>35</v>
      </c>
      <c r="B269" s="7" t="str">
        <f t="shared" si="100"/>
        <v xml:space="preserve"> (x)</v>
      </c>
      <c r="C269" s="3">
        <v>3546</v>
      </c>
      <c r="I269" s="45" t="str">
        <f t="shared" si="117"/>
        <v/>
      </c>
      <c r="J269" s="46" t="str">
        <f t="shared" si="118"/>
        <v/>
      </c>
      <c r="K269" s="62">
        <f t="shared" si="119"/>
        <v>0</v>
      </c>
      <c r="L269" s="28" t="s">
        <v>63</v>
      </c>
      <c r="M269" s="12" t="str">
        <f t="shared" si="109"/>
        <v>-</v>
      </c>
      <c r="N269" s="12" t="str">
        <f t="shared" si="113"/>
        <v>-</v>
      </c>
      <c r="O269" s="12"/>
      <c r="Q269" s="62">
        <f t="shared" si="120"/>
        <v>0</v>
      </c>
      <c r="R269" s="28" t="s">
        <v>63</v>
      </c>
      <c r="S269" s="12" t="str">
        <f t="shared" si="110"/>
        <v>-</v>
      </c>
      <c r="T269" s="12" t="str">
        <f t="shared" si="114"/>
        <v>-</v>
      </c>
      <c r="U269" s="12"/>
      <c r="V269" s="12"/>
      <c r="W269" s="62">
        <f t="shared" si="121"/>
        <v>0</v>
      </c>
      <c r="X269" s="28" t="s">
        <v>63</v>
      </c>
      <c r="Y269" s="12" t="str">
        <f t="shared" si="111"/>
        <v>-</v>
      </c>
      <c r="Z269" s="12" t="str">
        <f t="shared" si="115"/>
        <v>-</v>
      </c>
      <c r="AA269" s="12"/>
      <c r="AB269" s="64"/>
      <c r="AC269" s="62">
        <f t="shared" si="122"/>
        <v>0</v>
      </c>
      <c r="AD269" s="28" t="s">
        <v>68</v>
      </c>
      <c r="AE269" s="12" t="str">
        <f t="shared" si="112"/>
        <v>-</v>
      </c>
      <c r="AF269" s="12" t="str">
        <f t="shared" si="116"/>
        <v>-</v>
      </c>
      <c r="AG269" s="12"/>
      <c r="AH269" s="17"/>
      <c r="AI269" s="17"/>
      <c r="AJ269" s="2">
        <f t="shared" si="105"/>
        <v>0</v>
      </c>
      <c r="AK269" s="2">
        <f t="shared" si="106"/>
        <v>0</v>
      </c>
      <c r="AL269" s="2">
        <f t="shared" si="107"/>
        <v>0</v>
      </c>
      <c r="AM269" s="2">
        <f t="shared" si="108"/>
        <v>0</v>
      </c>
    </row>
    <row r="270" spans="1:39" outlineLevel="1" x14ac:dyDescent="0.25">
      <c r="A270" t="s">
        <v>35</v>
      </c>
      <c r="B270" s="7" t="str">
        <f t="shared" si="100"/>
        <v xml:space="preserve"> (x)</v>
      </c>
      <c r="C270" s="3">
        <v>3547</v>
      </c>
      <c r="I270" s="45" t="str">
        <f t="shared" si="117"/>
        <v/>
      </c>
      <c r="J270" s="46" t="str">
        <f t="shared" si="118"/>
        <v/>
      </c>
      <c r="K270" s="62">
        <f t="shared" si="119"/>
        <v>0</v>
      </c>
      <c r="L270" s="28" t="s">
        <v>63</v>
      </c>
      <c r="M270" s="12" t="str">
        <f t="shared" si="109"/>
        <v>-</v>
      </c>
      <c r="N270" s="12" t="str">
        <f t="shared" si="113"/>
        <v>-</v>
      </c>
      <c r="O270" s="12"/>
      <c r="Q270" s="62">
        <f t="shared" si="120"/>
        <v>0</v>
      </c>
      <c r="R270" s="28" t="s">
        <v>63</v>
      </c>
      <c r="S270" s="12" t="str">
        <f t="shared" si="110"/>
        <v>-</v>
      </c>
      <c r="T270" s="12" t="str">
        <f t="shared" si="114"/>
        <v>-</v>
      </c>
      <c r="U270" s="12"/>
      <c r="V270" s="12"/>
      <c r="W270" s="62">
        <f t="shared" si="121"/>
        <v>0</v>
      </c>
      <c r="X270" s="28" t="s">
        <v>63</v>
      </c>
      <c r="Y270" s="12" t="str">
        <f t="shared" si="111"/>
        <v>-</v>
      </c>
      <c r="Z270" s="12" t="str">
        <f t="shared" si="115"/>
        <v>-</v>
      </c>
      <c r="AA270" s="12"/>
      <c r="AB270" s="64"/>
      <c r="AC270" s="62">
        <f t="shared" si="122"/>
        <v>0</v>
      </c>
      <c r="AD270" s="28" t="s">
        <v>68</v>
      </c>
      <c r="AE270" s="12" t="str">
        <f t="shared" si="112"/>
        <v>-</v>
      </c>
      <c r="AF270" s="12" t="str">
        <f t="shared" si="116"/>
        <v>-</v>
      </c>
      <c r="AG270" s="12"/>
      <c r="AH270" s="17"/>
      <c r="AI270" s="17"/>
      <c r="AJ270" s="2">
        <f t="shared" si="105"/>
        <v>0</v>
      </c>
      <c r="AK270" s="2">
        <f t="shared" si="106"/>
        <v>0</v>
      </c>
      <c r="AL270" s="2">
        <f t="shared" si="107"/>
        <v>0</v>
      </c>
      <c r="AM270" s="2">
        <f t="shared" si="108"/>
        <v>0</v>
      </c>
    </row>
    <row r="271" spans="1:39" outlineLevel="1" x14ac:dyDescent="0.25">
      <c r="A271" t="s">
        <v>35</v>
      </c>
      <c r="B271" s="7" t="str">
        <f t="shared" si="100"/>
        <v xml:space="preserve"> (x)</v>
      </c>
      <c r="C271" s="3">
        <v>3548</v>
      </c>
      <c r="I271" s="45" t="str">
        <f t="shared" si="117"/>
        <v/>
      </c>
      <c r="J271" s="46" t="str">
        <f t="shared" si="118"/>
        <v/>
      </c>
      <c r="K271" s="62">
        <f t="shared" si="119"/>
        <v>0</v>
      </c>
      <c r="L271" s="28" t="s">
        <v>63</v>
      </c>
      <c r="M271" s="12" t="str">
        <f t="shared" si="109"/>
        <v>-</v>
      </c>
      <c r="N271" s="12" t="str">
        <f t="shared" si="113"/>
        <v>-</v>
      </c>
      <c r="O271" s="12"/>
      <c r="Q271" s="62">
        <f t="shared" si="120"/>
        <v>0</v>
      </c>
      <c r="R271" s="28" t="s">
        <v>63</v>
      </c>
      <c r="S271" s="12" t="str">
        <f t="shared" si="110"/>
        <v>-</v>
      </c>
      <c r="T271" s="12" t="str">
        <f t="shared" si="114"/>
        <v>-</v>
      </c>
      <c r="U271" s="12"/>
      <c r="V271" s="12"/>
      <c r="W271" s="62">
        <f t="shared" si="121"/>
        <v>0</v>
      </c>
      <c r="X271" s="28" t="s">
        <v>63</v>
      </c>
      <c r="Y271" s="12" t="str">
        <f t="shared" si="111"/>
        <v>-</v>
      </c>
      <c r="Z271" s="12" t="str">
        <f t="shared" si="115"/>
        <v>-</v>
      </c>
      <c r="AA271" s="12"/>
      <c r="AB271" s="64"/>
      <c r="AC271" s="62">
        <f t="shared" si="122"/>
        <v>0</v>
      </c>
      <c r="AD271" s="28" t="s">
        <v>68</v>
      </c>
      <c r="AE271" s="12" t="str">
        <f t="shared" si="112"/>
        <v>-</v>
      </c>
      <c r="AF271" s="12" t="str">
        <f t="shared" si="116"/>
        <v>-</v>
      </c>
      <c r="AG271" s="12"/>
      <c r="AH271" s="17"/>
      <c r="AI271" s="17"/>
      <c r="AJ271" s="2">
        <f t="shared" si="105"/>
        <v>0</v>
      </c>
      <c r="AK271" s="2">
        <f t="shared" si="106"/>
        <v>0</v>
      </c>
      <c r="AL271" s="2">
        <f t="shared" si="107"/>
        <v>0</v>
      </c>
      <c r="AM271" s="2">
        <f t="shared" si="108"/>
        <v>0</v>
      </c>
    </row>
    <row r="272" spans="1:39" outlineLevel="1" x14ac:dyDescent="0.25">
      <c r="A272" t="s">
        <v>35</v>
      </c>
      <c r="B272" s="7" t="str">
        <f t="shared" si="100"/>
        <v xml:space="preserve"> (x)</v>
      </c>
      <c r="C272" s="3">
        <v>3549</v>
      </c>
      <c r="I272" s="45" t="str">
        <f t="shared" si="117"/>
        <v/>
      </c>
      <c r="J272" s="46" t="str">
        <f t="shared" si="118"/>
        <v/>
      </c>
      <c r="K272" s="62">
        <f t="shared" si="119"/>
        <v>0</v>
      </c>
      <c r="L272" s="28" t="s">
        <v>63</v>
      </c>
      <c r="M272" s="12" t="str">
        <f t="shared" si="109"/>
        <v>-</v>
      </c>
      <c r="N272" s="12" t="str">
        <f t="shared" si="113"/>
        <v>-</v>
      </c>
      <c r="O272" s="12"/>
      <c r="Q272" s="62">
        <f t="shared" si="120"/>
        <v>0</v>
      </c>
      <c r="R272" s="28" t="s">
        <v>63</v>
      </c>
      <c r="S272" s="12" t="str">
        <f t="shared" si="110"/>
        <v>-</v>
      </c>
      <c r="T272" s="12" t="str">
        <f t="shared" si="114"/>
        <v>-</v>
      </c>
      <c r="U272" s="12"/>
      <c r="V272" s="12"/>
      <c r="W272" s="62">
        <f t="shared" si="121"/>
        <v>0</v>
      </c>
      <c r="X272" s="28" t="s">
        <v>63</v>
      </c>
      <c r="Y272" s="12" t="str">
        <f t="shared" si="111"/>
        <v>-</v>
      </c>
      <c r="Z272" s="12" t="str">
        <f t="shared" si="115"/>
        <v>-</v>
      </c>
      <c r="AA272" s="12"/>
      <c r="AB272" s="64"/>
      <c r="AC272" s="62">
        <f t="shared" si="122"/>
        <v>0</v>
      </c>
      <c r="AD272" s="28" t="s">
        <v>68</v>
      </c>
      <c r="AE272" s="12" t="str">
        <f t="shared" si="112"/>
        <v>-</v>
      </c>
      <c r="AF272" s="12" t="str">
        <f t="shared" si="116"/>
        <v>-</v>
      </c>
      <c r="AG272" s="12"/>
      <c r="AH272" s="17"/>
      <c r="AI272" s="17"/>
      <c r="AJ272" s="2">
        <f t="shared" si="105"/>
        <v>0</v>
      </c>
      <c r="AK272" s="2">
        <f t="shared" si="106"/>
        <v>0</v>
      </c>
      <c r="AL272" s="2">
        <f t="shared" si="107"/>
        <v>0</v>
      </c>
      <c r="AM272" s="2">
        <f t="shared" si="108"/>
        <v>0</v>
      </c>
    </row>
    <row r="273" spans="1:40" outlineLevel="1" x14ac:dyDescent="0.25">
      <c r="A273" t="s">
        <v>35</v>
      </c>
      <c r="B273" s="7" t="str">
        <f t="shared" si="100"/>
        <v xml:space="preserve"> (x)</v>
      </c>
      <c r="C273" s="3">
        <v>3550</v>
      </c>
      <c r="I273" s="45" t="str">
        <f t="shared" si="117"/>
        <v/>
      </c>
      <c r="J273" s="46" t="str">
        <f t="shared" si="118"/>
        <v/>
      </c>
      <c r="K273" s="62">
        <f t="shared" si="119"/>
        <v>0</v>
      </c>
      <c r="L273" s="28" t="s">
        <v>63</v>
      </c>
      <c r="M273" s="12" t="str">
        <f t="shared" si="109"/>
        <v>-</v>
      </c>
      <c r="N273" s="12" t="str">
        <f t="shared" si="113"/>
        <v>-</v>
      </c>
      <c r="O273" s="12"/>
      <c r="Q273" s="62">
        <f t="shared" si="120"/>
        <v>0</v>
      </c>
      <c r="R273" s="28" t="s">
        <v>63</v>
      </c>
      <c r="S273" s="12" t="str">
        <f t="shared" si="110"/>
        <v>-</v>
      </c>
      <c r="T273" s="12" t="str">
        <f t="shared" si="114"/>
        <v>-</v>
      </c>
      <c r="U273" s="12"/>
      <c r="V273" s="12"/>
      <c r="W273" s="62">
        <f t="shared" si="121"/>
        <v>0</v>
      </c>
      <c r="X273" s="28" t="s">
        <v>63</v>
      </c>
      <c r="Y273" s="12" t="str">
        <f t="shared" si="111"/>
        <v>-</v>
      </c>
      <c r="Z273" s="12" t="str">
        <f t="shared" si="115"/>
        <v>-</v>
      </c>
      <c r="AA273" s="12"/>
      <c r="AB273" s="64"/>
      <c r="AC273" s="62">
        <f t="shared" si="122"/>
        <v>0</v>
      </c>
      <c r="AD273" s="28" t="s">
        <v>68</v>
      </c>
      <c r="AE273" s="12" t="str">
        <f t="shared" si="112"/>
        <v>-</v>
      </c>
      <c r="AF273" s="12" t="str">
        <f t="shared" si="116"/>
        <v>-</v>
      </c>
      <c r="AG273" s="12"/>
      <c r="AH273" s="17"/>
      <c r="AI273" s="17"/>
      <c r="AJ273" s="2">
        <f t="shared" si="105"/>
        <v>0</v>
      </c>
      <c r="AK273" s="2">
        <f t="shared" si="106"/>
        <v>0</v>
      </c>
      <c r="AL273" s="2">
        <f t="shared" si="107"/>
        <v>0</v>
      </c>
      <c r="AM273" s="2">
        <f t="shared" si="108"/>
        <v>0</v>
      </c>
    </row>
    <row r="274" spans="1:40" outlineLevel="1" x14ac:dyDescent="0.25">
      <c r="A274" t="s">
        <v>35</v>
      </c>
      <c r="B274" s="6" t="str">
        <f>IF(OR(E274="-",F274="-"),"-",D274&amp;" ("&amp;E274&amp;"x"&amp;F274&amp;")")</f>
        <v>Seite (420x580)</v>
      </c>
      <c r="C274" s="3" t="s">
        <v>37</v>
      </c>
      <c r="D274" s="6" t="s">
        <v>35</v>
      </c>
      <c r="E274">
        <v>420</v>
      </c>
      <c r="F274">
        <v>580</v>
      </c>
      <c r="I274" s="45">
        <f t="shared" si="117"/>
        <v>0.24359999999999998</v>
      </c>
      <c r="J274" s="46">
        <f t="shared" si="118"/>
        <v>2</v>
      </c>
      <c r="K274" s="62">
        <f t="shared" si="119"/>
        <v>0</v>
      </c>
      <c r="L274" s="28" t="s">
        <v>63</v>
      </c>
      <c r="M274" s="12" t="str">
        <f t="shared" si="109"/>
        <v>-</v>
      </c>
      <c r="N274" s="12" t="str">
        <f t="shared" si="113"/>
        <v>-</v>
      </c>
      <c r="O274" s="30" t="s">
        <v>73</v>
      </c>
      <c r="Q274" s="62">
        <f t="shared" si="120"/>
        <v>0</v>
      </c>
      <c r="R274" s="28" t="s">
        <v>63</v>
      </c>
      <c r="S274" s="12" t="str">
        <f t="shared" si="110"/>
        <v>-</v>
      </c>
      <c r="T274" s="12" t="str">
        <f t="shared" si="114"/>
        <v>-</v>
      </c>
      <c r="U274" s="30" t="s">
        <v>73</v>
      </c>
      <c r="V274" s="30"/>
      <c r="W274" s="62">
        <f t="shared" si="121"/>
        <v>0</v>
      </c>
      <c r="X274" s="28" t="s">
        <v>63</v>
      </c>
      <c r="Y274" s="12" t="str">
        <f t="shared" si="111"/>
        <v>-</v>
      </c>
      <c r="Z274" s="12" t="str">
        <f t="shared" si="115"/>
        <v>-</v>
      </c>
      <c r="AA274" s="30" t="s">
        <v>73</v>
      </c>
      <c r="AB274" s="64"/>
      <c r="AC274" s="62">
        <f t="shared" si="122"/>
        <v>186</v>
      </c>
      <c r="AD274" s="28">
        <v>131</v>
      </c>
      <c r="AE274" s="12">
        <f t="shared" si="112"/>
        <v>0.41984732824427473</v>
      </c>
      <c r="AF274" s="12">
        <f t="shared" si="116"/>
        <v>55</v>
      </c>
      <c r="AG274" s="30" t="s">
        <v>73</v>
      </c>
      <c r="AH274" s="17"/>
      <c r="AI274" s="17"/>
      <c r="AJ274" s="2">
        <f t="shared" si="105"/>
        <v>0</v>
      </c>
      <c r="AK274" s="2">
        <f t="shared" si="106"/>
        <v>0</v>
      </c>
      <c r="AL274" s="2">
        <f t="shared" si="107"/>
        <v>205</v>
      </c>
      <c r="AM274" s="2">
        <f t="shared" si="108"/>
        <v>0</v>
      </c>
    </row>
    <row r="275" spans="1:40" outlineLevel="1" x14ac:dyDescent="0.25">
      <c r="A275" t="s">
        <v>35</v>
      </c>
      <c r="B275" s="6" t="str">
        <f>IF(OR(E275="-",F275="-"),"-",D275&amp;" ("&amp;E275&amp;"x"&amp;F275&amp;")")</f>
        <v>Seite (890x420)</v>
      </c>
      <c r="C275" s="3" t="s">
        <v>36</v>
      </c>
      <c r="D275" s="6" t="s">
        <v>35</v>
      </c>
      <c r="E275">
        <v>890</v>
      </c>
      <c r="F275">
        <v>420</v>
      </c>
      <c r="G275">
        <v>980</v>
      </c>
      <c r="H275">
        <v>420</v>
      </c>
      <c r="I275" s="45">
        <f t="shared" si="117"/>
        <v>0.37380000000000002</v>
      </c>
      <c r="J275" s="46">
        <f t="shared" si="118"/>
        <v>2.62</v>
      </c>
      <c r="K275" s="62">
        <f t="shared" si="119"/>
        <v>0</v>
      </c>
      <c r="L275" s="28" t="s">
        <v>63</v>
      </c>
      <c r="M275" s="12" t="str">
        <f t="shared" si="109"/>
        <v>-</v>
      </c>
      <c r="N275" s="12" t="str">
        <f t="shared" si="113"/>
        <v>-</v>
      </c>
      <c r="O275" s="30" t="s">
        <v>73</v>
      </c>
      <c r="Q275" s="62">
        <f t="shared" si="120"/>
        <v>0</v>
      </c>
      <c r="R275" s="28" t="s">
        <v>63</v>
      </c>
      <c r="S275" s="12" t="str">
        <f t="shared" si="110"/>
        <v>-</v>
      </c>
      <c r="T275" s="12" t="str">
        <f t="shared" si="114"/>
        <v>-</v>
      </c>
      <c r="U275" s="30" t="s">
        <v>73</v>
      </c>
      <c r="V275" s="30"/>
      <c r="W275" s="62">
        <f t="shared" si="121"/>
        <v>0</v>
      </c>
      <c r="X275" s="28" t="s">
        <v>63</v>
      </c>
      <c r="Y275" s="12" t="str">
        <f t="shared" si="111"/>
        <v>-</v>
      </c>
      <c r="Z275" s="12" t="str">
        <f t="shared" si="115"/>
        <v>-</v>
      </c>
      <c r="AA275" s="30" t="s">
        <v>73</v>
      </c>
      <c r="AB275" s="64"/>
      <c r="AC275" s="62">
        <f t="shared" si="122"/>
        <v>0</v>
      </c>
      <c r="AD275" s="28" t="s">
        <v>68</v>
      </c>
      <c r="AE275" s="12" t="str">
        <f t="shared" si="112"/>
        <v>-</v>
      </c>
      <c r="AF275" s="12" t="str">
        <f t="shared" si="116"/>
        <v>-</v>
      </c>
      <c r="AG275" s="30" t="s">
        <v>73</v>
      </c>
      <c r="AH275" s="17"/>
      <c r="AI275" s="17"/>
      <c r="AJ275" s="2">
        <f t="shared" si="105"/>
        <v>0</v>
      </c>
      <c r="AK275" s="2">
        <f t="shared" si="106"/>
        <v>0</v>
      </c>
      <c r="AL275" s="2">
        <f t="shared" si="107"/>
        <v>0</v>
      </c>
      <c r="AM275" s="2">
        <f t="shared" si="108"/>
        <v>0</v>
      </c>
    </row>
    <row r="276" spans="1:40" s="14" customFormat="1" x14ac:dyDescent="0.25">
      <c r="A276" s="32"/>
      <c r="B276" s="5" t="s">
        <v>46</v>
      </c>
      <c r="C276" s="5"/>
      <c r="D276" s="5"/>
      <c r="E276" s="5"/>
      <c r="F276" s="5"/>
      <c r="G276" s="5"/>
      <c r="H276" s="5"/>
      <c r="I276" s="44" t="str">
        <f t="shared" si="117"/>
        <v/>
      </c>
      <c r="J276" s="44" t="str">
        <f t="shared" si="118"/>
        <v/>
      </c>
      <c r="K276" s="62">
        <f t="shared" si="119"/>
        <v>0</v>
      </c>
      <c r="L276" s="11" t="s">
        <v>63</v>
      </c>
      <c r="M276" s="15">
        <f>AVERAGE(M277:M327)</f>
        <v>0.43390886290033204</v>
      </c>
      <c r="N276" s="15" t="str">
        <f t="shared" si="113"/>
        <v>-</v>
      </c>
      <c r="O276" s="15"/>
      <c r="P276" s="17"/>
      <c r="Q276" s="62">
        <f t="shared" si="120"/>
        <v>0</v>
      </c>
      <c r="R276" s="11" t="s">
        <v>63</v>
      </c>
      <c r="S276" s="15">
        <f>AVERAGE(S277:S327)</f>
        <v>0.44425845070994224</v>
      </c>
      <c r="T276" s="15" t="str">
        <f t="shared" si="114"/>
        <v>-</v>
      </c>
      <c r="U276" s="15"/>
      <c r="V276" s="15"/>
      <c r="W276" s="62">
        <f t="shared" si="121"/>
        <v>10</v>
      </c>
      <c r="X276" s="11">
        <v>0</v>
      </c>
      <c r="Y276" s="15">
        <f>AVERAGE(Y277:Y327)</f>
        <v>0.39661277284504037</v>
      </c>
      <c r="Z276" s="15">
        <f t="shared" si="115"/>
        <v>10</v>
      </c>
      <c r="AA276" s="15"/>
      <c r="AB276" s="64"/>
      <c r="AC276" s="62">
        <f t="shared" si="122"/>
        <v>0</v>
      </c>
      <c r="AD276" s="11" t="s">
        <v>68</v>
      </c>
      <c r="AE276" s="15">
        <f>AVERAGE(AE277:AE327)</f>
        <v>0.39974227625377823</v>
      </c>
      <c r="AF276" s="15" t="str">
        <f t="shared" si="116"/>
        <v>-</v>
      </c>
      <c r="AG276" s="15"/>
      <c r="AH276" s="17"/>
      <c r="AI276" s="63"/>
      <c r="AJ276" s="4">
        <f t="shared" si="105"/>
        <v>0</v>
      </c>
      <c r="AK276" s="4">
        <f t="shared" si="106"/>
        <v>0</v>
      </c>
      <c r="AL276" s="4">
        <f t="shared" si="107"/>
        <v>0</v>
      </c>
      <c r="AM276" s="4">
        <f t="shared" si="108"/>
        <v>11</v>
      </c>
      <c r="AN276" s="32"/>
    </row>
    <row r="277" spans="1:40" outlineLevel="1" x14ac:dyDescent="0.25">
      <c r="A277" t="s">
        <v>35</v>
      </c>
      <c r="B277" s="7" t="str">
        <f t="shared" si="100"/>
        <v>Seite innen SY32 (360x360)</v>
      </c>
      <c r="C277">
        <v>3600</v>
      </c>
      <c r="D277" s="7" t="s">
        <v>46</v>
      </c>
      <c r="E277">
        <v>360</v>
      </c>
      <c r="F277">
        <v>360</v>
      </c>
      <c r="I277" s="45">
        <f t="shared" si="117"/>
        <v>0.12959999999999999</v>
      </c>
      <c r="J277" s="46">
        <f t="shared" si="118"/>
        <v>1.44</v>
      </c>
      <c r="K277" s="62">
        <f t="shared" si="119"/>
        <v>34</v>
      </c>
      <c r="L277" s="28">
        <v>18</v>
      </c>
      <c r="M277" s="13">
        <f t="shared" ref="M277:M308" si="123">IFERROR(K277/L277-1,"-")</f>
        <v>0.88888888888888884</v>
      </c>
      <c r="N277" s="12">
        <f t="shared" si="113"/>
        <v>16</v>
      </c>
      <c r="O277" s="30" t="s">
        <v>72</v>
      </c>
      <c r="Q277" s="62">
        <f t="shared" si="120"/>
        <v>114</v>
      </c>
      <c r="R277" s="28">
        <v>70</v>
      </c>
      <c r="S277" s="13">
        <f t="shared" ref="S277:S308" si="124">IFERROR(Q277/R277-1,"-")</f>
        <v>0.62857142857142856</v>
      </c>
      <c r="T277" s="12">
        <f t="shared" si="114"/>
        <v>44</v>
      </c>
      <c r="U277" s="30" t="s">
        <v>72</v>
      </c>
      <c r="V277" s="30"/>
      <c r="W277" s="62">
        <f t="shared" si="121"/>
        <v>89</v>
      </c>
      <c r="X277" s="28">
        <v>59</v>
      </c>
      <c r="Y277" s="13">
        <f t="shared" ref="Y277:Y308" si="125">IFERROR(W277/X277-1,"-")</f>
        <v>0.50847457627118642</v>
      </c>
      <c r="Z277" s="12">
        <f t="shared" si="115"/>
        <v>30</v>
      </c>
      <c r="AA277" s="30" t="s">
        <v>72</v>
      </c>
      <c r="AB277" s="64"/>
      <c r="AC277" s="62">
        <f t="shared" si="122"/>
        <v>177</v>
      </c>
      <c r="AD277" s="28">
        <v>124</v>
      </c>
      <c r="AE277" s="13">
        <f t="shared" ref="AE277:AE308" si="126">IFERROR(AC277/AD277-1,"-")</f>
        <v>0.42741935483870974</v>
      </c>
      <c r="AF277" s="12">
        <f t="shared" si="116"/>
        <v>53</v>
      </c>
      <c r="AG277" s="30" t="s">
        <v>72</v>
      </c>
      <c r="AH277" s="17"/>
      <c r="AI277" s="16"/>
      <c r="AJ277" s="2">
        <f t="shared" si="105"/>
        <v>37</v>
      </c>
      <c r="AK277" s="2">
        <f t="shared" si="106"/>
        <v>125</v>
      </c>
      <c r="AL277" s="2">
        <f t="shared" si="107"/>
        <v>195</v>
      </c>
      <c r="AM277" s="2">
        <f t="shared" si="108"/>
        <v>98</v>
      </c>
    </row>
    <row r="278" spans="1:40" outlineLevel="1" x14ac:dyDescent="0.25">
      <c r="A278" t="s">
        <v>35</v>
      </c>
      <c r="B278" s="7" t="str">
        <f t="shared" si="100"/>
        <v>Seite innen SY32 (360x720)</v>
      </c>
      <c r="C278">
        <v>3601</v>
      </c>
      <c r="D278" s="7" t="s">
        <v>46</v>
      </c>
      <c r="E278">
        <v>360</v>
      </c>
      <c r="F278">
        <v>720</v>
      </c>
      <c r="I278" s="45">
        <f t="shared" si="117"/>
        <v>0.25919999999999999</v>
      </c>
      <c r="J278" s="46">
        <f t="shared" si="118"/>
        <v>2.16</v>
      </c>
      <c r="K278" s="62">
        <f t="shared" si="119"/>
        <v>52</v>
      </c>
      <c r="L278" s="28">
        <v>35</v>
      </c>
      <c r="M278" s="13">
        <f t="shared" si="123"/>
        <v>0.48571428571428577</v>
      </c>
      <c r="N278" s="12">
        <f t="shared" si="113"/>
        <v>17</v>
      </c>
      <c r="O278" s="30" t="s">
        <v>72</v>
      </c>
      <c r="Q278" s="62">
        <f t="shared" si="120"/>
        <v>181</v>
      </c>
      <c r="R278" s="28">
        <v>120</v>
      </c>
      <c r="S278" s="13">
        <f t="shared" si="124"/>
        <v>0.5083333333333333</v>
      </c>
      <c r="T278" s="12">
        <f t="shared" si="114"/>
        <v>61</v>
      </c>
      <c r="U278" s="30" t="s">
        <v>72</v>
      </c>
      <c r="V278" s="30"/>
      <c r="W278" s="62">
        <f t="shared" si="121"/>
        <v>143</v>
      </c>
      <c r="X278" s="28">
        <v>99</v>
      </c>
      <c r="Y278" s="13">
        <f t="shared" si="125"/>
        <v>0.44444444444444442</v>
      </c>
      <c r="Z278" s="12">
        <f t="shared" si="115"/>
        <v>44</v>
      </c>
      <c r="AA278" s="30" t="s">
        <v>72</v>
      </c>
      <c r="AB278" s="64"/>
      <c r="AC278" s="62">
        <f t="shared" si="122"/>
        <v>212</v>
      </c>
      <c r="AD278" s="28">
        <v>150</v>
      </c>
      <c r="AE278" s="13">
        <f t="shared" si="126"/>
        <v>0.41333333333333333</v>
      </c>
      <c r="AF278" s="12">
        <f t="shared" si="116"/>
        <v>62</v>
      </c>
      <c r="AG278" s="30" t="s">
        <v>72</v>
      </c>
      <c r="AH278" s="17"/>
      <c r="AI278" s="16"/>
      <c r="AJ278" s="2">
        <f t="shared" si="105"/>
        <v>57</v>
      </c>
      <c r="AK278" s="2">
        <f t="shared" si="106"/>
        <v>199</v>
      </c>
      <c r="AL278" s="2">
        <f t="shared" si="107"/>
        <v>233</v>
      </c>
      <c r="AM278" s="2">
        <f t="shared" si="108"/>
        <v>157</v>
      </c>
    </row>
    <row r="279" spans="1:40" outlineLevel="1" x14ac:dyDescent="0.25">
      <c r="A279" t="s">
        <v>35</v>
      </c>
      <c r="B279" s="7" t="str">
        <f t="shared" si="100"/>
        <v>Seite innen SY32 (360x1080)</v>
      </c>
      <c r="C279">
        <v>3602</v>
      </c>
      <c r="D279" s="7" t="s">
        <v>46</v>
      </c>
      <c r="E279">
        <v>360</v>
      </c>
      <c r="F279">
        <v>1080</v>
      </c>
      <c r="I279" s="45">
        <f t="shared" si="117"/>
        <v>0.38880000000000003</v>
      </c>
      <c r="J279" s="46">
        <f t="shared" si="118"/>
        <v>2.88</v>
      </c>
      <c r="K279" s="62">
        <f t="shared" si="119"/>
        <v>76</v>
      </c>
      <c r="L279" s="28">
        <v>53</v>
      </c>
      <c r="M279" s="13">
        <f t="shared" si="123"/>
        <v>0.4339622641509433</v>
      </c>
      <c r="N279" s="12">
        <f t="shared" si="113"/>
        <v>23</v>
      </c>
      <c r="O279" s="30" t="s">
        <v>72</v>
      </c>
      <c r="Q279" s="62">
        <f t="shared" si="120"/>
        <v>267</v>
      </c>
      <c r="R279" s="28">
        <v>184</v>
      </c>
      <c r="S279" s="13">
        <f t="shared" si="124"/>
        <v>0.45108695652173902</v>
      </c>
      <c r="T279" s="12">
        <f t="shared" si="114"/>
        <v>83</v>
      </c>
      <c r="U279" s="30" t="s">
        <v>72</v>
      </c>
      <c r="V279" s="30"/>
      <c r="W279" s="62">
        <f t="shared" si="121"/>
        <v>222</v>
      </c>
      <c r="X279" s="28">
        <v>158</v>
      </c>
      <c r="Y279" s="13">
        <f t="shared" si="125"/>
        <v>0.40506329113924044</v>
      </c>
      <c r="Z279" s="12">
        <f t="shared" si="115"/>
        <v>64</v>
      </c>
      <c r="AA279" s="30" t="s">
        <v>72</v>
      </c>
      <c r="AB279" s="64"/>
      <c r="AC279" s="62">
        <f t="shared" si="122"/>
        <v>240</v>
      </c>
      <c r="AD279" s="28">
        <v>171</v>
      </c>
      <c r="AE279" s="13">
        <f t="shared" si="126"/>
        <v>0.40350877192982448</v>
      </c>
      <c r="AF279" s="12">
        <f t="shared" si="116"/>
        <v>69</v>
      </c>
      <c r="AG279" s="30" t="s">
        <v>72</v>
      </c>
      <c r="AH279" s="17"/>
      <c r="AI279" s="16"/>
      <c r="AJ279" s="2">
        <f t="shared" si="105"/>
        <v>84</v>
      </c>
      <c r="AK279" s="2">
        <f t="shared" si="106"/>
        <v>294</v>
      </c>
      <c r="AL279" s="2">
        <f t="shared" si="107"/>
        <v>264</v>
      </c>
      <c r="AM279" s="2">
        <f t="shared" si="108"/>
        <v>244</v>
      </c>
    </row>
    <row r="280" spans="1:40" outlineLevel="1" x14ac:dyDescent="0.25">
      <c r="A280" t="s">
        <v>35</v>
      </c>
      <c r="B280" s="7" t="str">
        <f t="shared" si="100"/>
        <v>Seite innen SY32 (360x1440)</v>
      </c>
      <c r="C280">
        <v>3603</v>
      </c>
      <c r="D280" s="7" t="s">
        <v>46</v>
      </c>
      <c r="E280">
        <v>360</v>
      </c>
      <c r="F280">
        <v>1440</v>
      </c>
      <c r="I280" s="45">
        <f t="shared" si="117"/>
        <v>0.51839999999999997</v>
      </c>
      <c r="J280" s="46">
        <f t="shared" si="118"/>
        <v>3.5999999999999996</v>
      </c>
      <c r="K280" s="62">
        <f t="shared" si="119"/>
        <v>100</v>
      </c>
      <c r="L280" s="28">
        <v>71</v>
      </c>
      <c r="M280" s="13">
        <f t="shared" si="123"/>
        <v>0.40845070422535201</v>
      </c>
      <c r="N280" s="12">
        <f t="shared" si="113"/>
        <v>29</v>
      </c>
      <c r="O280" s="30" t="s">
        <v>72</v>
      </c>
      <c r="Q280" s="62">
        <f t="shared" si="120"/>
        <v>336</v>
      </c>
      <c r="R280" s="28">
        <v>235</v>
      </c>
      <c r="S280" s="13">
        <f t="shared" si="124"/>
        <v>0.42978723404255326</v>
      </c>
      <c r="T280" s="12">
        <f t="shared" si="114"/>
        <v>101</v>
      </c>
      <c r="U280" s="30" t="s">
        <v>72</v>
      </c>
      <c r="V280" s="30"/>
      <c r="W280" s="62">
        <f t="shared" si="121"/>
        <v>281</v>
      </c>
      <c r="X280" s="28">
        <v>202</v>
      </c>
      <c r="Y280" s="13">
        <f t="shared" si="125"/>
        <v>0.39108910891089099</v>
      </c>
      <c r="Z280" s="12">
        <f t="shared" si="115"/>
        <v>79</v>
      </c>
      <c r="AA280" s="30" t="s">
        <v>72</v>
      </c>
      <c r="AB280" s="64"/>
      <c r="AC280" s="62">
        <f t="shared" si="122"/>
        <v>529</v>
      </c>
      <c r="AD280" s="28" t="s">
        <v>63</v>
      </c>
      <c r="AE280" s="13" t="str">
        <f t="shared" si="126"/>
        <v>-</v>
      </c>
      <c r="AF280" s="12" t="str">
        <f t="shared" si="116"/>
        <v>-</v>
      </c>
      <c r="AG280" s="30" t="s">
        <v>72</v>
      </c>
      <c r="AH280" s="17"/>
      <c r="AI280" s="16"/>
      <c r="AJ280" s="2">
        <f t="shared" si="105"/>
        <v>110</v>
      </c>
      <c r="AK280" s="2">
        <f t="shared" si="106"/>
        <v>370</v>
      </c>
      <c r="AL280" s="2">
        <f t="shared" si="107"/>
        <v>582</v>
      </c>
      <c r="AM280" s="2">
        <f t="shared" si="108"/>
        <v>309</v>
      </c>
    </row>
    <row r="281" spans="1:40" outlineLevel="1" x14ac:dyDescent="0.25">
      <c r="A281" t="s">
        <v>35</v>
      </c>
      <c r="B281" s="7" t="str">
        <f t="shared" si="100"/>
        <v>Seite innen SY32 (360x1800)</v>
      </c>
      <c r="C281">
        <v>3604</v>
      </c>
      <c r="D281" s="7" t="s">
        <v>46</v>
      </c>
      <c r="E281">
        <v>360</v>
      </c>
      <c r="F281">
        <v>1800</v>
      </c>
      <c r="I281" s="45">
        <f t="shared" si="117"/>
        <v>0.64800000000000002</v>
      </c>
      <c r="J281" s="46">
        <f t="shared" si="118"/>
        <v>4.32</v>
      </c>
      <c r="K281" s="62">
        <f t="shared" si="119"/>
        <v>125</v>
      </c>
      <c r="L281" s="28">
        <v>89</v>
      </c>
      <c r="M281" s="13">
        <f t="shared" si="123"/>
        <v>0.40449438202247201</v>
      </c>
      <c r="N281" s="12">
        <f t="shared" si="113"/>
        <v>36</v>
      </c>
      <c r="O281" s="30" t="s">
        <v>72</v>
      </c>
      <c r="Q281" s="62">
        <f t="shared" si="120"/>
        <v>246</v>
      </c>
      <c r="R281" s="28" t="s">
        <v>63</v>
      </c>
      <c r="S281" s="47"/>
      <c r="T281" s="50"/>
      <c r="U281" s="51"/>
      <c r="V281" s="51"/>
      <c r="W281" s="62">
        <f t="shared" si="121"/>
        <v>343</v>
      </c>
      <c r="X281" s="28">
        <v>248</v>
      </c>
      <c r="Y281" s="13">
        <f t="shared" si="125"/>
        <v>0.38306451612903225</v>
      </c>
      <c r="Z281" s="12">
        <f t="shared" si="115"/>
        <v>95</v>
      </c>
      <c r="AA281" s="30" t="s">
        <v>72</v>
      </c>
      <c r="AB281" s="64"/>
      <c r="AC281" s="62">
        <f t="shared" si="122"/>
        <v>645</v>
      </c>
      <c r="AD281" s="28" t="s">
        <v>63</v>
      </c>
      <c r="AE281" s="13" t="str">
        <f t="shared" si="126"/>
        <v>-</v>
      </c>
      <c r="AF281" s="12" t="str">
        <f t="shared" si="116"/>
        <v>-</v>
      </c>
      <c r="AG281" s="30" t="s">
        <v>72</v>
      </c>
      <c r="AH281" s="17"/>
      <c r="AI281" s="16"/>
      <c r="AJ281" s="2">
        <f t="shared" si="105"/>
        <v>138</v>
      </c>
      <c r="AK281" s="2">
        <f t="shared" si="106"/>
        <v>271</v>
      </c>
      <c r="AL281" s="2">
        <f t="shared" si="107"/>
        <v>710</v>
      </c>
      <c r="AM281" s="2">
        <f t="shared" si="108"/>
        <v>377</v>
      </c>
    </row>
    <row r="282" spans="1:40" outlineLevel="1" x14ac:dyDescent="0.25">
      <c r="A282" t="s">
        <v>35</v>
      </c>
      <c r="B282" s="7" t="str">
        <f t="shared" si="100"/>
        <v>Seite innen SY32 (580x360)</v>
      </c>
      <c r="C282">
        <v>3605</v>
      </c>
      <c r="D282" s="7" t="s">
        <v>46</v>
      </c>
      <c r="E282">
        <v>580</v>
      </c>
      <c r="F282">
        <v>360</v>
      </c>
      <c r="I282" s="45">
        <f t="shared" si="117"/>
        <v>0.20879999999999999</v>
      </c>
      <c r="J282" s="46">
        <f t="shared" si="118"/>
        <v>1.88</v>
      </c>
      <c r="K282" s="62">
        <f t="shared" si="119"/>
        <v>43</v>
      </c>
      <c r="L282" s="28">
        <v>28</v>
      </c>
      <c r="M282" s="13">
        <f t="shared" si="123"/>
        <v>0.53571428571428581</v>
      </c>
      <c r="N282" s="12">
        <f t="shared" si="113"/>
        <v>15</v>
      </c>
      <c r="O282" s="30" t="s">
        <v>72</v>
      </c>
      <c r="Q282" s="62">
        <f t="shared" si="120"/>
        <v>161</v>
      </c>
      <c r="R282" s="28">
        <v>105</v>
      </c>
      <c r="S282" s="13">
        <f t="shared" si="124"/>
        <v>0.53333333333333344</v>
      </c>
      <c r="T282" s="12">
        <f t="shared" si="114"/>
        <v>56</v>
      </c>
      <c r="U282" s="30" t="s">
        <v>72</v>
      </c>
      <c r="V282" s="30"/>
      <c r="W282" s="62">
        <f t="shared" si="121"/>
        <v>130</v>
      </c>
      <c r="X282" s="28">
        <v>89</v>
      </c>
      <c r="Y282" s="13">
        <f t="shared" si="125"/>
        <v>0.4606741573033708</v>
      </c>
      <c r="Z282" s="12">
        <f t="shared" si="115"/>
        <v>41</v>
      </c>
      <c r="AA282" s="30" t="s">
        <v>72</v>
      </c>
      <c r="AB282" s="64"/>
      <c r="AC282" s="62">
        <f t="shared" si="122"/>
        <v>185</v>
      </c>
      <c r="AD282" s="28">
        <v>130</v>
      </c>
      <c r="AE282" s="13">
        <f t="shared" si="126"/>
        <v>0.42307692307692313</v>
      </c>
      <c r="AF282" s="12">
        <f t="shared" si="116"/>
        <v>55</v>
      </c>
      <c r="AG282" s="30" t="s">
        <v>72</v>
      </c>
      <c r="AH282" s="17"/>
      <c r="AI282" s="16"/>
      <c r="AJ282" s="2">
        <f t="shared" si="105"/>
        <v>47</v>
      </c>
      <c r="AK282" s="2">
        <f t="shared" si="106"/>
        <v>177</v>
      </c>
      <c r="AL282" s="2">
        <f t="shared" si="107"/>
        <v>204</v>
      </c>
      <c r="AM282" s="2">
        <f t="shared" si="108"/>
        <v>143</v>
      </c>
    </row>
    <row r="283" spans="1:40" outlineLevel="1" x14ac:dyDescent="0.25">
      <c r="A283" t="s">
        <v>35</v>
      </c>
      <c r="B283" s="7" t="str">
        <f t="shared" si="100"/>
        <v>Seite innen SY32 (580x720)</v>
      </c>
      <c r="C283">
        <v>3606</v>
      </c>
      <c r="D283" s="7" t="s">
        <v>46</v>
      </c>
      <c r="E283">
        <v>580</v>
      </c>
      <c r="F283">
        <v>720</v>
      </c>
      <c r="I283" s="45">
        <f t="shared" si="117"/>
        <v>0.41759999999999997</v>
      </c>
      <c r="J283" s="46">
        <f t="shared" si="118"/>
        <v>2.5999999999999996</v>
      </c>
      <c r="K283" s="62">
        <f t="shared" si="119"/>
        <v>82</v>
      </c>
      <c r="L283" s="28">
        <v>57</v>
      </c>
      <c r="M283" s="13">
        <f t="shared" si="123"/>
        <v>0.43859649122807021</v>
      </c>
      <c r="N283" s="12">
        <f t="shared" si="113"/>
        <v>25</v>
      </c>
      <c r="O283" s="30" t="s">
        <v>72</v>
      </c>
      <c r="Q283" s="62">
        <f t="shared" si="120"/>
        <v>262</v>
      </c>
      <c r="R283" s="28">
        <v>180</v>
      </c>
      <c r="S283" s="13">
        <f t="shared" si="124"/>
        <v>0.45555555555555549</v>
      </c>
      <c r="T283" s="12">
        <f t="shared" si="114"/>
        <v>82</v>
      </c>
      <c r="U283" s="30" t="s">
        <v>72</v>
      </c>
      <c r="V283" s="30"/>
      <c r="W283" s="62">
        <f t="shared" si="121"/>
        <v>216</v>
      </c>
      <c r="X283" s="28">
        <v>153</v>
      </c>
      <c r="Y283" s="13">
        <f t="shared" si="125"/>
        <v>0.41176470588235303</v>
      </c>
      <c r="Z283" s="12">
        <f t="shared" si="115"/>
        <v>63</v>
      </c>
      <c r="AA283" s="30" t="s">
        <v>72</v>
      </c>
      <c r="AB283" s="64"/>
      <c r="AC283" s="62">
        <f t="shared" si="122"/>
        <v>245</v>
      </c>
      <c r="AD283" s="28">
        <v>175</v>
      </c>
      <c r="AE283" s="13">
        <f t="shared" si="126"/>
        <v>0.39999999999999991</v>
      </c>
      <c r="AF283" s="12">
        <f t="shared" si="116"/>
        <v>70</v>
      </c>
      <c r="AG283" s="30" t="s">
        <v>72</v>
      </c>
      <c r="AH283" s="17"/>
      <c r="AI283" s="16"/>
      <c r="AJ283" s="2">
        <f t="shared" si="105"/>
        <v>90</v>
      </c>
      <c r="AK283" s="2">
        <f t="shared" si="106"/>
        <v>288</v>
      </c>
      <c r="AL283" s="2">
        <f t="shared" si="107"/>
        <v>270</v>
      </c>
      <c r="AM283" s="2">
        <f t="shared" si="108"/>
        <v>238</v>
      </c>
    </row>
    <row r="284" spans="1:40" outlineLevel="1" x14ac:dyDescent="0.25">
      <c r="A284" t="s">
        <v>35</v>
      </c>
      <c r="B284" s="7" t="str">
        <f t="shared" si="100"/>
        <v>Seite innen SY32 (580x1080)</v>
      </c>
      <c r="C284">
        <v>3607</v>
      </c>
      <c r="D284" s="7" t="s">
        <v>46</v>
      </c>
      <c r="E284">
        <v>580</v>
      </c>
      <c r="F284">
        <v>1080</v>
      </c>
      <c r="I284" s="45">
        <f t="shared" si="117"/>
        <v>0.62639999999999996</v>
      </c>
      <c r="J284" s="46">
        <f t="shared" si="118"/>
        <v>3.3200000000000003</v>
      </c>
      <c r="K284" s="62">
        <f t="shared" si="119"/>
        <v>119</v>
      </c>
      <c r="L284" s="28">
        <v>85</v>
      </c>
      <c r="M284" s="13">
        <f t="shared" si="123"/>
        <v>0.39999999999999991</v>
      </c>
      <c r="N284" s="12">
        <f t="shared" si="113"/>
        <v>34</v>
      </c>
      <c r="O284" s="30" t="s">
        <v>72</v>
      </c>
      <c r="Q284" s="62">
        <f t="shared" si="120"/>
        <v>377</v>
      </c>
      <c r="R284" s="28">
        <v>266</v>
      </c>
      <c r="S284" s="13">
        <f t="shared" si="124"/>
        <v>0.41729323308270683</v>
      </c>
      <c r="T284" s="12">
        <f t="shared" si="114"/>
        <v>111</v>
      </c>
      <c r="U284" s="30" t="s">
        <v>72</v>
      </c>
      <c r="V284" s="30"/>
      <c r="W284" s="62">
        <f t="shared" si="121"/>
        <v>300</v>
      </c>
      <c r="X284" s="28">
        <v>216</v>
      </c>
      <c r="Y284" s="13">
        <f t="shared" si="125"/>
        <v>0.38888888888888884</v>
      </c>
      <c r="Z284" s="12">
        <f t="shared" si="115"/>
        <v>84</v>
      </c>
      <c r="AA284" s="30" t="s">
        <v>72</v>
      </c>
      <c r="AB284" s="64"/>
      <c r="AC284" s="62">
        <f t="shared" si="122"/>
        <v>307</v>
      </c>
      <c r="AD284" s="28">
        <v>221</v>
      </c>
      <c r="AE284" s="13">
        <f t="shared" si="126"/>
        <v>0.38914027149321262</v>
      </c>
      <c r="AF284" s="12">
        <f t="shared" si="116"/>
        <v>86</v>
      </c>
      <c r="AG284" s="30" t="s">
        <v>72</v>
      </c>
      <c r="AH284" s="17"/>
      <c r="AI284" s="16"/>
      <c r="AJ284" s="2">
        <f t="shared" si="105"/>
        <v>131</v>
      </c>
      <c r="AK284" s="2">
        <f t="shared" si="106"/>
        <v>415</v>
      </c>
      <c r="AL284" s="2">
        <f t="shared" si="107"/>
        <v>338</v>
      </c>
      <c r="AM284" s="2">
        <f t="shared" si="108"/>
        <v>330</v>
      </c>
    </row>
    <row r="285" spans="1:40" outlineLevel="1" x14ac:dyDescent="0.25">
      <c r="A285" t="s">
        <v>35</v>
      </c>
      <c r="B285" s="7" t="str">
        <f t="shared" si="100"/>
        <v>Seite innen SY32 (580x1440)</v>
      </c>
      <c r="C285">
        <v>3608</v>
      </c>
      <c r="D285" s="7" t="s">
        <v>46</v>
      </c>
      <c r="E285">
        <v>580</v>
      </c>
      <c r="F285">
        <v>1440</v>
      </c>
      <c r="I285" s="45">
        <f t="shared" si="117"/>
        <v>0.83519999999999994</v>
      </c>
      <c r="J285" s="46">
        <f t="shared" si="118"/>
        <v>4.04</v>
      </c>
      <c r="K285" s="62">
        <f t="shared" si="119"/>
        <v>158</v>
      </c>
      <c r="L285" s="28">
        <v>114</v>
      </c>
      <c r="M285" s="13">
        <f t="shared" si="123"/>
        <v>0.38596491228070184</v>
      </c>
      <c r="N285" s="12">
        <f t="shared" si="113"/>
        <v>44</v>
      </c>
      <c r="O285" s="30" t="s">
        <v>72</v>
      </c>
      <c r="Q285" s="62">
        <f t="shared" si="120"/>
        <v>484</v>
      </c>
      <c r="R285" s="28">
        <v>345</v>
      </c>
      <c r="S285" s="13">
        <f t="shared" si="124"/>
        <v>0.40289855072463765</v>
      </c>
      <c r="T285" s="12">
        <f t="shared" si="114"/>
        <v>139</v>
      </c>
      <c r="U285" s="30" t="s">
        <v>72</v>
      </c>
      <c r="V285" s="30"/>
      <c r="W285" s="62">
        <f t="shared" si="121"/>
        <v>400</v>
      </c>
      <c r="X285" s="28">
        <v>290</v>
      </c>
      <c r="Y285" s="13">
        <f t="shared" si="125"/>
        <v>0.3793103448275863</v>
      </c>
      <c r="Z285" s="12">
        <f t="shared" si="115"/>
        <v>110</v>
      </c>
      <c r="AA285" s="30" t="s">
        <v>72</v>
      </c>
      <c r="AB285" s="64"/>
      <c r="AC285" s="62">
        <f t="shared" si="122"/>
        <v>752</v>
      </c>
      <c r="AD285" s="28" t="s">
        <v>63</v>
      </c>
      <c r="AE285" s="13" t="str">
        <f t="shared" si="126"/>
        <v>-</v>
      </c>
      <c r="AF285" s="12" t="str">
        <f t="shared" si="116"/>
        <v>-</v>
      </c>
      <c r="AG285" s="30" t="s">
        <v>72</v>
      </c>
      <c r="AH285" s="17"/>
      <c r="AI285" s="16"/>
      <c r="AJ285" s="2">
        <f t="shared" si="105"/>
        <v>174</v>
      </c>
      <c r="AK285" s="2">
        <f t="shared" si="106"/>
        <v>532</v>
      </c>
      <c r="AL285" s="2">
        <f t="shared" si="107"/>
        <v>827</v>
      </c>
      <c r="AM285" s="2">
        <f t="shared" si="108"/>
        <v>440</v>
      </c>
    </row>
    <row r="286" spans="1:40" outlineLevel="1" x14ac:dyDescent="0.25">
      <c r="A286" t="s">
        <v>35</v>
      </c>
      <c r="B286" s="7" t="str">
        <f t="shared" si="100"/>
        <v>Seite innen SY32 (580x1800)</v>
      </c>
      <c r="C286">
        <v>3609</v>
      </c>
      <c r="D286" s="7" t="s">
        <v>46</v>
      </c>
      <c r="E286">
        <v>580</v>
      </c>
      <c r="F286">
        <v>1800</v>
      </c>
      <c r="I286" s="45">
        <f t="shared" si="117"/>
        <v>1.044</v>
      </c>
      <c r="J286" s="46">
        <f t="shared" si="118"/>
        <v>4.76</v>
      </c>
      <c r="K286" s="62">
        <f t="shared" si="119"/>
        <v>197</v>
      </c>
      <c r="L286" s="28">
        <v>143</v>
      </c>
      <c r="M286" s="13">
        <f t="shared" si="123"/>
        <v>0.37762237762237771</v>
      </c>
      <c r="N286" s="12">
        <f t="shared" si="113"/>
        <v>54</v>
      </c>
      <c r="O286" s="30" t="s">
        <v>72</v>
      </c>
      <c r="Q286" s="62">
        <f t="shared" si="120"/>
        <v>388</v>
      </c>
      <c r="R286" s="28" t="s">
        <v>63</v>
      </c>
      <c r="S286" s="47"/>
      <c r="T286" s="50"/>
      <c r="U286" s="51"/>
      <c r="V286" s="51"/>
      <c r="W286" s="62">
        <f t="shared" si="121"/>
        <v>467</v>
      </c>
      <c r="X286" s="28">
        <v>340</v>
      </c>
      <c r="Y286" s="13">
        <f t="shared" si="125"/>
        <v>0.37352941176470589</v>
      </c>
      <c r="Z286" s="12">
        <f t="shared" si="115"/>
        <v>127</v>
      </c>
      <c r="AA286" s="30" t="s">
        <v>72</v>
      </c>
      <c r="AB286" s="64"/>
      <c r="AC286" s="62">
        <f t="shared" si="122"/>
        <v>879</v>
      </c>
      <c r="AD286" s="28" t="s">
        <v>63</v>
      </c>
      <c r="AE286" s="13" t="str">
        <f t="shared" si="126"/>
        <v>-</v>
      </c>
      <c r="AF286" s="12" t="str">
        <f t="shared" si="116"/>
        <v>-</v>
      </c>
      <c r="AG286" s="30" t="s">
        <v>72</v>
      </c>
      <c r="AH286" s="17"/>
      <c r="AI286" s="16"/>
      <c r="AJ286" s="2">
        <f t="shared" si="105"/>
        <v>217</v>
      </c>
      <c r="AK286" s="2">
        <f t="shared" si="106"/>
        <v>427</v>
      </c>
      <c r="AL286" s="2">
        <f t="shared" si="107"/>
        <v>967</v>
      </c>
      <c r="AM286" s="2">
        <f t="shared" si="108"/>
        <v>514</v>
      </c>
    </row>
    <row r="287" spans="1:40" outlineLevel="1" x14ac:dyDescent="0.25">
      <c r="A287" t="s">
        <v>35</v>
      </c>
      <c r="B287" s="7" t="str">
        <f t="shared" si="100"/>
        <v>Seite innen SY32 (720x780)</v>
      </c>
      <c r="C287">
        <v>3610</v>
      </c>
      <c r="D287" s="7" t="s">
        <v>46</v>
      </c>
      <c r="E287">
        <v>720</v>
      </c>
      <c r="F287">
        <v>780</v>
      </c>
      <c r="I287" s="45">
        <f t="shared" si="117"/>
        <v>0.56159999999999999</v>
      </c>
      <c r="J287" s="46">
        <f t="shared" si="118"/>
        <v>3</v>
      </c>
      <c r="K287" s="62">
        <f t="shared" si="119"/>
        <v>107</v>
      </c>
      <c r="L287" s="28">
        <v>76</v>
      </c>
      <c r="M287" s="13">
        <f t="shared" si="123"/>
        <v>0.40789473684210531</v>
      </c>
      <c r="N287" s="12">
        <f t="shared" si="113"/>
        <v>31</v>
      </c>
      <c r="O287" s="30" t="s">
        <v>72</v>
      </c>
      <c r="Q287" s="62">
        <f t="shared" si="120"/>
        <v>355</v>
      </c>
      <c r="R287" s="28">
        <v>249</v>
      </c>
      <c r="S287" s="13">
        <f t="shared" si="124"/>
        <v>0.42570281124497988</v>
      </c>
      <c r="T287" s="12">
        <f t="shared" si="114"/>
        <v>106</v>
      </c>
      <c r="U287" s="30" t="s">
        <v>72</v>
      </c>
      <c r="V287" s="30"/>
      <c r="W287" s="62">
        <f t="shared" si="121"/>
        <v>277</v>
      </c>
      <c r="X287" s="28">
        <v>199</v>
      </c>
      <c r="Y287" s="13">
        <f t="shared" si="125"/>
        <v>0.3919597989949748</v>
      </c>
      <c r="Z287" s="12">
        <f t="shared" si="115"/>
        <v>78</v>
      </c>
      <c r="AA287" s="12"/>
      <c r="AB287" s="64"/>
      <c r="AC287" s="62">
        <f t="shared" si="122"/>
        <v>268</v>
      </c>
      <c r="AD287" s="28">
        <v>192</v>
      </c>
      <c r="AE287" s="13">
        <f t="shared" si="126"/>
        <v>0.39583333333333326</v>
      </c>
      <c r="AF287" s="12">
        <f t="shared" si="116"/>
        <v>76</v>
      </c>
      <c r="AG287" s="30" t="s">
        <v>72</v>
      </c>
      <c r="AH287" s="17"/>
      <c r="AI287" s="16"/>
      <c r="AJ287" s="2">
        <f t="shared" si="105"/>
        <v>118</v>
      </c>
      <c r="AK287" s="2">
        <f t="shared" si="106"/>
        <v>391</v>
      </c>
      <c r="AL287" s="2">
        <f t="shared" si="107"/>
        <v>295</v>
      </c>
      <c r="AM287" s="2">
        <f t="shared" si="108"/>
        <v>305</v>
      </c>
    </row>
    <row r="288" spans="1:40" outlineLevel="1" x14ac:dyDescent="0.25">
      <c r="A288" t="s">
        <v>35</v>
      </c>
      <c r="B288" s="7" t="str">
        <f t="shared" si="100"/>
        <v>Seite innen SY32 (720x980)</v>
      </c>
      <c r="C288">
        <v>3611</v>
      </c>
      <c r="D288" s="7" t="s">
        <v>46</v>
      </c>
      <c r="E288">
        <v>720</v>
      </c>
      <c r="F288">
        <v>980</v>
      </c>
      <c r="I288" s="45">
        <f t="shared" si="117"/>
        <v>0.7056</v>
      </c>
      <c r="J288" s="46">
        <f t="shared" si="118"/>
        <v>3.4</v>
      </c>
      <c r="K288" s="62">
        <f t="shared" si="119"/>
        <v>134</v>
      </c>
      <c r="L288" s="28">
        <v>96</v>
      </c>
      <c r="M288" s="13">
        <f t="shared" si="123"/>
        <v>0.39583333333333326</v>
      </c>
      <c r="N288" s="12">
        <f t="shared" si="113"/>
        <v>38</v>
      </c>
      <c r="O288" s="30" t="s">
        <v>72</v>
      </c>
      <c r="Q288" s="62">
        <f t="shared" si="120"/>
        <v>406</v>
      </c>
      <c r="R288" s="28">
        <v>287</v>
      </c>
      <c r="S288" s="13">
        <f t="shared" si="124"/>
        <v>0.41463414634146334</v>
      </c>
      <c r="T288" s="12">
        <f t="shared" si="114"/>
        <v>119</v>
      </c>
      <c r="U288" s="30" t="s">
        <v>72</v>
      </c>
      <c r="V288" s="30"/>
      <c r="W288" s="62">
        <f t="shared" si="121"/>
        <v>320</v>
      </c>
      <c r="X288" s="28">
        <v>231</v>
      </c>
      <c r="Y288" s="13">
        <f t="shared" si="125"/>
        <v>0.38528138528138522</v>
      </c>
      <c r="Z288" s="12">
        <f t="shared" si="115"/>
        <v>89</v>
      </c>
      <c r="AA288" s="12"/>
      <c r="AB288" s="64"/>
      <c r="AC288" s="62">
        <f t="shared" si="122"/>
        <v>329</v>
      </c>
      <c r="AD288" s="28">
        <v>237</v>
      </c>
      <c r="AE288" s="13">
        <f t="shared" si="126"/>
        <v>0.38818565400843874</v>
      </c>
      <c r="AF288" s="12">
        <f t="shared" si="116"/>
        <v>92</v>
      </c>
      <c r="AG288" s="30" t="s">
        <v>72</v>
      </c>
      <c r="AH288" s="17"/>
      <c r="AI288" s="16"/>
      <c r="AJ288" s="2">
        <f t="shared" si="105"/>
        <v>147</v>
      </c>
      <c r="AK288" s="2">
        <f t="shared" si="106"/>
        <v>447</v>
      </c>
      <c r="AL288" s="2">
        <f t="shared" si="107"/>
        <v>362</v>
      </c>
      <c r="AM288" s="2">
        <f t="shared" si="108"/>
        <v>352</v>
      </c>
    </row>
    <row r="289" spans="1:39" outlineLevel="1" x14ac:dyDescent="0.25">
      <c r="A289" t="s">
        <v>35</v>
      </c>
      <c r="B289" s="7" t="str">
        <f t="shared" ref="B289:B352" si="127">IF(OR(E289="-",F289="-"),"-",D289&amp;" ("&amp;E289&amp;"x"&amp;F289&amp;")")</f>
        <v>Seite innen SY32 (1080x780)</v>
      </c>
      <c r="C289">
        <v>3612</v>
      </c>
      <c r="D289" s="7" t="s">
        <v>46</v>
      </c>
      <c r="E289">
        <v>1080</v>
      </c>
      <c r="F289">
        <v>780</v>
      </c>
      <c r="I289" s="45">
        <f t="shared" si="117"/>
        <v>0.84240000000000004</v>
      </c>
      <c r="J289" s="46">
        <f t="shared" si="118"/>
        <v>3.72</v>
      </c>
      <c r="K289" s="62">
        <f t="shared" si="119"/>
        <v>161</v>
      </c>
      <c r="L289" s="28">
        <v>116</v>
      </c>
      <c r="M289" s="13">
        <f t="shared" si="123"/>
        <v>0.38793103448275867</v>
      </c>
      <c r="N289" s="12">
        <f t="shared" si="113"/>
        <v>45</v>
      </c>
      <c r="O289" s="30" t="s">
        <v>72</v>
      </c>
      <c r="Q289" s="62">
        <f t="shared" si="120"/>
        <v>517</v>
      </c>
      <c r="R289" s="28">
        <v>370</v>
      </c>
      <c r="S289" s="13">
        <f t="shared" si="124"/>
        <v>0.39729729729729724</v>
      </c>
      <c r="T289" s="12">
        <f t="shared" si="114"/>
        <v>147</v>
      </c>
      <c r="U289" s="30" t="s">
        <v>72</v>
      </c>
      <c r="V289" s="30"/>
      <c r="W289" s="62">
        <f t="shared" si="121"/>
        <v>409</v>
      </c>
      <c r="X289" s="28">
        <v>297</v>
      </c>
      <c r="Y289" s="13">
        <f t="shared" si="125"/>
        <v>0.37710437710437716</v>
      </c>
      <c r="Z289" s="12">
        <f t="shared" si="115"/>
        <v>112</v>
      </c>
      <c r="AA289" s="12"/>
      <c r="AB289" s="64"/>
      <c r="AC289" s="62">
        <f t="shared" si="122"/>
        <v>385</v>
      </c>
      <c r="AD289" s="28">
        <v>279</v>
      </c>
      <c r="AE289" s="13">
        <f t="shared" si="126"/>
        <v>0.37992831541218641</v>
      </c>
      <c r="AF289" s="12">
        <f t="shared" si="116"/>
        <v>106</v>
      </c>
      <c r="AG289" s="30" t="s">
        <v>72</v>
      </c>
      <c r="AH289" s="17"/>
      <c r="AI289" s="16"/>
      <c r="AJ289" s="2">
        <f t="shared" si="105"/>
        <v>177</v>
      </c>
      <c r="AK289" s="2">
        <f t="shared" si="106"/>
        <v>569</v>
      </c>
      <c r="AL289" s="2">
        <f t="shared" si="107"/>
        <v>424</v>
      </c>
      <c r="AM289" s="2">
        <f t="shared" si="108"/>
        <v>450</v>
      </c>
    </row>
    <row r="290" spans="1:39" outlineLevel="1" x14ac:dyDescent="0.25">
      <c r="A290" t="s">
        <v>35</v>
      </c>
      <c r="B290" s="7" t="str">
        <f t="shared" si="127"/>
        <v>Seite innen SY32 (1080x980)</v>
      </c>
      <c r="C290">
        <v>3613</v>
      </c>
      <c r="D290" s="7" t="s">
        <v>46</v>
      </c>
      <c r="E290">
        <v>1080</v>
      </c>
      <c r="F290">
        <v>980</v>
      </c>
      <c r="I290" s="45">
        <f t="shared" si="117"/>
        <v>1.0584</v>
      </c>
      <c r="J290" s="46">
        <f t="shared" si="118"/>
        <v>4.12</v>
      </c>
      <c r="K290" s="62">
        <f t="shared" si="119"/>
        <v>200</v>
      </c>
      <c r="L290" s="28">
        <v>145</v>
      </c>
      <c r="M290" s="13">
        <f t="shared" si="123"/>
        <v>0.3793103448275863</v>
      </c>
      <c r="N290" s="12">
        <f t="shared" si="113"/>
        <v>55</v>
      </c>
      <c r="O290" s="30" t="s">
        <v>72</v>
      </c>
      <c r="Q290" s="62">
        <f t="shared" si="120"/>
        <v>626</v>
      </c>
      <c r="R290" s="28">
        <v>451</v>
      </c>
      <c r="S290" s="13">
        <f t="shared" si="124"/>
        <v>0.38802660753880258</v>
      </c>
      <c r="T290" s="12">
        <f t="shared" si="114"/>
        <v>175</v>
      </c>
      <c r="U290" s="30" t="s">
        <v>72</v>
      </c>
      <c r="V290" s="30"/>
      <c r="W290" s="62">
        <f t="shared" si="121"/>
        <v>474</v>
      </c>
      <c r="X290" s="28">
        <v>345</v>
      </c>
      <c r="Y290" s="13">
        <f t="shared" si="125"/>
        <v>0.37391304347826093</v>
      </c>
      <c r="Z290" s="12">
        <f t="shared" si="115"/>
        <v>129</v>
      </c>
      <c r="AA290" s="12"/>
      <c r="AB290" s="64"/>
      <c r="AC290" s="62">
        <f t="shared" si="122"/>
        <v>431</v>
      </c>
      <c r="AD290" s="28">
        <v>313</v>
      </c>
      <c r="AE290" s="13">
        <f t="shared" si="126"/>
        <v>0.3769968051118211</v>
      </c>
      <c r="AF290" s="12">
        <f t="shared" si="116"/>
        <v>118</v>
      </c>
      <c r="AG290" s="30" t="s">
        <v>72</v>
      </c>
      <c r="AH290" s="17"/>
      <c r="AI290" s="16"/>
      <c r="AJ290" s="2">
        <f t="shared" si="105"/>
        <v>220</v>
      </c>
      <c r="AK290" s="2">
        <f t="shared" si="106"/>
        <v>689</v>
      </c>
      <c r="AL290" s="2">
        <f t="shared" si="107"/>
        <v>474</v>
      </c>
      <c r="AM290" s="2">
        <f t="shared" si="108"/>
        <v>521</v>
      </c>
    </row>
    <row r="291" spans="1:39" outlineLevel="1" x14ac:dyDescent="0.25">
      <c r="A291" t="s">
        <v>35</v>
      </c>
      <c r="B291" s="7" t="str">
        <f t="shared" si="127"/>
        <v>Seite innen SY32 (1440x780)</v>
      </c>
      <c r="C291">
        <v>3614</v>
      </c>
      <c r="D291" s="7" t="s">
        <v>46</v>
      </c>
      <c r="E291">
        <v>1440</v>
      </c>
      <c r="F291">
        <v>780</v>
      </c>
      <c r="I291" s="45">
        <f t="shared" si="117"/>
        <v>1.1232</v>
      </c>
      <c r="J291" s="46">
        <f t="shared" si="118"/>
        <v>4.4399999999999995</v>
      </c>
      <c r="K291" s="62">
        <f t="shared" si="119"/>
        <v>211</v>
      </c>
      <c r="L291" s="28">
        <v>153</v>
      </c>
      <c r="M291" s="13">
        <f t="shared" si="123"/>
        <v>0.37908496732026142</v>
      </c>
      <c r="N291" s="12">
        <f t="shared" si="113"/>
        <v>58</v>
      </c>
      <c r="O291" s="30" t="s">
        <v>72</v>
      </c>
      <c r="Q291" s="62">
        <f t="shared" si="120"/>
        <v>630</v>
      </c>
      <c r="R291" s="28">
        <v>454</v>
      </c>
      <c r="S291" s="13">
        <f t="shared" si="124"/>
        <v>0.38766519823788537</v>
      </c>
      <c r="T291" s="12">
        <f t="shared" si="114"/>
        <v>176</v>
      </c>
      <c r="U291" s="30" t="s">
        <v>72</v>
      </c>
      <c r="V291" s="30"/>
      <c r="W291" s="62">
        <f t="shared" si="121"/>
        <v>499</v>
      </c>
      <c r="X291" s="28">
        <v>364</v>
      </c>
      <c r="Y291" s="13">
        <f t="shared" si="125"/>
        <v>0.37087912087912089</v>
      </c>
      <c r="Z291" s="12">
        <f t="shared" si="115"/>
        <v>135</v>
      </c>
      <c r="AA291" s="12"/>
      <c r="AB291" s="64"/>
      <c r="AC291" s="62">
        <f t="shared" si="122"/>
        <v>939</v>
      </c>
      <c r="AD291" s="28" t="s">
        <v>63</v>
      </c>
      <c r="AE291" s="13" t="str">
        <f t="shared" si="126"/>
        <v>-</v>
      </c>
      <c r="AF291" s="12" t="str">
        <f t="shared" si="116"/>
        <v>-</v>
      </c>
      <c r="AG291" s="12"/>
      <c r="AH291" s="17"/>
      <c r="AI291" s="16"/>
      <c r="AJ291" s="2">
        <f t="shared" si="105"/>
        <v>232</v>
      </c>
      <c r="AK291" s="2">
        <f t="shared" si="106"/>
        <v>693</v>
      </c>
      <c r="AL291" s="2">
        <f t="shared" si="107"/>
        <v>1033</v>
      </c>
      <c r="AM291" s="2">
        <f t="shared" si="108"/>
        <v>549</v>
      </c>
    </row>
    <row r="292" spans="1:39" outlineLevel="1" x14ac:dyDescent="0.25">
      <c r="A292" t="s">
        <v>35</v>
      </c>
      <c r="B292" s="7" t="str">
        <f t="shared" si="127"/>
        <v>Seite innen SY32 (1440x980)</v>
      </c>
      <c r="C292">
        <v>3615</v>
      </c>
      <c r="D292" s="7" t="s">
        <v>46</v>
      </c>
      <c r="E292">
        <v>1440</v>
      </c>
      <c r="F292">
        <v>980</v>
      </c>
      <c r="I292" s="45">
        <f t="shared" si="117"/>
        <v>1.4112</v>
      </c>
      <c r="J292" s="46">
        <f t="shared" si="118"/>
        <v>4.84</v>
      </c>
      <c r="K292" s="62">
        <f t="shared" si="119"/>
        <v>264</v>
      </c>
      <c r="L292" s="28">
        <v>193</v>
      </c>
      <c r="M292" s="13">
        <f t="shared" si="123"/>
        <v>0.36787564766839376</v>
      </c>
      <c r="N292" s="12">
        <f t="shared" si="113"/>
        <v>71</v>
      </c>
      <c r="O292" s="30" t="s">
        <v>72</v>
      </c>
      <c r="Q292" s="62">
        <f t="shared" si="120"/>
        <v>778</v>
      </c>
      <c r="R292" s="28">
        <v>564</v>
      </c>
      <c r="S292" s="13">
        <f t="shared" si="124"/>
        <v>0.37943262411347511</v>
      </c>
      <c r="T292" s="12">
        <f t="shared" si="114"/>
        <v>214</v>
      </c>
      <c r="U292" s="30" t="s">
        <v>72</v>
      </c>
      <c r="V292" s="30"/>
      <c r="W292" s="62">
        <f t="shared" si="121"/>
        <v>616</v>
      </c>
      <c r="X292" s="28">
        <v>451</v>
      </c>
      <c r="Y292" s="13">
        <f t="shared" si="125"/>
        <v>0.36585365853658547</v>
      </c>
      <c r="Z292" s="12">
        <f t="shared" si="115"/>
        <v>165</v>
      </c>
      <c r="AA292" s="12"/>
      <c r="AB292" s="64"/>
      <c r="AC292" s="62">
        <f t="shared" si="122"/>
        <v>1159</v>
      </c>
      <c r="AD292" s="28" t="s">
        <v>63</v>
      </c>
      <c r="AE292" s="13" t="str">
        <f t="shared" si="126"/>
        <v>-</v>
      </c>
      <c r="AF292" s="12" t="str">
        <f t="shared" si="116"/>
        <v>-</v>
      </c>
      <c r="AG292" s="12"/>
      <c r="AH292" s="17"/>
      <c r="AI292" s="16"/>
      <c r="AJ292" s="2">
        <f t="shared" si="105"/>
        <v>290</v>
      </c>
      <c r="AK292" s="2">
        <f t="shared" si="106"/>
        <v>856</v>
      </c>
      <c r="AL292" s="2">
        <f t="shared" si="107"/>
        <v>1275</v>
      </c>
      <c r="AM292" s="2">
        <f t="shared" si="108"/>
        <v>678</v>
      </c>
    </row>
    <row r="293" spans="1:39" outlineLevel="1" x14ac:dyDescent="0.25">
      <c r="A293" t="s">
        <v>35</v>
      </c>
      <c r="B293" s="7" t="str">
        <f t="shared" si="127"/>
        <v>Seite innen SY32 (1800x780)</v>
      </c>
      <c r="C293">
        <v>3616</v>
      </c>
      <c r="D293" s="7" t="s">
        <v>46</v>
      </c>
      <c r="E293">
        <v>1800</v>
      </c>
      <c r="F293">
        <v>780</v>
      </c>
      <c r="I293" s="45">
        <f t="shared" si="117"/>
        <v>1.4039999999999999</v>
      </c>
      <c r="J293" s="46">
        <f t="shared" si="118"/>
        <v>5.16</v>
      </c>
      <c r="K293" s="62">
        <f t="shared" si="119"/>
        <v>264</v>
      </c>
      <c r="L293" s="28">
        <v>193</v>
      </c>
      <c r="M293" s="13">
        <f t="shared" si="123"/>
        <v>0.36787564766839376</v>
      </c>
      <c r="N293" s="12">
        <f t="shared" si="113"/>
        <v>71</v>
      </c>
      <c r="O293" s="30" t="s">
        <v>72</v>
      </c>
      <c r="Q293" s="62">
        <f t="shared" si="120"/>
        <v>520</v>
      </c>
      <c r="R293" s="28" t="s">
        <v>63</v>
      </c>
      <c r="S293" s="47"/>
      <c r="T293" s="50"/>
      <c r="U293" s="51"/>
      <c r="V293" s="51"/>
      <c r="W293" s="62">
        <f t="shared" si="121"/>
        <v>612</v>
      </c>
      <c r="X293" s="28">
        <v>448</v>
      </c>
      <c r="Y293" s="13">
        <f t="shared" si="125"/>
        <v>0.3660714285714286</v>
      </c>
      <c r="Z293" s="12">
        <f t="shared" si="115"/>
        <v>164</v>
      </c>
      <c r="AA293" s="12"/>
      <c r="AB293" s="64"/>
      <c r="AC293" s="62">
        <f t="shared" si="122"/>
        <v>1151</v>
      </c>
      <c r="AD293" s="28" t="s">
        <v>63</v>
      </c>
      <c r="AE293" s="13" t="str">
        <f t="shared" si="126"/>
        <v>-</v>
      </c>
      <c r="AF293" s="12" t="str">
        <f t="shared" si="116"/>
        <v>-</v>
      </c>
      <c r="AG293" s="12"/>
      <c r="AH293" s="17"/>
      <c r="AI293" s="16"/>
      <c r="AJ293" s="2">
        <f t="shared" si="105"/>
        <v>290</v>
      </c>
      <c r="AK293" s="2">
        <f t="shared" si="106"/>
        <v>572</v>
      </c>
      <c r="AL293" s="2">
        <f t="shared" si="107"/>
        <v>1266</v>
      </c>
      <c r="AM293" s="2">
        <f t="shared" si="108"/>
        <v>673</v>
      </c>
    </row>
    <row r="294" spans="1:39" outlineLevel="1" x14ac:dyDescent="0.25">
      <c r="A294" t="s">
        <v>35</v>
      </c>
      <c r="B294" s="7" t="str">
        <f t="shared" si="127"/>
        <v>Seite innen SY32 (1800x980)</v>
      </c>
      <c r="C294">
        <v>3617</v>
      </c>
      <c r="D294" s="7" t="s">
        <v>46</v>
      </c>
      <c r="E294">
        <v>1800</v>
      </c>
      <c r="F294">
        <v>980</v>
      </c>
      <c r="I294" s="45">
        <f t="shared" si="117"/>
        <v>1.764</v>
      </c>
      <c r="J294" s="46">
        <f t="shared" si="118"/>
        <v>5.5600000000000005</v>
      </c>
      <c r="K294" s="62">
        <f t="shared" si="119"/>
        <v>329</v>
      </c>
      <c r="L294" s="28">
        <v>241</v>
      </c>
      <c r="M294" s="13">
        <f t="shared" si="123"/>
        <v>0.36514522821576767</v>
      </c>
      <c r="N294" s="12">
        <f t="shared" si="113"/>
        <v>88</v>
      </c>
      <c r="O294" s="30" t="s">
        <v>72</v>
      </c>
      <c r="Q294" s="62">
        <f t="shared" si="120"/>
        <v>648</v>
      </c>
      <c r="R294" s="28" t="s">
        <v>63</v>
      </c>
      <c r="S294" s="47"/>
      <c r="T294" s="50"/>
      <c r="U294" s="51"/>
      <c r="V294" s="51"/>
      <c r="W294" s="62">
        <f t="shared" si="121"/>
        <v>753</v>
      </c>
      <c r="X294" s="28">
        <v>553</v>
      </c>
      <c r="Y294" s="13">
        <f t="shared" si="125"/>
        <v>0.36166365280289337</v>
      </c>
      <c r="Z294" s="12">
        <f t="shared" si="115"/>
        <v>200</v>
      </c>
      <c r="AA294" s="12"/>
      <c r="AB294" s="64"/>
      <c r="AC294" s="62">
        <f t="shared" si="122"/>
        <v>1417</v>
      </c>
      <c r="AD294" s="28" t="s">
        <v>63</v>
      </c>
      <c r="AE294" s="13" t="str">
        <f t="shared" si="126"/>
        <v>-</v>
      </c>
      <c r="AF294" s="12" t="str">
        <f t="shared" si="116"/>
        <v>-</v>
      </c>
      <c r="AG294" s="12"/>
      <c r="AH294" s="17"/>
      <c r="AI294" s="16"/>
      <c r="AJ294" s="2">
        <f t="shared" si="105"/>
        <v>362</v>
      </c>
      <c r="AK294" s="2">
        <f t="shared" si="106"/>
        <v>713</v>
      </c>
      <c r="AL294" s="2">
        <f t="shared" si="107"/>
        <v>1559</v>
      </c>
      <c r="AM294" s="2">
        <f t="shared" si="108"/>
        <v>828</v>
      </c>
    </row>
    <row r="295" spans="1:39" outlineLevel="1" x14ac:dyDescent="0.25">
      <c r="A295" t="s">
        <v>35</v>
      </c>
      <c r="B295" s="7" t="str">
        <f t="shared" si="127"/>
        <v xml:space="preserve"> (x)</v>
      </c>
      <c r="C295" s="3">
        <v>3618</v>
      </c>
      <c r="I295" s="45" t="str">
        <f t="shared" si="117"/>
        <v/>
      </c>
      <c r="J295" s="46" t="str">
        <f t="shared" si="118"/>
        <v/>
      </c>
      <c r="K295" s="62">
        <f t="shared" si="119"/>
        <v>0</v>
      </c>
      <c r="L295" s="28" t="s">
        <v>63</v>
      </c>
      <c r="M295" s="12" t="str">
        <f t="shared" si="123"/>
        <v>-</v>
      </c>
      <c r="N295" s="12" t="str">
        <f t="shared" si="113"/>
        <v>-</v>
      </c>
      <c r="O295" s="12"/>
      <c r="Q295" s="62">
        <f t="shared" si="120"/>
        <v>0</v>
      </c>
      <c r="R295" s="28" t="s">
        <v>63</v>
      </c>
      <c r="S295" s="12" t="str">
        <f t="shared" si="124"/>
        <v>-</v>
      </c>
      <c r="T295" s="12" t="str">
        <f t="shared" si="114"/>
        <v>-</v>
      </c>
      <c r="U295" s="12"/>
      <c r="V295" s="12"/>
      <c r="W295" s="62">
        <f t="shared" si="121"/>
        <v>10</v>
      </c>
      <c r="X295" s="28">
        <v>0</v>
      </c>
      <c r="Y295" s="12" t="str">
        <f t="shared" si="125"/>
        <v>-</v>
      </c>
      <c r="Z295" s="12">
        <f t="shared" si="115"/>
        <v>10</v>
      </c>
      <c r="AA295" s="12"/>
      <c r="AB295" s="64"/>
      <c r="AC295" s="62">
        <f t="shared" si="122"/>
        <v>0</v>
      </c>
      <c r="AD295" s="28" t="s">
        <v>68</v>
      </c>
      <c r="AE295" s="12" t="str">
        <f t="shared" si="126"/>
        <v>-</v>
      </c>
      <c r="AF295" s="12" t="str">
        <f t="shared" si="116"/>
        <v>-</v>
      </c>
      <c r="AG295" s="12"/>
      <c r="AH295" s="17"/>
      <c r="AI295" s="17"/>
      <c r="AJ295" s="2">
        <f t="shared" si="105"/>
        <v>0</v>
      </c>
      <c r="AK295" s="2">
        <f t="shared" si="106"/>
        <v>0</v>
      </c>
      <c r="AL295" s="2">
        <f t="shared" si="107"/>
        <v>0</v>
      </c>
      <c r="AM295" s="2">
        <f t="shared" si="108"/>
        <v>11</v>
      </c>
    </row>
    <row r="296" spans="1:39" outlineLevel="1" x14ac:dyDescent="0.25">
      <c r="A296" t="s">
        <v>35</v>
      </c>
      <c r="B296" s="7" t="str">
        <f t="shared" si="127"/>
        <v xml:space="preserve"> (x)</v>
      </c>
      <c r="C296" s="3">
        <v>3619</v>
      </c>
      <c r="I296" s="45" t="str">
        <f t="shared" si="117"/>
        <v/>
      </c>
      <c r="J296" s="46" t="str">
        <f t="shared" si="118"/>
        <v/>
      </c>
      <c r="K296" s="62">
        <f t="shared" si="119"/>
        <v>0</v>
      </c>
      <c r="L296" s="28" t="s">
        <v>63</v>
      </c>
      <c r="M296" s="12" t="str">
        <f t="shared" si="123"/>
        <v>-</v>
      </c>
      <c r="N296" s="12" t="str">
        <f t="shared" si="113"/>
        <v>-</v>
      </c>
      <c r="O296" s="12"/>
      <c r="Q296" s="62">
        <f t="shared" si="120"/>
        <v>0</v>
      </c>
      <c r="R296" s="28" t="s">
        <v>63</v>
      </c>
      <c r="S296" s="12" t="str">
        <f t="shared" si="124"/>
        <v>-</v>
      </c>
      <c r="T296" s="12" t="str">
        <f t="shared" si="114"/>
        <v>-</v>
      </c>
      <c r="U296" s="12"/>
      <c r="V296" s="12"/>
      <c r="W296" s="62">
        <f t="shared" si="121"/>
        <v>10</v>
      </c>
      <c r="X296" s="28">
        <v>0</v>
      </c>
      <c r="Y296" s="12" t="str">
        <f t="shared" si="125"/>
        <v>-</v>
      </c>
      <c r="Z296" s="12">
        <f t="shared" si="115"/>
        <v>10</v>
      </c>
      <c r="AA296" s="12"/>
      <c r="AB296" s="64"/>
      <c r="AC296" s="62">
        <f t="shared" si="122"/>
        <v>0</v>
      </c>
      <c r="AD296" s="28" t="s">
        <v>68</v>
      </c>
      <c r="AE296" s="12" t="str">
        <f t="shared" si="126"/>
        <v>-</v>
      </c>
      <c r="AF296" s="12" t="str">
        <f t="shared" si="116"/>
        <v>-</v>
      </c>
      <c r="AG296" s="12"/>
      <c r="AH296" s="17"/>
      <c r="AI296" s="17"/>
      <c r="AJ296" s="2">
        <f t="shared" si="105"/>
        <v>0</v>
      </c>
      <c r="AK296" s="2">
        <f t="shared" si="106"/>
        <v>0</v>
      </c>
      <c r="AL296" s="2">
        <f t="shared" si="107"/>
        <v>0</v>
      </c>
      <c r="AM296" s="2">
        <f t="shared" si="108"/>
        <v>11</v>
      </c>
    </row>
    <row r="297" spans="1:39" outlineLevel="1" x14ac:dyDescent="0.25">
      <c r="A297" t="s">
        <v>35</v>
      </c>
      <c r="B297" s="7" t="str">
        <f t="shared" si="127"/>
        <v xml:space="preserve"> (x)</v>
      </c>
      <c r="C297" s="3">
        <v>3620</v>
      </c>
      <c r="I297" s="45" t="str">
        <f t="shared" si="117"/>
        <v/>
      </c>
      <c r="J297" s="46" t="str">
        <f t="shared" si="118"/>
        <v/>
      </c>
      <c r="K297" s="62">
        <f t="shared" si="119"/>
        <v>0</v>
      </c>
      <c r="L297" s="28" t="s">
        <v>63</v>
      </c>
      <c r="M297" s="12" t="str">
        <f t="shared" si="123"/>
        <v>-</v>
      </c>
      <c r="N297" s="12" t="str">
        <f t="shared" si="113"/>
        <v>-</v>
      </c>
      <c r="O297" s="12"/>
      <c r="Q297" s="62">
        <f t="shared" si="120"/>
        <v>0</v>
      </c>
      <c r="R297" s="28" t="s">
        <v>63</v>
      </c>
      <c r="S297" s="12" t="str">
        <f t="shared" si="124"/>
        <v>-</v>
      </c>
      <c r="T297" s="12" t="str">
        <f t="shared" si="114"/>
        <v>-</v>
      </c>
      <c r="U297" s="12"/>
      <c r="V297" s="12"/>
      <c r="W297" s="62">
        <f t="shared" si="121"/>
        <v>10</v>
      </c>
      <c r="X297" s="28">
        <v>0</v>
      </c>
      <c r="Y297" s="12" t="str">
        <f t="shared" si="125"/>
        <v>-</v>
      </c>
      <c r="Z297" s="12">
        <f t="shared" si="115"/>
        <v>10</v>
      </c>
      <c r="AA297" s="12"/>
      <c r="AB297" s="64"/>
      <c r="AC297" s="62">
        <f t="shared" si="122"/>
        <v>0</v>
      </c>
      <c r="AD297" s="28" t="s">
        <v>68</v>
      </c>
      <c r="AE297" s="12" t="str">
        <f t="shared" si="126"/>
        <v>-</v>
      </c>
      <c r="AF297" s="12" t="str">
        <f t="shared" si="116"/>
        <v>-</v>
      </c>
      <c r="AG297" s="12"/>
      <c r="AH297" s="17"/>
      <c r="AI297" s="17"/>
      <c r="AJ297" s="2">
        <f t="shared" si="105"/>
        <v>0</v>
      </c>
      <c r="AK297" s="2">
        <f t="shared" si="106"/>
        <v>0</v>
      </c>
      <c r="AL297" s="2">
        <f t="shared" si="107"/>
        <v>0</v>
      </c>
      <c r="AM297" s="2">
        <f t="shared" si="108"/>
        <v>11</v>
      </c>
    </row>
    <row r="298" spans="1:39" outlineLevel="1" x14ac:dyDescent="0.25">
      <c r="A298" t="s">
        <v>35</v>
      </c>
      <c r="B298" s="7" t="str">
        <f t="shared" si="127"/>
        <v xml:space="preserve"> (x)</v>
      </c>
      <c r="C298" s="3">
        <v>3621</v>
      </c>
      <c r="I298" s="45" t="str">
        <f t="shared" si="117"/>
        <v/>
      </c>
      <c r="J298" s="46" t="str">
        <f t="shared" si="118"/>
        <v/>
      </c>
      <c r="K298" s="62">
        <f t="shared" si="119"/>
        <v>0</v>
      </c>
      <c r="L298" s="28" t="s">
        <v>63</v>
      </c>
      <c r="M298" s="12" t="str">
        <f t="shared" si="123"/>
        <v>-</v>
      </c>
      <c r="N298" s="12" t="str">
        <f t="shared" si="113"/>
        <v>-</v>
      </c>
      <c r="O298" s="12"/>
      <c r="Q298" s="62">
        <f t="shared" si="120"/>
        <v>0</v>
      </c>
      <c r="R298" s="28" t="s">
        <v>63</v>
      </c>
      <c r="S298" s="12" t="str">
        <f t="shared" si="124"/>
        <v>-</v>
      </c>
      <c r="T298" s="12" t="str">
        <f t="shared" si="114"/>
        <v>-</v>
      </c>
      <c r="U298" s="12"/>
      <c r="V298" s="12"/>
      <c r="W298" s="62">
        <f t="shared" si="121"/>
        <v>10</v>
      </c>
      <c r="X298" s="28">
        <v>0</v>
      </c>
      <c r="Y298" s="12" t="str">
        <f t="shared" si="125"/>
        <v>-</v>
      </c>
      <c r="Z298" s="12">
        <f t="shared" si="115"/>
        <v>10</v>
      </c>
      <c r="AA298" s="12"/>
      <c r="AB298" s="64"/>
      <c r="AC298" s="62">
        <f t="shared" si="122"/>
        <v>0</v>
      </c>
      <c r="AD298" s="28" t="s">
        <v>68</v>
      </c>
      <c r="AE298" s="12" t="str">
        <f t="shared" si="126"/>
        <v>-</v>
      </c>
      <c r="AF298" s="12" t="str">
        <f t="shared" si="116"/>
        <v>-</v>
      </c>
      <c r="AG298" s="12"/>
      <c r="AH298" s="17"/>
      <c r="AI298" s="17"/>
      <c r="AJ298" s="2">
        <f t="shared" si="105"/>
        <v>0</v>
      </c>
      <c r="AK298" s="2">
        <f t="shared" si="106"/>
        <v>0</v>
      </c>
      <c r="AL298" s="2">
        <f t="shared" si="107"/>
        <v>0</v>
      </c>
      <c r="AM298" s="2">
        <f t="shared" si="108"/>
        <v>11</v>
      </c>
    </row>
    <row r="299" spans="1:39" outlineLevel="1" x14ac:dyDescent="0.25">
      <c r="A299" t="s">
        <v>35</v>
      </c>
      <c r="B299" s="7" t="str">
        <f t="shared" si="127"/>
        <v xml:space="preserve"> (x)</v>
      </c>
      <c r="C299" s="3">
        <v>3622</v>
      </c>
      <c r="I299" s="45" t="str">
        <f t="shared" si="117"/>
        <v/>
      </c>
      <c r="J299" s="46" t="str">
        <f t="shared" si="118"/>
        <v/>
      </c>
      <c r="K299" s="62">
        <f t="shared" si="119"/>
        <v>0</v>
      </c>
      <c r="L299" s="28" t="s">
        <v>63</v>
      </c>
      <c r="M299" s="12" t="str">
        <f t="shared" si="123"/>
        <v>-</v>
      </c>
      <c r="N299" s="12" t="str">
        <f t="shared" si="113"/>
        <v>-</v>
      </c>
      <c r="O299" s="12"/>
      <c r="Q299" s="62">
        <f t="shared" si="120"/>
        <v>0</v>
      </c>
      <c r="R299" s="28" t="s">
        <v>63</v>
      </c>
      <c r="S299" s="12" t="str">
        <f t="shared" si="124"/>
        <v>-</v>
      </c>
      <c r="T299" s="12" t="str">
        <f t="shared" si="114"/>
        <v>-</v>
      </c>
      <c r="U299" s="12"/>
      <c r="V299" s="12"/>
      <c r="W299" s="62">
        <f t="shared" si="121"/>
        <v>10</v>
      </c>
      <c r="X299" s="28">
        <v>0</v>
      </c>
      <c r="Y299" s="12" t="str">
        <f t="shared" si="125"/>
        <v>-</v>
      </c>
      <c r="Z299" s="12">
        <f t="shared" si="115"/>
        <v>10</v>
      </c>
      <c r="AA299" s="12"/>
      <c r="AB299" s="64"/>
      <c r="AC299" s="62">
        <f t="shared" si="122"/>
        <v>0</v>
      </c>
      <c r="AD299" s="28" t="s">
        <v>68</v>
      </c>
      <c r="AE299" s="12" t="str">
        <f t="shared" si="126"/>
        <v>-</v>
      </c>
      <c r="AF299" s="12" t="str">
        <f t="shared" si="116"/>
        <v>-</v>
      </c>
      <c r="AG299" s="12"/>
      <c r="AH299" s="17"/>
      <c r="AI299" s="17"/>
      <c r="AJ299" s="2">
        <f t="shared" si="105"/>
        <v>0</v>
      </c>
      <c r="AK299" s="2">
        <f t="shared" si="106"/>
        <v>0</v>
      </c>
      <c r="AL299" s="2">
        <f t="shared" si="107"/>
        <v>0</v>
      </c>
      <c r="AM299" s="2">
        <f t="shared" si="108"/>
        <v>11</v>
      </c>
    </row>
    <row r="300" spans="1:39" outlineLevel="1" x14ac:dyDescent="0.25">
      <c r="A300" t="s">
        <v>35</v>
      </c>
      <c r="B300" s="7" t="str">
        <f t="shared" si="127"/>
        <v xml:space="preserve"> (x)</v>
      </c>
      <c r="C300" s="3">
        <v>3623</v>
      </c>
      <c r="I300" s="45" t="str">
        <f t="shared" si="117"/>
        <v/>
      </c>
      <c r="J300" s="46" t="str">
        <f t="shared" si="118"/>
        <v/>
      </c>
      <c r="K300" s="62">
        <f t="shared" si="119"/>
        <v>0</v>
      </c>
      <c r="L300" s="28" t="s">
        <v>63</v>
      </c>
      <c r="M300" s="12" t="str">
        <f t="shared" si="123"/>
        <v>-</v>
      </c>
      <c r="N300" s="12" t="str">
        <f t="shared" si="113"/>
        <v>-</v>
      </c>
      <c r="O300" s="12"/>
      <c r="Q300" s="62">
        <f t="shared" si="120"/>
        <v>0</v>
      </c>
      <c r="R300" s="28" t="s">
        <v>63</v>
      </c>
      <c r="S300" s="12" t="str">
        <f t="shared" si="124"/>
        <v>-</v>
      </c>
      <c r="T300" s="12" t="str">
        <f t="shared" si="114"/>
        <v>-</v>
      </c>
      <c r="U300" s="12"/>
      <c r="V300" s="12"/>
      <c r="W300" s="62">
        <f t="shared" si="121"/>
        <v>10</v>
      </c>
      <c r="X300" s="28">
        <v>0</v>
      </c>
      <c r="Y300" s="12" t="str">
        <f t="shared" si="125"/>
        <v>-</v>
      </c>
      <c r="Z300" s="12">
        <f t="shared" si="115"/>
        <v>10</v>
      </c>
      <c r="AA300" s="12"/>
      <c r="AB300" s="64"/>
      <c r="AC300" s="62">
        <f t="shared" si="122"/>
        <v>0</v>
      </c>
      <c r="AD300" s="28" t="s">
        <v>68</v>
      </c>
      <c r="AE300" s="12" t="str">
        <f t="shared" si="126"/>
        <v>-</v>
      </c>
      <c r="AF300" s="12" t="str">
        <f t="shared" si="116"/>
        <v>-</v>
      </c>
      <c r="AG300" s="12"/>
      <c r="AH300" s="17"/>
      <c r="AI300" s="17"/>
      <c r="AJ300" s="2">
        <f t="shared" si="105"/>
        <v>0</v>
      </c>
      <c r="AK300" s="2">
        <f t="shared" si="106"/>
        <v>0</v>
      </c>
      <c r="AL300" s="2">
        <f t="shared" si="107"/>
        <v>0</v>
      </c>
      <c r="AM300" s="2">
        <f t="shared" si="108"/>
        <v>11</v>
      </c>
    </row>
    <row r="301" spans="1:39" outlineLevel="1" x14ac:dyDescent="0.25">
      <c r="A301" t="s">
        <v>35</v>
      </c>
      <c r="B301" s="7" t="str">
        <f t="shared" si="127"/>
        <v xml:space="preserve"> (x)</v>
      </c>
      <c r="C301" s="3">
        <v>3624</v>
      </c>
      <c r="I301" s="45" t="str">
        <f t="shared" si="117"/>
        <v/>
      </c>
      <c r="J301" s="46" t="str">
        <f t="shared" si="118"/>
        <v/>
      </c>
      <c r="K301" s="62">
        <f t="shared" si="119"/>
        <v>0</v>
      </c>
      <c r="L301" s="28" t="s">
        <v>63</v>
      </c>
      <c r="M301" s="12" t="str">
        <f t="shared" si="123"/>
        <v>-</v>
      </c>
      <c r="N301" s="12" t="str">
        <f t="shared" si="113"/>
        <v>-</v>
      </c>
      <c r="O301" s="12"/>
      <c r="Q301" s="62">
        <f t="shared" si="120"/>
        <v>0</v>
      </c>
      <c r="R301" s="28" t="s">
        <v>63</v>
      </c>
      <c r="S301" s="12" t="str">
        <f t="shared" si="124"/>
        <v>-</v>
      </c>
      <c r="T301" s="12" t="str">
        <f t="shared" si="114"/>
        <v>-</v>
      </c>
      <c r="U301" s="12"/>
      <c r="V301" s="12"/>
      <c r="W301" s="62">
        <f t="shared" si="121"/>
        <v>10</v>
      </c>
      <c r="X301" s="28">
        <v>0</v>
      </c>
      <c r="Y301" s="12" t="str">
        <f t="shared" si="125"/>
        <v>-</v>
      </c>
      <c r="Z301" s="12">
        <f t="shared" si="115"/>
        <v>10</v>
      </c>
      <c r="AA301" s="12"/>
      <c r="AB301" s="64"/>
      <c r="AC301" s="62">
        <f t="shared" si="122"/>
        <v>0</v>
      </c>
      <c r="AD301" s="28" t="s">
        <v>68</v>
      </c>
      <c r="AE301" s="12" t="str">
        <f t="shared" si="126"/>
        <v>-</v>
      </c>
      <c r="AF301" s="12" t="str">
        <f t="shared" si="116"/>
        <v>-</v>
      </c>
      <c r="AG301" s="12"/>
      <c r="AH301" s="17"/>
      <c r="AI301" s="17"/>
      <c r="AJ301" s="2">
        <f t="shared" si="105"/>
        <v>0</v>
      </c>
      <c r="AK301" s="2">
        <f t="shared" si="106"/>
        <v>0</v>
      </c>
      <c r="AL301" s="2">
        <f t="shared" si="107"/>
        <v>0</v>
      </c>
      <c r="AM301" s="2">
        <f t="shared" si="108"/>
        <v>11</v>
      </c>
    </row>
    <row r="302" spans="1:39" outlineLevel="1" x14ac:dyDescent="0.25">
      <c r="A302" t="s">
        <v>35</v>
      </c>
      <c r="B302" s="7" t="str">
        <f t="shared" si="127"/>
        <v xml:space="preserve"> (x)</v>
      </c>
      <c r="C302" s="3">
        <v>3625</v>
      </c>
      <c r="I302" s="45" t="str">
        <f t="shared" si="117"/>
        <v/>
      </c>
      <c r="J302" s="46" t="str">
        <f t="shared" si="118"/>
        <v/>
      </c>
      <c r="K302" s="62">
        <f t="shared" si="119"/>
        <v>0</v>
      </c>
      <c r="L302" s="28" t="s">
        <v>63</v>
      </c>
      <c r="M302" s="12" t="str">
        <f t="shared" si="123"/>
        <v>-</v>
      </c>
      <c r="N302" s="12" t="str">
        <f t="shared" si="113"/>
        <v>-</v>
      </c>
      <c r="O302" s="12"/>
      <c r="Q302" s="62">
        <f t="shared" si="120"/>
        <v>0</v>
      </c>
      <c r="R302" s="28" t="s">
        <v>63</v>
      </c>
      <c r="S302" s="12" t="str">
        <f t="shared" si="124"/>
        <v>-</v>
      </c>
      <c r="T302" s="12" t="str">
        <f t="shared" si="114"/>
        <v>-</v>
      </c>
      <c r="U302" s="12"/>
      <c r="V302" s="12"/>
      <c r="W302" s="62">
        <f t="shared" si="121"/>
        <v>10</v>
      </c>
      <c r="X302" s="28">
        <v>0</v>
      </c>
      <c r="Y302" s="12" t="str">
        <f t="shared" si="125"/>
        <v>-</v>
      </c>
      <c r="Z302" s="12">
        <f t="shared" si="115"/>
        <v>10</v>
      </c>
      <c r="AA302" s="12"/>
      <c r="AB302" s="64"/>
      <c r="AC302" s="62">
        <f t="shared" si="122"/>
        <v>0</v>
      </c>
      <c r="AD302" s="28" t="s">
        <v>68</v>
      </c>
      <c r="AE302" s="12" t="str">
        <f t="shared" si="126"/>
        <v>-</v>
      </c>
      <c r="AF302" s="12" t="str">
        <f t="shared" si="116"/>
        <v>-</v>
      </c>
      <c r="AG302" s="12"/>
      <c r="AH302" s="17"/>
      <c r="AI302" s="17"/>
      <c r="AJ302" s="2">
        <f t="shared" si="105"/>
        <v>0</v>
      </c>
      <c r="AK302" s="2">
        <f t="shared" si="106"/>
        <v>0</v>
      </c>
      <c r="AL302" s="2">
        <f t="shared" si="107"/>
        <v>0</v>
      </c>
      <c r="AM302" s="2">
        <f t="shared" si="108"/>
        <v>11</v>
      </c>
    </row>
    <row r="303" spans="1:39" outlineLevel="1" x14ac:dyDescent="0.25">
      <c r="A303" t="s">
        <v>35</v>
      </c>
      <c r="B303" s="7" t="str">
        <f t="shared" si="127"/>
        <v xml:space="preserve"> (x)</v>
      </c>
      <c r="C303" s="3">
        <v>3626</v>
      </c>
      <c r="I303" s="45" t="str">
        <f t="shared" si="117"/>
        <v/>
      </c>
      <c r="J303" s="46" t="str">
        <f t="shared" si="118"/>
        <v/>
      </c>
      <c r="K303" s="62">
        <f t="shared" si="119"/>
        <v>0</v>
      </c>
      <c r="L303" s="28" t="s">
        <v>63</v>
      </c>
      <c r="M303" s="12" t="str">
        <f t="shared" si="123"/>
        <v>-</v>
      </c>
      <c r="N303" s="12" t="str">
        <f t="shared" si="113"/>
        <v>-</v>
      </c>
      <c r="O303" s="12"/>
      <c r="Q303" s="62">
        <f t="shared" si="120"/>
        <v>0</v>
      </c>
      <c r="R303" s="28" t="s">
        <v>63</v>
      </c>
      <c r="S303" s="12" t="str">
        <f t="shared" si="124"/>
        <v>-</v>
      </c>
      <c r="T303" s="12" t="str">
        <f t="shared" si="114"/>
        <v>-</v>
      </c>
      <c r="U303" s="12"/>
      <c r="V303" s="12"/>
      <c r="W303" s="62">
        <f t="shared" si="121"/>
        <v>10</v>
      </c>
      <c r="X303" s="28">
        <v>0</v>
      </c>
      <c r="Y303" s="12" t="str">
        <f t="shared" si="125"/>
        <v>-</v>
      </c>
      <c r="Z303" s="12">
        <f t="shared" si="115"/>
        <v>10</v>
      </c>
      <c r="AA303" s="12"/>
      <c r="AB303" s="64"/>
      <c r="AC303" s="62">
        <f t="shared" si="122"/>
        <v>0</v>
      </c>
      <c r="AD303" s="28" t="s">
        <v>68</v>
      </c>
      <c r="AE303" s="12" t="str">
        <f t="shared" si="126"/>
        <v>-</v>
      </c>
      <c r="AF303" s="12" t="str">
        <f t="shared" si="116"/>
        <v>-</v>
      </c>
      <c r="AG303" s="12"/>
      <c r="AH303" s="17"/>
      <c r="AI303" s="17"/>
      <c r="AJ303" s="2">
        <f t="shared" si="105"/>
        <v>0</v>
      </c>
      <c r="AK303" s="2">
        <f t="shared" si="106"/>
        <v>0</v>
      </c>
      <c r="AL303" s="2">
        <f t="shared" si="107"/>
        <v>0</v>
      </c>
      <c r="AM303" s="2">
        <f t="shared" si="108"/>
        <v>11</v>
      </c>
    </row>
    <row r="304" spans="1:39" outlineLevel="1" x14ac:dyDescent="0.25">
      <c r="A304" t="s">
        <v>35</v>
      </c>
      <c r="B304" s="7" t="str">
        <f t="shared" si="127"/>
        <v xml:space="preserve"> (x)</v>
      </c>
      <c r="C304" s="3">
        <v>3627</v>
      </c>
      <c r="I304" s="45" t="str">
        <f t="shared" si="117"/>
        <v/>
      </c>
      <c r="J304" s="46" t="str">
        <f t="shared" si="118"/>
        <v/>
      </c>
      <c r="K304" s="62">
        <f t="shared" si="119"/>
        <v>0</v>
      </c>
      <c r="L304" s="28" t="s">
        <v>63</v>
      </c>
      <c r="M304" s="12" t="str">
        <f t="shared" si="123"/>
        <v>-</v>
      </c>
      <c r="N304" s="12" t="str">
        <f t="shared" si="113"/>
        <v>-</v>
      </c>
      <c r="O304" s="12"/>
      <c r="Q304" s="62">
        <f t="shared" si="120"/>
        <v>0</v>
      </c>
      <c r="R304" s="28" t="s">
        <v>63</v>
      </c>
      <c r="S304" s="12" t="str">
        <f t="shared" si="124"/>
        <v>-</v>
      </c>
      <c r="T304" s="12" t="str">
        <f t="shared" si="114"/>
        <v>-</v>
      </c>
      <c r="U304" s="12"/>
      <c r="V304" s="12"/>
      <c r="W304" s="62">
        <f t="shared" si="121"/>
        <v>10</v>
      </c>
      <c r="X304" s="28">
        <v>0</v>
      </c>
      <c r="Y304" s="12" t="str">
        <f t="shared" si="125"/>
        <v>-</v>
      </c>
      <c r="Z304" s="12">
        <f t="shared" si="115"/>
        <v>10</v>
      </c>
      <c r="AA304" s="12"/>
      <c r="AB304" s="64"/>
      <c r="AC304" s="62">
        <f t="shared" si="122"/>
        <v>0</v>
      </c>
      <c r="AD304" s="28" t="s">
        <v>68</v>
      </c>
      <c r="AE304" s="12" t="str">
        <f t="shared" si="126"/>
        <v>-</v>
      </c>
      <c r="AF304" s="12" t="str">
        <f t="shared" si="116"/>
        <v>-</v>
      </c>
      <c r="AG304" s="12"/>
      <c r="AH304" s="17"/>
      <c r="AI304" s="17"/>
      <c r="AJ304" s="2">
        <f t="shared" si="105"/>
        <v>0</v>
      </c>
      <c r="AK304" s="2">
        <f t="shared" si="106"/>
        <v>0</v>
      </c>
      <c r="AL304" s="2">
        <f t="shared" si="107"/>
        <v>0</v>
      </c>
      <c r="AM304" s="2">
        <f t="shared" si="108"/>
        <v>11</v>
      </c>
    </row>
    <row r="305" spans="1:39" outlineLevel="1" x14ac:dyDescent="0.25">
      <c r="A305" t="s">
        <v>35</v>
      </c>
      <c r="B305" s="7" t="str">
        <f t="shared" si="127"/>
        <v xml:space="preserve"> (x)</v>
      </c>
      <c r="C305" s="3">
        <v>3628</v>
      </c>
      <c r="I305" s="45" t="str">
        <f t="shared" si="117"/>
        <v/>
      </c>
      <c r="J305" s="46" t="str">
        <f t="shared" si="118"/>
        <v/>
      </c>
      <c r="K305" s="62">
        <f t="shared" si="119"/>
        <v>0</v>
      </c>
      <c r="L305" s="28" t="s">
        <v>63</v>
      </c>
      <c r="M305" s="12" t="str">
        <f t="shared" si="123"/>
        <v>-</v>
      </c>
      <c r="N305" s="12" t="str">
        <f t="shared" si="113"/>
        <v>-</v>
      </c>
      <c r="O305" s="12"/>
      <c r="Q305" s="62">
        <f t="shared" si="120"/>
        <v>0</v>
      </c>
      <c r="R305" s="28" t="s">
        <v>63</v>
      </c>
      <c r="S305" s="12" t="str">
        <f t="shared" si="124"/>
        <v>-</v>
      </c>
      <c r="T305" s="12" t="str">
        <f t="shared" si="114"/>
        <v>-</v>
      </c>
      <c r="U305" s="12"/>
      <c r="V305" s="12"/>
      <c r="W305" s="62">
        <f t="shared" si="121"/>
        <v>10</v>
      </c>
      <c r="X305" s="28">
        <v>0</v>
      </c>
      <c r="Y305" s="12" t="str">
        <f t="shared" si="125"/>
        <v>-</v>
      </c>
      <c r="Z305" s="12">
        <f t="shared" si="115"/>
        <v>10</v>
      </c>
      <c r="AA305" s="12"/>
      <c r="AB305" s="64"/>
      <c r="AC305" s="62">
        <f t="shared" si="122"/>
        <v>0</v>
      </c>
      <c r="AD305" s="28" t="s">
        <v>68</v>
      </c>
      <c r="AE305" s="12" t="str">
        <f t="shared" si="126"/>
        <v>-</v>
      </c>
      <c r="AF305" s="12" t="str">
        <f t="shared" si="116"/>
        <v>-</v>
      </c>
      <c r="AG305" s="12"/>
      <c r="AH305" s="17"/>
      <c r="AI305" s="17"/>
      <c r="AJ305" s="2">
        <f t="shared" si="105"/>
        <v>0</v>
      </c>
      <c r="AK305" s="2">
        <f t="shared" si="106"/>
        <v>0</v>
      </c>
      <c r="AL305" s="2">
        <f t="shared" si="107"/>
        <v>0</v>
      </c>
      <c r="AM305" s="2">
        <f t="shared" si="108"/>
        <v>11</v>
      </c>
    </row>
    <row r="306" spans="1:39" outlineLevel="1" x14ac:dyDescent="0.25">
      <c r="A306" t="s">
        <v>35</v>
      </c>
      <c r="B306" s="7" t="str">
        <f t="shared" si="127"/>
        <v xml:space="preserve"> (x)</v>
      </c>
      <c r="C306" s="3">
        <v>3629</v>
      </c>
      <c r="I306" s="45" t="str">
        <f t="shared" si="117"/>
        <v/>
      </c>
      <c r="J306" s="46" t="str">
        <f t="shared" si="118"/>
        <v/>
      </c>
      <c r="K306" s="62">
        <f t="shared" si="119"/>
        <v>0</v>
      </c>
      <c r="L306" s="28" t="s">
        <v>63</v>
      </c>
      <c r="M306" s="12" t="str">
        <f t="shared" si="123"/>
        <v>-</v>
      </c>
      <c r="N306" s="12" t="str">
        <f t="shared" si="113"/>
        <v>-</v>
      </c>
      <c r="O306" s="12"/>
      <c r="Q306" s="62">
        <f t="shared" si="120"/>
        <v>0</v>
      </c>
      <c r="R306" s="28" t="s">
        <v>63</v>
      </c>
      <c r="S306" s="12" t="str">
        <f t="shared" si="124"/>
        <v>-</v>
      </c>
      <c r="T306" s="12" t="str">
        <f t="shared" si="114"/>
        <v>-</v>
      </c>
      <c r="U306" s="12"/>
      <c r="V306" s="12"/>
      <c r="W306" s="62">
        <f t="shared" si="121"/>
        <v>10</v>
      </c>
      <c r="X306" s="28">
        <v>0</v>
      </c>
      <c r="Y306" s="12" t="str">
        <f t="shared" si="125"/>
        <v>-</v>
      </c>
      <c r="Z306" s="12">
        <f t="shared" si="115"/>
        <v>10</v>
      </c>
      <c r="AA306" s="12"/>
      <c r="AB306" s="64"/>
      <c r="AC306" s="62">
        <f t="shared" si="122"/>
        <v>0</v>
      </c>
      <c r="AD306" s="28" t="s">
        <v>68</v>
      </c>
      <c r="AE306" s="12" t="str">
        <f t="shared" si="126"/>
        <v>-</v>
      </c>
      <c r="AF306" s="12" t="str">
        <f t="shared" si="116"/>
        <v>-</v>
      </c>
      <c r="AG306" s="12"/>
      <c r="AH306" s="17"/>
      <c r="AI306" s="17"/>
      <c r="AJ306" s="2">
        <f t="shared" si="105"/>
        <v>0</v>
      </c>
      <c r="AK306" s="2">
        <f t="shared" si="106"/>
        <v>0</v>
      </c>
      <c r="AL306" s="2">
        <f t="shared" si="107"/>
        <v>0</v>
      </c>
      <c r="AM306" s="2">
        <f t="shared" si="108"/>
        <v>11</v>
      </c>
    </row>
    <row r="307" spans="1:39" outlineLevel="1" x14ac:dyDescent="0.25">
      <c r="A307" t="s">
        <v>35</v>
      </c>
      <c r="B307" s="7" t="str">
        <f t="shared" si="127"/>
        <v xml:space="preserve"> (x)</v>
      </c>
      <c r="C307" s="3">
        <v>3630</v>
      </c>
      <c r="I307" s="45" t="str">
        <f t="shared" si="117"/>
        <v/>
      </c>
      <c r="J307" s="46" t="str">
        <f t="shared" si="118"/>
        <v/>
      </c>
      <c r="K307" s="62">
        <f t="shared" si="119"/>
        <v>0</v>
      </c>
      <c r="L307" s="28" t="s">
        <v>63</v>
      </c>
      <c r="M307" s="12" t="str">
        <f t="shared" si="123"/>
        <v>-</v>
      </c>
      <c r="N307" s="12" t="str">
        <f t="shared" si="113"/>
        <v>-</v>
      </c>
      <c r="O307" s="12"/>
      <c r="Q307" s="62">
        <f t="shared" si="120"/>
        <v>0</v>
      </c>
      <c r="R307" s="28" t="s">
        <v>63</v>
      </c>
      <c r="S307" s="12" t="str">
        <f t="shared" si="124"/>
        <v>-</v>
      </c>
      <c r="T307" s="12" t="str">
        <f t="shared" si="114"/>
        <v>-</v>
      </c>
      <c r="U307" s="12"/>
      <c r="V307" s="12"/>
      <c r="W307" s="62">
        <f t="shared" si="121"/>
        <v>10</v>
      </c>
      <c r="X307" s="28">
        <v>0</v>
      </c>
      <c r="Y307" s="12" t="str">
        <f t="shared" si="125"/>
        <v>-</v>
      </c>
      <c r="Z307" s="12">
        <f t="shared" si="115"/>
        <v>10</v>
      </c>
      <c r="AA307" s="12"/>
      <c r="AB307" s="64"/>
      <c r="AC307" s="62">
        <f t="shared" si="122"/>
        <v>0</v>
      </c>
      <c r="AD307" s="28" t="s">
        <v>68</v>
      </c>
      <c r="AE307" s="12" t="str">
        <f t="shared" si="126"/>
        <v>-</v>
      </c>
      <c r="AF307" s="12" t="str">
        <f t="shared" si="116"/>
        <v>-</v>
      </c>
      <c r="AG307" s="12"/>
      <c r="AH307" s="17"/>
      <c r="AI307" s="17"/>
      <c r="AJ307" s="2">
        <f t="shared" si="105"/>
        <v>0</v>
      </c>
      <c r="AK307" s="2">
        <f t="shared" si="106"/>
        <v>0</v>
      </c>
      <c r="AL307" s="2">
        <f t="shared" si="107"/>
        <v>0</v>
      </c>
      <c r="AM307" s="2">
        <f t="shared" si="108"/>
        <v>11</v>
      </c>
    </row>
    <row r="308" spans="1:39" outlineLevel="1" x14ac:dyDescent="0.25">
      <c r="A308" t="s">
        <v>35</v>
      </c>
      <c r="B308" s="7" t="str">
        <f t="shared" si="127"/>
        <v xml:space="preserve"> (x)</v>
      </c>
      <c r="C308" s="3">
        <v>3631</v>
      </c>
      <c r="I308" s="45" t="str">
        <f t="shared" si="117"/>
        <v/>
      </c>
      <c r="J308" s="46" t="str">
        <f t="shared" si="118"/>
        <v/>
      </c>
      <c r="K308" s="62">
        <f t="shared" si="119"/>
        <v>0</v>
      </c>
      <c r="L308" s="28" t="s">
        <v>63</v>
      </c>
      <c r="M308" s="12" t="str">
        <f t="shared" si="123"/>
        <v>-</v>
      </c>
      <c r="N308" s="12" t="str">
        <f t="shared" si="113"/>
        <v>-</v>
      </c>
      <c r="O308" s="12"/>
      <c r="Q308" s="62">
        <f t="shared" si="120"/>
        <v>0</v>
      </c>
      <c r="R308" s="28" t="s">
        <v>63</v>
      </c>
      <c r="S308" s="12" t="str">
        <f t="shared" si="124"/>
        <v>-</v>
      </c>
      <c r="T308" s="12" t="str">
        <f t="shared" si="114"/>
        <v>-</v>
      </c>
      <c r="U308" s="12"/>
      <c r="V308" s="12"/>
      <c r="W308" s="62">
        <f t="shared" si="121"/>
        <v>10</v>
      </c>
      <c r="X308" s="28">
        <v>0</v>
      </c>
      <c r="Y308" s="12" t="str">
        <f t="shared" si="125"/>
        <v>-</v>
      </c>
      <c r="Z308" s="12">
        <f t="shared" si="115"/>
        <v>10</v>
      </c>
      <c r="AA308" s="12"/>
      <c r="AB308" s="64"/>
      <c r="AC308" s="62">
        <f t="shared" si="122"/>
        <v>0</v>
      </c>
      <c r="AD308" s="28" t="s">
        <v>68</v>
      </c>
      <c r="AE308" s="12" t="str">
        <f t="shared" si="126"/>
        <v>-</v>
      </c>
      <c r="AF308" s="12" t="str">
        <f t="shared" si="116"/>
        <v>-</v>
      </c>
      <c r="AG308" s="12"/>
      <c r="AH308" s="17"/>
      <c r="AI308" s="17"/>
      <c r="AJ308" s="2">
        <f t="shared" si="105"/>
        <v>0</v>
      </c>
      <c r="AK308" s="2">
        <f t="shared" si="106"/>
        <v>0</v>
      </c>
      <c r="AL308" s="2">
        <f t="shared" si="107"/>
        <v>0</v>
      </c>
      <c r="AM308" s="2">
        <f t="shared" si="108"/>
        <v>11</v>
      </c>
    </row>
    <row r="309" spans="1:39" outlineLevel="1" x14ac:dyDescent="0.25">
      <c r="A309" t="s">
        <v>35</v>
      </c>
      <c r="B309" s="7" t="str">
        <f t="shared" si="127"/>
        <v xml:space="preserve"> (x)</v>
      </c>
      <c r="C309" s="3">
        <v>3632</v>
      </c>
      <c r="I309" s="45" t="str">
        <f t="shared" si="117"/>
        <v/>
      </c>
      <c r="J309" s="46" t="str">
        <f t="shared" si="118"/>
        <v/>
      </c>
      <c r="K309" s="62">
        <f t="shared" si="119"/>
        <v>0</v>
      </c>
      <c r="L309" s="28" t="s">
        <v>63</v>
      </c>
      <c r="M309" s="12" t="str">
        <f t="shared" ref="M309:M327" si="128">IFERROR(K309/L309-1,"-")</f>
        <v>-</v>
      </c>
      <c r="N309" s="12" t="str">
        <f t="shared" si="113"/>
        <v>-</v>
      </c>
      <c r="O309" s="12"/>
      <c r="Q309" s="62">
        <f t="shared" si="120"/>
        <v>0</v>
      </c>
      <c r="R309" s="28" t="s">
        <v>63</v>
      </c>
      <c r="S309" s="12" t="str">
        <f t="shared" ref="S309:S327" si="129">IFERROR(Q309/R309-1,"-")</f>
        <v>-</v>
      </c>
      <c r="T309" s="12" t="str">
        <f t="shared" si="114"/>
        <v>-</v>
      </c>
      <c r="U309" s="12"/>
      <c r="V309" s="12"/>
      <c r="W309" s="62">
        <f t="shared" si="121"/>
        <v>10</v>
      </c>
      <c r="X309" s="28">
        <v>0</v>
      </c>
      <c r="Y309" s="12" t="str">
        <f t="shared" ref="Y309:Y327" si="130">IFERROR(W309/X309-1,"-")</f>
        <v>-</v>
      </c>
      <c r="Z309" s="12">
        <f t="shared" si="115"/>
        <v>10</v>
      </c>
      <c r="AA309" s="12"/>
      <c r="AB309" s="64"/>
      <c r="AC309" s="62">
        <f t="shared" si="122"/>
        <v>0</v>
      </c>
      <c r="AD309" s="28" t="s">
        <v>68</v>
      </c>
      <c r="AE309" s="12" t="str">
        <f t="shared" ref="AE309:AE327" si="131">IFERROR(AC309/AD309-1,"-")</f>
        <v>-</v>
      </c>
      <c r="AF309" s="12" t="str">
        <f t="shared" si="116"/>
        <v>-</v>
      </c>
      <c r="AG309" s="12"/>
      <c r="AH309" s="17"/>
      <c r="AI309" s="17"/>
      <c r="AJ309" s="2">
        <f t="shared" si="105"/>
        <v>0</v>
      </c>
      <c r="AK309" s="2">
        <f t="shared" si="106"/>
        <v>0</v>
      </c>
      <c r="AL309" s="2">
        <f t="shared" si="107"/>
        <v>0</v>
      </c>
      <c r="AM309" s="2">
        <f t="shared" si="108"/>
        <v>11</v>
      </c>
    </row>
    <row r="310" spans="1:39" outlineLevel="1" x14ac:dyDescent="0.25">
      <c r="A310" t="s">
        <v>35</v>
      </c>
      <c r="B310" s="7" t="str">
        <f t="shared" si="127"/>
        <v xml:space="preserve"> (x)</v>
      </c>
      <c r="C310" s="3">
        <v>3633</v>
      </c>
      <c r="I310" s="45" t="str">
        <f t="shared" si="117"/>
        <v/>
      </c>
      <c r="J310" s="46" t="str">
        <f t="shared" si="118"/>
        <v/>
      </c>
      <c r="K310" s="62">
        <f t="shared" si="119"/>
        <v>0</v>
      </c>
      <c r="L310" s="28" t="s">
        <v>63</v>
      </c>
      <c r="M310" s="12" t="str">
        <f t="shared" si="128"/>
        <v>-</v>
      </c>
      <c r="N310" s="12" t="str">
        <f t="shared" si="113"/>
        <v>-</v>
      </c>
      <c r="O310" s="12"/>
      <c r="Q310" s="62">
        <f t="shared" si="120"/>
        <v>0</v>
      </c>
      <c r="R310" s="28" t="s">
        <v>63</v>
      </c>
      <c r="S310" s="12" t="str">
        <f t="shared" si="129"/>
        <v>-</v>
      </c>
      <c r="T310" s="12" t="str">
        <f t="shared" si="114"/>
        <v>-</v>
      </c>
      <c r="U310" s="12"/>
      <c r="V310" s="12"/>
      <c r="W310" s="62">
        <f t="shared" si="121"/>
        <v>10</v>
      </c>
      <c r="X310" s="28">
        <v>0</v>
      </c>
      <c r="Y310" s="12" t="str">
        <f t="shared" si="130"/>
        <v>-</v>
      </c>
      <c r="Z310" s="12">
        <f t="shared" si="115"/>
        <v>10</v>
      </c>
      <c r="AA310" s="12"/>
      <c r="AB310" s="64"/>
      <c r="AC310" s="62">
        <f t="shared" si="122"/>
        <v>0</v>
      </c>
      <c r="AD310" s="28" t="s">
        <v>68</v>
      </c>
      <c r="AE310" s="12" t="str">
        <f t="shared" si="131"/>
        <v>-</v>
      </c>
      <c r="AF310" s="12" t="str">
        <f t="shared" si="116"/>
        <v>-</v>
      </c>
      <c r="AG310" s="12"/>
      <c r="AH310" s="17"/>
      <c r="AI310" s="17"/>
      <c r="AJ310" s="2">
        <f t="shared" si="105"/>
        <v>0</v>
      </c>
      <c r="AK310" s="2">
        <f t="shared" si="106"/>
        <v>0</v>
      </c>
      <c r="AL310" s="2">
        <f t="shared" si="107"/>
        <v>0</v>
      </c>
      <c r="AM310" s="2">
        <f t="shared" si="108"/>
        <v>11</v>
      </c>
    </row>
    <row r="311" spans="1:39" outlineLevel="1" x14ac:dyDescent="0.25">
      <c r="A311" t="s">
        <v>35</v>
      </c>
      <c r="B311" s="7" t="str">
        <f t="shared" si="127"/>
        <v xml:space="preserve"> (x)</v>
      </c>
      <c r="C311" s="3">
        <v>3634</v>
      </c>
      <c r="I311" s="45" t="str">
        <f t="shared" si="117"/>
        <v/>
      </c>
      <c r="J311" s="46" t="str">
        <f t="shared" si="118"/>
        <v/>
      </c>
      <c r="K311" s="62">
        <f t="shared" si="119"/>
        <v>0</v>
      </c>
      <c r="L311" s="28" t="s">
        <v>63</v>
      </c>
      <c r="M311" s="12" t="str">
        <f t="shared" si="128"/>
        <v>-</v>
      </c>
      <c r="N311" s="12" t="str">
        <f t="shared" si="113"/>
        <v>-</v>
      </c>
      <c r="O311" s="12"/>
      <c r="Q311" s="62">
        <f t="shared" si="120"/>
        <v>0</v>
      </c>
      <c r="R311" s="28" t="s">
        <v>63</v>
      </c>
      <c r="S311" s="12" t="str">
        <f t="shared" si="129"/>
        <v>-</v>
      </c>
      <c r="T311" s="12" t="str">
        <f t="shared" si="114"/>
        <v>-</v>
      </c>
      <c r="U311" s="12"/>
      <c r="V311" s="12"/>
      <c r="W311" s="62">
        <f t="shared" si="121"/>
        <v>10</v>
      </c>
      <c r="X311" s="28">
        <v>0</v>
      </c>
      <c r="Y311" s="12" t="str">
        <f t="shared" si="130"/>
        <v>-</v>
      </c>
      <c r="Z311" s="12">
        <f t="shared" si="115"/>
        <v>10</v>
      </c>
      <c r="AA311" s="12"/>
      <c r="AB311" s="64"/>
      <c r="AC311" s="62">
        <f t="shared" si="122"/>
        <v>0</v>
      </c>
      <c r="AD311" s="28" t="s">
        <v>68</v>
      </c>
      <c r="AE311" s="12" t="str">
        <f t="shared" si="131"/>
        <v>-</v>
      </c>
      <c r="AF311" s="12" t="str">
        <f t="shared" si="116"/>
        <v>-</v>
      </c>
      <c r="AG311" s="12"/>
      <c r="AH311" s="17"/>
      <c r="AI311" s="17"/>
      <c r="AJ311" s="2">
        <f t="shared" si="105"/>
        <v>0</v>
      </c>
      <c r="AK311" s="2">
        <f t="shared" si="106"/>
        <v>0</v>
      </c>
      <c r="AL311" s="2">
        <f t="shared" si="107"/>
        <v>0</v>
      </c>
      <c r="AM311" s="2">
        <f t="shared" si="108"/>
        <v>11</v>
      </c>
    </row>
    <row r="312" spans="1:39" outlineLevel="1" x14ac:dyDescent="0.25">
      <c r="A312" t="s">
        <v>35</v>
      </c>
      <c r="B312" s="7" t="str">
        <f t="shared" si="127"/>
        <v xml:space="preserve"> (x)</v>
      </c>
      <c r="C312" s="3">
        <v>3635</v>
      </c>
      <c r="I312" s="45" t="str">
        <f t="shared" si="117"/>
        <v/>
      </c>
      <c r="J312" s="46" t="str">
        <f t="shared" si="118"/>
        <v/>
      </c>
      <c r="K312" s="62">
        <f t="shared" si="119"/>
        <v>0</v>
      </c>
      <c r="L312" s="28" t="s">
        <v>63</v>
      </c>
      <c r="M312" s="12" t="str">
        <f t="shared" si="128"/>
        <v>-</v>
      </c>
      <c r="N312" s="12" t="str">
        <f t="shared" si="113"/>
        <v>-</v>
      </c>
      <c r="O312" s="12"/>
      <c r="Q312" s="62">
        <f t="shared" si="120"/>
        <v>0</v>
      </c>
      <c r="R312" s="28" t="s">
        <v>63</v>
      </c>
      <c r="S312" s="12" t="str">
        <f t="shared" si="129"/>
        <v>-</v>
      </c>
      <c r="T312" s="12" t="str">
        <f t="shared" si="114"/>
        <v>-</v>
      </c>
      <c r="U312" s="12"/>
      <c r="V312" s="12"/>
      <c r="W312" s="62">
        <f t="shared" si="121"/>
        <v>10</v>
      </c>
      <c r="X312" s="28">
        <v>0</v>
      </c>
      <c r="Y312" s="12" t="str">
        <f t="shared" si="130"/>
        <v>-</v>
      </c>
      <c r="Z312" s="12">
        <f t="shared" si="115"/>
        <v>10</v>
      </c>
      <c r="AA312" s="12"/>
      <c r="AB312" s="64"/>
      <c r="AC312" s="62">
        <f t="shared" si="122"/>
        <v>0</v>
      </c>
      <c r="AD312" s="28" t="s">
        <v>68</v>
      </c>
      <c r="AE312" s="12" t="str">
        <f t="shared" si="131"/>
        <v>-</v>
      </c>
      <c r="AF312" s="12" t="str">
        <f t="shared" si="116"/>
        <v>-</v>
      </c>
      <c r="AG312" s="12"/>
      <c r="AH312" s="17"/>
      <c r="AI312" s="17"/>
      <c r="AJ312" s="2">
        <f t="shared" si="105"/>
        <v>0</v>
      </c>
      <c r="AK312" s="2">
        <f t="shared" si="106"/>
        <v>0</v>
      </c>
      <c r="AL312" s="2">
        <f t="shared" si="107"/>
        <v>0</v>
      </c>
      <c r="AM312" s="2">
        <f t="shared" si="108"/>
        <v>11</v>
      </c>
    </row>
    <row r="313" spans="1:39" outlineLevel="1" x14ac:dyDescent="0.25">
      <c r="A313" t="s">
        <v>35</v>
      </c>
      <c r="B313" s="7" t="str">
        <f t="shared" si="127"/>
        <v xml:space="preserve"> (x)</v>
      </c>
      <c r="C313" s="3">
        <v>3636</v>
      </c>
      <c r="I313" s="45" t="str">
        <f t="shared" si="117"/>
        <v/>
      </c>
      <c r="J313" s="46" t="str">
        <f t="shared" si="118"/>
        <v/>
      </c>
      <c r="K313" s="62">
        <f t="shared" si="119"/>
        <v>0</v>
      </c>
      <c r="L313" s="28" t="s">
        <v>63</v>
      </c>
      <c r="M313" s="12" t="str">
        <f t="shared" si="128"/>
        <v>-</v>
      </c>
      <c r="N313" s="12" t="str">
        <f t="shared" si="113"/>
        <v>-</v>
      </c>
      <c r="O313" s="12"/>
      <c r="Q313" s="62">
        <f t="shared" si="120"/>
        <v>0</v>
      </c>
      <c r="R313" s="28" t="s">
        <v>63</v>
      </c>
      <c r="S313" s="12" t="str">
        <f t="shared" si="129"/>
        <v>-</v>
      </c>
      <c r="T313" s="12" t="str">
        <f t="shared" si="114"/>
        <v>-</v>
      </c>
      <c r="U313" s="12"/>
      <c r="V313" s="12"/>
      <c r="W313" s="62">
        <f t="shared" si="121"/>
        <v>10</v>
      </c>
      <c r="X313" s="28">
        <v>0</v>
      </c>
      <c r="Y313" s="12" t="str">
        <f t="shared" si="130"/>
        <v>-</v>
      </c>
      <c r="Z313" s="12">
        <f t="shared" si="115"/>
        <v>10</v>
      </c>
      <c r="AA313" s="12"/>
      <c r="AB313" s="64"/>
      <c r="AC313" s="62">
        <f t="shared" si="122"/>
        <v>0</v>
      </c>
      <c r="AD313" s="28" t="s">
        <v>68</v>
      </c>
      <c r="AE313" s="12" t="str">
        <f t="shared" si="131"/>
        <v>-</v>
      </c>
      <c r="AF313" s="12" t="str">
        <f t="shared" si="116"/>
        <v>-</v>
      </c>
      <c r="AG313" s="12"/>
      <c r="AH313" s="17"/>
      <c r="AI313" s="17"/>
      <c r="AJ313" s="2">
        <f t="shared" ref="AJ313:AJ376" si="132">+IFERROR(ROUND(K313*(1+AJ$2),0),"-")</f>
        <v>0</v>
      </c>
      <c r="AK313" s="2">
        <f t="shared" ref="AK313:AK376" si="133">+IFERROR(ROUND(Q313*(1+AK$2),0),"-")</f>
        <v>0</v>
      </c>
      <c r="AL313" s="2">
        <f t="shared" ref="AL313:AL376" si="134">+IFERROR(ROUND(AC313*(1+AL$2),0),"-")</f>
        <v>0</v>
      </c>
      <c r="AM313" s="2">
        <f t="shared" ref="AM313:AM376" si="135">+IFERROR(ROUND(W313*(1+AM$2),0),"-")</f>
        <v>11</v>
      </c>
    </row>
    <row r="314" spans="1:39" outlineLevel="1" x14ac:dyDescent="0.25">
      <c r="A314" t="s">
        <v>35</v>
      </c>
      <c r="B314" s="7" t="str">
        <f t="shared" si="127"/>
        <v xml:space="preserve"> (x)</v>
      </c>
      <c r="C314" s="3">
        <v>3637</v>
      </c>
      <c r="I314" s="45" t="str">
        <f t="shared" si="117"/>
        <v/>
      </c>
      <c r="J314" s="46" t="str">
        <f t="shared" si="118"/>
        <v/>
      </c>
      <c r="K314" s="62">
        <f t="shared" si="119"/>
        <v>0</v>
      </c>
      <c r="L314" s="28" t="s">
        <v>63</v>
      </c>
      <c r="M314" s="12" t="str">
        <f t="shared" si="128"/>
        <v>-</v>
      </c>
      <c r="N314" s="12" t="str">
        <f t="shared" si="113"/>
        <v>-</v>
      </c>
      <c r="O314" s="12"/>
      <c r="Q314" s="62">
        <f t="shared" si="120"/>
        <v>0</v>
      </c>
      <c r="R314" s="28" t="s">
        <v>63</v>
      </c>
      <c r="S314" s="12" t="str">
        <f t="shared" si="129"/>
        <v>-</v>
      </c>
      <c r="T314" s="12" t="str">
        <f t="shared" si="114"/>
        <v>-</v>
      </c>
      <c r="U314" s="12"/>
      <c r="V314" s="12"/>
      <c r="W314" s="62">
        <f t="shared" si="121"/>
        <v>10</v>
      </c>
      <c r="X314" s="28">
        <v>0</v>
      </c>
      <c r="Y314" s="12" t="str">
        <f t="shared" si="130"/>
        <v>-</v>
      </c>
      <c r="Z314" s="12">
        <f t="shared" si="115"/>
        <v>10</v>
      </c>
      <c r="AA314" s="12"/>
      <c r="AB314" s="64"/>
      <c r="AC314" s="62">
        <f t="shared" si="122"/>
        <v>0</v>
      </c>
      <c r="AD314" s="28" t="s">
        <v>68</v>
      </c>
      <c r="AE314" s="12" t="str">
        <f t="shared" si="131"/>
        <v>-</v>
      </c>
      <c r="AF314" s="12" t="str">
        <f t="shared" si="116"/>
        <v>-</v>
      </c>
      <c r="AG314" s="12"/>
      <c r="AH314" s="17"/>
      <c r="AI314" s="17"/>
      <c r="AJ314" s="2">
        <f t="shared" si="132"/>
        <v>0</v>
      </c>
      <c r="AK314" s="2">
        <f t="shared" si="133"/>
        <v>0</v>
      </c>
      <c r="AL314" s="2">
        <f t="shared" si="134"/>
        <v>0</v>
      </c>
      <c r="AM314" s="2">
        <f t="shared" si="135"/>
        <v>11</v>
      </c>
    </row>
    <row r="315" spans="1:39" outlineLevel="1" x14ac:dyDescent="0.25">
      <c r="A315" t="s">
        <v>35</v>
      </c>
      <c r="B315" s="7" t="str">
        <f t="shared" si="127"/>
        <v xml:space="preserve"> (x)</v>
      </c>
      <c r="C315" s="3">
        <v>3638</v>
      </c>
      <c r="I315" s="45" t="str">
        <f t="shared" si="117"/>
        <v/>
      </c>
      <c r="J315" s="46" t="str">
        <f t="shared" si="118"/>
        <v/>
      </c>
      <c r="K315" s="62">
        <f t="shared" si="119"/>
        <v>0</v>
      </c>
      <c r="L315" s="28" t="s">
        <v>63</v>
      </c>
      <c r="M315" s="12" t="str">
        <f t="shared" si="128"/>
        <v>-</v>
      </c>
      <c r="N315" s="12" t="str">
        <f t="shared" si="113"/>
        <v>-</v>
      </c>
      <c r="O315" s="12"/>
      <c r="Q315" s="62">
        <f t="shared" si="120"/>
        <v>0</v>
      </c>
      <c r="R315" s="28" t="s">
        <v>63</v>
      </c>
      <c r="S315" s="12" t="str">
        <f t="shared" si="129"/>
        <v>-</v>
      </c>
      <c r="T315" s="12" t="str">
        <f t="shared" si="114"/>
        <v>-</v>
      </c>
      <c r="U315" s="12"/>
      <c r="V315" s="12"/>
      <c r="W315" s="62">
        <f t="shared" si="121"/>
        <v>10</v>
      </c>
      <c r="X315" s="28">
        <v>0</v>
      </c>
      <c r="Y315" s="12" t="str">
        <f t="shared" si="130"/>
        <v>-</v>
      </c>
      <c r="Z315" s="12">
        <f t="shared" si="115"/>
        <v>10</v>
      </c>
      <c r="AA315" s="12"/>
      <c r="AB315" s="64"/>
      <c r="AC315" s="62">
        <f t="shared" si="122"/>
        <v>0</v>
      </c>
      <c r="AD315" s="28" t="s">
        <v>68</v>
      </c>
      <c r="AE315" s="12" t="str">
        <f t="shared" si="131"/>
        <v>-</v>
      </c>
      <c r="AF315" s="12" t="str">
        <f t="shared" si="116"/>
        <v>-</v>
      </c>
      <c r="AG315" s="12"/>
      <c r="AH315" s="17"/>
      <c r="AI315" s="17"/>
      <c r="AJ315" s="2">
        <f t="shared" si="132"/>
        <v>0</v>
      </c>
      <c r="AK315" s="2">
        <f t="shared" si="133"/>
        <v>0</v>
      </c>
      <c r="AL315" s="2">
        <f t="shared" si="134"/>
        <v>0</v>
      </c>
      <c r="AM315" s="2">
        <f t="shared" si="135"/>
        <v>11</v>
      </c>
    </row>
    <row r="316" spans="1:39" outlineLevel="1" x14ac:dyDescent="0.25">
      <c r="A316" t="s">
        <v>35</v>
      </c>
      <c r="B316" s="7" t="str">
        <f t="shared" si="127"/>
        <v xml:space="preserve"> (x)</v>
      </c>
      <c r="C316" s="3">
        <v>3639</v>
      </c>
      <c r="I316" s="45" t="str">
        <f t="shared" si="117"/>
        <v/>
      </c>
      <c r="J316" s="46" t="str">
        <f t="shared" si="118"/>
        <v/>
      </c>
      <c r="K316" s="62">
        <f t="shared" si="119"/>
        <v>0</v>
      </c>
      <c r="L316" s="28" t="s">
        <v>63</v>
      </c>
      <c r="M316" s="12" t="str">
        <f t="shared" si="128"/>
        <v>-</v>
      </c>
      <c r="N316" s="12" t="str">
        <f t="shared" si="113"/>
        <v>-</v>
      </c>
      <c r="O316" s="12"/>
      <c r="Q316" s="62">
        <f t="shared" si="120"/>
        <v>0</v>
      </c>
      <c r="R316" s="28" t="s">
        <v>63</v>
      </c>
      <c r="S316" s="12" t="str">
        <f t="shared" si="129"/>
        <v>-</v>
      </c>
      <c r="T316" s="12" t="str">
        <f t="shared" si="114"/>
        <v>-</v>
      </c>
      <c r="U316" s="12"/>
      <c r="V316" s="12"/>
      <c r="W316" s="62">
        <f t="shared" si="121"/>
        <v>10</v>
      </c>
      <c r="X316" s="28">
        <v>0</v>
      </c>
      <c r="Y316" s="12" t="str">
        <f t="shared" si="130"/>
        <v>-</v>
      </c>
      <c r="Z316" s="12">
        <f t="shared" si="115"/>
        <v>10</v>
      </c>
      <c r="AA316" s="12"/>
      <c r="AB316" s="64"/>
      <c r="AC316" s="62">
        <f t="shared" si="122"/>
        <v>0</v>
      </c>
      <c r="AD316" s="28" t="s">
        <v>68</v>
      </c>
      <c r="AE316" s="12" t="str">
        <f t="shared" si="131"/>
        <v>-</v>
      </c>
      <c r="AF316" s="12" t="str">
        <f t="shared" si="116"/>
        <v>-</v>
      </c>
      <c r="AG316" s="12"/>
      <c r="AH316" s="17"/>
      <c r="AI316" s="17"/>
      <c r="AJ316" s="2">
        <f t="shared" si="132"/>
        <v>0</v>
      </c>
      <c r="AK316" s="2">
        <f t="shared" si="133"/>
        <v>0</v>
      </c>
      <c r="AL316" s="2">
        <f t="shared" si="134"/>
        <v>0</v>
      </c>
      <c r="AM316" s="2">
        <f t="shared" si="135"/>
        <v>11</v>
      </c>
    </row>
    <row r="317" spans="1:39" outlineLevel="1" x14ac:dyDescent="0.25">
      <c r="A317" t="s">
        <v>35</v>
      </c>
      <c r="B317" s="7" t="str">
        <f t="shared" si="127"/>
        <v xml:space="preserve"> (x)</v>
      </c>
      <c r="C317" s="3">
        <v>3640</v>
      </c>
      <c r="I317" s="45" t="str">
        <f t="shared" si="117"/>
        <v/>
      </c>
      <c r="J317" s="46" t="str">
        <f t="shared" si="118"/>
        <v/>
      </c>
      <c r="K317" s="62">
        <f t="shared" si="119"/>
        <v>0</v>
      </c>
      <c r="L317" s="28" t="s">
        <v>63</v>
      </c>
      <c r="M317" s="12" t="str">
        <f t="shared" si="128"/>
        <v>-</v>
      </c>
      <c r="N317" s="12" t="str">
        <f t="shared" si="113"/>
        <v>-</v>
      </c>
      <c r="O317" s="12"/>
      <c r="Q317" s="62">
        <f t="shared" si="120"/>
        <v>0</v>
      </c>
      <c r="R317" s="28" t="s">
        <v>63</v>
      </c>
      <c r="S317" s="12" t="str">
        <f t="shared" si="129"/>
        <v>-</v>
      </c>
      <c r="T317" s="12" t="str">
        <f t="shared" si="114"/>
        <v>-</v>
      </c>
      <c r="U317" s="12"/>
      <c r="V317" s="12"/>
      <c r="W317" s="62">
        <f t="shared" si="121"/>
        <v>10</v>
      </c>
      <c r="X317" s="28">
        <v>0</v>
      </c>
      <c r="Y317" s="12" t="str">
        <f t="shared" si="130"/>
        <v>-</v>
      </c>
      <c r="Z317" s="12">
        <f t="shared" si="115"/>
        <v>10</v>
      </c>
      <c r="AA317" s="12"/>
      <c r="AB317" s="64"/>
      <c r="AC317" s="62">
        <f t="shared" si="122"/>
        <v>0</v>
      </c>
      <c r="AD317" s="28" t="s">
        <v>68</v>
      </c>
      <c r="AE317" s="12" t="str">
        <f t="shared" si="131"/>
        <v>-</v>
      </c>
      <c r="AF317" s="12" t="str">
        <f t="shared" si="116"/>
        <v>-</v>
      </c>
      <c r="AG317" s="12"/>
      <c r="AH317" s="17"/>
      <c r="AI317" s="17"/>
      <c r="AJ317" s="2">
        <f t="shared" si="132"/>
        <v>0</v>
      </c>
      <c r="AK317" s="2">
        <f t="shared" si="133"/>
        <v>0</v>
      </c>
      <c r="AL317" s="2">
        <f t="shared" si="134"/>
        <v>0</v>
      </c>
      <c r="AM317" s="2">
        <f t="shared" si="135"/>
        <v>11</v>
      </c>
    </row>
    <row r="318" spans="1:39" outlineLevel="1" x14ac:dyDescent="0.25">
      <c r="A318" t="s">
        <v>35</v>
      </c>
      <c r="B318" s="7" t="str">
        <f t="shared" si="127"/>
        <v xml:space="preserve"> (x)</v>
      </c>
      <c r="C318" s="3">
        <v>3641</v>
      </c>
      <c r="I318" s="45" t="str">
        <f t="shared" si="117"/>
        <v/>
      </c>
      <c r="J318" s="46" t="str">
        <f t="shared" si="118"/>
        <v/>
      </c>
      <c r="K318" s="62">
        <f t="shared" si="119"/>
        <v>0</v>
      </c>
      <c r="L318" s="28" t="s">
        <v>63</v>
      </c>
      <c r="M318" s="12" t="str">
        <f t="shared" si="128"/>
        <v>-</v>
      </c>
      <c r="N318" s="12" t="str">
        <f t="shared" si="113"/>
        <v>-</v>
      </c>
      <c r="O318" s="12"/>
      <c r="Q318" s="62">
        <f t="shared" si="120"/>
        <v>0</v>
      </c>
      <c r="R318" s="28" t="s">
        <v>63</v>
      </c>
      <c r="S318" s="12" t="str">
        <f t="shared" si="129"/>
        <v>-</v>
      </c>
      <c r="T318" s="12" t="str">
        <f t="shared" si="114"/>
        <v>-</v>
      </c>
      <c r="U318" s="12"/>
      <c r="V318" s="12"/>
      <c r="W318" s="62">
        <f t="shared" si="121"/>
        <v>10</v>
      </c>
      <c r="X318" s="28">
        <v>0</v>
      </c>
      <c r="Y318" s="12" t="str">
        <f t="shared" si="130"/>
        <v>-</v>
      </c>
      <c r="Z318" s="12">
        <f t="shared" si="115"/>
        <v>10</v>
      </c>
      <c r="AA318" s="12"/>
      <c r="AB318" s="64"/>
      <c r="AC318" s="62">
        <f t="shared" si="122"/>
        <v>0</v>
      </c>
      <c r="AD318" s="28" t="s">
        <v>68</v>
      </c>
      <c r="AE318" s="12" t="str">
        <f t="shared" si="131"/>
        <v>-</v>
      </c>
      <c r="AF318" s="12" t="str">
        <f t="shared" si="116"/>
        <v>-</v>
      </c>
      <c r="AG318" s="12"/>
      <c r="AH318" s="17"/>
      <c r="AI318" s="17"/>
      <c r="AJ318" s="2">
        <f t="shared" si="132"/>
        <v>0</v>
      </c>
      <c r="AK318" s="2">
        <f t="shared" si="133"/>
        <v>0</v>
      </c>
      <c r="AL318" s="2">
        <f t="shared" si="134"/>
        <v>0</v>
      </c>
      <c r="AM318" s="2">
        <f t="shared" si="135"/>
        <v>11</v>
      </c>
    </row>
    <row r="319" spans="1:39" outlineLevel="1" x14ac:dyDescent="0.25">
      <c r="A319" t="s">
        <v>35</v>
      </c>
      <c r="B319" s="7" t="str">
        <f t="shared" si="127"/>
        <v xml:space="preserve"> (x)</v>
      </c>
      <c r="C319" s="3">
        <v>3642</v>
      </c>
      <c r="I319" s="45" t="str">
        <f t="shared" si="117"/>
        <v/>
      </c>
      <c r="J319" s="46" t="str">
        <f t="shared" si="118"/>
        <v/>
      </c>
      <c r="K319" s="62">
        <f t="shared" si="119"/>
        <v>0</v>
      </c>
      <c r="L319" s="28" t="s">
        <v>63</v>
      </c>
      <c r="M319" s="12" t="str">
        <f t="shared" si="128"/>
        <v>-</v>
      </c>
      <c r="N319" s="12" t="str">
        <f t="shared" si="113"/>
        <v>-</v>
      </c>
      <c r="O319" s="12"/>
      <c r="Q319" s="62">
        <f t="shared" si="120"/>
        <v>0</v>
      </c>
      <c r="R319" s="28" t="s">
        <v>63</v>
      </c>
      <c r="S319" s="12" t="str">
        <f t="shared" si="129"/>
        <v>-</v>
      </c>
      <c r="T319" s="12" t="str">
        <f t="shared" si="114"/>
        <v>-</v>
      </c>
      <c r="U319" s="12"/>
      <c r="V319" s="12"/>
      <c r="W319" s="62">
        <f t="shared" si="121"/>
        <v>10</v>
      </c>
      <c r="X319" s="28">
        <v>0</v>
      </c>
      <c r="Y319" s="12" t="str">
        <f t="shared" si="130"/>
        <v>-</v>
      </c>
      <c r="Z319" s="12">
        <f t="shared" si="115"/>
        <v>10</v>
      </c>
      <c r="AA319" s="12"/>
      <c r="AB319" s="64"/>
      <c r="AC319" s="62">
        <f t="shared" si="122"/>
        <v>0</v>
      </c>
      <c r="AD319" s="28" t="s">
        <v>68</v>
      </c>
      <c r="AE319" s="12" t="str">
        <f t="shared" si="131"/>
        <v>-</v>
      </c>
      <c r="AF319" s="12" t="str">
        <f t="shared" si="116"/>
        <v>-</v>
      </c>
      <c r="AG319" s="12"/>
      <c r="AH319" s="17"/>
      <c r="AI319" s="17"/>
      <c r="AJ319" s="2">
        <f t="shared" si="132"/>
        <v>0</v>
      </c>
      <c r="AK319" s="2">
        <f t="shared" si="133"/>
        <v>0</v>
      </c>
      <c r="AL319" s="2">
        <f t="shared" si="134"/>
        <v>0</v>
      </c>
      <c r="AM319" s="2">
        <f t="shared" si="135"/>
        <v>11</v>
      </c>
    </row>
    <row r="320" spans="1:39" outlineLevel="1" x14ac:dyDescent="0.25">
      <c r="A320" t="s">
        <v>35</v>
      </c>
      <c r="B320" s="7" t="str">
        <f t="shared" si="127"/>
        <v xml:space="preserve"> (x)</v>
      </c>
      <c r="C320" s="3">
        <v>3643</v>
      </c>
      <c r="I320" s="45" t="str">
        <f t="shared" si="117"/>
        <v/>
      </c>
      <c r="J320" s="46" t="str">
        <f t="shared" si="118"/>
        <v/>
      </c>
      <c r="K320" s="62">
        <f t="shared" si="119"/>
        <v>0</v>
      </c>
      <c r="L320" s="28" t="s">
        <v>63</v>
      </c>
      <c r="M320" s="12" t="str">
        <f t="shared" si="128"/>
        <v>-</v>
      </c>
      <c r="N320" s="12" t="str">
        <f t="shared" si="113"/>
        <v>-</v>
      </c>
      <c r="O320" s="12"/>
      <c r="Q320" s="62">
        <f t="shared" si="120"/>
        <v>0</v>
      </c>
      <c r="R320" s="28" t="s">
        <v>63</v>
      </c>
      <c r="S320" s="12" t="str">
        <f t="shared" si="129"/>
        <v>-</v>
      </c>
      <c r="T320" s="12" t="str">
        <f t="shared" si="114"/>
        <v>-</v>
      </c>
      <c r="U320" s="12"/>
      <c r="V320" s="12"/>
      <c r="W320" s="62">
        <f t="shared" si="121"/>
        <v>10</v>
      </c>
      <c r="X320" s="28">
        <v>0</v>
      </c>
      <c r="Y320" s="12" t="str">
        <f t="shared" si="130"/>
        <v>-</v>
      </c>
      <c r="Z320" s="12">
        <f t="shared" si="115"/>
        <v>10</v>
      </c>
      <c r="AA320" s="12"/>
      <c r="AB320" s="64"/>
      <c r="AC320" s="62">
        <f t="shared" si="122"/>
        <v>0</v>
      </c>
      <c r="AD320" s="28" t="s">
        <v>68</v>
      </c>
      <c r="AE320" s="12" t="str">
        <f t="shared" si="131"/>
        <v>-</v>
      </c>
      <c r="AF320" s="12" t="str">
        <f t="shared" si="116"/>
        <v>-</v>
      </c>
      <c r="AG320" s="12"/>
      <c r="AH320" s="17"/>
      <c r="AI320" s="17"/>
      <c r="AJ320" s="2">
        <f t="shared" si="132"/>
        <v>0</v>
      </c>
      <c r="AK320" s="2">
        <f t="shared" si="133"/>
        <v>0</v>
      </c>
      <c r="AL320" s="2">
        <f t="shared" si="134"/>
        <v>0</v>
      </c>
      <c r="AM320" s="2">
        <f t="shared" si="135"/>
        <v>11</v>
      </c>
    </row>
    <row r="321" spans="1:40" outlineLevel="1" x14ac:dyDescent="0.25">
      <c r="A321" t="s">
        <v>35</v>
      </c>
      <c r="B321" s="7" t="str">
        <f t="shared" si="127"/>
        <v xml:space="preserve"> (x)</v>
      </c>
      <c r="C321" s="3">
        <v>3644</v>
      </c>
      <c r="I321" s="45" t="str">
        <f t="shared" si="117"/>
        <v/>
      </c>
      <c r="J321" s="46" t="str">
        <f t="shared" si="118"/>
        <v/>
      </c>
      <c r="K321" s="62">
        <f t="shared" si="119"/>
        <v>0</v>
      </c>
      <c r="L321" s="28" t="s">
        <v>63</v>
      </c>
      <c r="M321" s="12" t="str">
        <f t="shared" si="128"/>
        <v>-</v>
      </c>
      <c r="N321" s="12" t="str">
        <f t="shared" si="113"/>
        <v>-</v>
      </c>
      <c r="O321" s="12"/>
      <c r="Q321" s="62">
        <f t="shared" si="120"/>
        <v>0</v>
      </c>
      <c r="R321" s="28" t="s">
        <v>63</v>
      </c>
      <c r="S321" s="12" t="str">
        <f t="shared" si="129"/>
        <v>-</v>
      </c>
      <c r="T321" s="12" t="str">
        <f t="shared" si="114"/>
        <v>-</v>
      </c>
      <c r="U321" s="12"/>
      <c r="V321" s="12"/>
      <c r="W321" s="62">
        <f t="shared" si="121"/>
        <v>10</v>
      </c>
      <c r="X321" s="28">
        <v>0</v>
      </c>
      <c r="Y321" s="12" t="str">
        <f t="shared" si="130"/>
        <v>-</v>
      </c>
      <c r="Z321" s="12">
        <f t="shared" si="115"/>
        <v>10</v>
      </c>
      <c r="AA321" s="12"/>
      <c r="AB321" s="64"/>
      <c r="AC321" s="62">
        <f t="shared" si="122"/>
        <v>0</v>
      </c>
      <c r="AD321" s="28" t="s">
        <v>68</v>
      </c>
      <c r="AE321" s="12" t="str">
        <f t="shared" si="131"/>
        <v>-</v>
      </c>
      <c r="AF321" s="12" t="str">
        <f t="shared" si="116"/>
        <v>-</v>
      </c>
      <c r="AG321" s="12"/>
      <c r="AH321" s="17"/>
      <c r="AI321" s="17"/>
      <c r="AJ321" s="2">
        <f t="shared" si="132"/>
        <v>0</v>
      </c>
      <c r="AK321" s="2">
        <f t="shared" si="133"/>
        <v>0</v>
      </c>
      <c r="AL321" s="2">
        <f t="shared" si="134"/>
        <v>0</v>
      </c>
      <c r="AM321" s="2">
        <f t="shared" si="135"/>
        <v>11</v>
      </c>
    </row>
    <row r="322" spans="1:40" outlineLevel="1" x14ac:dyDescent="0.25">
      <c r="A322" t="s">
        <v>35</v>
      </c>
      <c r="B322" s="7" t="str">
        <f t="shared" si="127"/>
        <v xml:space="preserve"> (x)</v>
      </c>
      <c r="C322" s="3">
        <v>3645</v>
      </c>
      <c r="I322" s="45" t="str">
        <f t="shared" si="117"/>
        <v/>
      </c>
      <c r="J322" s="46" t="str">
        <f t="shared" si="118"/>
        <v/>
      </c>
      <c r="K322" s="62">
        <f t="shared" si="119"/>
        <v>0</v>
      </c>
      <c r="L322" s="28" t="s">
        <v>63</v>
      </c>
      <c r="M322" s="12" t="str">
        <f t="shared" si="128"/>
        <v>-</v>
      </c>
      <c r="N322" s="12" t="str">
        <f t="shared" si="113"/>
        <v>-</v>
      </c>
      <c r="O322" s="12"/>
      <c r="Q322" s="62">
        <f t="shared" si="120"/>
        <v>0</v>
      </c>
      <c r="R322" s="28" t="s">
        <v>63</v>
      </c>
      <c r="S322" s="12" t="str">
        <f t="shared" si="129"/>
        <v>-</v>
      </c>
      <c r="T322" s="12" t="str">
        <f t="shared" si="114"/>
        <v>-</v>
      </c>
      <c r="U322" s="12"/>
      <c r="V322" s="12"/>
      <c r="W322" s="62">
        <f t="shared" si="121"/>
        <v>10</v>
      </c>
      <c r="X322" s="28">
        <v>0</v>
      </c>
      <c r="Y322" s="12" t="str">
        <f t="shared" si="130"/>
        <v>-</v>
      </c>
      <c r="Z322" s="12">
        <f t="shared" si="115"/>
        <v>10</v>
      </c>
      <c r="AA322" s="12"/>
      <c r="AB322" s="64"/>
      <c r="AC322" s="62">
        <f t="shared" si="122"/>
        <v>0</v>
      </c>
      <c r="AD322" s="28" t="s">
        <v>68</v>
      </c>
      <c r="AE322" s="12" t="str">
        <f t="shared" si="131"/>
        <v>-</v>
      </c>
      <c r="AF322" s="12" t="str">
        <f t="shared" si="116"/>
        <v>-</v>
      </c>
      <c r="AG322" s="12"/>
      <c r="AH322" s="17"/>
      <c r="AI322" s="17"/>
      <c r="AJ322" s="2">
        <f t="shared" si="132"/>
        <v>0</v>
      </c>
      <c r="AK322" s="2">
        <f t="shared" si="133"/>
        <v>0</v>
      </c>
      <c r="AL322" s="2">
        <f t="shared" si="134"/>
        <v>0</v>
      </c>
      <c r="AM322" s="2">
        <f t="shared" si="135"/>
        <v>11</v>
      </c>
    </row>
    <row r="323" spans="1:40" outlineLevel="1" x14ac:dyDescent="0.25">
      <c r="A323" t="s">
        <v>35</v>
      </c>
      <c r="B323" s="7" t="str">
        <f t="shared" si="127"/>
        <v xml:space="preserve"> (x)</v>
      </c>
      <c r="C323" s="3">
        <v>3646</v>
      </c>
      <c r="I323" s="45" t="str">
        <f t="shared" si="117"/>
        <v/>
      </c>
      <c r="J323" s="46" t="str">
        <f t="shared" si="118"/>
        <v/>
      </c>
      <c r="K323" s="62">
        <f t="shared" si="119"/>
        <v>0</v>
      </c>
      <c r="L323" s="28" t="s">
        <v>63</v>
      </c>
      <c r="M323" s="12" t="str">
        <f t="shared" si="128"/>
        <v>-</v>
      </c>
      <c r="N323" s="12" t="str">
        <f t="shared" si="113"/>
        <v>-</v>
      </c>
      <c r="O323" s="12"/>
      <c r="Q323" s="62">
        <f t="shared" si="120"/>
        <v>0</v>
      </c>
      <c r="R323" s="28" t="s">
        <v>63</v>
      </c>
      <c r="S323" s="12" t="str">
        <f t="shared" si="129"/>
        <v>-</v>
      </c>
      <c r="T323" s="12" t="str">
        <f t="shared" si="114"/>
        <v>-</v>
      </c>
      <c r="U323" s="12"/>
      <c r="V323" s="12"/>
      <c r="W323" s="62">
        <f t="shared" si="121"/>
        <v>10</v>
      </c>
      <c r="X323" s="28">
        <v>0</v>
      </c>
      <c r="Y323" s="12" t="str">
        <f t="shared" si="130"/>
        <v>-</v>
      </c>
      <c r="Z323" s="12">
        <f t="shared" si="115"/>
        <v>10</v>
      </c>
      <c r="AA323" s="12"/>
      <c r="AB323" s="64"/>
      <c r="AC323" s="62">
        <f t="shared" si="122"/>
        <v>0</v>
      </c>
      <c r="AD323" s="28" t="s">
        <v>68</v>
      </c>
      <c r="AE323" s="12" t="str">
        <f t="shared" si="131"/>
        <v>-</v>
      </c>
      <c r="AF323" s="12" t="str">
        <f t="shared" si="116"/>
        <v>-</v>
      </c>
      <c r="AG323" s="12"/>
      <c r="AH323" s="17"/>
      <c r="AI323" s="17"/>
      <c r="AJ323" s="2">
        <f t="shared" si="132"/>
        <v>0</v>
      </c>
      <c r="AK323" s="2">
        <f t="shared" si="133"/>
        <v>0</v>
      </c>
      <c r="AL323" s="2">
        <f t="shared" si="134"/>
        <v>0</v>
      </c>
      <c r="AM323" s="2">
        <f t="shared" si="135"/>
        <v>11</v>
      </c>
    </row>
    <row r="324" spans="1:40" outlineLevel="1" x14ac:dyDescent="0.25">
      <c r="A324" t="s">
        <v>35</v>
      </c>
      <c r="B324" s="7" t="str">
        <f t="shared" si="127"/>
        <v xml:space="preserve"> (x)</v>
      </c>
      <c r="C324" s="3">
        <v>3647</v>
      </c>
      <c r="I324" s="45" t="str">
        <f t="shared" si="117"/>
        <v/>
      </c>
      <c r="J324" s="46" t="str">
        <f t="shared" si="118"/>
        <v/>
      </c>
      <c r="K324" s="62">
        <f t="shared" si="119"/>
        <v>0</v>
      </c>
      <c r="L324" s="28" t="s">
        <v>63</v>
      </c>
      <c r="M324" s="12" t="str">
        <f t="shared" si="128"/>
        <v>-</v>
      </c>
      <c r="N324" s="12" t="str">
        <f t="shared" si="113"/>
        <v>-</v>
      </c>
      <c r="O324" s="12"/>
      <c r="Q324" s="62">
        <f t="shared" si="120"/>
        <v>0</v>
      </c>
      <c r="R324" s="28" t="s">
        <v>63</v>
      </c>
      <c r="S324" s="12" t="str">
        <f t="shared" si="129"/>
        <v>-</v>
      </c>
      <c r="T324" s="12" t="str">
        <f t="shared" si="114"/>
        <v>-</v>
      </c>
      <c r="U324" s="12"/>
      <c r="V324" s="12"/>
      <c r="W324" s="62">
        <f t="shared" si="121"/>
        <v>10</v>
      </c>
      <c r="X324" s="28">
        <v>0</v>
      </c>
      <c r="Y324" s="12" t="str">
        <f t="shared" si="130"/>
        <v>-</v>
      </c>
      <c r="Z324" s="12">
        <f t="shared" si="115"/>
        <v>10</v>
      </c>
      <c r="AA324" s="12"/>
      <c r="AB324" s="64"/>
      <c r="AC324" s="62">
        <f t="shared" si="122"/>
        <v>0</v>
      </c>
      <c r="AD324" s="28" t="s">
        <v>68</v>
      </c>
      <c r="AE324" s="12" t="str">
        <f t="shared" si="131"/>
        <v>-</v>
      </c>
      <c r="AF324" s="12" t="str">
        <f t="shared" si="116"/>
        <v>-</v>
      </c>
      <c r="AG324" s="12"/>
      <c r="AH324" s="17"/>
      <c r="AI324" s="17"/>
      <c r="AJ324" s="2">
        <f t="shared" si="132"/>
        <v>0</v>
      </c>
      <c r="AK324" s="2">
        <f t="shared" si="133"/>
        <v>0</v>
      </c>
      <c r="AL324" s="2">
        <f t="shared" si="134"/>
        <v>0</v>
      </c>
      <c r="AM324" s="2">
        <f t="shared" si="135"/>
        <v>11</v>
      </c>
    </row>
    <row r="325" spans="1:40" outlineLevel="1" x14ac:dyDescent="0.25">
      <c r="A325" t="s">
        <v>35</v>
      </c>
      <c r="B325" s="7" t="str">
        <f t="shared" si="127"/>
        <v xml:space="preserve"> (x)</v>
      </c>
      <c r="C325" s="3">
        <v>3648</v>
      </c>
      <c r="I325" s="45" t="str">
        <f t="shared" si="117"/>
        <v/>
      </c>
      <c r="J325" s="46" t="str">
        <f t="shared" si="118"/>
        <v/>
      </c>
      <c r="K325" s="62">
        <f t="shared" si="119"/>
        <v>0</v>
      </c>
      <c r="L325" s="28" t="s">
        <v>63</v>
      </c>
      <c r="M325" s="12" t="str">
        <f t="shared" si="128"/>
        <v>-</v>
      </c>
      <c r="N325" s="12" t="str">
        <f t="shared" si="113"/>
        <v>-</v>
      </c>
      <c r="O325" s="12"/>
      <c r="Q325" s="62">
        <f t="shared" si="120"/>
        <v>0</v>
      </c>
      <c r="R325" s="28" t="s">
        <v>63</v>
      </c>
      <c r="S325" s="12" t="str">
        <f t="shared" si="129"/>
        <v>-</v>
      </c>
      <c r="T325" s="12" t="str">
        <f t="shared" si="114"/>
        <v>-</v>
      </c>
      <c r="U325" s="12"/>
      <c r="V325" s="12"/>
      <c r="W325" s="62">
        <f t="shared" si="121"/>
        <v>10</v>
      </c>
      <c r="X325" s="28">
        <v>0</v>
      </c>
      <c r="Y325" s="12" t="str">
        <f t="shared" si="130"/>
        <v>-</v>
      </c>
      <c r="Z325" s="12">
        <f t="shared" si="115"/>
        <v>10</v>
      </c>
      <c r="AA325" s="12"/>
      <c r="AB325" s="64"/>
      <c r="AC325" s="62">
        <f t="shared" si="122"/>
        <v>0</v>
      </c>
      <c r="AD325" s="28" t="s">
        <v>68</v>
      </c>
      <c r="AE325" s="12" t="str">
        <f t="shared" si="131"/>
        <v>-</v>
      </c>
      <c r="AF325" s="12" t="str">
        <f t="shared" si="116"/>
        <v>-</v>
      </c>
      <c r="AG325" s="12"/>
      <c r="AH325" s="17"/>
      <c r="AI325" s="17"/>
      <c r="AJ325" s="2">
        <f t="shared" si="132"/>
        <v>0</v>
      </c>
      <c r="AK325" s="2">
        <f t="shared" si="133"/>
        <v>0</v>
      </c>
      <c r="AL325" s="2">
        <f t="shared" si="134"/>
        <v>0</v>
      </c>
      <c r="AM325" s="2">
        <f t="shared" si="135"/>
        <v>11</v>
      </c>
    </row>
    <row r="326" spans="1:40" outlineLevel="1" x14ac:dyDescent="0.25">
      <c r="A326" t="s">
        <v>35</v>
      </c>
      <c r="B326" s="7" t="str">
        <f t="shared" si="127"/>
        <v xml:space="preserve"> (x)</v>
      </c>
      <c r="C326" s="3">
        <v>3649</v>
      </c>
      <c r="I326" s="45" t="str">
        <f t="shared" si="117"/>
        <v/>
      </c>
      <c r="J326" s="46" t="str">
        <f t="shared" si="118"/>
        <v/>
      </c>
      <c r="K326" s="62">
        <f t="shared" si="119"/>
        <v>0</v>
      </c>
      <c r="L326" s="28" t="s">
        <v>63</v>
      </c>
      <c r="M326" s="12" t="str">
        <f t="shared" si="128"/>
        <v>-</v>
      </c>
      <c r="N326" s="12" t="str">
        <f t="shared" ref="N326:N389" si="136">IFERROR(K326-L326,"-")</f>
        <v>-</v>
      </c>
      <c r="O326" s="12"/>
      <c r="Q326" s="62">
        <f t="shared" si="120"/>
        <v>0</v>
      </c>
      <c r="R326" s="28" t="s">
        <v>63</v>
      </c>
      <c r="S326" s="12" t="str">
        <f t="shared" si="129"/>
        <v>-</v>
      </c>
      <c r="T326" s="12" t="str">
        <f t="shared" ref="T326:T389" si="137">IFERROR(Q326-R326,"-")</f>
        <v>-</v>
      </c>
      <c r="U326" s="12"/>
      <c r="V326" s="12"/>
      <c r="W326" s="62">
        <f t="shared" si="121"/>
        <v>10</v>
      </c>
      <c r="X326" s="28">
        <v>0</v>
      </c>
      <c r="Y326" s="12" t="str">
        <f t="shared" si="130"/>
        <v>-</v>
      </c>
      <c r="Z326" s="12">
        <f t="shared" ref="Z326:Z389" si="138">IFERROR(W326-X326,"-")</f>
        <v>10</v>
      </c>
      <c r="AA326" s="12"/>
      <c r="AB326" s="64"/>
      <c r="AC326" s="62">
        <f t="shared" si="122"/>
        <v>0</v>
      </c>
      <c r="AD326" s="28" t="s">
        <v>68</v>
      </c>
      <c r="AE326" s="12" t="str">
        <f t="shared" si="131"/>
        <v>-</v>
      </c>
      <c r="AF326" s="12" t="str">
        <f t="shared" ref="AF326:AF389" si="139">IFERROR(AC326-AD326,"-")</f>
        <v>-</v>
      </c>
      <c r="AG326" s="12"/>
      <c r="AH326" s="17"/>
      <c r="AI326" s="17"/>
      <c r="AJ326" s="2">
        <f t="shared" si="132"/>
        <v>0</v>
      </c>
      <c r="AK326" s="2">
        <f t="shared" si="133"/>
        <v>0</v>
      </c>
      <c r="AL326" s="2">
        <f t="shared" si="134"/>
        <v>0</v>
      </c>
      <c r="AM326" s="2">
        <f t="shared" si="135"/>
        <v>11</v>
      </c>
    </row>
    <row r="327" spans="1:40" outlineLevel="1" x14ac:dyDescent="0.25">
      <c r="A327" t="s">
        <v>35</v>
      </c>
      <c r="B327" s="7" t="str">
        <f t="shared" si="127"/>
        <v xml:space="preserve"> (x)</v>
      </c>
      <c r="C327" s="3">
        <v>3650</v>
      </c>
      <c r="I327" s="45" t="str">
        <f t="shared" ref="I327:I390" si="140">+IF($E327="","",MAX($E327,360)/1000*MAX($F327,360)/1000)</f>
        <v/>
      </c>
      <c r="J327" s="46" t="str">
        <f t="shared" ref="J327:J390" si="141">IF($F327="","",2*MAX($E327,360)/1000+2*MAX($F327,360)/1000)</f>
        <v/>
      </c>
      <c r="K327" s="62">
        <f t="shared" ref="K327:K390" si="142">+IFERROR(MAX($J$5,ROUND(L327*(1+L$2)^N$2+J$2,0)),0)</f>
        <v>0</v>
      </c>
      <c r="L327" s="28" t="s">
        <v>63</v>
      </c>
      <c r="M327" s="12" t="str">
        <f t="shared" si="128"/>
        <v>-</v>
      </c>
      <c r="N327" s="12" t="str">
        <f t="shared" si="136"/>
        <v>-</v>
      </c>
      <c r="O327" s="12"/>
      <c r="Q327" s="62">
        <f t="shared" ref="Q327:Q390" si="143">+IFERROR(IF(AND(R327="-",K327&gt;0),ROUND(V$4*K327,0),ROUND(R327*(1+S$2)^U$2+Q$2,0)),0)</f>
        <v>0</v>
      </c>
      <c r="R327" s="28" t="s">
        <v>63</v>
      </c>
      <c r="S327" s="12" t="str">
        <f t="shared" si="129"/>
        <v>-</v>
      </c>
      <c r="T327" s="12" t="str">
        <f t="shared" si="137"/>
        <v>-</v>
      </c>
      <c r="U327" s="12"/>
      <c r="V327" s="12"/>
      <c r="W327" s="62">
        <f t="shared" ref="W327:W390" si="144">+IFERROR(IF(AND(X327="-",Q327&gt;0),ROUND(AB$4*Q327,0),ROUND(X327*(1+Y$2)^AA$2+W$2,0)),0)</f>
        <v>10</v>
      </c>
      <c r="X327" s="28">
        <v>0</v>
      </c>
      <c r="Y327" s="12" t="str">
        <f t="shared" si="130"/>
        <v>-</v>
      </c>
      <c r="Z327" s="12">
        <f t="shared" si="138"/>
        <v>10</v>
      </c>
      <c r="AA327" s="12"/>
      <c r="AB327" s="64"/>
      <c r="AC327" s="62">
        <f t="shared" ref="AC327:AC390" si="145">+IFERROR(IF(AND(AD327="-",W327&gt;0),ROUND(AH$4*W327,0),ROUND(AD327*(1+AE$2)^AG$2+AC$2,0)),0)</f>
        <v>0</v>
      </c>
      <c r="AD327" s="28" t="s">
        <v>68</v>
      </c>
      <c r="AE327" s="12" t="str">
        <f t="shared" si="131"/>
        <v>-</v>
      </c>
      <c r="AF327" s="12" t="str">
        <f t="shared" si="139"/>
        <v>-</v>
      </c>
      <c r="AG327" s="12"/>
      <c r="AH327" s="17"/>
      <c r="AI327" s="17"/>
      <c r="AJ327" s="2">
        <f t="shared" si="132"/>
        <v>0</v>
      </c>
      <c r="AK327" s="2">
        <f t="shared" si="133"/>
        <v>0</v>
      </c>
      <c r="AL327" s="2">
        <f t="shared" si="134"/>
        <v>0</v>
      </c>
      <c r="AM327" s="2">
        <f t="shared" si="135"/>
        <v>11</v>
      </c>
    </row>
    <row r="328" spans="1:40" s="14" customFormat="1" x14ac:dyDescent="0.25">
      <c r="A328" s="32"/>
      <c r="B328" s="5" t="s">
        <v>81</v>
      </c>
      <c r="C328" s="5"/>
      <c r="D328" s="5"/>
      <c r="E328" s="5"/>
      <c r="F328" s="5"/>
      <c r="G328" s="5"/>
      <c r="H328" s="5"/>
      <c r="I328" s="44" t="str">
        <f t="shared" si="140"/>
        <v/>
      </c>
      <c r="J328" s="44" t="str">
        <f t="shared" si="141"/>
        <v/>
      </c>
      <c r="K328" s="62">
        <f t="shared" si="142"/>
        <v>0</v>
      </c>
      <c r="L328" s="11" t="s">
        <v>63</v>
      </c>
      <c r="M328" s="15">
        <f>AVERAGE(M329:M359)</f>
        <v>0.47594085918473772</v>
      </c>
      <c r="N328" s="15" t="str">
        <f t="shared" si="136"/>
        <v>-</v>
      </c>
      <c r="O328" s="15"/>
      <c r="P328" s="17"/>
      <c r="Q328" s="62">
        <f t="shared" si="143"/>
        <v>0</v>
      </c>
      <c r="R328" s="28" t="s">
        <v>63</v>
      </c>
      <c r="S328" s="15" t="e">
        <f>AVERAGE(S329:S359)</f>
        <v>#DIV/0!</v>
      </c>
      <c r="T328" s="15" t="str">
        <f t="shared" si="137"/>
        <v>-</v>
      </c>
      <c r="U328" s="15"/>
      <c r="V328" s="15"/>
      <c r="W328" s="62">
        <f t="shared" si="144"/>
        <v>10</v>
      </c>
      <c r="X328" s="11">
        <v>0</v>
      </c>
      <c r="Y328" s="15">
        <f>AVERAGE(Y329:Y359)</f>
        <v>0.41463034455616993</v>
      </c>
      <c r="Z328" s="15">
        <f t="shared" si="138"/>
        <v>10</v>
      </c>
      <c r="AA328" s="15"/>
      <c r="AB328" s="64"/>
      <c r="AC328" s="62">
        <f t="shared" si="145"/>
        <v>0</v>
      </c>
      <c r="AD328" s="11" t="s">
        <v>68</v>
      </c>
      <c r="AE328" s="15">
        <f>AVERAGE(AE329:AE359)</f>
        <v>0.40941310911200052</v>
      </c>
      <c r="AF328" s="15" t="str">
        <f t="shared" si="139"/>
        <v>-</v>
      </c>
      <c r="AG328" s="15"/>
      <c r="AH328" s="17"/>
      <c r="AI328" s="63"/>
      <c r="AJ328" s="4">
        <f t="shared" si="132"/>
        <v>0</v>
      </c>
      <c r="AK328" s="4">
        <f t="shared" si="133"/>
        <v>0</v>
      </c>
      <c r="AL328" s="4">
        <f t="shared" si="134"/>
        <v>0</v>
      </c>
      <c r="AM328" s="4">
        <f t="shared" si="135"/>
        <v>11</v>
      </c>
      <c r="AN328" s="32"/>
    </row>
    <row r="329" spans="1:40" outlineLevel="1" x14ac:dyDescent="0.25">
      <c r="A329" t="s">
        <v>35</v>
      </c>
      <c r="B329" s="7" t="str">
        <f t="shared" si="127"/>
        <v>Seite innen SY32 DB (360x360)</v>
      </c>
      <c r="C329">
        <v>3620</v>
      </c>
      <c r="D329" s="7" t="s">
        <v>45</v>
      </c>
      <c r="E329">
        <v>360</v>
      </c>
      <c r="F329">
        <v>360</v>
      </c>
      <c r="I329" s="45">
        <f t="shared" si="140"/>
        <v>0.12959999999999999</v>
      </c>
      <c r="J329" s="46">
        <f t="shared" si="141"/>
        <v>1.44</v>
      </c>
      <c r="K329" s="62">
        <f t="shared" si="142"/>
        <v>34</v>
      </c>
      <c r="L329" s="28">
        <v>18</v>
      </c>
      <c r="M329" s="13">
        <f t="shared" ref="M329:M359" si="146">IFERROR(K329/L329-1,"-")</f>
        <v>0.88888888888888884</v>
      </c>
      <c r="N329" s="12">
        <f t="shared" si="136"/>
        <v>16</v>
      </c>
      <c r="O329" s="30" t="s">
        <v>72</v>
      </c>
      <c r="Q329" s="62">
        <f t="shared" si="143"/>
        <v>67</v>
      </c>
      <c r="R329" s="28" t="s">
        <v>63</v>
      </c>
      <c r="S329" s="13" t="str">
        <f t="shared" ref="S329:S359" si="147">IFERROR(Q329/R329-1,"-")</f>
        <v>-</v>
      </c>
      <c r="T329" s="12" t="str">
        <f t="shared" si="137"/>
        <v>-</v>
      </c>
      <c r="U329" s="30" t="s">
        <v>72</v>
      </c>
      <c r="V329" s="30"/>
      <c r="W329" s="62">
        <f t="shared" si="144"/>
        <v>89</v>
      </c>
      <c r="X329" s="28">
        <v>59</v>
      </c>
      <c r="Y329" s="13">
        <f t="shared" ref="Y329:Y359" si="148">IFERROR(W329/X329-1,"-")</f>
        <v>0.50847457627118642</v>
      </c>
      <c r="Z329" s="12">
        <f t="shared" si="138"/>
        <v>30</v>
      </c>
      <c r="AA329" s="30" t="s">
        <v>72</v>
      </c>
      <c r="AB329" s="64"/>
      <c r="AC329" s="62">
        <f t="shared" si="145"/>
        <v>177</v>
      </c>
      <c r="AD329" s="28">
        <v>124</v>
      </c>
      <c r="AE329" s="13">
        <f t="shared" ref="AE329:AE359" si="149">IFERROR(AC329/AD329-1,"-")</f>
        <v>0.42741935483870974</v>
      </c>
      <c r="AF329" s="12">
        <f t="shared" si="139"/>
        <v>53</v>
      </c>
      <c r="AG329" s="30" t="s">
        <v>72</v>
      </c>
      <c r="AH329" s="17"/>
      <c r="AI329" s="16"/>
      <c r="AJ329" s="2">
        <f t="shared" si="132"/>
        <v>37</v>
      </c>
      <c r="AK329" s="2">
        <f t="shared" si="133"/>
        <v>74</v>
      </c>
      <c r="AL329" s="2">
        <f t="shared" si="134"/>
        <v>195</v>
      </c>
      <c r="AM329" s="2">
        <f t="shared" si="135"/>
        <v>98</v>
      </c>
    </row>
    <row r="330" spans="1:40" outlineLevel="1" x14ac:dyDescent="0.25">
      <c r="A330" t="s">
        <v>35</v>
      </c>
      <c r="B330" s="7" t="str">
        <f t="shared" si="127"/>
        <v>Seite innen SY32 DB (360x720)</v>
      </c>
      <c r="C330">
        <v>3621</v>
      </c>
      <c r="D330" s="7" t="s">
        <v>45</v>
      </c>
      <c r="E330">
        <v>360</v>
      </c>
      <c r="F330">
        <v>720</v>
      </c>
      <c r="I330" s="45">
        <f t="shared" si="140"/>
        <v>0.25919999999999999</v>
      </c>
      <c r="J330" s="46">
        <f t="shared" si="141"/>
        <v>2.16</v>
      </c>
      <c r="K330" s="62">
        <f t="shared" si="142"/>
        <v>52</v>
      </c>
      <c r="L330" s="28">
        <v>35</v>
      </c>
      <c r="M330" s="13">
        <f t="shared" si="146"/>
        <v>0.48571428571428577</v>
      </c>
      <c r="N330" s="12">
        <f t="shared" si="136"/>
        <v>17</v>
      </c>
      <c r="O330" s="30" t="s">
        <v>72</v>
      </c>
      <c r="Q330" s="62">
        <f t="shared" si="143"/>
        <v>102</v>
      </c>
      <c r="R330" s="28" t="s">
        <v>63</v>
      </c>
      <c r="S330" s="13" t="str">
        <f t="shared" si="147"/>
        <v>-</v>
      </c>
      <c r="T330" s="12" t="str">
        <f t="shared" si="137"/>
        <v>-</v>
      </c>
      <c r="U330" s="30" t="s">
        <v>72</v>
      </c>
      <c r="V330" s="30"/>
      <c r="W330" s="62">
        <f t="shared" si="144"/>
        <v>143</v>
      </c>
      <c r="X330" s="28">
        <v>99</v>
      </c>
      <c r="Y330" s="13">
        <f t="shared" si="148"/>
        <v>0.44444444444444442</v>
      </c>
      <c r="Z330" s="12">
        <f t="shared" si="138"/>
        <v>44</v>
      </c>
      <c r="AA330" s="30" t="s">
        <v>72</v>
      </c>
      <c r="AB330" s="64"/>
      <c r="AC330" s="62">
        <f t="shared" si="145"/>
        <v>212</v>
      </c>
      <c r="AD330" s="28">
        <v>150</v>
      </c>
      <c r="AE330" s="13">
        <f t="shared" si="149"/>
        <v>0.41333333333333333</v>
      </c>
      <c r="AF330" s="12">
        <f t="shared" si="139"/>
        <v>62</v>
      </c>
      <c r="AG330" s="30" t="s">
        <v>72</v>
      </c>
      <c r="AH330" s="17"/>
      <c r="AI330" s="16"/>
      <c r="AJ330" s="2">
        <f t="shared" si="132"/>
        <v>57</v>
      </c>
      <c r="AK330" s="2">
        <f t="shared" si="133"/>
        <v>112</v>
      </c>
      <c r="AL330" s="2">
        <f t="shared" si="134"/>
        <v>233</v>
      </c>
      <c r="AM330" s="2">
        <f t="shared" si="135"/>
        <v>157</v>
      </c>
    </row>
    <row r="331" spans="1:40" outlineLevel="1" x14ac:dyDescent="0.25">
      <c r="A331" t="s">
        <v>35</v>
      </c>
      <c r="B331" s="7" t="str">
        <f t="shared" si="127"/>
        <v>Seite innen SY32 DB (360x1080)</v>
      </c>
      <c r="C331">
        <v>3622</v>
      </c>
      <c r="D331" s="7" t="s">
        <v>45</v>
      </c>
      <c r="E331">
        <v>360</v>
      </c>
      <c r="F331">
        <v>1080</v>
      </c>
      <c r="I331" s="45">
        <f t="shared" si="140"/>
        <v>0.38880000000000003</v>
      </c>
      <c r="J331" s="46">
        <f t="shared" si="141"/>
        <v>2.88</v>
      </c>
      <c r="K331" s="62">
        <f t="shared" si="142"/>
        <v>76</v>
      </c>
      <c r="L331" s="28">
        <v>53</v>
      </c>
      <c r="M331" s="13">
        <f t="shared" si="146"/>
        <v>0.4339622641509433</v>
      </c>
      <c r="N331" s="12">
        <f t="shared" si="136"/>
        <v>23</v>
      </c>
      <c r="O331" s="30" t="s">
        <v>72</v>
      </c>
      <c r="Q331" s="62">
        <f t="shared" si="143"/>
        <v>150</v>
      </c>
      <c r="R331" s="28" t="s">
        <v>63</v>
      </c>
      <c r="S331" s="13" t="str">
        <f t="shared" si="147"/>
        <v>-</v>
      </c>
      <c r="T331" s="12" t="str">
        <f t="shared" si="137"/>
        <v>-</v>
      </c>
      <c r="U331" s="30" t="s">
        <v>72</v>
      </c>
      <c r="V331" s="30"/>
      <c r="W331" s="62">
        <f t="shared" si="144"/>
        <v>222</v>
      </c>
      <c r="X331" s="28">
        <v>158</v>
      </c>
      <c r="Y331" s="13">
        <f t="shared" si="148"/>
        <v>0.40506329113924044</v>
      </c>
      <c r="Z331" s="12">
        <f t="shared" si="138"/>
        <v>64</v>
      </c>
      <c r="AA331" s="30" t="s">
        <v>72</v>
      </c>
      <c r="AB331" s="64"/>
      <c r="AC331" s="62">
        <f t="shared" si="145"/>
        <v>240</v>
      </c>
      <c r="AD331" s="28">
        <v>171</v>
      </c>
      <c r="AE331" s="13">
        <f t="shared" si="149"/>
        <v>0.40350877192982448</v>
      </c>
      <c r="AF331" s="12">
        <f t="shared" si="139"/>
        <v>69</v>
      </c>
      <c r="AG331" s="30" t="s">
        <v>72</v>
      </c>
      <c r="AH331" s="17"/>
      <c r="AI331" s="16"/>
      <c r="AJ331" s="2">
        <f t="shared" si="132"/>
        <v>84</v>
      </c>
      <c r="AK331" s="2">
        <f t="shared" si="133"/>
        <v>165</v>
      </c>
      <c r="AL331" s="2">
        <f t="shared" si="134"/>
        <v>264</v>
      </c>
      <c r="AM331" s="2">
        <f t="shared" si="135"/>
        <v>244</v>
      </c>
    </row>
    <row r="332" spans="1:40" outlineLevel="1" x14ac:dyDescent="0.25">
      <c r="A332" t="s">
        <v>35</v>
      </c>
      <c r="B332" s="7" t="str">
        <f t="shared" si="127"/>
        <v>Seite innen SY32 DB (360x1440)</v>
      </c>
      <c r="C332">
        <v>3623</v>
      </c>
      <c r="D332" s="7" t="s">
        <v>45</v>
      </c>
      <c r="E332">
        <v>360</v>
      </c>
      <c r="F332">
        <v>1440</v>
      </c>
      <c r="I332" s="45">
        <f t="shared" si="140"/>
        <v>0.51839999999999997</v>
      </c>
      <c r="J332" s="46">
        <f t="shared" si="141"/>
        <v>3.5999999999999996</v>
      </c>
      <c r="K332" s="62">
        <f t="shared" si="142"/>
        <v>100</v>
      </c>
      <c r="L332" s="28">
        <v>71</v>
      </c>
      <c r="M332" s="13">
        <f t="shared" si="146"/>
        <v>0.40845070422535201</v>
      </c>
      <c r="N332" s="12">
        <f t="shared" si="136"/>
        <v>29</v>
      </c>
      <c r="O332" s="30" t="s">
        <v>72</v>
      </c>
      <c r="Q332" s="62">
        <f t="shared" si="143"/>
        <v>197</v>
      </c>
      <c r="R332" s="28" t="s">
        <v>63</v>
      </c>
      <c r="S332" s="13" t="str">
        <f t="shared" si="147"/>
        <v>-</v>
      </c>
      <c r="T332" s="12" t="str">
        <f t="shared" si="137"/>
        <v>-</v>
      </c>
      <c r="U332" s="30" t="s">
        <v>72</v>
      </c>
      <c r="V332" s="30"/>
      <c r="W332" s="62">
        <f t="shared" si="144"/>
        <v>281</v>
      </c>
      <c r="X332" s="28">
        <v>202</v>
      </c>
      <c r="Y332" s="13">
        <f t="shared" si="148"/>
        <v>0.39108910891089099</v>
      </c>
      <c r="Z332" s="12">
        <f t="shared" si="138"/>
        <v>79</v>
      </c>
      <c r="AA332" s="30" t="s">
        <v>72</v>
      </c>
      <c r="AB332" s="64"/>
      <c r="AC332" s="62">
        <f t="shared" si="145"/>
        <v>529</v>
      </c>
      <c r="AD332" s="28" t="s">
        <v>63</v>
      </c>
      <c r="AE332" s="13" t="str">
        <f t="shared" si="149"/>
        <v>-</v>
      </c>
      <c r="AF332" s="12" t="str">
        <f t="shared" si="139"/>
        <v>-</v>
      </c>
      <c r="AG332" s="30" t="s">
        <v>72</v>
      </c>
      <c r="AH332" s="17"/>
      <c r="AI332" s="16"/>
      <c r="AJ332" s="2">
        <f t="shared" si="132"/>
        <v>110</v>
      </c>
      <c r="AK332" s="2">
        <f t="shared" si="133"/>
        <v>217</v>
      </c>
      <c r="AL332" s="2">
        <f t="shared" si="134"/>
        <v>582</v>
      </c>
      <c r="AM332" s="2">
        <f t="shared" si="135"/>
        <v>309</v>
      </c>
    </row>
    <row r="333" spans="1:40" outlineLevel="1" x14ac:dyDescent="0.25">
      <c r="A333" t="s">
        <v>35</v>
      </c>
      <c r="B333" s="7" t="str">
        <f t="shared" si="127"/>
        <v>Seite innen SY32 DB (360x1800)</v>
      </c>
      <c r="C333">
        <v>3624</v>
      </c>
      <c r="D333" s="7" t="s">
        <v>45</v>
      </c>
      <c r="E333">
        <v>360</v>
      </c>
      <c r="F333">
        <v>1800</v>
      </c>
      <c r="I333" s="45">
        <f t="shared" si="140"/>
        <v>0.64800000000000002</v>
      </c>
      <c r="J333" s="46">
        <f t="shared" si="141"/>
        <v>4.32</v>
      </c>
      <c r="K333" s="62">
        <f t="shared" si="142"/>
        <v>125</v>
      </c>
      <c r="L333" s="28">
        <v>89</v>
      </c>
      <c r="M333" s="13">
        <f t="shared" si="146"/>
        <v>0.40449438202247201</v>
      </c>
      <c r="N333" s="12">
        <f t="shared" si="136"/>
        <v>36</v>
      </c>
      <c r="O333" s="30" t="s">
        <v>72</v>
      </c>
      <c r="Q333" s="62">
        <f t="shared" si="143"/>
        <v>246</v>
      </c>
      <c r="R333" s="28" t="s">
        <v>63</v>
      </c>
      <c r="S333" s="47"/>
      <c r="T333" s="50"/>
      <c r="U333" s="51"/>
      <c r="V333" s="51"/>
      <c r="W333" s="62">
        <f t="shared" si="144"/>
        <v>343</v>
      </c>
      <c r="X333" s="28">
        <v>248</v>
      </c>
      <c r="Y333" s="13">
        <f t="shared" si="148"/>
        <v>0.38306451612903225</v>
      </c>
      <c r="Z333" s="12">
        <f t="shared" si="138"/>
        <v>95</v>
      </c>
      <c r="AA333" s="30" t="s">
        <v>72</v>
      </c>
      <c r="AB333" s="64"/>
      <c r="AC333" s="62">
        <f t="shared" si="145"/>
        <v>645</v>
      </c>
      <c r="AD333" s="28" t="s">
        <v>63</v>
      </c>
      <c r="AE333" s="13" t="str">
        <f t="shared" si="149"/>
        <v>-</v>
      </c>
      <c r="AF333" s="12" t="str">
        <f t="shared" si="139"/>
        <v>-</v>
      </c>
      <c r="AG333" s="30" t="s">
        <v>72</v>
      </c>
      <c r="AH333" s="17"/>
      <c r="AI333" s="16"/>
      <c r="AJ333" s="2">
        <f t="shared" si="132"/>
        <v>138</v>
      </c>
      <c r="AK333" s="2">
        <f t="shared" si="133"/>
        <v>271</v>
      </c>
      <c r="AL333" s="2">
        <f t="shared" si="134"/>
        <v>710</v>
      </c>
      <c r="AM333" s="2">
        <f t="shared" si="135"/>
        <v>377</v>
      </c>
    </row>
    <row r="334" spans="1:40" outlineLevel="1" x14ac:dyDescent="0.25">
      <c r="A334" t="s">
        <v>35</v>
      </c>
      <c r="B334" s="7" t="str">
        <f t="shared" si="127"/>
        <v>Seite innen SY32 DB (580x360)</v>
      </c>
      <c r="C334">
        <v>3625</v>
      </c>
      <c r="D334" s="7" t="s">
        <v>45</v>
      </c>
      <c r="E334">
        <v>580</v>
      </c>
      <c r="F334">
        <v>360</v>
      </c>
      <c r="I334" s="45">
        <f t="shared" si="140"/>
        <v>0.20879999999999999</v>
      </c>
      <c r="J334" s="46">
        <f t="shared" si="141"/>
        <v>1.88</v>
      </c>
      <c r="K334" s="62">
        <f t="shared" si="142"/>
        <v>43</v>
      </c>
      <c r="L334" s="28">
        <v>28</v>
      </c>
      <c r="M334" s="13">
        <f t="shared" si="146"/>
        <v>0.53571428571428581</v>
      </c>
      <c r="N334" s="12">
        <f t="shared" si="136"/>
        <v>15</v>
      </c>
      <c r="O334" s="30" t="s">
        <v>72</v>
      </c>
      <c r="Q334" s="62">
        <f t="shared" si="143"/>
        <v>85</v>
      </c>
      <c r="R334" s="28" t="s">
        <v>63</v>
      </c>
      <c r="S334" s="13" t="str">
        <f t="shared" si="147"/>
        <v>-</v>
      </c>
      <c r="T334" s="12" t="str">
        <f t="shared" si="137"/>
        <v>-</v>
      </c>
      <c r="U334" s="30" t="s">
        <v>72</v>
      </c>
      <c r="V334" s="30"/>
      <c r="W334" s="62">
        <f t="shared" si="144"/>
        <v>130</v>
      </c>
      <c r="X334" s="28">
        <v>89</v>
      </c>
      <c r="Y334" s="13">
        <f t="shared" si="148"/>
        <v>0.4606741573033708</v>
      </c>
      <c r="Z334" s="12">
        <f t="shared" si="138"/>
        <v>41</v>
      </c>
      <c r="AA334" s="30" t="s">
        <v>72</v>
      </c>
      <c r="AB334" s="64"/>
      <c r="AC334" s="62">
        <f t="shared" si="145"/>
        <v>185</v>
      </c>
      <c r="AD334" s="28">
        <v>130</v>
      </c>
      <c r="AE334" s="13">
        <f t="shared" si="149"/>
        <v>0.42307692307692313</v>
      </c>
      <c r="AF334" s="12">
        <f t="shared" si="139"/>
        <v>55</v>
      </c>
      <c r="AG334" s="30" t="s">
        <v>72</v>
      </c>
      <c r="AH334" s="17"/>
      <c r="AI334" s="16"/>
      <c r="AJ334" s="2">
        <f t="shared" si="132"/>
        <v>47</v>
      </c>
      <c r="AK334" s="2">
        <f t="shared" si="133"/>
        <v>94</v>
      </c>
      <c r="AL334" s="2">
        <f t="shared" si="134"/>
        <v>204</v>
      </c>
      <c r="AM334" s="2">
        <f t="shared" si="135"/>
        <v>143</v>
      </c>
    </row>
    <row r="335" spans="1:40" outlineLevel="1" x14ac:dyDescent="0.25">
      <c r="A335" t="s">
        <v>35</v>
      </c>
      <c r="B335" s="7" t="str">
        <f t="shared" si="127"/>
        <v>Seite innen SY32 DB (580x720)</v>
      </c>
      <c r="C335">
        <v>3626</v>
      </c>
      <c r="D335" s="7" t="s">
        <v>45</v>
      </c>
      <c r="E335">
        <v>580</v>
      </c>
      <c r="F335">
        <v>720</v>
      </c>
      <c r="I335" s="45">
        <f t="shared" si="140"/>
        <v>0.41759999999999997</v>
      </c>
      <c r="J335" s="46">
        <f t="shared" si="141"/>
        <v>2.5999999999999996</v>
      </c>
      <c r="K335" s="62">
        <f t="shared" si="142"/>
        <v>82</v>
      </c>
      <c r="L335" s="28">
        <v>57</v>
      </c>
      <c r="M335" s="13">
        <f t="shared" si="146"/>
        <v>0.43859649122807021</v>
      </c>
      <c r="N335" s="12">
        <f t="shared" si="136"/>
        <v>25</v>
      </c>
      <c r="O335" s="30" t="s">
        <v>72</v>
      </c>
      <c r="Q335" s="62">
        <f t="shared" si="143"/>
        <v>161</v>
      </c>
      <c r="R335" s="28" t="s">
        <v>63</v>
      </c>
      <c r="S335" s="13" t="str">
        <f t="shared" si="147"/>
        <v>-</v>
      </c>
      <c r="T335" s="12" t="str">
        <f t="shared" si="137"/>
        <v>-</v>
      </c>
      <c r="U335" s="30" t="s">
        <v>72</v>
      </c>
      <c r="V335" s="30"/>
      <c r="W335" s="62">
        <f t="shared" si="144"/>
        <v>216</v>
      </c>
      <c r="X335" s="28">
        <v>153</v>
      </c>
      <c r="Y335" s="13">
        <f t="shared" si="148"/>
        <v>0.41176470588235303</v>
      </c>
      <c r="Z335" s="12">
        <f t="shared" si="138"/>
        <v>63</v>
      </c>
      <c r="AA335" s="30" t="s">
        <v>72</v>
      </c>
      <c r="AB335" s="64"/>
      <c r="AC335" s="62">
        <f t="shared" si="145"/>
        <v>245</v>
      </c>
      <c r="AD335" s="28">
        <v>175</v>
      </c>
      <c r="AE335" s="13">
        <f t="shared" si="149"/>
        <v>0.39999999999999991</v>
      </c>
      <c r="AF335" s="12">
        <f t="shared" si="139"/>
        <v>70</v>
      </c>
      <c r="AG335" s="30" t="s">
        <v>72</v>
      </c>
      <c r="AH335" s="17"/>
      <c r="AI335" s="16"/>
      <c r="AJ335" s="2">
        <f t="shared" si="132"/>
        <v>90</v>
      </c>
      <c r="AK335" s="2">
        <f t="shared" si="133"/>
        <v>177</v>
      </c>
      <c r="AL335" s="2">
        <f t="shared" si="134"/>
        <v>270</v>
      </c>
      <c r="AM335" s="2">
        <f t="shared" si="135"/>
        <v>238</v>
      </c>
    </row>
    <row r="336" spans="1:40" outlineLevel="1" x14ac:dyDescent="0.25">
      <c r="A336" t="s">
        <v>35</v>
      </c>
      <c r="B336" s="7" t="str">
        <f t="shared" si="127"/>
        <v>Seite innen SY32 DB (580x1080)</v>
      </c>
      <c r="C336">
        <v>3627</v>
      </c>
      <c r="D336" s="7" t="s">
        <v>45</v>
      </c>
      <c r="E336">
        <v>580</v>
      </c>
      <c r="F336">
        <v>1080</v>
      </c>
      <c r="I336" s="45">
        <f t="shared" si="140"/>
        <v>0.62639999999999996</v>
      </c>
      <c r="J336" s="46">
        <f t="shared" si="141"/>
        <v>3.3200000000000003</v>
      </c>
      <c r="K336" s="62">
        <f t="shared" si="142"/>
        <v>119</v>
      </c>
      <c r="L336" s="28">
        <v>85</v>
      </c>
      <c r="M336" s="13">
        <f t="shared" si="146"/>
        <v>0.39999999999999991</v>
      </c>
      <c r="N336" s="12">
        <f t="shared" si="136"/>
        <v>34</v>
      </c>
      <c r="O336" s="30" t="s">
        <v>72</v>
      </c>
      <c r="Q336" s="62">
        <f t="shared" si="143"/>
        <v>234</v>
      </c>
      <c r="R336" s="28" t="s">
        <v>63</v>
      </c>
      <c r="S336" s="13" t="str">
        <f t="shared" si="147"/>
        <v>-</v>
      </c>
      <c r="T336" s="12" t="str">
        <f t="shared" si="137"/>
        <v>-</v>
      </c>
      <c r="U336" s="30" t="s">
        <v>72</v>
      </c>
      <c r="V336" s="30"/>
      <c r="W336" s="62">
        <f t="shared" si="144"/>
        <v>300</v>
      </c>
      <c r="X336" s="28">
        <v>216</v>
      </c>
      <c r="Y336" s="13">
        <f t="shared" si="148"/>
        <v>0.38888888888888884</v>
      </c>
      <c r="Z336" s="12">
        <f t="shared" si="138"/>
        <v>84</v>
      </c>
      <c r="AA336" s="30" t="s">
        <v>72</v>
      </c>
      <c r="AB336" s="64"/>
      <c r="AC336" s="62">
        <f t="shared" si="145"/>
        <v>307</v>
      </c>
      <c r="AD336" s="28">
        <v>221</v>
      </c>
      <c r="AE336" s="13">
        <f t="shared" si="149"/>
        <v>0.38914027149321262</v>
      </c>
      <c r="AF336" s="12">
        <f t="shared" si="139"/>
        <v>86</v>
      </c>
      <c r="AG336" s="30" t="s">
        <v>72</v>
      </c>
      <c r="AH336" s="17"/>
      <c r="AI336" s="16"/>
      <c r="AJ336" s="2">
        <f t="shared" si="132"/>
        <v>131</v>
      </c>
      <c r="AK336" s="2">
        <f t="shared" si="133"/>
        <v>257</v>
      </c>
      <c r="AL336" s="2">
        <f t="shared" si="134"/>
        <v>338</v>
      </c>
      <c r="AM336" s="2">
        <f t="shared" si="135"/>
        <v>330</v>
      </c>
    </row>
    <row r="337" spans="1:39" outlineLevel="1" x14ac:dyDescent="0.25">
      <c r="A337" t="s">
        <v>35</v>
      </c>
      <c r="B337" s="7" t="str">
        <f t="shared" si="127"/>
        <v>Seite innen SY32 DB (580x1440)</v>
      </c>
      <c r="C337">
        <v>3628</v>
      </c>
      <c r="D337" s="7" t="s">
        <v>45</v>
      </c>
      <c r="E337">
        <v>580</v>
      </c>
      <c r="F337">
        <v>1440</v>
      </c>
      <c r="I337" s="45">
        <f t="shared" si="140"/>
        <v>0.83519999999999994</v>
      </c>
      <c r="J337" s="46">
        <f t="shared" si="141"/>
        <v>4.04</v>
      </c>
      <c r="K337" s="62">
        <f t="shared" si="142"/>
        <v>158</v>
      </c>
      <c r="L337" s="28">
        <v>114</v>
      </c>
      <c r="M337" s="13">
        <f t="shared" si="146"/>
        <v>0.38596491228070184</v>
      </c>
      <c r="N337" s="12">
        <f t="shared" si="136"/>
        <v>44</v>
      </c>
      <c r="O337" s="30" t="s">
        <v>72</v>
      </c>
      <c r="Q337" s="62">
        <f t="shared" si="143"/>
        <v>311</v>
      </c>
      <c r="R337" s="28" t="s">
        <v>63</v>
      </c>
      <c r="S337" s="13" t="str">
        <f t="shared" si="147"/>
        <v>-</v>
      </c>
      <c r="T337" s="12" t="str">
        <f t="shared" si="137"/>
        <v>-</v>
      </c>
      <c r="U337" s="30" t="s">
        <v>72</v>
      </c>
      <c r="V337" s="30"/>
      <c r="W337" s="62">
        <f t="shared" si="144"/>
        <v>400</v>
      </c>
      <c r="X337" s="28">
        <v>290</v>
      </c>
      <c r="Y337" s="13">
        <f t="shared" si="148"/>
        <v>0.3793103448275863</v>
      </c>
      <c r="Z337" s="12">
        <f t="shared" si="138"/>
        <v>110</v>
      </c>
      <c r="AA337" s="30" t="s">
        <v>72</v>
      </c>
      <c r="AB337" s="64"/>
      <c r="AC337" s="62">
        <f t="shared" si="145"/>
        <v>752</v>
      </c>
      <c r="AD337" s="28" t="s">
        <v>63</v>
      </c>
      <c r="AE337" s="13" t="str">
        <f t="shared" si="149"/>
        <v>-</v>
      </c>
      <c r="AF337" s="12" t="str">
        <f t="shared" si="139"/>
        <v>-</v>
      </c>
      <c r="AG337" s="12"/>
      <c r="AH337" s="17"/>
      <c r="AI337" s="16"/>
      <c r="AJ337" s="2">
        <f t="shared" si="132"/>
        <v>174</v>
      </c>
      <c r="AK337" s="2">
        <f t="shared" si="133"/>
        <v>342</v>
      </c>
      <c r="AL337" s="2">
        <f t="shared" si="134"/>
        <v>827</v>
      </c>
      <c r="AM337" s="2">
        <f t="shared" si="135"/>
        <v>440</v>
      </c>
    </row>
    <row r="338" spans="1:39" outlineLevel="1" x14ac:dyDescent="0.25">
      <c r="A338" t="s">
        <v>35</v>
      </c>
      <c r="B338" s="7" t="str">
        <f t="shared" si="127"/>
        <v>Seite innen SY32 DB (580x1800)</v>
      </c>
      <c r="C338">
        <v>3629</v>
      </c>
      <c r="D338" s="7" t="s">
        <v>45</v>
      </c>
      <c r="E338">
        <v>580</v>
      </c>
      <c r="F338">
        <v>1800</v>
      </c>
      <c r="I338" s="45">
        <f t="shared" si="140"/>
        <v>1.044</v>
      </c>
      <c r="J338" s="46">
        <f t="shared" si="141"/>
        <v>4.76</v>
      </c>
      <c r="K338" s="62">
        <f t="shared" si="142"/>
        <v>197</v>
      </c>
      <c r="L338" s="28">
        <v>143</v>
      </c>
      <c r="M338" s="13">
        <f t="shared" si="146"/>
        <v>0.37762237762237771</v>
      </c>
      <c r="N338" s="12">
        <f t="shared" si="136"/>
        <v>54</v>
      </c>
      <c r="O338" s="30" t="s">
        <v>72</v>
      </c>
      <c r="Q338" s="62">
        <f t="shared" si="143"/>
        <v>388</v>
      </c>
      <c r="R338" s="28" t="s">
        <v>63</v>
      </c>
      <c r="S338" s="47"/>
      <c r="T338" s="50"/>
      <c r="U338" s="51"/>
      <c r="V338" s="51"/>
      <c r="W338" s="62">
        <f t="shared" si="144"/>
        <v>467</v>
      </c>
      <c r="X338" s="28">
        <v>340</v>
      </c>
      <c r="Y338" s="13">
        <f t="shared" si="148"/>
        <v>0.37352941176470589</v>
      </c>
      <c r="Z338" s="12">
        <f t="shared" si="138"/>
        <v>127</v>
      </c>
      <c r="AA338" s="30" t="s">
        <v>72</v>
      </c>
      <c r="AB338" s="64"/>
      <c r="AC338" s="62">
        <f t="shared" si="145"/>
        <v>879</v>
      </c>
      <c r="AD338" s="28" t="s">
        <v>63</v>
      </c>
      <c r="AE338" s="13" t="str">
        <f t="shared" si="149"/>
        <v>-</v>
      </c>
      <c r="AF338" s="12" t="str">
        <f t="shared" si="139"/>
        <v>-</v>
      </c>
      <c r="AG338" s="12"/>
      <c r="AH338" s="17"/>
      <c r="AI338" s="16"/>
      <c r="AJ338" s="2">
        <f t="shared" si="132"/>
        <v>217</v>
      </c>
      <c r="AK338" s="2">
        <f t="shared" si="133"/>
        <v>427</v>
      </c>
      <c r="AL338" s="2">
        <f t="shared" si="134"/>
        <v>967</v>
      </c>
      <c r="AM338" s="2">
        <f t="shared" si="135"/>
        <v>514</v>
      </c>
    </row>
    <row r="339" spans="1:39" outlineLevel="1" x14ac:dyDescent="0.25">
      <c r="A339" t="s">
        <v>35</v>
      </c>
      <c r="B339" s="6" t="str">
        <f>IF(OR(E339="-",F339="-"),"-",D339&amp;" ("&amp;E339&amp;"x"&amp;F339&amp;")")</f>
        <v xml:space="preserve"> (x)</v>
      </c>
      <c r="C339" s="3"/>
      <c r="D339" s="7"/>
      <c r="I339" s="45" t="str">
        <f t="shared" si="140"/>
        <v/>
      </c>
      <c r="J339" s="46" t="str">
        <f t="shared" si="141"/>
        <v/>
      </c>
      <c r="K339" s="62">
        <f t="shared" si="142"/>
        <v>0</v>
      </c>
      <c r="L339" s="28" t="s">
        <v>63</v>
      </c>
      <c r="M339" s="12" t="str">
        <f t="shared" si="146"/>
        <v>-</v>
      </c>
      <c r="N339" s="12" t="str">
        <f t="shared" si="136"/>
        <v>-</v>
      </c>
      <c r="O339" s="12"/>
      <c r="Q339" s="62">
        <f t="shared" si="143"/>
        <v>0</v>
      </c>
      <c r="R339" s="28" t="s">
        <v>63</v>
      </c>
      <c r="S339" s="12" t="str">
        <f t="shared" si="147"/>
        <v>-</v>
      </c>
      <c r="T339" s="12" t="str">
        <f t="shared" si="137"/>
        <v>-</v>
      </c>
      <c r="U339" s="12"/>
      <c r="V339" s="12"/>
      <c r="W339" s="62">
        <f t="shared" si="144"/>
        <v>10</v>
      </c>
      <c r="X339" s="28">
        <v>0</v>
      </c>
      <c r="Y339" s="12" t="str">
        <f t="shared" si="148"/>
        <v>-</v>
      </c>
      <c r="Z339" s="12">
        <f t="shared" si="138"/>
        <v>10</v>
      </c>
      <c r="AA339" s="12"/>
      <c r="AB339" s="64"/>
      <c r="AC339" s="62">
        <f t="shared" si="145"/>
        <v>0</v>
      </c>
      <c r="AD339" s="28" t="s">
        <v>68</v>
      </c>
      <c r="AE339" s="12" t="str">
        <f t="shared" si="149"/>
        <v>-</v>
      </c>
      <c r="AF339" s="12" t="str">
        <f t="shared" si="139"/>
        <v>-</v>
      </c>
      <c r="AG339" s="12"/>
      <c r="AH339" s="17"/>
      <c r="AI339" s="17"/>
      <c r="AJ339" s="2">
        <f t="shared" si="132"/>
        <v>0</v>
      </c>
      <c r="AK339" s="2">
        <f t="shared" si="133"/>
        <v>0</v>
      </c>
      <c r="AL339" s="2">
        <f t="shared" si="134"/>
        <v>0</v>
      </c>
      <c r="AM339" s="2">
        <f t="shared" si="135"/>
        <v>11</v>
      </c>
    </row>
    <row r="340" spans="1:39" outlineLevel="1" x14ac:dyDescent="0.25">
      <c r="A340" t="s">
        <v>35</v>
      </c>
      <c r="B340" s="7" t="str">
        <f t="shared" si="127"/>
        <v xml:space="preserve"> (x)</v>
      </c>
      <c r="C340" s="3">
        <v>3631</v>
      </c>
      <c r="I340" s="45" t="str">
        <f t="shared" si="140"/>
        <v/>
      </c>
      <c r="J340" s="46" t="str">
        <f t="shared" si="141"/>
        <v/>
      </c>
      <c r="K340" s="62">
        <f t="shared" si="142"/>
        <v>0</v>
      </c>
      <c r="L340" s="28" t="s">
        <v>63</v>
      </c>
      <c r="M340" s="12" t="str">
        <f t="shared" si="146"/>
        <v>-</v>
      </c>
      <c r="N340" s="12" t="str">
        <f t="shared" si="136"/>
        <v>-</v>
      </c>
      <c r="O340" s="12"/>
      <c r="Q340" s="62">
        <f t="shared" si="143"/>
        <v>0</v>
      </c>
      <c r="R340" s="28" t="s">
        <v>63</v>
      </c>
      <c r="S340" s="12" t="str">
        <f t="shared" si="147"/>
        <v>-</v>
      </c>
      <c r="T340" s="12" t="str">
        <f t="shared" si="137"/>
        <v>-</v>
      </c>
      <c r="U340" s="12"/>
      <c r="V340" s="12"/>
      <c r="W340" s="62">
        <f t="shared" si="144"/>
        <v>10</v>
      </c>
      <c r="X340" s="28">
        <v>0</v>
      </c>
      <c r="Y340" s="12" t="str">
        <f t="shared" si="148"/>
        <v>-</v>
      </c>
      <c r="Z340" s="12">
        <f t="shared" si="138"/>
        <v>10</v>
      </c>
      <c r="AA340" s="12"/>
      <c r="AB340" s="64"/>
      <c r="AC340" s="62">
        <f t="shared" si="145"/>
        <v>0</v>
      </c>
      <c r="AD340" s="28" t="s">
        <v>68</v>
      </c>
      <c r="AE340" s="12" t="str">
        <f t="shared" si="149"/>
        <v>-</v>
      </c>
      <c r="AF340" s="12" t="str">
        <f t="shared" si="139"/>
        <v>-</v>
      </c>
      <c r="AG340" s="12"/>
      <c r="AH340" s="17"/>
      <c r="AI340" s="17"/>
      <c r="AJ340" s="2">
        <f t="shared" si="132"/>
        <v>0</v>
      </c>
      <c r="AK340" s="2">
        <f t="shared" si="133"/>
        <v>0</v>
      </c>
      <c r="AL340" s="2">
        <f t="shared" si="134"/>
        <v>0</v>
      </c>
      <c r="AM340" s="2">
        <f t="shared" si="135"/>
        <v>11</v>
      </c>
    </row>
    <row r="341" spans="1:39" outlineLevel="1" x14ac:dyDescent="0.25">
      <c r="A341" t="s">
        <v>35</v>
      </c>
      <c r="B341" s="7" t="str">
        <f t="shared" si="127"/>
        <v xml:space="preserve"> (x)</v>
      </c>
      <c r="C341" s="3">
        <v>3632</v>
      </c>
      <c r="I341" s="45" t="str">
        <f t="shared" si="140"/>
        <v/>
      </c>
      <c r="J341" s="46" t="str">
        <f t="shared" si="141"/>
        <v/>
      </c>
      <c r="K341" s="62">
        <f t="shared" si="142"/>
        <v>0</v>
      </c>
      <c r="L341" s="28" t="s">
        <v>63</v>
      </c>
      <c r="M341" s="12" t="str">
        <f t="shared" si="146"/>
        <v>-</v>
      </c>
      <c r="N341" s="12" t="str">
        <f t="shared" si="136"/>
        <v>-</v>
      </c>
      <c r="O341" s="12"/>
      <c r="Q341" s="62">
        <f t="shared" si="143"/>
        <v>0</v>
      </c>
      <c r="R341" s="28" t="s">
        <v>63</v>
      </c>
      <c r="S341" s="12" t="str">
        <f t="shared" si="147"/>
        <v>-</v>
      </c>
      <c r="T341" s="12" t="str">
        <f t="shared" si="137"/>
        <v>-</v>
      </c>
      <c r="U341" s="12"/>
      <c r="V341" s="12"/>
      <c r="W341" s="62">
        <f t="shared" si="144"/>
        <v>10</v>
      </c>
      <c r="X341" s="28">
        <v>0</v>
      </c>
      <c r="Y341" s="12" t="str">
        <f t="shared" si="148"/>
        <v>-</v>
      </c>
      <c r="Z341" s="12">
        <f t="shared" si="138"/>
        <v>10</v>
      </c>
      <c r="AA341" s="12"/>
      <c r="AB341" s="64"/>
      <c r="AC341" s="62">
        <f t="shared" si="145"/>
        <v>0</v>
      </c>
      <c r="AD341" s="28" t="s">
        <v>68</v>
      </c>
      <c r="AE341" s="12" t="str">
        <f t="shared" si="149"/>
        <v>-</v>
      </c>
      <c r="AF341" s="12" t="str">
        <f t="shared" si="139"/>
        <v>-</v>
      </c>
      <c r="AG341" s="12"/>
      <c r="AH341" s="17"/>
      <c r="AI341" s="17"/>
      <c r="AJ341" s="2">
        <f t="shared" si="132"/>
        <v>0</v>
      </c>
      <c r="AK341" s="2">
        <f t="shared" si="133"/>
        <v>0</v>
      </c>
      <c r="AL341" s="2">
        <f t="shared" si="134"/>
        <v>0</v>
      </c>
      <c r="AM341" s="2">
        <f t="shared" si="135"/>
        <v>11</v>
      </c>
    </row>
    <row r="342" spans="1:39" outlineLevel="1" x14ac:dyDescent="0.25">
      <c r="A342" t="s">
        <v>35</v>
      </c>
      <c r="B342" s="7" t="str">
        <f t="shared" si="127"/>
        <v xml:space="preserve"> (x)</v>
      </c>
      <c r="C342" s="3">
        <v>3633</v>
      </c>
      <c r="I342" s="45" t="str">
        <f t="shared" si="140"/>
        <v/>
      </c>
      <c r="J342" s="46" t="str">
        <f t="shared" si="141"/>
        <v/>
      </c>
      <c r="K342" s="62">
        <f t="shared" si="142"/>
        <v>0</v>
      </c>
      <c r="L342" s="28" t="s">
        <v>63</v>
      </c>
      <c r="M342" s="12" t="str">
        <f t="shared" si="146"/>
        <v>-</v>
      </c>
      <c r="N342" s="12" t="str">
        <f t="shared" si="136"/>
        <v>-</v>
      </c>
      <c r="O342" s="12"/>
      <c r="Q342" s="62">
        <f t="shared" si="143"/>
        <v>0</v>
      </c>
      <c r="R342" s="28" t="s">
        <v>63</v>
      </c>
      <c r="S342" s="12" t="str">
        <f t="shared" si="147"/>
        <v>-</v>
      </c>
      <c r="T342" s="12" t="str">
        <f t="shared" si="137"/>
        <v>-</v>
      </c>
      <c r="U342" s="12"/>
      <c r="V342" s="12"/>
      <c r="W342" s="62">
        <f t="shared" si="144"/>
        <v>10</v>
      </c>
      <c r="X342" s="28">
        <v>0</v>
      </c>
      <c r="Y342" s="12" t="str">
        <f t="shared" si="148"/>
        <v>-</v>
      </c>
      <c r="Z342" s="12">
        <f t="shared" si="138"/>
        <v>10</v>
      </c>
      <c r="AA342" s="12"/>
      <c r="AB342" s="64"/>
      <c r="AC342" s="62">
        <f t="shared" si="145"/>
        <v>0</v>
      </c>
      <c r="AD342" s="28" t="s">
        <v>68</v>
      </c>
      <c r="AE342" s="12" t="str">
        <f t="shared" si="149"/>
        <v>-</v>
      </c>
      <c r="AF342" s="12" t="str">
        <f t="shared" si="139"/>
        <v>-</v>
      </c>
      <c r="AG342" s="12"/>
      <c r="AH342" s="17"/>
      <c r="AI342" s="17"/>
      <c r="AJ342" s="2">
        <f t="shared" si="132"/>
        <v>0</v>
      </c>
      <c r="AK342" s="2">
        <f t="shared" si="133"/>
        <v>0</v>
      </c>
      <c r="AL342" s="2">
        <f t="shared" si="134"/>
        <v>0</v>
      </c>
      <c r="AM342" s="2">
        <f t="shared" si="135"/>
        <v>11</v>
      </c>
    </row>
    <row r="343" spans="1:39" outlineLevel="1" x14ac:dyDescent="0.25">
      <c r="A343" t="s">
        <v>35</v>
      </c>
      <c r="B343" s="7" t="str">
        <f t="shared" si="127"/>
        <v xml:space="preserve"> (x)</v>
      </c>
      <c r="C343" s="3">
        <v>3634</v>
      </c>
      <c r="I343" s="45" t="str">
        <f t="shared" si="140"/>
        <v/>
      </c>
      <c r="J343" s="46" t="str">
        <f t="shared" si="141"/>
        <v/>
      </c>
      <c r="K343" s="62">
        <f t="shared" si="142"/>
        <v>0</v>
      </c>
      <c r="L343" s="28" t="s">
        <v>63</v>
      </c>
      <c r="M343" s="12" t="str">
        <f t="shared" si="146"/>
        <v>-</v>
      </c>
      <c r="N343" s="12" t="str">
        <f t="shared" si="136"/>
        <v>-</v>
      </c>
      <c r="O343" s="12"/>
      <c r="Q343" s="62">
        <f t="shared" si="143"/>
        <v>0</v>
      </c>
      <c r="R343" s="28" t="s">
        <v>63</v>
      </c>
      <c r="S343" s="12" t="str">
        <f t="shared" si="147"/>
        <v>-</v>
      </c>
      <c r="T343" s="12" t="str">
        <f t="shared" si="137"/>
        <v>-</v>
      </c>
      <c r="U343" s="12"/>
      <c r="V343" s="12"/>
      <c r="W343" s="62">
        <f t="shared" si="144"/>
        <v>10</v>
      </c>
      <c r="X343" s="28">
        <v>0</v>
      </c>
      <c r="Y343" s="12" t="str">
        <f t="shared" si="148"/>
        <v>-</v>
      </c>
      <c r="Z343" s="12">
        <f t="shared" si="138"/>
        <v>10</v>
      </c>
      <c r="AA343" s="12"/>
      <c r="AB343" s="64"/>
      <c r="AC343" s="62">
        <f t="shared" si="145"/>
        <v>0</v>
      </c>
      <c r="AD343" s="28" t="s">
        <v>68</v>
      </c>
      <c r="AE343" s="12" t="str">
        <f t="shared" si="149"/>
        <v>-</v>
      </c>
      <c r="AF343" s="12" t="str">
        <f t="shared" si="139"/>
        <v>-</v>
      </c>
      <c r="AG343" s="12"/>
      <c r="AH343" s="17"/>
      <c r="AI343" s="17"/>
      <c r="AJ343" s="2">
        <f t="shared" si="132"/>
        <v>0</v>
      </c>
      <c r="AK343" s="2">
        <f t="shared" si="133"/>
        <v>0</v>
      </c>
      <c r="AL343" s="2">
        <f t="shared" si="134"/>
        <v>0</v>
      </c>
      <c r="AM343" s="2">
        <f t="shared" si="135"/>
        <v>11</v>
      </c>
    </row>
    <row r="344" spans="1:39" outlineLevel="1" x14ac:dyDescent="0.25">
      <c r="A344" t="s">
        <v>35</v>
      </c>
      <c r="B344" s="7" t="str">
        <f t="shared" si="127"/>
        <v xml:space="preserve"> (x)</v>
      </c>
      <c r="C344" s="3">
        <v>3635</v>
      </c>
      <c r="I344" s="45" t="str">
        <f t="shared" si="140"/>
        <v/>
      </c>
      <c r="J344" s="46" t="str">
        <f t="shared" si="141"/>
        <v/>
      </c>
      <c r="K344" s="62">
        <f t="shared" si="142"/>
        <v>0</v>
      </c>
      <c r="L344" s="28" t="s">
        <v>63</v>
      </c>
      <c r="M344" s="12" t="str">
        <f t="shared" si="146"/>
        <v>-</v>
      </c>
      <c r="N344" s="12" t="str">
        <f t="shared" si="136"/>
        <v>-</v>
      </c>
      <c r="O344" s="12"/>
      <c r="Q344" s="62">
        <f t="shared" si="143"/>
        <v>0</v>
      </c>
      <c r="R344" s="28" t="s">
        <v>63</v>
      </c>
      <c r="S344" s="12" t="str">
        <f t="shared" si="147"/>
        <v>-</v>
      </c>
      <c r="T344" s="12" t="str">
        <f t="shared" si="137"/>
        <v>-</v>
      </c>
      <c r="U344" s="12"/>
      <c r="V344" s="12"/>
      <c r="W344" s="62">
        <f t="shared" si="144"/>
        <v>10</v>
      </c>
      <c r="X344" s="28">
        <v>0</v>
      </c>
      <c r="Y344" s="12" t="str">
        <f t="shared" si="148"/>
        <v>-</v>
      </c>
      <c r="Z344" s="12">
        <f t="shared" si="138"/>
        <v>10</v>
      </c>
      <c r="AA344" s="12"/>
      <c r="AB344" s="64"/>
      <c r="AC344" s="62">
        <f t="shared" si="145"/>
        <v>0</v>
      </c>
      <c r="AD344" s="28" t="s">
        <v>68</v>
      </c>
      <c r="AE344" s="12" t="str">
        <f t="shared" si="149"/>
        <v>-</v>
      </c>
      <c r="AF344" s="12" t="str">
        <f t="shared" si="139"/>
        <v>-</v>
      </c>
      <c r="AG344" s="12"/>
      <c r="AH344" s="17"/>
      <c r="AI344" s="17"/>
      <c r="AJ344" s="2">
        <f t="shared" si="132"/>
        <v>0</v>
      </c>
      <c r="AK344" s="2">
        <f t="shared" si="133"/>
        <v>0</v>
      </c>
      <c r="AL344" s="2">
        <f t="shared" si="134"/>
        <v>0</v>
      </c>
      <c r="AM344" s="2">
        <f t="shared" si="135"/>
        <v>11</v>
      </c>
    </row>
    <row r="345" spans="1:39" outlineLevel="1" x14ac:dyDescent="0.25">
      <c r="A345" t="s">
        <v>35</v>
      </c>
      <c r="B345" s="7" t="str">
        <f t="shared" si="127"/>
        <v xml:space="preserve"> (x)</v>
      </c>
      <c r="C345" s="3">
        <v>3636</v>
      </c>
      <c r="I345" s="45" t="str">
        <f t="shared" si="140"/>
        <v/>
      </c>
      <c r="J345" s="46" t="str">
        <f t="shared" si="141"/>
        <v/>
      </c>
      <c r="K345" s="62">
        <f t="shared" si="142"/>
        <v>0</v>
      </c>
      <c r="L345" s="28" t="s">
        <v>63</v>
      </c>
      <c r="M345" s="12" t="str">
        <f t="shared" si="146"/>
        <v>-</v>
      </c>
      <c r="N345" s="12" t="str">
        <f t="shared" si="136"/>
        <v>-</v>
      </c>
      <c r="O345" s="12"/>
      <c r="Q345" s="62">
        <f t="shared" si="143"/>
        <v>0</v>
      </c>
      <c r="R345" s="28" t="s">
        <v>63</v>
      </c>
      <c r="S345" s="12" t="str">
        <f t="shared" si="147"/>
        <v>-</v>
      </c>
      <c r="T345" s="12" t="str">
        <f t="shared" si="137"/>
        <v>-</v>
      </c>
      <c r="U345" s="12"/>
      <c r="V345" s="12"/>
      <c r="W345" s="62">
        <f t="shared" si="144"/>
        <v>10</v>
      </c>
      <c r="X345" s="28">
        <v>0</v>
      </c>
      <c r="Y345" s="12" t="str">
        <f t="shared" si="148"/>
        <v>-</v>
      </c>
      <c r="Z345" s="12">
        <f t="shared" si="138"/>
        <v>10</v>
      </c>
      <c r="AA345" s="12"/>
      <c r="AB345" s="64"/>
      <c r="AC345" s="62">
        <f t="shared" si="145"/>
        <v>0</v>
      </c>
      <c r="AD345" s="28" t="s">
        <v>68</v>
      </c>
      <c r="AE345" s="12" t="str">
        <f t="shared" si="149"/>
        <v>-</v>
      </c>
      <c r="AF345" s="12" t="str">
        <f t="shared" si="139"/>
        <v>-</v>
      </c>
      <c r="AG345" s="12"/>
      <c r="AH345" s="17"/>
      <c r="AI345" s="17"/>
      <c r="AJ345" s="2">
        <f t="shared" si="132"/>
        <v>0</v>
      </c>
      <c r="AK345" s="2">
        <f t="shared" si="133"/>
        <v>0</v>
      </c>
      <c r="AL345" s="2">
        <f t="shared" si="134"/>
        <v>0</v>
      </c>
      <c r="AM345" s="2">
        <f t="shared" si="135"/>
        <v>11</v>
      </c>
    </row>
    <row r="346" spans="1:39" outlineLevel="1" x14ac:dyDescent="0.25">
      <c r="A346" t="s">
        <v>35</v>
      </c>
      <c r="B346" s="7" t="str">
        <f t="shared" si="127"/>
        <v xml:space="preserve"> (x)</v>
      </c>
      <c r="C346" s="3">
        <v>3637</v>
      </c>
      <c r="I346" s="45" t="str">
        <f t="shared" si="140"/>
        <v/>
      </c>
      <c r="J346" s="46" t="str">
        <f t="shared" si="141"/>
        <v/>
      </c>
      <c r="K346" s="62">
        <f t="shared" si="142"/>
        <v>0</v>
      </c>
      <c r="L346" s="28" t="s">
        <v>63</v>
      </c>
      <c r="M346" s="12" t="str">
        <f t="shared" si="146"/>
        <v>-</v>
      </c>
      <c r="N346" s="12" t="str">
        <f t="shared" si="136"/>
        <v>-</v>
      </c>
      <c r="O346" s="12"/>
      <c r="Q346" s="62">
        <f t="shared" si="143"/>
        <v>0</v>
      </c>
      <c r="R346" s="28" t="s">
        <v>63</v>
      </c>
      <c r="S346" s="12" t="str">
        <f t="shared" si="147"/>
        <v>-</v>
      </c>
      <c r="T346" s="12" t="str">
        <f t="shared" si="137"/>
        <v>-</v>
      </c>
      <c r="U346" s="12"/>
      <c r="V346" s="12"/>
      <c r="W346" s="62">
        <f t="shared" si="144"/>
        <v>10</v>
      </c>
      <c r="X346" s="28">
        <v>0</v>
      </c>
      <c r="Y346" s="12" t="str">
        <f t="shared" si="148"/>
        <v>-</v>
      </c>
      <c r="Z346" s="12">
        <f t="shared" si="138"/>
        <v>10</v>
      </c>
      <c r="AA346" s="12"/>
      <c r="AB346" s="64"/>
      <c r="AC346" s="62">
        <f t="shared" si="145"/>
        <v>0</v>
      </c>
      <c r="AD346" s="28" t="s">
        <v>68</v>
      </c>
      <c r="AE346" s="12" t="str">
        <f t="shared" si="149"/>
        <v>-</v>
      </c>
      <c r="AF346" s="12" t="str">
        <f t="shared" si="139"/>
        <v>-</v>
      </c>
      <c r="AG346" s="12"/>
      <c r="AH346" s="17"/>
      <c r="AI346" s="17"/>
      <c r="AJ346" s="2">
        <f t="shared" si="132"/>
        <v>0</v>
      </c>
      <c r="AK346" s="2">
        <f t="shared" si="133"/>
        <v>0</v>
      </c>
      <c r="AL346" s="2">
        <f t="shared" si="134"/>
        <v>0</v>
      </c>
      <c r="AM346" s="2">
        <f t="shared" si="135"/>
        <v>11</v>
      </c>
    </row>
    <row r="347" spans="1:39" outlineLevel="1" x14ac:dyDescent="0.25">
      <c r="A347" t="s">
        <v>35</v>
      </c>
      <c r="B347" s="7" t="str">
        <f t="shared" si="127"/>
        <v xml:space="preserve"> (x)</v>
      </c>
      <c r="C347" s="3">
        <v>3638</v>
      </c>
      <c r="I347" s="45" t="str">
        <f t="shared" si="140"/>
        <v/>
      </c>
      <c r="J347" s="46" t="str">
        <f t="shared" si="141"/>
        <v/>
      </c>
      <c r="K347" s="62">
        <f t="shared" si="142"/>
        <v>0</v>
      </c>
      <c r="L347" s="28" t="s">
        <v>63</v>
      </c>
      <c r="M347" s="12" t="str">
        <f t="shared" si="146"/>
        <v>-</v>
      </c>
      <c r="N347" s="12" t="str">
        <f t="shared" si="136"/>
        <v>-</v>
      </c>
      <c r="O347" s="12"/>
      <c r="Q347" s="62">
        <f t="shared" si="143"/>
        <v>0</v>
      </c>
      <c r="R347" s="28" t="s">
        <v>63</v>
      </c>
      <c r="S347" s="12" t="str">
        <f t="shared" si="147"/>
        <v>-</v>
      </c>
      <c r="T347" s="12" t="str">
        <f t="shared" si="137"/>
        <v>-</v>
      </c>
      <c r="U347" s="12"/>
      <c r="V347" s="12"/>
      <c r="W347" s="62">
        <f t="shared" si="144"/>
        <v>10</v>
      </c>
      <c r="X347" s="28">
        <v>0</v>
      </c>
      <c r="Y347" s="12" t="str">
        <f t="shared" si="148"/>
        <v>-</v>
      </c>
      <c r="Z347" s="12">
        <f t="shared" si="138"/>
        <v>10</v>
      </c>
      <c r="AA347" s="12"/>
      <c r="AB347" s="64"/>
      <c r="AC347" s="62">
        <f t="shared" si="145"/>
        <v>0</v>
      </c>
      <c r="AD347" s="28" t="s">
        <v>68</v>
      </c>
      <c r="AE347" s="12" t="str">
        <f t="shared" si="149"/>
        <v>-</v>
      </c>
      <c r="AF347" s="12" t="str">
        <f t="shared" si="139"/>
        <v>-</v>
      </c>
      <c r="AG347" s="12"/>
      <c r="AH347" s="17"/>
      <c r="AI347" s="17"/>
      <c r="AJ347" s="2">
        <f t="shared" si="132"/>
        <v>0</v>
      </c>
      <c r="AK347" s="2">
        <f t="shared" si="133"/>
        <v>0</v>
      </c>
      <c r="AL347" s="2">
        <f t="shared" si="134"/>
        <v>0</v>
      </c>
      <c r="AM347" s="2">
        <f t="shared" si="135"/>
        <v>11</v>
      </c>
    </row>
    <row r="348" spans="1:39" outlineLevel="1" x14ac:dyDescent="0.25">
      <c r="A348" t="s">
        <v>35</v>
      </c>
      <c r="B348" s="7" t="str">
        <f t="shared" si="127"/>
        <v xml:space="preserve"> (x)</v>
      </c>
      <c r="C348" s="3">
        <v>3639</v>
      </c>
      <c r="I348" s="45" t="str">
        <f t="shared" si="140"/>
        <v/>
      </c>
      <c r="J348" s="46" t="str">
        <f t="shared" si="141"/>
        <v/>
      </c>
      <c r="K348" s="62">
        <f t="shared" si="142"/>
        <v>0</v>
      </c>
      <c r="L348" s="28" t="s">
        <v>63</v>
      </c>
      <c r="M348" s="12" t="str">
        <f t="shared" si="146"/>
        <v>-</v>
      </c>
      <c r="N348" s="12" t="str">
        <f t="shared" si="136"/>
        <v>-</v>
      </c>
      <c r="O348" s="12"/>
      <c r="Q348" s="62">
        <f t="shared" si="143"/>
        <v>0</v>
      </c>
      <c r="R348" s="28" t="s">
        <v>63</v>
      </c>
      <c r="S348" s="12" t="str">
        <f t="shared" si="147"/>
        <v>-</v>
      </c>
      <c r="T348" s="12" t="str">
        <f t="shared" si="137"/>
        <v>-</v>
      </c>
      <c r="U348" s="12"/>
      <c r="V348" s="12"/>
      <c r="W348" s="62">
        <f t="shared" si="144"/>
        <v>10</v>
      </c>
      <c r="X348" s="28">
        <v>0</v>
      </c>
      <c r="Y348" s="12" t="str">
        <f t="shared" si="148"/>
        <v>-</v>
      </c>
      <c r="Z348" s="12">
        <f t="shared" si="138"/>
        <v>10</v>
      </c>
      <c r="AA348" s="12"/>
      <c r="AB348" s="64"/>
      <c r="AC348" s="62">
        <f t="shared" si="145"/>
        <v>0</v>
      </c>
      <c r="AD348" s="28" t="s">
        <v>68</v>
      </c>
      <c r="AE348" s="12" t="str">
        <f t="shared" si="149"/>
        <v>-</v>
      </c>
      <c r="AF348" s="12" t="str">
        <f t="shared" si="139"/>
        <v>-</v>
      </c>
      <c r="AG348" s="12"/>
      <c r="AH348" s="17"/>
      <c r="AI348" s="17"/>
      <c r="AJ348" s="2">
        <f t="shared" si="132"/>
        <v>0</v>
      </c>
      <c r="AK348" s="2">
        <f t="shared" si="133"/>
        <v>0</v>
      </c>
      <c r="AL348" s="2">
        <f t="shared" si="134"/>
        <v>0</v>
      </c>
      <c r="AM348" s="2">
        <f t="shared" si="135"/>
        <v>11</v>
      </c>
    </row>
    <row r="349" spans="1:39" outlineLevel="1" x14ac:dyDescent="0.25">
      <c r="A349" t="s">
        <v>35</v>
      </c>
      <c r="B349" s="7" t="str">
        <f t="shared" si="127"/>
        <v xml:space="preserve"> (x)</v>
      </c>
      <c r="C349" s="3">
        <v>3640</v>
      </c>
      <c r="I349" s="45" t="str">
        <f t="shared" si="140"/>
        <v/>
      </c>
      <c r="J349" s="46" t="str">
        <f t="shared" si="141"/>
        <v/>
      </c>
      <c r="K349" s="62">
        <f t="shared" si="142"/>
        <v>0</v>
      </c>
      <c r="L349" s="28" t="s">
        <v>63</v>
      </c>
      <c r="M349" s="12" t="str">
        <f t="shared" si="146"/>
        <v>-</v>
      </c>
      <c r="N349" s="12" t="str">
        <f t="shared" si="136"/>
        <v>-</v>
      </c>
      <c r="O349" s="12"/>
      <c r="Q349" s="62">
        <f t="shared" si="143"/>
        <v>0</v>
      </c>
      <c r="R349" s="28" t="s">
        <v>63</v>
      </c>
      <c r="S349" s="12" t="str">
        <f t="shared" si="147"/>
        <v>-</v>
      </c>
      <c r="T349" s="12" t="str">
        <f t="shared" si="137"/>
        <v>-</v>
      </c>
      <c r="U349" s="12"/>
      <c r="V349" s="12"/>
      <c r="W349" s="62">
        <f t="shared" si="144"/>
        <v>10</v>
      </c>
      <c r="X349" s="28">
        <v>0</v>
      </c>
      <c r="Y349" s="12" t="str">
        <f t="shared" si="148"/>
        <v>-</v>
      </c>
      <c r="Z349" s="12">
        <f t="shared" si="138"/>
        <v>10</v>
      </c>
      <c r="AA349" s="12"/>
      <c r="AB349" s="64"/>
      <c r="AC349" s="62">
        <f t="shared" si="145"/>
        <v>0</v>
      </c>
      <c r="AD349" s="28" t="s">
        <v>68</v>
      </c>
      <c r="AE349" s="12" t="str">
        <f t="shared" si="149"/>
        <v>-</v>
      </c>
      <c r="AF349" s="12" t="str">
        <f t="shared" si="139"/>
        <v>-</v>
      </c>
      <c r="AG349" s="12"/>
      <c r="AH349" s="17"/>
      <c r="AI349" s="17"/>
      <c r="AJ349" s="2">
        <f t="shared" si="132"/>
        <v>0</v>
      </c>
      <c r="AK349" s="2">
        <f t="shared" si="133"/>
        <v>0</v>
      </c>
      <c r="AL349" s="2">
        <f t="shared" si="134"/>
        <v>0</v>
      </c>
      <c r="AM349" s="2">
        <f t="shared" si="135"/>
        <v>11</v>
      </c>
    </row>
    <row r="350" spans="1:39" outlineLevel="1" x14ac:dyDescent="0.25">
      <c r="A350" t="s">
        <v>35</v>
      </c>
      <c r="B350" s="7" t="str">
        <f t="shared" si="127"/>
        <v xml:space="preserve"> (x)</v>
      </c>
      <c r="C350" s="3">
        <v>3641</v>
      </c>
      <c r="I350" s="45" t="str">
        <f t="shared" si="140"/>
        <v/>
      </c>
      <c r="J350" s="46" t="str">
        <f t="shared" si="141"/>
        <v/>
      </c>
      <c r="K350" s="62">
        <f t="shared" si="142"/>
        <v>0</v>
      </c>
      <c r="L350" s="28" t="s">
        <v>63</v>
      </c>
      <c r="M350" s="12" t="str">
        <f t="shared" si="146"/>
        <v>-</v>
      </c>
      <c r="N350" s="12" t="str">
        <f t="shared" si="136"/>
        <v>-</v>
      </c>
      <c r="O350" s="12"/>
      <c r="Q350" s="62">
        <f t="shared" si="143"/>
        <v>0</v>
      </c>
      <c r="R350" s="28" t="s">
        <v>63</v>
      </c>
      <c r="S350" s="12" t="str">
        <f t="shared" si="147"/>
        <v>-</v>
      </c>
      <c r="T350" s="12" t="str">
        <f t="shared" si="137"/>
        <v>-</v>
      </c>
      <c r="U350" s="12"/>
      <c r="V350" s="12"/>
      <c r="W350" s="62">
        <f t="shared" si="144"/>
        <v>10</v>
      </c>
      <c r="X350" s="28">
        <v>0</v>
      </c>
      <c r="Y350" s="12" t="str">
        <f t="shared" si="148"/>
        <v>-</v>
      </c>
      <c r="Z350" s="12">
        <f t="shared" si="138"/>
        <v>10</v>
      </c>
      <c r="AA350" s="12"/>
      <c r="AB350" s="64"/>
      <c r="AC350" s="62">
        <f t="shared" si="145"/>
        <v>0</v>
      </c>
      <c r="AD350" s="28" t="s">
        <v>68</v>
      </c>
      <c r="AE350" s="12" t="str">
        <f t="shared" si="149"/>
        <v>-</v>
      </c>
      <c r="AF350" s="12" t="str">
        <f t="shared" si="139"/>
        <v>-</v>
      </c>
      <c r="AG350" s="12"/>
      <c r="AH350" s="17"/>
      <c r="AI350" s="17"/>
      <c r="AJ350" s="2">
        <f t="shared" si="132"/>
        <v>0</v>
      </c>
      <c r="AK350" s="2">
        <f t="shared" si="133"/>
        <v>0</v>
      </c>
      <c r="AL350" s="2">
        <f t="shared" si="134"/>
        <v>0</v>
      </c>
      <c r="AM350" s="2">
        <f t="shared" si="135"/>
        <v>11</v>
      </c>
    </row>
    <row r="351" spans="1:39" outlineLevel="1" x14ac:dyDescent="0.25">
      <c r="A351" t="s">
        <v>35</v>
      </c>
      <c r="B351" s="7" t="str">
        <f t="shared" si="127"/>
        <v xml:space="preserve"> (x)</v>
      </c>
      <c r="C351" s="3">
        <v>3642</v>
      </c>
      <c r="I351" s="45" t="str">
        <f t="shared" si="140"/>
        <v/>
      </c>
      <c r="J351" s="46" t="str">
        <f t="shared" si="141"/>
        <v/>
      </c>
      <c r="K351" s="62">
        <f t="shared" si="142"/>
        <v>0</v>
      </c>
      <c r="L351" s="28" t="s">
        <v>63</v>
      </c>
      <c r="M351" s="12" t="str">
        <f t="shared" si="146"/>
        <v>-</v>
      </c>
      <c r="N351" s="12" t="str">
        <f t="shared" si="136"/>
        <v>-</v>
      </c>
      <c r="O351" s="12"/>
      <c r="Q351" s="62">
        <f t="shared" si="143"/>
        <v>0</v>
      </c>
      <c r="R351" s="28" t="s">
        <v>63</v>
      </c>
      <c r="S351" s="12" t="str">
        <f t="shared" si="147"/>
        <v>-</v>
      </c>
      <c r="T351" s="12" t="str">
        <f t="shared" si="137"/>
        <v>-</v>
      </c>
      <c r="U351" s="12"/>
      <c r="V351" s="12"/>
      <c r="W351" s="62">
        <f t="shared" si="144"/>
        <v>10</v>
      </c>
      <c r="X351" s="28">
        <v>0</v>
      </c>
      <c r="Y351" s="12" t="str">
        <f t="shared" si="148"/>
        <v>-</v>
      </c>
      <c r="Z351" s="12">
        <f t="shared" si="138"/>
        <v>10</v>
      </c>
      <c r="AA351" s="12"/>
      <c r="AB351" s="64"/>
      <c r="AC351" s="62">
        <f t="shared" si="145"/>
        <v>0</v>
      </c>
      <c r="AD351" s="28" t="s">
        <v>68</v>
      </c>
      <c r="AE351" s="12" t="str">
        <f t="shared" si="149"/>
        <v>-</v>
      </c>
      <c r="AF351" s="12" t="str">
        <f t="shared" si="139"/>
        <v>-</v>
      </c>
      <c r="AG351" s="12"/>
      <c r="AH351" s="17"/>
      <c r="AI351" s="17"/>
      <c r="AJ351" s="2">
        <f t="shared" si="132"/>
        <v>0</v>
      </c>
      <c r="AK351" s="2">
        <f t="shared" si="133"/>
        <v>0</v>
      </c>
      <c r="AL351" s="2">
        <f t="shared" si="134"/>
        <v>0</v>
      </c>
      <c r="AM351" s="2">
        <f t="shared" si="135"/>
        <v>11</v>
      </c>
    </row>
    <row r="352" spans="1:39" outlineLevel="1" x14ac:dyDescent="0.25">
      <c r="A352" t="s">
        <v>35</v>
      </c>
      <c r="B352" s="7" t="str">
        <f t="shared" si="127"/>
        <v xml:space="preserve"> (x)</v>
      </c>
      <c r="C352" s="3">
        <v>3643</v>
      </c>
      <c r="I352" s="45" t="str">
        <f t="shared" si="140"/>
        <v/>
      </c>
      <c r="J352" s="46" t="str">
        <f t="shared" si="141"/>
        <v/>
      </c>
      <c r="K352" s="62">
        <f t="shared" si="142"/>
        <v>0</v>
      </c>
      <c r="L352" s="28" t="s">
        <v>63</v>
      </c>
      <c r="M352" s="12" t="str">
        <f t="shared" si="146"/>
        <v>-</v>
      </c>
      <c r="N352" s="12" t="str">
        <f t="shared" si="136"/>
        <v>-</v>
      </c>
      <c r="O352" s="12"/>
      <c r="Q352" s="62">
        <f t="shared" si="143"/>
        <v>0</v>
      </c>
      <c r="R352" s="28" t="s">
        <v>63</v>
      </c>
      <c r="S352" s="12" t="str">
        <f t="shared" si="147"/>
        <v>-</v>
      </c>
      <c r="T352" s="12" t="str">
        <f t="shared" si="137"/>
        <v>-</v>
      </c>
      <c r="U352" s="12"/>
      <c r="V352" s="12"/>
      <c r="W352" s="62">
        <f t="shared" si="144"/>
        <v>10</v>
      </c>
      <c r="X352" s="28">
        <v>0</v>
      </c>
      <c r="Y352" s="12" t="str">
        <f t="shared" si="148"/>
        <v>-</v>
      </c>
      <c r="Z352" s="12">
        <f t="shared" si="138"/>
        <v>10</v>
      </c>
      <c r="AA352" s="12"/>
      <c r="AB352" s="64"/>
      <c r="AC352" s="62">
        <f t="shared" si="145"/>
        <v>0</v>
      </c>
      <c r="AD352" s="28" t="s">
        <v>68</v>
      </c>
      <c r="AE352" s="12" t="str">
        <f t="shared" si="149"/>
        <v>-</v>
      </c>
      <c r="AF352" s="12" t="str">
        <f t="shared" si="139"/>
        <v>-</v>
      </c>
      <c r="AG352" s="12"/>
      <c r="AH352" s="17"/>
      <c r="AI352" s="17"/>
      <c r="AJ352" s="2">
        <f t="shared" si="132"/>
        <v>0</v>
      </c>
      <c r="AK352" s="2">
        <f t="shared" si="133"/>
        <v>0</v>
      </c>
      <c r="AL352" s="2">
        <f t="shared" si="134"/>
        <v>0</v>
      </c>
      <c r="AM352" s="2">
        <f t="shared" si="135"/>
        <v>11</v>
      </c>
    </row>
    <row r="353" spans="1:40" outlineLevel="1" x14ac:dyDescent="0.25">
      <c r="A353" t="s">
        <v>35</v>
      </c>
      <c r="B353" s="7" t="str">
        <f t="shared" ref="B353:B417" si="150">IF(OR(E353="-",F353="-"),"-",D353&amp;" ("&amp;E353&amp;"x"&amp;F353&amp;")")</f>
        <v xml:space="preserve"> (x)</v>
      </c>
      <c r="C353" s="3">
        <v>3644</v>
      </c>
      <c r="I353" s="45" t="str">
        <f t="shared" si="140"/>
        <v/>
      </c>
      <c r="J353" s="46" t="str">
        <f t="shared" si="141"/>
        <v/>
      </c>
      <c r="K353" s="62">
        <f t="shared" si="142"/>
        <v>0</v>
      </c>
      <c r="L353" s="28" t="s">
        <v>63</v>
      </c>
      <c r="M353" s="12" t="str">
        <f t="shared" si="146"/>
        <v>-</v>
      </c>
      <c r="N353" s="12" t="str">
        <f t="shared" si="136"/>
        <v>-</v>
      </c>
      <c r="O353" s="12"/>
      <c r="Q353" s="62">
        <f t="shared" si="143"/>
        <v>0</v>
      </c>
      <c r="R353" s="28" t="s">
        <v>63</v>
      </c>
      <c r="S353" s="12" t="str">
        <f t="shared" si="147"/>
        <v>-</v>
      </c>
      <c r="T353" s="12" t="str">
        <f t="shared" si="137"/>
        <v>-</v>
      </c>
      <c r="U353" s="12"/>
      <c r="V353" s="12"/>
      <c r="W353" s="62">
        <f t="shared" si="144"/>
        <v>10</v>
      </c>
      <c r="X353" s="28">
        <v>0</v>
      </c>
      <c r="Y353" s="12" t="str">
        <f t="shared" si="148"/>
        <v>-</v>
      </c>
      <c r="Z353" s="12">
        <f t="shared" si="138"/>
        <v>10</v>
      </c>
      <c r="AA353" s="12"/>
      <c r="AB353" s="64"/>
      <c r="AC353" s="62">
        <f t="shared" si="145"/>
        <v>0</v>
      </c>
      <c r="AD353" s="28" t="s">
        <v>68</v>
      </c>
      <c r="AE353" s="12" t="str">
        <f t="shared" si="149"/>
        <v>-</v>
      </c>
      <c r="AF353" s="12" t="str">
        <f t="shared" si="139"/>
        <v>-</v>
      </c>
      <c r="AG353" s="12"/>
      <c r="AH353" s="17"/>
      <c r="AI353" s="17"/>
      <c r="AJ353" s="2">
        <f t="shared" si="132"/>
        <v>0</v>
      </c>
      <c r="AK353" s="2">
        <f t="shared" si="133"/>
        <v>0</v>
      </c>
      <c r="AL353" s="2">
        <f t="shared" si="134"/>
        <v>0</v>
      </c>
      <c r="AM353" s="2">
        <f t="shared" si="135"/>
        <v>11</v>
      </c>
    </row>
    <row r="354" spans="1:40" outlineLevel="1" x14ac:dyDescent="0.25">
      <c r="A354" t="s">
        <v>35</v>
      </c>
      <c r="B354" s="7" t="str">
        <f t="shared" si="150"/>
        <v xml:space="preserve"> (x)</v>
      </c>
      <c r="C354" s="3">
        <v>3645</v>
      </c>
      <c r="I354" s="45" t="str">
        <f t="shared" si="140"/>
        <v/>
      </c>
      <c r="J354" s="46" t="str">
        <f t="shared" si="141"/>
        <v/>
      </c>
      <c r="K354" s="62">
        <f t="shared" si="142"/>
        <v>0</v>
      </c>
      <c r="L354" s="28" t="s">
        <v>63</v>
      </c>
      <c r="M354" s="12" t="str">
        <f t="shared" si="146"/>
        <v>-</v>
      </c>
      <c r="N354" s="12" t="str">
        <f t="shared" si="136"/>
        <v>-</v>
      </c>
      <c r="O354" s="12"/>
      <c r="Q354" s="62">
        <f t="shared" si="143"/>
        <v>0</v>
      </c>
      <c r="R354" s="28" t="s">
        <v>63</v>
      </c>
      <c r="S354" s="12" t="str">
        <f t="shared" si="147"/>
        <v>-</v>
      </c>
      <c r="T354" s="12" t="str">
        <f t="shared" si="137"/>
        <v>-</v>
      </c>
      <c r="U354" s="12"/>
      <c r="V354" s="12"/>
      <c r="W354" s="62">
        <f t="shared" si="144"/>
        <v>10</v>
      </c>
      <c r="X354" s="28">
        <v>0</v>
      </c>
      <c r="Y354" s="12" t="str">
        <f t="shared" si="148"/>
        <v>-</v>
      </c>
      <c r="Z354" s="12">
        <f t="shared" si="138"/>
        <v>10</v>
      </c>
      <c r="AA354" s="12"/>
      <c r="AB354" s="64"/>
      <c r="AC354" s="62">
        <f t="shared" si="145"/>
        <v>0</v>
      </c>
      <c r="AD354" s="28" t="s">
        <v>68</v>
      </c>
      <c r="AE354" s="12" t="str">
        <f t="shared" si="149"/>
        <v>-</v>
      </c>
      <c r="AF354" s="12" t="str">
        <f t="shared" si="139"/>
        <v>-</v>
      </c>
      <c r="AG354" s="12"/>
      <c r="AH354" s="17"/>
      <c r="AI354" s="17"/>
      <c r="AJ354" s="2">
        <f t="shared" si="132"/>
        <v>0</v>
      </c>
      <c r="AK354" s="2">
        <f t="shared" si="133"/>
        <v>0</v>
      </c>
      <c r="AL354" s="2">
        <f t="shared" si="134"/>
        <v>0</v>
      </c>
      <c r="AM354" s="2">
        <f t="shared" si="135"/>
        <v>11</v>
      </c>
    </row>
    <row r="355" spans="1:40" outlineLevel="1" x14ac:dyDescent="0.25">
      <c r="A355" t="s">
        <v>35</v>
      </c>
      <c r="B355" s="7" t="str">
        <f t="shared" si="150"/>
        <v xml:space="preserve"> (x)</v>
      </c>
      <c r="C355" s="3">
        <v>3646</v>
      </c>
      <c r="I355" s="45" t="str">
        <f t="shared" si="140"/>
        <v/>
      </c>
      <c r="J355" s="46" t="str">
        <f t="shared" si="141"/>
        <v/>
      </c>
      <c r="K355" s="62">
        <f t="shared" si="142"/>
        <v>0</v>
      </c>
      <c r="L355" s="28" t="s">
        <v>63</v>
      </c>
      <c r="M355" s="12" t="str">
        <f t="shared" si="146"/>
        <v>-</v>
      </c>
      <c r="N355" s="12" t="str">
        <f t="shared" si="136"/>
        <v>-</v>
      </c>
      <c r="O355" s="12"/>
      <c r="Q355" s="62">
        <f t="shared" si="143"/>
        <v>0</v>
      </c>
      <c r="R355" s="28" t="s">
        <v>63</v>
      </c>
      <c r="S355" s="12" t="str">
        <f t="shared" si="147"/>
        <v>-</v>
      </c>
      <c r="T355" s="12" t="str">
        <f t="shared" si="137"/>
        <v>-</v>
      </c>
      <c r="U355" s="12"/>
      <c r="V355" s="12"/>
      <c r="W355" s="62">
        <f t="shared" si="144"/>
        <v>10</v>
      </c>
      <c r="X355" s="28">
        <v>0</v>
      </c>
      <c r="Y355" s="12" t="str">
        <f t="shared" si="148"/>
        <v>-</v>
      </c>
      <c r="Z355" s="12">
        <f t="shared" si="138"/>
        <v>10</v>
      </c>
      <c r="AA355" s="12"/>
      <c r="AB355" s="64"/>
      <c r="AC355" s="62">
        <f t="shared" si="145"/>
        <v>0</v>
      </c>
      <c r="AD355" s="28" t="s">
        <v>68</v>
      </c>
      <c r="AE355" s="12" t="str">
        <f t="shared" si="149"/>
        <v>-</v>
      </c>
      <c r="AF355" s="12" t="str">
        <f t="shared" si="139"/>
        <v>-</v>
      </c>
      <c r="AG355" s="12"/>
      <c r="AH355" s="17"/>
      <c r="AI355" s="17"/>
      <c r="AJ355" s="2">
        <f t="shared" si="132"/>
        <v>0</v>
      </c>
      <c r="AK355" s="2">
        <f t="shared" si="133"/>
        <v>0</v>
      </c>
      <c r="AL355" s="2">
        <f t="shared" si="134"/>
        <v>0</v>
      </c>
      <c r="AM355" s="2">
        <f t="shared" si="135"/>
        <v>11</v>
      </c>
    </row>
    <row r="356" spans="1:40" outlineLevel="1" x14ac:dyDescent="0.25">
      <c r="A356" t="s">
        <v>35</v>
      </c>
      <c r="B356" s="7" t="str">
        <f t="shared" si="150"/>
        <v xml:space="preserve"> (x)</v>
      </c>
      <c r="C356" s="3">
        <v>3647</v>
      </c>
      <c r="I356" s="45" t="str">
        <f t="shared" si="140"/>
        <v/>
      </c>
      <c r="J356" s="46" t="str">
        <f t="shared" si="141"/>
        <v/>
      </c>
      <c r="K356" s="62">
        <f t="shared" si="142"/>
        <v>0</v>
      </c>
      <c r="L356" s="28" t="s">
        <v>63</v>
      </c>
      <c r="M356" s="12" t="str">
        <f t="shared" si="146"/>
        <v>-</v>
      </c>
      <c r="N356" s="12" t="str">
        <f t="shared" si="136"/>
        <v>-</v>
      </c>
      <c r="O356" s="12"/>
      <c r="Q356" s="62">
        <f t="shared" si="143"/>
        <v>0</v>
      </c>
      <c r="R356" s="28" t="s">
        <v>63</v>
      </c>
      <c r="S356" s="12" t="str">
        <f t="shared" si="147"/>
        <v>-</v>
      </c>
      <c r="T356" s="12" t="str">
        <f t="shared" si="137"/>
        <v>-</v>
      </c>
      <c r="U356" s="12"/>
      <c r="V356" s="12"/>
      <c r="W356" s="62">
        <f t="shared" si="144"/>
        <v>10</v>
      </c>
      <c r="X356" s="28">
        <v>0</v>
      </c>
      <c r="Y356" s="12" t="str">
        <f t="shared" si="148"/>
        <v>-</v>
      </c>
      <c r="Z356" s="12">
        <f t="shared" si="138"/>
        <v>10</v>
      </c>
      <c r="AA356" s="12"/>
      <c r="AB356" s="64"/>
      <c r="AC356" s="62">
        <f t="shared" si="145"/>
        <v>0</v>
      </c>
      <c r="AD356" s="28" t="s">
        <v>68</v>
      </c>
      <c r="AE356" s="12" t="str">
        <f t="shared" si="149"/>
        <v>-</v>
      </c>
      <c r="AF356" s="12" t="str">
        <f t="shared" si="139"/>
        <v>-</v>
      </c>
      <c r="AG356" s="12"/>
      <c r="AH356" s="17"/>
      <c r="AI356" s="17"/>
      <c r="AJ356" s="2">
        <f t="shared" si="132"/>
        <v>0</v>
      </c>
      <c r="AK356" s="2">
        <f t="shared" si="133"/>
        <v>0</v>
      </c>
      <c r="AL356" s="2">
        <f t="shared" si="134"/>
        <v>0</v>
      </c>
      <c r="AM356" s="2">
        <f t="shared" si="135"/>
        <v>11</v>
      </c>
    </row>
    <row r="357" spans="1:40" outlineLevel="1" x14ac:dyDescent="0.25">
      <c r="A357" t="s">
        <v>35</v>
      </c>
      <c r="B357" s="7" t="str">
        <f t="shared" si="150"/>
        <v xml:space="preserve"> (x)</v>
      </c>
      <c r="C357" s="3">
        <v>3648</v>
      </c>
      <c r="I357" s="45" t="str">
        <f t="shared" si="140"/>
        <v/>
      </c>
      <c r="J357" s="46" t="str">
        <f t="shared" si="141"/>
        <v/>
      </c>
      <c r="K357" s="62">
        <f t="shared" si="142"/>
        <v>0</v>
      </c>
      <c r="L357" s="28" t="s">
        <v>63</v>
      </c>
      <c r="M357" s="12" t="str">
        <f t="shared" si="146"/>
        <v>-</v>
      </c>
      <c r="N357" s="12" t="str">
        <f t="shared" si="136"/>
        <v>-</v>
      </c>
      <c r="O357" s="12"/>
      <c r="Q357" s="62">
        <f t="shared" si="143"/>
        <v>0</v>
      </c>
      <c r="R357" s="28" t="s">
        <v>63</v>
      </c>
      <c r="S357" s="12" t="str">
        <f t="shared" si="147"/>
        <v>-</v>
      </c>
      <c r="T357" s="12" t="str">
        <f t="shared" si="137"/>
        <v>-</v>
      </c>
      <c r="U357" s="12"/>
      <c r="V357" s="12"/>
      <c r="W357" s="62">
        <f t="shared" si="144"/>
        <v>10</v>
      </c>
      <c r="X357" s="28">
        <v>0</v>
      </c>
      <c r="Y357" s="12" t="str">
        <f t="shared" si="148"/>
        <v>-</v>
      </c>
      <c r="Z357" s="12">
        <f t="shared" si="138"/>
        <v>10</v>
      </c>
      <c r="AA357" s="12"/>
      <c r="AB357" s="64"/>
      <c r="AC357" s="62">
        <f t="shared" si="145"/>
        <v>0</v>
      </c>
      <c r="AD357" s="28" t="s">
        <v>68</v>
      </c>
      <c r="AE357" s="12" t="str">
        <f t="shared" si="149"/>
        <v>-</v>
      </c>
      <c r="AF357" s="12" t="str">
        <f t="shared" si="139"/>
        <v>-</v>
      </c>
      <c r="AG357" s="12"/>
      <c r="AH357" s="17"/>
      <c r="AI357" s="17"/>
      <c r="AJ357" s="2">
        <f t="shared" si="132"/>
        <v>0</v>
      </c>
      <c r="AK357" s="2">
        <f t="shared" si="133"/>
        <v>0</v>
      </c>
      <c r="AL357" s="2">
        <f t="shared" si="134"/>
        <v>0</v>
      </c>
      <c r="AM357" s="2">
        <f t="shared" si="135"/>
        <v>11</v>
      </c>
    </row>
    <row r="358" spans="1:40" outlineLevel="1" x14ac:dyDescent="0.25">
      <c r="A358" t="s">
        <v>35</v>
      </c>
      <c r="B358" s="7" t="str">
        <f t="shared" si="150"/>
        <v xml:space="preserve"> (x)</v>
      </c>
      <c r="C358" s="3">
        <v>3649</v>
      </c>
      <c r="I358" s="45" t="str">
        <f t="shared" si="140"/>
        <v/>
      </c>
      <c r="J358" s="46" t="str">
        <f t="shared" si="141"/>
        <v/>
      </c>
      <c r="K358" s="62">
        <f t="shared" si="142"/>
        <v>0</v>
      </c>
      <c r="L358" s="28" t="s">
        <v>63</v>
      </c>
      <c r="M358" s="12" t="str">
        <f t="shared" si="146"/>
        <v>-</v>
      </c>
      <c r="N358" s="12" t="str">
        <f t="shared" si="136"/>
        <v>-</v>
      </c>
      <c r="O358" s="12"/>
      <c r="Q358" s="62">
        <f t="shared" si="143"/>
        <v>0</v>
      </c>
      <c r="R358" s="28" t="s">
        <v>63</v>
      </c>
      <c r="S358" s="12" t="str">
        <f t="shared" si="147"/>
        <v>-</v>
      </c>
      <c r="T358" s="12" t="str">
        <f t="shared" si="137"/>
        <v>-</v>
      </c>
      <c r="U358" s="12"/>
      <c r="V358" s="12"/>
      <c r="W358" s="62">
        <f t="shared" si="144"/>
        <v>10</v>
      </c>
      <c r="X358" s="28">
        <v>0</v>
      </c>
      <c r="Y358" s="12" t="str">
        <f t="shared" si="148"/>
        <v>-</v>
      </c>
      <c r="Z358" s="12">
        <f t="shared" si="138"/>
        <v>10</v>
      </c>
      <c r="AA358" s="12"/>
      <c r="AB358" s="64"/>
      <c r="AC358" s="62">
        <f t="shared" si="145"/>
        <v>0</v>
      </c>
      <c r="AD358" s="28" t="s">
        <v>68</v>
      </c>
      <c r="AE358" s="12" t="str">
        <f t="shared" si="149"/>
        <v>-</v>
      </c>
      <c r="AF358" s="12" t="str">
        <f t="shared" si="139"/>
        <v>-</v>
      </c>
      <c r="AG358" s="12"/>
      <c r="AH358" s="17"/>
      <c r="AI358" s="17"/>
      <c r="AJ358" s="2">
        <f t="shared" si="132"/>
        <v>0</v>
      </c>
      <c r="AK358" s="2">
        <f t="shared" si="133"/>
        <v>0</v>
      </c>
      <c r="AL358" s="2">
        <f t="shared" si="134"/>
        <v>0</v>
      </c>
      <c r="AM358" s="2">
        <f t="shared" si="135"/>
        <v>11</v>
      </c>
    </row>
    <row r="359" spans="1:40" outlineLevel="1" x14ac:dyDescent="0.25">
      <c r="A359" t="s">
        <v>35</v>
      </c>
      <c r="B359" s="7" t="str">
        <f t="shared" si="150"/>
        <v xml:space="preserve"> (x)</v>
      </c>
      <c r="C359" s="3">
        <v>3650</v>
      </c>
      <c r="I359" s="45" t="str">
        <f t="shared" si="140"/>
        <v/>
      </c>
      <c r="J359" s="46" t="str">
        <f t="shared" si="141"/>
        <v/>
      </c>
      <c r="K359" s="62">
        <f t="shared" si="142"/>
        <v>0</v>
      </c>
      <c r="L359" s="28" t="s">
        <v>63</v>
      </c>
      <c r="M359" s="12" t="str">
        <f t="shared" si="146"/>
        <v>-</v>
      </c>
      <c r="N359" s="12" t="str">
        <f t="shared" si="136"/>
        <v>-</v>
      </c>
      <c r="O359" s="12"/>
      <c r="Q359" s="62">
        <f t="shared" si="143"/>
        <v>0</v>
      </c>
      <c r="R359" s="28" t="s">
        <v>63</v>
      </c>
      <c r="S359" s="12" t="str">
        <f t="shared" si="147"/>
        <v>-</v>
      </c>
      <c r="T359" s="12" t="str">
        <f t="shared" si="137"/>
        <v>-</v>
      </c>
      <c r="U359" s="12"/>
      <c r="V359" s="12"/>
      <c r="W359" s="62">
        <f t="shared" si="144"/>
        <v>10</v>
      </c>
      <c r="X359" s="28">
        <v>0</v>
      </c>
      <c r="Y359" s="12" t="str">
        <f t="shared" si="148"/>
        <v>-</v>
      </c>
      <c r="Z359" s="12">
        <f t="shared" si="138"/>
        <v>10</v>
      </c>
      <c r="AA359" s="12"/>
      <c r="AB359" s="64"/>
      <c r="AC359" s="62">
        <f t="shared" si="145"/>
        <v>0</v>
      </c>
      <c r="AD359" s="28" t="s">
        <v>68</v>
      </c>
      <c r="AE359" s="12" t="str">
        <f t="shared" si="149"/>
        <v>-</v>
      </c>
      <c r="AF359" s="12" t="str">
        <f t="shared" si="139"/>
        <v>-</v>
      </c>
      <c r="AG359" s="12"/>
      <c r="AH359" s="17"/>
      <c r="AI359" s="17"/>
      <c r="AJ359" s="2">
        <f t="shared" si="132"/>
        <v>0</v>
      </c>
      <c r="AK359" s="2">
        <f t="shared" si="133"/>
        <v>0</v>
      </c>
      <c r="AL359" s="2">
        <f t="shared" si="134"/>
        <v>0</v>
      </c>
      <c r="AM359" s="2">
        <f t="shared" si="135"/>
        <v>11</v>
      </c>
    </row>
    <row r="360" spans="1:40" s="14" customFormat="1" x14ac:dyDescent="0.25">
      <c r="A360" s="32"/>
      <c r="B360" s="5" t="s">
        <v>44</v>
      </c>
      <c r="C360" s="5"/>
      <c r="D360" s="5"/>
      <c r="E360" s="5"/>
      <c r="F360" s="5"/>
      <c r="G360" s="5"/>
      <c r="H360" s="5"/>
      <c r="I360" s="44" t="str">
        <f t="shared" si="140"/>
        <v/>
      </c>
      <c r="J360" s="44" t="str">
        <f t="shared" si="141"/>
        <v/>
      </c>
      <c r="K360" s="62">
        <f t="shared" si="142"/>
        <v>0</v>
      </c>
      <c r="L360" s="11" t="s">
        <v>63</v>
      </c>
      <c r="M360" s="15">
        <f>AVERAGE(M361:M386)</f>
        <v>0.498212915629686</v>
      </c>
      <c r="N360" s="15" t="str">
        <f t="shared" si="136"/>
        <v>-</v>
      </c>
      <c r="O360" s="15"/>
      <c r="P360" s="17"/>
      <c r="Q360" s="62">
        <f t="shared" si="143"/>
        <v>0</v>
      </c>
      <c r="R360" s="11" t="s">
        <v>63</v>
      </c>
      <c r="S360" s="15">
        <f>AVERAGE(S361:S386)</f>
        <v>0.50726592790331659</v>
      </c>
      <c r="T360" s="15" t="str">
        <f t="shared" si="137"/>
        <v>-</v>
      </c>
      <c r="U360" s="15"/>
      <c r="V360" s="15"/>
      <c r="W360" s="62">
        <f t="shared" si="144"/>
        <v>10</v>
      </c>
      <c r="X360" s="11">
        <v>0</v>
      </c>
      <c r="Y360" s="15">
        <f>AVERAGE(Y361:Y386)</f>
        <v>0.44184308983895076</v>
      </c>
      <c r="Z360" s="15">
        <f t="shared" si="138"/>
        <v>10</v>
      </c>
      <c r="AA360" s="15"/>
      <c r="AB360" s="64"/>
      <c r="AC360" s="62">
        <f t="shared" si="145"/>
        <v>0</v>
      </c>
      <c r="AD360" s="11" t="s">
        <v>68</v>
      </c>
      <c r="AE360" s="15">
        <f>AVERAGE(AE361:AE386)</f>
        <v>0.41364760416199869</v>
      </c>
      <c r="AF360" s="15" t="str">
        <f t="shared" si="139"/>
        <v>-</v>
      </c>
      <c r="AG360" s="15"/>
      <c r="AH360" s="17"/>
      <c r="AI360" s="63"/>
      <c r="AJ360" s="4">
        <f t="shared" si="132"/>
        <v>0</v>
      </c>
      <c r="AK360" s="4">
        <f t="shared" si="133"/>
        <v>0</v>
      </c>
      <c r="AL360" s="4">
        <f t="shared" si="134"/>
        <v>0</v>
      </c>
      <c r="AM360" s="4">
        <f t="shared" si="135"/>
        <v>11</v>
      </c>
      <c r="AN360" s="32"/>
    </row>
    <row r="361" spans="1:40" outlineLevel="1" x14ac:dyDescent="0.25">
      <c r="A361" t="s">
        <v>33</v>
      </c>
      <c r="B361" s="7" t="str">
        <f t="shared" si="150"/>
        <v>Fachboden klein (360x360)</v>
      </c>
      <c r="C361" s="8">
        <v>3700</v>
      </c>
      <c r="D361" s="6" t="s">
        <v>44</v>
      </c>
      <c r="E361">
        <v>360</v>
      </c>
      <c r="F361">
        <v>360</v>
      </c>
      <c r="I361" s="45">
        <f t="shared" si="140"/>
        <v>0.12959999999999999</v>
      </c>
      <c r="J361" s="46">
        <f t="shared" si="141"/>
        <v>1.44</v>
      </c>
      <c r="K361" s="62">
        <f t="shared" si="142"/>
        <v>34</v>
      </c>
      <c r="L361" s="28">
        <v>18</v>
      </c>
      <c r="M361" s="13">
        <f t="shared" ref="M361:M386" si="151">IFERROR(K361/L361-1,"-")</f>
        <v>0.88888888888888884</v>
      </c>
      <c r="N361" s="12">
        <f t="shared" si="136"/>
        <v>16</v>
      </c>
      <c r="O361" s="30" t="s">
        <v>72</v>
      </c>
      <c r="Q361" s="62">
        <f t="shared" si="143"/>
        <v>114</v>
      </c>
      <c r="R361" s="28">
        <v>70</v>
      </c>
      <c r="S361" s="13">
        <f t="shared" ref="S361:S386" si="152">IFERROR(Q361/R361-1,"-")</f>
        <v>0.62857142857142856</v>
      </c>
      <c r="T361" s="12">
        <f t="shared" si="137"/>
        <v>44</v>
      </c>
      <c r="U361" s="30" t="s">
        <v>72</v>
      </c>
      <c r="V361" s="30"/>
      <c r="W361" s="62">
        <f t="shared" si="144"/>
        <v>89</v>
      </c>
      <c r="X361" s="28">
        <v>59</v>
      </c>
      <c r="Y361" s="13">
        <f t="shared" ref="Y361:Y386" si="153">IFERROR(W361/X361-1,"-")</f>
        <v>0.50847457627118642</v>
      </c>
      <c r="Z361" s="12">
        <f t="shared" si="138"/>
        <v>30</v>
      </c>
      <c r="AA361" s="30" t="s">
        <v>72</v>
      </c>
      <c r="AB361" s="64"/>
      <c r="AC361" s="62">
        <f t="shared" si="145"/>
        <v>177</v>
      </c>
      <c r="AD361" s="28">
        <v>124</v>
      </c>
      <c r="AE361" s="13">
        <f t="shared" ref="AE361:AE386" si="154">IFERROR(AC361/AD361-1,"-")</f>
        <v>0.42741935483870974</v>
      </c>
      <c r="AF361" s="12">
        <f t="shared" si="139"/>
        <v>53</v>
      </c>
      <c r="AG361" s="30" t="s">
        <v>72</v>
      </c>
      <c r="AH361" s="17"/>
      <c r="AI361" s="16"/>
      <c r="AJ361" s="2">
        <f t="shared" si="132"/>
        <v>37</v>
      </c>
      <c r="AK361" s="2">
        <f t="shared" si="133"/>
        <v>125</v>
      </c>
      <c r="AL361" s="2">
        <f t="shared" si="134"/>
        <v>195</v>
      </c>
      <c r="AM361" s="2">
        <f t="shared" si="135"/>
        <v>98</v>
      </c>
    </row>
    <row r="362" spans="1:40" outlineLevel="1" x14ac:dyDescent="0.25">
      <c r="A362" t="s">
        <v>33</v>
      </c>
      <c r="B362" s="7" t="str">
        <f t="shared" si="150"/>
        <v>Fachboden klein (420x360)</v>
      </c>
      <c r="C362">
        <v>3701</v>
      </c>
      <c r="D362" s="6" t="s">
        <v>44</v>
      </c>
      <c r="E362">
        <v>420</v>
      </c>
      <c r="F362">
        <v>360</v>
      </c>
      <c r="I362" s="45">
        <f t="shared" si="140"/>
        <v>0.1512</v>
      </c>
      <c r="J362" s="46">
        <f t="shared" si="141"/>
        <v>1.56</v>
      </c>
      <c r="K362" s="62">
        <f t="shared" si="142"/>
        <v>34</v>
      </c>
      <c r="L362" s="28">
        <v>21</v>
      </c>
      <c r="M362" s="13">
        <f t="shared" si="151"/>
        <v>0.61904761904761907</v>
      </c>
      <c r="N362" s="12">
        <f t="shared" si="136"/>
        <v>13</v>
      </c>
      <c r="O362" s="30" t="s">
        <v>72</v>
      </c>
      <c r="Q362" s="62">
        <f t="shared" si="143"/>
        <v>121</v>
      </c>
      <c r="R362" s="28">
        <v>75</v>
      </c>
      <c r="S362" s="13">
        <f t="shared" si="152"/>
        <v>0.61333333333333329</v>
      </c>
      <c r="T362" s="12">
        <f t="shared" si="137"/>
        <v>46</v>
      </c>
      <c r="U362" s="30" t="s">
        <v>72</v>
      </c>
      <c r="V362" s="30"/>
      <c r="W362" s="62">
        <f t="shared" si="144"/>
        <v>92</v>
      </c>
      <c r="X362" s="28">
        <v>61</v>
      </c>
      <c r="Y362" s="13">
        <f t="shared" si="153"/>
        <v>0.50819672131147531</v>
      </c>
      <c r="Z362" s="12">
        <f t="shared" si="138"/>
        <v>31</v>
      </c>
      <c r="AA362" s="30" t="s">
        <v>72</v>
      </c>
      <c r="AB362" s="64"/>
      <c r="AC362" s="62">
        <f t="shared" si="145"/>
        <v>178</v>
      </c>
      <c r="AD362" s="28">
        <v>125</v>
      </c>
      <c r="AE362" s="13">
        <f t="shared" si="154"/>
        <v>0.42399999999999993</v>
      </c>
      <c r="AF362" s="12">
        <f t="shared" si="139"/>
        <v>53</v>
      </c>
      <c r="AG362" s="30" t="s">
        <v>72</v>
      </c>
      <c r="AH362" s="17"/>
      <c r="AI362" s="16"/>
      <c r="AJ362" s="2">
        <f t="shared" si="132"/>
        <v>37</v>
      </c>
      <c r="AK362" s="2">
        <f t="shared" si="133"/>
        <v>133</v>
      </c>
      <c r="AL362" s="2">
        <f t="shared" si="134"/>
        <v>196</v>
      </c>
      <c r="AM362" s="2">
        <f t="shared" si="135"/>
        <v>101</v>
      </c>
    </row>
    <row r="363" spans="1:40" outlineLevel="1" x14ac:dyDescent="0.25">
      <c r="A363" t="s">
        <v>33</v>
      </c>
      <c r="B363" s="7" t="str">
        <f t="shared" si="150"/>
        <v>Fachboden klein (580x360)</v>
      </c>
      <c r="C363">
        <v>3702</v>
      </c>
      <c r="D363" s="6" t="s">
        <v>44</v>
      </c>
      <c r="E363">
        <v>580</v>
      </c>
      <c r="F363">
        <v>360</v>
      </c>
      <c r="I363" s="45">
        <f t="shared" si="140"/>
        <v>0.20879999999999999</v>
      </c>
      <c r="J363" s="46">
        <f t="shared" si="141"/>
        <v>1.88</v>
      </c>
      <c r="K363" s="62">
        <f t="shared" si="142"/>
        <v>43</v>
      </c>
      <c r="L363" s="28">
        <v>28</v>
      </c>
      <c r="M363" s="13">
        <f t="shared" si="151"/>
        <v>0.53571428571428581</v>
      </c>
      <c r="N363" s="12">
        <f t="shared" si="136"/>
        <v>15</v>
      </c>
      <c r="O363" s="30" t="s">
        <v>72</v>
      </c>
      <c r="Q363" s="62">
        <f t="shared" si="143"/>
        <v>161</v>
      </c>
      <c r="R363" s="28">
        <v>105</v>
      </c>
      <c r="S363" s="13">
        <f t="shared" si="152"/>
        <v>0.53333333333333344</v>
      </c>
      <c r="T363" s="12">
        <f t="shared" si="137"/>
        <v>56</v>
      </c>
      <c r="U363" s="30" t="s">
        <v>72</v>
      </c>
      <c r="V363" s="30"/>
      <c r="W363" s="62">
        <f t="shared" si="144"/>
        <v>130</v>
      </c>
      <c r="X363" s="28">
        <v>89</v>
      </c>
      <c r="Y363" s="13">
        <f t="shared" si="153"/>
        <v>0.4606741573033708</v>
      </c>
      <c r="Z363" s="12">
        <f t="shared" si="138"/>
        <v>41</v>
      </c>
      <c r="AA363" s="30" t="s">
        <v>72</v>
      </c>
      <c r="AB363" s="64"/>
      <c r="AC363" s="62">
        <f t="shared" si="145"/>
        <v>185</v>
      </c>
      <c r="AD363" s="28">
        <v>130</v>
      </c>
      <c r="AE363" s="13">
        <f t="shared" si="154"/>
        <v>0.42307692307692313</v>
      </c>
      <c r="AF363" s="12">
        <f t="shared" si="139"/>
        <v>55</v>
      </c>
      <c r="AG363" s="30" t="s">
        <v>72</v>
      </c>
      <c r="AH363" s="17"/>
      <c r="AI363" s="16"/>
      <c r="AJ363" s="2">
        <f t="shared" si="132"/>
        <v>47</v>
      </c>
      <c r="AK363" s="2">
        <f t="shared" si="133"/>
        <v>177</v>
      </c>
      <c r="AL363" s="2">
        <f t="shared" si="134"/>
        <v>204</v>
      </c>
      <c r="AM363" s="2">
        <f t="shared" si="135"/>
        <v>143</v>
      </c>
    </row>
    <row r="364" spans="1:40" outlineLevel="1" x14ac:dyDescent="0.25">
      <c r="A364" t="s">
        <v>33</v>
      </c>
      <c r="B364" s="7" t="str">
        <f t="shared" si="150"/>
        <v>Fachboden klein (780x360)</v>
      </c>
      <c r="C364">
        <v>3703</v>
      </c>
      <c r="D364" s="6" t="s">
        <v>44</v>
      </c>
      <c r="E364">
        <v>780</v>
      </c>
      <c r="F364">
        <v>360</v>
      </c>
      <c r="I364" s="45">
        <f t="shared" si="140"/>
        <v>0.28079999999999999</v>
      </c>
      <c r="J364" s="46">
        <f t="shared" si="141"/>
        <v>2.2800000000000002</v>
      </c>
      <c r="K364" s="62">
        <f t="shared" si="142"/>
        <v>56</v>
      </c>
      <c r="L364" s="28">
        <v>38</v>
      </c>
      <c r="M364" s="13">
        <f t="shared" si="151"/>
        <v>0.47368421052631571</v>
      </c>
      <c r="N364" s="12">
        <f t="shared" si="136"/>
        <v>18</v>
      </c>
      <c r="O364" s="30" t="s">
        <v>72</v>
      </c>
      <c r="Q364" s="62">
        <f t="shared" si="143"/>
        <v>185</v>
      </c>
      <c r="R364" s="28">
        <v>123</v>
      </c>
      <c r="S364" s="13">
        <f t="shared" si="152"/>
        <v>0.50406504065040658</v>
      </c>
      <c r="T364" s="12">
        <f t="shared" si="137"/>
        <v>62</v>
      </c>
      <c r="U364" s="30" t="s">
        <v>72</v>
      </c>
      <c r="V364" s="30"/>
      <c r="W364" s="62">
        <f t="shared" si="144"/>
        <v>144</v>
      </c>
      <c r="X364" s="28">
        <v>100</v>
      </c>
      <c r="Y364" s="13">
        <f t="shared" si="153"/>
        <v>0.43999999999999995</v>
      </c>
      <c r="Z364" s="12">
        <f t="shared" si="138"/>
        <v>44</v>
      </c>
      <c r="AA364" s="30" t="s">
        <v>72</v>
      </c>
      <c r="AB364" s="64"/>
      <c r="AC364" s="62">
        <f t="shared" si="145"/>
        <v>190</v>
      </c>
      <c r="AD364" s="28">
        <v>134</v>
      </c>
      <c r="AE364" s="13">
        <f t="shared" si="154"/>
        <v>0.41791044776119413</v>
      </c>
      <c r="AF364" s="12">
        <f t="shared" si="139"/>
        <v>56</v>
      </c>
      <c r="AG364" s="30" t="s">
        <v>72</v>
      </c>
      <c r="AH364" s="17"/>
      <c r="AI364" s="16"/>
      <c r="AJ364" s="2">
        <f t="shared" si="132"/>
        <v>62</v>
      </c>
      <c r="AK364" s="2">
        <f t="shared" si="133"/>
        <v>204</v>
      </c>
      <c r="AL364" s="2">
        <f t="shared" si="134"/>
        <v>209</v>
      </c>
      <c r="AM364" s="2">
        <f t="shared" si="135"/>
        <v>158</v>
      </c>
    </row>
    <row r="365" spans="1:40" outlineLevel="1" x14ac:dyDescent="0.25">
      <c r="A365" t="s">
        <v>33</v>
      </c>
      <c r="B365" s="7" t="str">
        <f t="shared" si="150"/>
        <v>Fachboden klein (980x360)</v>
      </c>
      <c r="C365">
        <v>3704</v>
      </c>
      <c r="D365" s="6" t="s">
        <v>44</v>
      </c>
      <c r="E365">
        <v>980</v>
      </c>
      <c r="F365">
        <v>360</v>
      </c>
      <c r="I365" s="45">
        <f t="shared" si="140"/>
        <v>0.3528</v>
      </c>
      <c r="J365" s="46">
        <f t="shared" si="141"/>
        <v>2.6799999999999997</v>
      </c>
      <c r="K365" s="62">
        <f t="shared" si="142"/>
        <v>70</v>
      </c>
      <c r="L365" s="28">
        <v>48</v>
      </c>
      <c r="M365" s="13">
        <f t="shared" si="151"/>
        <v>0.45833333333333326</v>
      </c>
      <c r="N365" s="12">
        <f t="shared" si="136"/>
        <v>22</v>
      </c>
      <c r="O365" s="30" t="s">
        <v>72</v>
      </c>
      <c r="Q365" s="62">
        <f t="shared" si="143"/>
        <v>223</v>
      </c>
      <c r="R365" s="28">
        <v>151</v>
      </c>
      <c r="S365" s="13">
        <f t="shared" si="152"/>
        <v>0.47682119205298013</v>
      </c>
      <c r="T365" s="12">
        <f t="shared" si="137"/>
        <v>72</v>
      </c>
      <c r="U365" s="30" t="s">
        <v>72</v>
      </c>
      <c r="V365" s="30"/>
      <c r="W365" s="62">
        <f t="shared" si="144"/>
        <v>174</v>
      </c>
      <c r="X365" s="28">
        <v>122</v>
      </c>
      <c r="Y365" s="13">
        <f t="shared" si="153"/>
        <v>0.42622950819672134</v>
      </c>
      <c r="Z365" s="12">
        <f t="shared" si="138"/>
        <v>52</v>
      </c>
      <c r="AA365" s="30" t="s">
        <v>72</v>
      </c>
      <c r="AB365" s="64"/>
      <c r="AC365" s="62">
        <f t="shared" si="145"/>
        <v>209</v>
      </c>
      <c r="AD365" s="28">
        <v>148</v>
      </c>
      <c r="AE365" s="13">
        <f t="shared" si="154"/>
        <v>0.41216216216216206</v>
      </c>
      <c r="AF365" s="12">
        <f t="shared" si="139"/>
        <v>61</v>
      </c>
      <c r="AG365" s="30" t="s">
        <v>72</v>
      </c>
      <c r="AH365" s="17"/>
      <c r="AI365" s="16"/>
      <c r="AJ365" s="2">
        <f t="shared" si="132"/>
        <v>77</v>
      </c>
      <c r="AK365" s="2">
        <f t="shared" si="133"/>
        <v>245</v>
      </c>
      <c r="AL365" s="2">
        <f t="shared" si="134"/>
        <v>230</v>
      </c>
      <c r="AM365" s="2">
        <f t="shared" si="135"/>
        <v>191</v>
      </c>
    </row>
    <row r="366" spans="1:40" outlineLevel="1" x14ac:dyDescent="0.25">
      <c r="A366" t="s">
        <v>33</v>
      </c>
      <c r="B366" s="7" t="str">
        <f t="shared" si="150"/>
        <v>Fachboden klein (360x580)</v>
      </c>
      <c r="C366">
        <v>3705</v>
      </c>
      <c r="D366" s="6" t="s">
        <v>44</v>
      </c>
      <c r="E366">
        <v>360</v>
      </c>
      <c r="F366">
        <v>580</v>
      </c>
      <c r="I366" s="45">
        <f t="shared" si="140"/>
        <v>0.20879999999999999</v>
      </c>
      <c r="J366" s="46">
        <f t="shared" si="141"/>
        <v>1.88</v>
      </c>
      <c r="K366" s="62">
        <f t="shared" si="142"/>
        <v>43</v>
      </c>
      <c r="L366" s="28">
        <v>28</v>
      </c>
      <c r="M366" s="13">
        <f t="shared" si="151"/>
        <v>0.53571428571428581</v>
      </c>
      <c r="N366" s="12">
        <f t="shared" si="136"/>
        <v>15</v>
      </c>
      <c r="O366" s="30" t="s">
        <v>72</v>
      </c>
      <c r="Q366" s="62">
        <f t="shared" si="143"/>
        <v>161</v>
      </c>
      <c r="R366" s="28">
        <v>105</v>
      </c>
      <c r="S366" s="13">
        <f t="shared" si="152"/>
        <v>0.53333333333333344</v>
      </c>
      <c r="T366" s="12">
        <f t="shared" si="137"/>
        <v>56</v>
      </c>
      <c r="U366" s="30" t="s">
        <v>72</v>
      </c>
      <c r="V366" s="30"/>
      <c r="W366" s="62">
        <f t="shared" si="144"/>
        <v>130</v>
      </c>
      <c r="X366" s="28">
        <v>89</v>
      </c>
      <c r="Y366" s="13">
        <f t="shared" si="153"/>
        <v>0.4606741573033708</v>
      </c>
      <c r="Z366" s="12">
        <f t="shared" si="138"/>
        <v>41</v>
      </c>
      <c r="AA366" s="30" t="s">
        <v>72</v>
      </c>
      <c r="AB366" s="64"/>
      <c r="AC366" s="62">
        <f t="shared" si="145"/>
        <v>185</v>
      </c>
      <c r="AD366" s="28">
        <v>130</v>
      </c>
      <c r="AE366" s="13">
        <f t="shared" si="154"/>
        <v>0.42307692307692313</v>
      </c>
      <c r="AF366" s="12">
        <f t="shared" si="139"/>
        <v>55</v>
      </c>
      <c r="AG366" s="30" t="s">
        <v>72</v>
      </c>
      <c r="AH366" s="17"/>
      <c r="AI366" s="16"/>
      <c r="AJ366" s="2">
        <f t="shared" si="132"/>
        <v>47</v>
      </c>
      <c r="AK366" s="2">
        <f t="shared" si="133"/>
        <v>177</v>
      </c>
      <c r="AL366" s="2">
        <f t="shared" si="134"/>
        <v>204</v>
      </c>
      <c r="AM366" s="2">
        <f t="shared" si="135"/>
        <v>143</v>
      </c>
    </row>
    <row r="367" spans="1:40" outlineLevel="1" x14ac:dyDescent="0.25">
      <c r="A367" t="s">
        <v>33</v>
      </c>
      <c r="B367" s="7" t="str">
        <f t="shared" si="150"/>
        <v>Fachboden klein (420x580)</v>
      </c>
      <c r="C367">
        <v>3706</v>
      </c>
      <c r="D367" s="6" t="s">
        <v>44</v>
      </c>
      <c r="E367">
        <v>420</v>
      </c>
      <c r="F367">
        <v>580</v>
      </c>
      <c r="I367" s="45">
        <f t="shared" si="140"/>
        <v>0.24359999999999998</v>
      </c>
      <c r="J367" s="46">
        <f t="shared" si="141"/>
        <v>2</v>
      </c>
      <c r="K367" s="62">
        <f t="shared" si="142"/>
        <v>49</v>
      </c>
      <c r="L367" s="28">
        <v>33</v>
      </c>
      <c r="M367" s="13">
        <f t="shared" si="151"/>
        <v>0.48484848484848486</v>
      </c>
      <c r="N367" s="12">
        <f t="shared" si="136"/>
        <v>16</v>
      </c>
      <c r="O367" s="30" t="s">
        <v>72</v>
      </c>
      <c r="Q367" s="62">
        <f t="shared" si="143"/>
        <v>181</v>
      </c>
      <c r="R367" s="28">
        <v>120</v>
      </c>
      <c r="S367" s="13">
        <f t="shared" si="152"/>
        <v>0.5083333333333333</v>
      </c>
      <c r="T367" s="12">
        <f t="shared" si="137"/>
        <v>61</v>
      </c>
      <c r="U367" s="30" t="s">
        <v>72</v>
      </c>
      <c r="V367" s="30"/>
      <c r="W367" s="62">
        <f t="shared" si="144"/>
        <v>147</v>
      </c>
      <c r="X367" s="28">
        <v>102</v>
      </c>
      <c r="Y367" s="13">
        <f t="shared" si="153"/>
        <v>0.44117647058823528</v>
      </c>
      <c r="Z367" s="12">
        <f t="shared" si="138"/>
        <v>45</v>
      </c>
      <c r="AA367" s="30" t="s">
        <v>72</v>
      </c>
      <c r="AB367" s="64"/>
      <c r="AC367" s="62">
        <f t="shared" si="145"/>
        <v>186</v>
      </c>
      <c r="AD367" s="28">
        <v>131</v>
      </c>
      <c r="AE367" s="13">
        <f t="shared" si="154"/>
        <v>0.41984732824427473</v>
      </c>
      <c r="AF367" s="12">
        <f t="shared" si="139"/>
        <v>55</v>
      </c>
      <c r="AG367" s="30" t="s">
        <v>72</v>
      </c>
      <c r="AH367" s="17"/>
      <c r="AI367" s="16"/>
      <c r="AJ367" s="2">
        <f t="shared" si="132"/>
        <v>54</v>
      </c>
      <c r="AK367" s="2">
        <f t="shared" si="133"/>
        <v>199</v>
      </c>
      <c r="AL367" s="2">
        <f t="shared" si="134"/>
        <v>205</v>
      </c>
      <c r="AM367" s="2">
        <f t="shared" si="135"/>
        <v>162</v>
      </c>
    </row>
    <row r="368" spans="1:40" outlineLevel="1" x14ac:dyDescent="0.25">
      <c r="A368" t="s">
        <v>33</v>
      </c>
      <c r="B368" s="7" t="str">
        <f t="shared" si="150"/>
        <v>Fachboden klein (580x580)</v>
      </c>
      <c r="C368">
        <v>3707</v>
      </c>
      <c r="D368" s="6" t="s">
        <v>44</v>
      </c>
      <c r="E368">
        <v>580</v>
      </c>
      <c r="F368">
        <v>580</v>
      </c>
      <c r="I368" s="45">
        <f t="shared" si="140"/>
        <v>0.33639999999999998</v>
      </c>
      <c r="J368" s="46">
        <f t="shared" si="141"/>
        <v>2.3199999999999998</v>
      </c>
      <c r="K368" s="62">
        <f t="shared" si="142"/>
        <v>67</v>
      </c>
      <c r="L368" s="28">
        <v>46</v>
      </c>
      <c r="M368" s="13">
        <f t="shared" si="151"/>
        <v>0.45652173913043481</v>
      </c>
      <c r="N368" s="12">
        <f t="shared" si="136"/>
        <v>21</v>
      </c>
      <c r="O368" s="30" t="s">
        <v>72</v>
      </c>
      <c r="Q368" s="62">
        <f t="shared" si="143"/>
        <v>228</v>
      </c>
      <c r="R368" s="28">
        <v>155</v>
      </c>
      <c r="S368" s="13">
        <f t="shared" si="152"/>
        <v>0.47096774193548385</v>
      </c>
      <c r="T368" s="12">
        <f t="shared" si="137"/>
        <v>73</v>
      </c>
      <c r="U368" s="30" t="s">
        <v>72</v>
      </c>
      <c r="V368" s="30"/>
      <c r="W368" s="62">
        <f t="shared" si="144"/>
        <v>183</v>
      </c>
      <c r="X368" s="28">
        <v>129</v>
      </c>
      <c r="Y368" s="13">
        <f t="shared" si="153"/>
        <v>0.41860465116279078</v>
      </c>
      <c r="Z368" s="12">
        <f t="shared" si="138"/>
        <v>54</v>
      </c>
      <c r="AA368" s="30" t="s">
        <v>72</v>
      </c>
      <c r="AB368" s="64"/>
      <c r="AC368" s="62">
        <f t="shared" si="145"/>
        <v>191</v>
      </c>
      <c r="AD368" s="28">
        <v>135</v>
      </c>
      <c r="AE368" s="13">
        <f t="shared" si="154"/>
        <v>0.41481481481481475</v>
      </c>
      <c r="AF368" s="12">
        <f t="shared" si="139"/>
        <v>56</v>
      </c>
      <c r="AG368" s="30" t="s">
        <v>72</v>
      </c>
      <c r="AH368" s="17"/>
      <c r="AI368" s="16"/>
      <c r="AJ368" s="2">
        <f t="shared" si="132"/>
        <v>74</v>
      </c>
      <c r="AK368" s="2">
        <f t="shared" si="133"/>
        <v>251</v>
      </c>
      <c r="AL368" s="2">
        <f t="shared" si="134"/>
        <v>210</v>
      </c>
      <c r="AM368" s="2">
        <f t="shared" si="135"/>
        <v>201</v>
      </c>
    </row>
    <row r="369" spans="1:39" outlineLevel="1" x14ac:dyDescent="0.25">
      <c r="A369" t="s">
        <v>33</v>
      </c>
      <c r="B369" s="7" t="str">
        <f t="shared" si="150"/>
        <v>Fachboden klein (780x580)</v>
      </c>
      <c r="C369">
        <v>3708</v>
      </c>
      <c r="D369" s="6" t="s">
        <v>44</v>
      </c>
      <c r="E369">
        <v>780</v>
      </c>
      <c r="F369">
        <v>580</v>
      </c>
      <c r="I369" s="45">
        <f t="shared" si="140"/>
        <v>0.45240000000000002</v>
      </c>
      <c r="J369" s="46">
        <f t="shared" si="141"/>
        <v>2.7199999999999998</v>
      </c>
      <c r="K369" s="62">
        <f t="shared" si="142"/>
        <v>87</v>
      </c>
      <c r="L369" s="28">
        <v>61</v>
      </c>
      <c r="M369" s="13">
        <f t="shared" si="151"/>
        <v>0.42622950819672134</v>
      </c>
      <c r="N369" s="12">
        <f t="shared" si="136"/>
        <v>26</v>
      </c>
      <c r="O369" s="30" t="s">
        <v>72</v>
      </c>
      <c r="Q369" s="62">
        <f t="shared" si="143"/>
        <v>275</v>
      </c>
      <c r="R369" s="28">
        <v>190</v>
      </c>
      <c r="S369" s="13">
        <f t="shared" si="152"/>
        <v>0.44736842105263164</v>
      </c>
      <c r="T369" s="12">
        <f t="shared" si="137"/>
        <v>85</v>
      </c>
      <c r="U369" s="30" t="s">
        <v>72</v>
      </c>
      <c r="V369" s="30"/>
      <c r="W369" s="62">
        <f t="shared" si="144"/>
        <v>225</v>
      </c>
      <c r="X369" s="28">
        <v>160</v>
      </c>
      <c r="Y369" s="13">
        <f t="shared" si="153"/>
        <v>0.40625</v>
      </c>
      <c r="Z369" s="12">
        <f t="shared" si="138"/>
        <v>65</v>
      </c>
      <c r="AA369" s="30" t="s">
        <v>72</v>
      </c>
      <c r="AB369" s="64"/>
      <c r="AC369" s="62">
        <f t="shared" si="145"/>
        <v>237</v>
      </c>
      <c r="AD369" s="28">
        <v>169</v>
      </c>
      <c r="AE369" s="13">
        <f t="shared" si="154"/>
        <v>0.4023668639053255</v>
      </c>
      <c r="AF369" s="12">
        <f t="shared" si="139"/>
        <v>68</v>
      </c>
      <c r="AG369" s="30" t="s">
        <v>72</v>
      </c>
      <c r="AH369" s="17"/>
      <c r="AI369" s="16"/>
      <c r="AJ369" s="2">
        <f t="shared" si="132"/>
        <v>96</v>
      </c>
      <c r="AK369" s="2">
        <f t="shared" si="133"/>
        <v>303</v>
      </c>
      <c r="AL369" s="2">
        <f t="shared" si="134"/>
        <v>261</v>
      </c>
      <c r="AM369" s="2">
        <f t="shared" si="135"/>
        <v>248</v>
      </c>
    </row>
    <row r="370" spans="1:39" outlineLevel="1" x14ac:dyDescent="0.25">
      <c r="A370" t="s">
        <v>33</v>
      </c>
      <c r="B370" s="7" t="str">
        <f t="shared" si="150"/>
        <v>Fachboden klein (980x580)</v>
      </c>
      <c r="C370">
        <v>3709</v>
      </c>
      <c r="D370" s="6" t="s">
        <v>44</v>
      </c>
      <c r="E370">
        <v>980</v>
      </c>
      <c r="F370">
        <v>580</v>
      </c>
      <c r="I370" s="45">
        <f t="shared" si="140"/>
        <v>0.56840000000000002</v>
      </c>
      <c r="J370" s="46">
        <f t="shared" si="141"/>
        <v>3.12</v>
      </c>
      <c r="K370" s="62">
        <f t="shared" si="142"/>
        <v>110</v>
      </c>
      <c r="L370" s="28">
        <v>78</v>
      </c>
      <c r="M370" s="13">
        <f t="shared" si="151"/>
        <v>0.41025641025641035</v>
      </c>
      <c r="N370" s="12">
        <f t="shared" si="136"/>
        <v>32</v>
      </c>
      <c r="O370" s="30" t="s">
        <v>72</v>
      </c>
      <c r="Q370" s="62">
        <f t="shared" si="143"/>
        <v>355</v>
      </c>
      <c r="R370" s="28">
        <v>249</v>
      </c>
      <c r="S370" s="13">
        <f t="shared" si="152"/>
        <v>0.42570281124497988</v>
      </c>
      <c r="T370" s="12">
        <f t="shared" si="137"/>
        <v>106</v>
      </c>
      <c r="U370" s="30" t="s">
        <v>72</v>
      </c>
      <c r="V370" s="30"/>
      <c r="W370" s="62">
        <f t="shared" si="144"/>
        <v>286</v>
      </c>
      <c r="X370" s="28">
        <v>205</v>
      </c>
      <c r="Y370" s="13">
        <f t="shared" si="153"/>
        <v>0.3951219512195121</v>
      </c>
      <c r="Z370" s="12">
        <f t="shared" si="138"/>
        <v>81</v>
      </c>
      <c r="AA370" s="30" t="s">
        <v>72</v>
      </c>
      <c r="AB370" s="64"/>
      <c r="AC370" s="62">
        <f t="shared" si="145"/>
        <v>276</v>
      </c>
      <c r="AD370" s="28">
        <v>198</v>
      </c>
      <c r="AE370" s="13">
        <f t="shared" si="154"/>
        <v>0.39393939393939403</v>
      </c>
      <c r="AF370" s="12">
        <f t="shared" si="139"/>
        <v>78</v>
      </c>
      <c r="AG370" s="30" t="s">
        <v>72</v>
      </c>
      <c r="AH370" s="17"/>
      <c r="AI370" s="16"/>
      <c r="AJ370" s="2">
        <f t="shared" si="132"/>
        <v>121</v>
      </c>
      <c r="AK370" s="2">
        <f t="shared" si="133"/>
        <v>391</v>
      </c>
      <c r="AL370" s="2">
        <f t="shared" si="134"/>
        <v>304</v>
      </c>
      <c r="AM370" s="2">
        <f t="shared" si="135"/>
        <v>315</v>
      </c>
    </row>
    <row r="371" spans="1:39" outlineLevel="1" x14ac:dyDescent="0.25">
      <c r="A371" t="s">
        <v>33</v>
      </c>
      <c r="B371" s="7" t="str">
        <f t="shared" si="150"/>
        <v>Fachboden klein (780x780)</v>
      </c>
      <c r="C371">
        <v>3710</v>
      </c>
      <c r="D371" s="6" t="s">
        <v>44</v>
      </c>
      <c r="E371">
        <v>780</v>
      </c>
      <c r="F371">
        <v>780</v>
      </c>
      <c r="I371" s="45">
        <f t="shared" si="140"/>
        <v>0.60839999999999994</v>
      </c>
      <c r="J371" s="46">
        <f t="shared" si="141"/>
        <v>3.12</v>
      </c>
      <c r="K371" s="62">
        <f t="shared" si="142"/>
        <v>110</v>
      </c>
      <c r="L371" s="28">
        <v>78</v>
      </c>
      <c r="M371" s="13">
        <f t="shared" si="151"/>
        <v>0.41025641025641035</v>
      </c>
      <c r="N371" s="12">
        <f t="shared" si="136"/>
        <v>32</v>
      </c>
      <c r="O371" s="30" t="s">
        <v>72</v>
      </c>
      <c r="Q371" s="62">
        <f t="shared" si="143"/>
        <v>302</v>
      </c>
      <c r="R371" s="28">
        <v>210</v>
      </c>
      <c r="S371" s="13">
        <f t="shared" si="152"/>
        <v>0.43809523809523809</v>
      </c>
      <c r="T371" s="12">
        <f t="shared" si="137"/>
        <v>92</v>
      </c>
      <c r="U371" s="30" t="s">
        <v>72</v>
      </c>
      <c r="V371" s="30"/>
      <c r="W371" s="62">
        <f t="shared" si="144"/>
        <v>272</v>
      </c>
      <c r="X371" s="28">
        <v>195</v>
      </c>
      <c r="Y371" s="13">
        <f t="shared" si="153"/>
        <v>0.3948717948717948</v>
      </c>
      <c r="Z371" s="12">
        <f t="shared" si="138"/>
        <v>77</v>
      </c>
      <c r="AA371" s="30" t="s">
        <v>72</v>
      </c>
      <c r="AB371" s="64"/>
      <c r="AC371" s="62">
        <f t="shared" si="145"/>
        <v>295</v>
      </c>
      <c r="AD371" s="28">
        <v>212</v>
      </c>
      <c r="AE371" s="13">
        <f t="shared" si="154"/>
        <v>0.39150943396226423</v>
      </c>
      <c r="AF371" s="12">
        <f t="shared" si="139"/>
        <v>83</v>
      </c>
      <c r="AG371" s="12"/>
      <c r="AH371" s="17"/>
      <c r="AI371" s="16"/>
      <c r="AJ371" s="2">
        <f t="shared" si="132"/>
        <v>121</v>
      </c>
      <c r="AK371" s="2">
        <f t="shared" si="133"/>
        <v>332</v>
      </c>
      <c r="AL371" s="2">
        <f t="shared" si="134"/>
        <v>325</v>
      </c>
      <c r="AM371" s="2">
        <f t="shared" si="135"/>
        <v>299</v>
      </c>
    </row>
    <row r="372" spans="1:39" outlineLevel="1" x14ac:dyDescent="0.25">
      <c r="A372" t="s">
        <v>33</v>
      </c>
      <c r="B372" s="7" t="str">
        <f t="shared" si="150"/>
        <v>Fachboden klein (980x780)</v>
      </c>
      <c r="C372">
        <v>3711</v>
      </c>
      <c r="D372" s="6" t="s">
        <v>44</v>
      </c>
      <c r="E372">
        <v>980</v>
      </c>
      <c r="F372">
        <v>780</v>
      </c>
      <c r="I372" s="45">
        <f t="shared" si="140"/>
        <v>0.76439999999999997</v>
      </c>
      <c r="J372" s="46">
        <f t="shared" si="141"/>
        <v>3.52</v>
      </c>
      <c r="K372" s="62">
        <f t="shared" si="142"/>
        <v>138</v>
      </c>
      <c r="L372" s="28">
        <v>99</v>
      </c>
      <c r="M372" s="13">
        <f t="shared" si="151"/>
        <v>0.39393939393939403</v>
      </c>
      <c r="N372" s="12">
        <f t="shared" si="136"/>
        <v>39</v>
      </c>
      <c r="O372" s="30" t="s">
        <v>72</v>
      </c>
      <c r="Q372" s="62">
        <f t="shared" si="143"/>
        <v>272</v>
      </c>
      <c r="R372" s="28" t="s">
        <v>63</v>
      </c>
      <c r="S372" s="13" t="str">
        <f t="shared" si="152"/>
        <v>-</v>
      </c>
      <c r="T372" s="12" t="str">
        <f t="shared" si="137"/>
        <v>-</v>
      </c>
      <c r="U372" s="30" t="s">
        <v>72</v>
      </c>
      <c r="V372" s="30"/>
      <c r="W372" s="62">
        <f t="shared" si="144"/>
        <v>10</v>
      </c>
      <c r="X372" s="28">
        <v>0</v>
      </c>
      <c r="Y372" s="13" t="str">
        <f t="shared" si="153"/>
        <v>-</v>
      </c>
      <c r="Z372" s="12">
        <f t="shared" si="138"/>
        <v>10</v>
      </c>
      <c r="AA372" s="30" t="s">
        <v>72</v>
      </c>
      <c r="AB372" s="64"/>
      <c r="AC372" s="62">
        <f t="shared" si="145"/>
        <v>0</v>
      </c>
      <c r="AD372" s="28" t="s">
        <v>68</v>
      </c>
      <c r="AE372" s="13" t="str">
        <f t="shared" si="154"/>
        <v>-</v>
      </c>
      <c r="AF372" s="12" t="str">
        <f t="shared" si="139"/>
        <v>-</v>
      </c>
      <c r="AG372" s="12"/>
      <c r="AH372" s="17"/>
      <c r="AI372" s="16"/>
      <c r="AJ372" s="2">
        <f t="shared" si="132"/>
        <v>152</v>
      </c>
      <c r="AK372" s="2">
        <f t="shared" si="133"/>
        <v>299</v>
      </c>
      <c r="AL372" s="2">
        <f t="shared" si="134"/>
        <v>0</v>
      </c>
      <c r="AM372" s="2">
        <f t="shared" si="135"/>
        <v>11</v>
      </c>
    </row>
    <row r="373" spans="1:39" outlineLevel="1" x14ac:dyDescent="0.25">
      <c r="A373" t="s">
        <v>33</v>
      </c>
      <c r="B373" s="7" t="str">
        <f t="shared" si="150"/>
        <v>Fachboden klein (980x980)</v>
      </c>
      <c r="C373" s="3">
        <v>3712</v>
      </c>
      <c r="D373" s="7" t="s">
        <v>44</v>
      </c>
      <c r="E373">
        <v>980</v>
      </c>
      <c r="F373">
        <v>980</v>
      </c>
      <c r="I373" s="45">
        <f t="shared" si="140"/>
        <v>0.96040000000000003</v>
      </c>
      <c r="J373" s="46">
        <f t="shared" si="141"/>
        <v>3.92</v>
      </c>
      <c r="K373" s="62">
        <f t="shared" si="142"/>
        <v>166</v>
      </c>
      <c r="L373" s="28">
        <v>120</v>
      </c>
      <c r="M373" s="13">
        <f t="shared" si="151"/>
        <v>0.3833333333333333</v>
      </c>
      <c r="N373" s="12">
        <f t="shared" si="136"/>
        <v>46</v>
      </c>
      <c r="O373" s="30" t="s">
        <v>72</v>
      </c>
      <c r="Q373" s="62">
        <f t="shared" si="143"/>
        <v>327</v>
      </c>
      <c r="R373" s="28" t="s">
        <v>63</v>
      </c>
      <c r="S373" s="13" t="str">
        <f t="shared" si="152"/>
        <v>-</v>
      </c>
      <c r="T373" s="12" t="str">
        <f t="shared" si="137"/>
        <v>-</v>
      </c>
      <c r="U373" s="30" t="s">
        <v>72</v>
      </c>
      <c r="V373" s="30"/>
      <c r="W373" s="62">
        <f t="shared" si="144"/>
        <v>10</v>
      </c>
      <c r="X373" s="28">
        <v>0</v>
      </c>
      <c r="Y373" s="13" t="str">
        <f t="shared" si="153"/>
        <v>-</v>
      </c>
      <c r="Z373" s="12">
        <f t="shared" si="138"/>
        <v>10</v>
      </c>
      <c r="AA373" s="30" t="s">
        <v>72</v>
      </c>
      <c r="AB373" s="64"/>
      <c r="AC373" s="62">
        <f t="shared" si="145"/>
        <v>0</v>
      </c>
      <c r="AD373" s="28" t="s">
        <v>68</v>
      </c>
      <c r="AE373" s="13" t="str">
        <f t="shared" si="154"/>
        <v>-</v>
      </c>
      <c r="AF373" s="12" t="str">
        <f t="shared" si="139"/>
        <v>-</v>
      </c>
      <c r="AG373" s="12"/>
      <c r="AH373" s="17"/>
      <c r="AI373" s="16"/>
      <c r="AJ373" s="2">
        <f t="shared" si="132"/>
        <v>183</v>
      </c>
      <c r="AK373" s="2">
        <f t="shared" si="133"/>
        <v>360</v>
      </c>
      <c r="AL373" s="2">
        <f t="shared" si="134"/>
        <v>0</v>
      </c>
      <c r="AM373" s="2">
        <f t="shared" si="135"/>
        <v>11</v>
      </c>
    </row>
    <row r="374" spans="1:39" outlineLevel="1" x14ac:dyDescent="0.25">
      <c r="A374" t="s">
        <v>33</v>
      </c>
      <c r="B374" t="str">
        <f t="shared" si="150"/>
        <v xml:space="preserve"> (x)</v>
      </c>
      <c r="C374" s="3">
        <v>3713</v>
      </c>
      <c r="I374" s="45" t="str">
        <f t="shared" si="140"/>
        <v/>
      </c>
      <c r="J374" s="46" t="str">
        <f t="shared" si="141"/>
        <v/>
      </c>
      <c r="K374" s="62">
        <f t="shared" si="142"/>
        <v>0</v>
      </c>
      <c r="L374" s="28" t="s">
        <v>63</v>
      </c>
      <c r="M374" s="12" t="str">
        <f t="shared" si="151"/>
        <v>-</v>
      </c>
      <c r="N374" s="12" t="str">
        <f t="shared" si="136"/>
        <v>-</v>
      </c>
      <c r="O374" s="12"/>
      <c r="Q374" s="62">
        <f t="shared" si="143"/>
        <v>0</v>
      </c>
      <c r="R374" s="28" t="s">
        <v>63</v>
      </c>
      <c r="S374" s="12" t="str">
        <f t="shared" si="152"/>
        <v>-</v>
      </c>
      <c r="T374" s="12" t="str">
        <f t="shared" si="137"/>
        <v>-</v>
      </c>
      <c r="U374" s="12"/>
      <c r="V374" s="12"/>
      <c r="W374" s="62">
        <f t="shared" si="144"/>
        <v>10</v>
      </c>
      <c r="X374" s="28">
        <v>0</v>
      </c>
      <c r="Y374" s="12" t="str">
        <f t="shared" si="153"/>
        <v>-</v>
      </c>
      <c r="Z374" s="12">
        <f t="shared" si="138"/>
        <v>10</v>
      </c>
      <c r="AA374" s="30" t="s">
        <v>72</v>
      </c>
      <c r="AB374" s="64"/>
      <c r="AC374" s="62">
        <f t="shared" si="145"/>
        <v>0</v>
      </c>
      <c r="AD374" s="28" t="s">
        <v>68</v>
      </c>
      <c r="AE374" s="12" t="str">
        <f t="shared" si="154"/>
        <v>-</v>
      </c>
      <c r="AF374" s="12" t="str">
        <f t="shared" si="139"/>
        <v>-</v>
      </c>
      <c r="AG374" s="12"/>
      <c r="AH374" s="17"/>
      <c r="AI374" s="17"/>
      <c r="AJ374" s="2">
        <f t="shared" si="132"/>
        <v>0</v>
      </c>
      <c r="AK374" s="2">
        <f t="shared" si="133"/>
        <v>0</v>
      </c>
      <c r="AL374" s="2">
        <f t="shared" si="134"/>
        <v>0</v>
      </c>
      <c r="AM374" s="2">
        <f t="shared" si="135"/>
        <v>11</v>
      </c>
    </row>
    <row r="375" spans="1:39" outlineLevel="1" x14ac:dyDescent="0.25">
      <c r="A375" t="s">
        <v>33</v>
      </c>
      <c r="B375" t="str">
        <f t="shared" si="150"/>
        <v xml:space="preserve"> (x)</v>
      </c>
      <c r="C375" s="3">
        <v>3714</v>
      </c>
      <c r="I375" s="45" t="str">
        <f t="shared" si="140"/>
        <v/>
      </c>
      <c r="J375" s="46" t="str">
        <f t="shared" si="141"/>
        <v/>
      </c>
      <c r="K375" s="62">
        <f t="shared" si="142"/>
        <v>0</v>
      </c>
      <c r="L375" s="28" t="s">
        <v>63</v>
      </c>
      <c r="M375" s="12" t="str">
        <f t="shared" si="151"/>
        <v>-</v>
      </c>
      <c r="N375" s="12" t="str">
        <f t="shared" si="136"/>
        <v>-</v>
      </c>
      <c r="O375" s="12"/>
      <c r="Q375" s="62">
        <f t="shared" si="143"/>
        <v>0</v>
      </c>
      <c r="R375" s="28" t="s">
        <v>63</v>
      </c>
      <c r="S375" s="12" t="str">
        <f t="shared" si="152"/>
        <v>-</v>
      </c>
      <c r="T375" s="12" t="str">
        <f t="shared" si="137"/>
        <v>-</v>
      </c>
      <c r="U375" s="12"/>
      <c r="V375" s="12"/>
      <c r="W375" s="62">
        <f t="shared" si="144"/>
        <v>10</v>
      </c>
      <c r="X375" s="28">
        <v>0</v>
      </c>
      <c r="Y375" s="12" t="str">
        <f t="shared" si="153"/>
        <v>-</v>
      </c>
      <c r="Z375" s="12">
        <f t="shared" si="138"/>
        <v>10</v>
      </c>
      <c r="AA375" s="12"/>
      <c r="AB375" s="64"/>
      <c r="AC375" s="62">
        <f t="shared" si="145"/>
        <v>0</v>
      </c>
      <c r="AD375" s="28" t="s">
        <v>68</v>
      </c>
      <c r="AE375" s="12" t="str">
        <f t="shared" si="154"/>
        <v>-</v>
      </c>
      <c r="AF375" s="12" t="str">
        <f t="shared" si="139"/>
        <v>-</v>
      </c>
      <c r="AG375" s="12"/>
      <c r="AH375" s="17"/>
      <c r="AI375" s="17"/>
      <c r="AJ375" s="2">
        <f t="shared" si="132"/>
        <v>0</v>
      </c>
      <c r="AK375" s="2">
        <f t="shared" si="133"/>
        <v>0</v>
      </c>
      <c r="AL375" s="2">
        <f t="shared" si="134"/>
        <v>0</v>
      </c>
      <c r="AM375" s="2">
        <f t="shared" si="135"/>
        <v>11</v>
      </c>
    </row>
    <row r="376" spans="1:39" outlineLevel="1" x14ac:dyDescent="0.25">
      <c r="A376" t="s">
        <v>33</v>
      </c>
      <c r="B376" t="str">
        <f t="shared" si="150"/>
        <v xml:space="preserve"> (x)</v>
      </c>
      <c r="C376" s="3">
        <v>3715</v>
      </c>
      <c r="I376" s="45" t="str">
        <f t="shared" si="140"/>
        <v/>
      </c>
      <c r="J376" s="46" t="str">
        <f t="shared" si="141"/>
        <v/>
      </c>
      <c r="K376" s="62">
        <f t="shared" si="142"/>
        <v>0</v>
      </c>
      <c r="L376" s="28" t="s">
        <v>63</v>
      </c>
      <c r="M376" s="12" t="str">
        <f t="shared" si="151"/>
        <v>-</v>
      </c>
      <c r="N376" s="12" t="str">
        <f t="shared" si="136"/>
        <v>-</v>
      </c>
      <c r="O376" s="12"/>
      <c r="Q376" s="62">
        <f t="shared" si="143"/>
        <v>0</v>
      </c>
      <c r="R376" s="28" t="s">
        <v>63</v>
      </c>
      <c r="S376" s="12" t="str">
        <f t="shared" si="152"/>
        <v>-</v>
      </c>
      <c r="T376" s="12" t="str">
        <f t="shared" si="137"/>
        <v>-</v>
      </c>
      <c r="U376" s="12"/>
      <c r="V376" s="12"/>
      <c r="W376" s="62">
        <f t="shared" si="144"/>
        <v>10</v>
      </c>
      <c r="X376" s="28">
        <v>0</v>
      </c>
      <c r="Y376" s="12" t="str">
        <f t="shared" si="153"/>
        <v>-</v>
      </c>
      <c r="Z376" s="12">
        <f t="shared" si="138"/>
        <v>10</v>
      </c>
      <c r="AA376" s="12"/>
      <c r="AB376" s="64"/>
      <c r="AC376" s="62">
        <f t="shared" si="145"/>
        <v>0</v>
      </c>
      <c r="AD376" s="28" t="s">
        <v>68</v>
      </c>
      <c r="AE376" s="12" t="str">
        <f t="shared" si="154"/>
        <v>-</v>
      </c>
      <c r="AF376" s="12" t="str">
        <f t="shared" si="139"/>
        <v>-</v>
      </c>
      <c r="AG376" s="12"/>
      <c r="AH376" s="17"/>
      <c r="AI376" s="17"/>
      <c r="AJ376" s="2">
        <f t="shared" si="132"/>
        <v>0</v>
      </c>
      <c r="AK376" s="2">
        <f t="shared" si="133"/>
        <v>0</v>
      </c>
      <c r="AL376" s="2">
        <f t="shared" si="134"/>
        <v>0</v>
      </c>
      <c r="AM376" s="2">
        <f t="shared" si="135"/>
        <v>11</v>
      </c>
    </row>
    <row r="377" spans="1:39" outlineLevel="1" x14ac:dyDescent="0.25">
      <c r="A377" t="s">
        <v>33</v>
      </c>
      <c r="B377" t="str">
        <f t="shared" si="150"/>
        <v xml:space="preserve"> (x)</v>
      </c>
      <c r="C377" s="3">
        <v>3716</v>
      </c>
      <c r="I377" s="45" t="str">
        <f t="shared" si="140"/>
        <v/>
      </c>
      <c r="J377" s="46" t="str">
        <f t="shared" si="141"/>
        <v/>
      </c>
      <c r="K377" s="62">
        <f t="shared" si="142"/>
        <v>0</v>
      </c>
      <c r="L377" s="28" t="s">
        <v>63</v>
      </c>
      <c r="M377" s="12" t="str">
        <f t="shared" si="151"/>
        <v>-</v>
      </c>
      <c r="N377" s="12" t="str">
        <f t="shared" si="136"/>
        <v>-</v>
      </c>
      <c r="O377" s="12"/>
      <c r="Q377" s="62">
        <f t="shared" si="143"/>
        <v>0</v>
      </c>
      <c r="R377" s="28" t="s">
        <v>63</v>
      </c>
      <c r="S377" s="12" t="str">
        <f t="shared" si="152"/>
        <v>-</v>
      </c>
      <c r="T377" s="12" t="str">
        <f t="shared" si="137"/>
        <v>-</v>
      </c>
      <c r="U377" s="12"/>
      <c r="V377" s="12"/>
      <c r="W377" s="62">
        <f t="shared" si="144"/>
        <v>10</v>
      </c>
      <c r="X377" s="28">
        <v>0</v>
      </c>
      <c r="Y377" s="12" t="str">
        <f t="shared" si="153"/>
        <v>-</v>
      </c>
      <c r="Z377" s="12">
        <f t="shared" si="138"/>
        <v>10</v>
      </c>
      <c r="AA377" s="12"/>
      <c r="AB377" s="64"/>
      <c r="AC377" s="62">
        <f t="shared" si="145"/>
        <v>0</v>
      </c>
      <c r="AD377" s="28" t="s">
        <v>68</v>
      </c>
      <c r="AE377" s="12" t="str">
        <f t="shared" si="154"/>
        <v>-</v>
      </c>
      <c r="AF377" s="12" t="str">
        <f t="shared" si="139"/>
        <v>-</v>
      </c>
      <c r="AG377" s="12"/>
      <c r="AH377" s="17"/>
      <c r="AI377" s="17"/>
      <c r="AJ377" s="2">
        <f t="shared" ref="AJ377:AJ440" si="155">+IFERROR(ROUND(K377*(1+AJ$2),0),"-")</f>
        <v>0</v>
      </c>
      <c r="AK377" s="2">
        <f t="shared" ref="AK377:AK440" si="156">+IFERROR(ROUND(Q377*(1+AK$2),0),"-")</f>
        <v>0</v>
      </c>
      <c r="AL377" s="2">
        <f t="shared" ref="AL377:AL440" si="157">+IFERROR(ROUND(AC377*(1+AL$2),0),"-")</f>
        <v>0</v>
      </c>
      <c r="AM377" s="2">
        <f t="shared" ref="AM377:AM440" si="158">+IFERROR(ROUND(W377*(1+AM$2),0),"-")</f>
        <v>11</v>
      </c>
    </row>
    <row r="378" spans="1:39" outlineLevel="1" x14ac:dyDescent="0.25">
      <c r="A378" t="s">
        <v>33</v>
      </c>
      <c r="B378" t="str">
        <f t="shared" si="150"/>
        <v xml:space="preserve"> (x)</v>
      </c>
      <c r="C378" s="3">
        <v>3717</v>
      </c>
      <c r="I378" s="45" t="str">
        <f t="shared" si="140"/>
        <v/>
      </c>
      <c r="J378" s="46" t="str">
        <f t="shared" si="141"/>
        <v/>
      </c>
      <c r="K378" s="62">
        <f t="shared" si="142"/>
        <v>0</v>
      </c>
      <c r="L378" s="28" t="s">
        <v>63</v>
      </c>
      <c r="M378" s="12" t="str">
        <f t="shared" si="151"/>
        <v>-</v>
      </c>
      <c r="N378" s="12" t="str">
        <f t="shared" si="136"/>
        <v>-</v>
      </c>
      <c r="O378" s="12"/>
      <c r="Q378" s="62">
        <f t="shared" si="143"/>
        <v>0</v>
      </c>
      <c r="R378" s="28" t="s">
        <v>63</v>
      </c>
      <c r="S378" s="12" t="str">
        <f t="shared" si="152"/>
        <v>-</v>
      </c>
      <c r="T378" s="12" t="str">
        <f t="shared" si="137"/>
        <v>-</v>
      </c>
      <c r="U378" s="12"/>
      <c r="V378" s="12"/>
      <c r="W378" s="62">
        <f t="shared" si="144"/>
        <v>10</v>
      </c>
      <c r="X378" s="28">
        <v>0</v>
      </c>
      <c r="Y378" s="12" t="str">
        <f t="shared" si="153"/>
        <v>-</v>
      </c>
      <c r="Z378" s="12">
        <f t="shared" si="138"/>
        <v>10</v>
      </c>
      <c r="AA378" s="12"/>
      <c r="AB378" s="64"/>
      <c r="AC378" s="62">
        <f t="shared" si="145"/>
        <v>0</v>
      </c>
      <c r="AD378" s="28" t="s">
        <v>68</v>
      </c>
      <c r="AE378" s="12" t="str">
        <f t="shared" si="154"/>
        <v>-</v>
      </c>
      <c r="AF378" s="12" t="str">
        <f t="shared" si="139"/>
        <v>-</v>
      </c>
      <c r="AG378" s="12"/>
      <c r="AH378" s="17"/>
      <c r="AI378" s="17"/>
      <c r="AJ378" s="2">
        <f t="shared" si="155"/>
        <v>0</v>
      </c>
      <c r="AK378" s="2">
        <f t="shared" si="156"/>
        <v>0</v>
      </c>
      <c r="AL378" s="2">
        <f t="shared" si="157"/>
        <v>0</v>
      </c>
      <c r="AM378" s="2">
        <f t="shared" si="158"/>
        <v>11</v>
      </c>
    </row>
    <row r="379" spans="1:39" outlineLevel="1" x14ac:dyDescent="0.25">
      <c r="A379" t="s">
        <v>33</v>
      </c>
      <c r="B379" t="str">
        <f t="shared" si="150"/>
        <v xml:space="preserve"> (x)</v>
      </c>
      <c r="C379" s="3">
        <v>3718</v>
      </c>
      <c r="I379" s="45" t="str">
        <f t="shared" si="140"/>
        <v/>
      </c>
      <c r="J379" s="46" t="str">
        <f t="shared" si="141"/>
        <v/>
      </c>
      <c r="K379" s="62">
        <f t="shared" si="142"/>
        <v>0</v>
      </c>
      <c r="L379" s="28" t="s">
        <v>63</v>
      </c>
      <c r="M379" s="12" t="str">
        <f t="shared" si="151"/>
        <v>-</v>
      </c>
      <c r="N379" s="12" t="str">
        <f t="shared" si="136"/>
        <v>-</v>
      </c>
      <c r="O379" s="12"/>
      <c r="Q379" s="62">
        <f t="shared" si="143"/>
        <v>0</v>
      </c>
      <c r="R379" s="28" t="s">
        <v>63</v>
      </c>
      <c r="S379" s="12" t="str">
        <f t="shared" si="152"/>
        <v>-</v>
      </c>
      <c r="T379" s="12" t="str">
        <f t="shared" si="137"/>
        <v>-</v>
      </c>
      <c r="U379" s="12"/>
      <c r="V379" s="12"/>
      <c r="W379" s="62">
        <f t="shared" si="144"/>
        <v>10</v>
      </c>
      <c r="X379" s="28">
        <v>0</v>
      </c>
      <c r="Y379" s="12" t="str">
        <f t="shared" si="153"/>
        <v>-</v>
      </c>
      <c r="Z379" s="12">
        <f t="shared" si="138"/>
        <v>10</v>
      </c>
      <c r="AA379" s="12"/>
      <c r="AB379" s="64"/>
      <c r="AC379" s="62">
        <f t="shared" si="145"/>
        <v>0</v>
      </c>
      <c r="AD379" s="28" t="s">
        <v>68</v>
      </c>
      <c r="AE379" s="12" t="str">
        <f t="shared" si="154"/>
        <v>-</v>
      </c>
      <c r="AF379" s="12" t="str">
        <f t="shared" si="139"/>
        <v>-</v>
      </c>
      <c r="AG379" s="12"/>
      <c r="AH379" s="17"/>
      <c r="AI379" s="17"/>
      <c r="AJ379" s="2">
        <f t="shared" si="155"/>
        <v>0</v>
      </c>
      <c r="AK379" s="2">
        <f t="shared" si="156"/>
        <v>0</v>
      </c>
      <c r="AL379" s="2">
        <f t="shared" si="157"/>
        <v>0</v>
      </c>
      <c r="AM379" s="2">
        <f t="shared" si="158"/>
        <v>11</v>
      </c>
    </row>
    <row r="380" spans="1:39" outlineLevel="1" x14ac:dyDescent="0.25">
      <c r="A380" t="s">
        <v>33</v>
      </c>
      <c r="B380" t="str">
        <f t="shared" si="150"/>
        <v xml:space="preserve"> (x)</v>
      </c>
      <c r="C380" s="3">
        <v>3719</v>
      </c>
      <c r="I380" s="45" t="str">
        <f t="shared" si="140"/>
        <v/>
      </c>
      <c r="J380" s="46" t="str">
        <f t="shared" si="141"/>
        <v/>
      </c>
      <c r="K380" s="62">
        <f t="shared" si="142"/>
        <v>0</v>
      </c>
      <c r="L380" s="28" t="s">
        <v>63</v>
      </c>
      <c r="M380" s="12" t="str">
        <f t="shared" si="151"/>
        <v>-</v>
      </c>
      <c r="N380" s="12" t="str">
        <f t="shared" si="136"/>
        <v>-</v>
      </c>
      <c r="O380" s="12"/>
      <c r="Q380" s="62">
        <f t="shared" si="143"/>
        <v>0</v>
      </c>
      <c r="R380" s="28" t="s">
        <v>63</v>
      </c>
      <c r="S380" s="12" t="str">
        <f t="shared" si="152"/>
        <v>-</v>
      </c>
      <c r="T380" s="12" t="str">
        <f t="shared" si="137"/>
        <v>-</v>
      </c>
      <c r="U380" s="12"/>
      <c r="V380" s="12"/>
      <c r="W380" s="62">
        <f t="shared" si="144"/>
        <v>10</v>
      </c>
      <c r="X380" s="28">
        <v>0</v>
      </c>
      <c r="Y380" s="12" t="str">
        <f t="shared" si="153"/>
        <v>-</v>
      </c>
      <c r="Z380" s="12">
        <f t="shared" si="138"/>
        <v>10</v>
      </c>
      <c r="AA380" s="12"/>
      <c r="AB380" s="64"/>
      <c r="AC380" s="62">
        <f t="shared" si="145"/>
        <v>0</v>
      </c>
      <c r="AD380" s="28" t="s">
        <v>68</v>
      </c>
      <c r="AE380" s="12" t="str">
        <f t="shared" si="154"/>
        <v>-</v>
      </c>
      <c r="AF380" s="12" t="str">
        <f t="shared" si="139"/>
        <v>-</v>
      </c>
      <c r="AG380" s="12"/>
      <c r="AH380" s="17"/>
      <c r="AI380" s="17"/>
      <c r="AJ380" s="2">
        <f t="shared" si="155"/>
        <v>0</v>
      </c>
      <c r="AK380" s="2">
        <f t="shared" si="156"/>
        <v>0</v>
      </c>
      <c r="AL380" s="2">
        <f t="shared" si="157"/>
        <v>0</v>
      </c>
      <c r="AM380" s="2">
        <f t="shared" si="158"/>
        <v>11</v>
      </c>
    </row>
    <row r="381" spans="1:39" outlineLevel="1" x14ac:dyDescent="0.25">
      <c r="A381" t="s">
        <v>33</v>
      </c>
      <c r="B381" t="str">
        <f t="shared" si="150"/>
        <v xml:space="preserve"> (x)</v>
      </c>
      <c r="C381" s="3">
        <v>3720</v>
      </c>
      <c r="I381" s="45" t="str">
        <f t="shared" si="140"/>
        <v/>
      </c>
      <c r="J381" s="46" t="str">
        <f t="shared" si="141"/>
        <v/>
      </c>
      <c r="K381" s="62">
        <f t="shared" si="142"/>
        <v>0</v>
      </c>
      <c r="L381" s="28" t="s">
        <v>63</v>
      </c>
      <c r="M381" s="12" t="str">
        <f t="shared" si="151"/>
        <v>-</v>
      </c>
      <c r="N381" s="12" t="str">
        <f t="shared" si="136"/>
        <v>-</v>
      </c>
      <c r="O381" s="12"/>
      <c r="Q381" s="62">
        <f t="shared" si="143"/>
        <v>0</v>
      </c>
      <c r="R381" s="28" t="s">
        <v>63</v>
      </c>
      <c r="S381" s="12" t="str">
        <f t="shared" si="152"/>
        <v>-</v>
      </c>
      <c r="T381" s="12" t="str">
        <f t="shared" si="137"/>
        <v>-</v>
      </c>
      <c r="U381" s="12"/>
      <c r="V381" s="12"/>
      <c r="W381" s="62">
        <f t="shared" si="144"/>
        <v>10</v>
      </c>
      <c r="X381" s="28">
        <v>0</v>
      </c>
      <c r="Y381" s="12" t="str">
        <f t="shared" si="153"/>
        <v>-</v>
      </c>
      <c r="Z381" s="12">
        <f t="shared" si="138"/>
        <v>10</v>
      </c>
      <c r="AA381" s="12"/>
      <c r="AB381" s="64"/>
      <c r="AC381" s="62">
        <f t="shared" si="145"/>
        <v>0</v>
      </c>
      <c r="AD381" s="28" t="s">
        <v>68</v>
      </c>
      <c r="AE381" s="12" t="str">
        <f t="shared" si="154"/>
        <v>-</v>
      </c>
      <c r="AF381" s="12" t="str">
        <f t="shared" si="139"/>
        <v>-</v>
      </c>
      <c r="AG381" s="12"/>
      <c r="AH381" s="17"/>
      <c r="AI381" s="17"/>
      <c r="AJ381" s="2">
        <f t="shared" si="155"/>
        <v>0</v>
      </c>
      <c r="AK381" s="2">
        <f t="shared" si="156"/>
        <v>0</v>
      </c>
      <c r="AL381" s="2">
        <f t="shared" si="157"/>
        <v>0</v>
      </c>
      <c r="AM381" s="2">
        <f t="shared" si="158"/>
        <v>11</v>
      </c>
    </row>
    <row r="382" spans="1:39" outlineLevel="1" x14ac:dyDescent="0.25">
      <c r="A382" t="s">
        <v>33</v>
      </c>
      <c r="B382" t="str">
        <f t="shared" si="150"/>
        <v xml:space="preserve"> (x)</v>
      </c>
      <c r="C382" s="3">
        <v>3721</v>
      </c>
      <c r="I382" s="45" t="str">
        <f t="shared" si="140"/>
        <v/>
      </c>
      <c r="J382" s="46" t="str">
        <f t="shared" si="141"/>
        <v/>
      </c>
      <c r="K382" s="62">
        <f t="shared" si="142"/>
        <v>0</v>
      </c>
      <c r="L382" s="28" t="s">
        <v>63</v>
      </c>
      <c r="M382" s="12" t="str">
        <f t="shared" si="151"/>
        <v>-</v>
      </c>
      <c r="N382" s="12" t="str">
        <f t="shared" si="136"/>
        <v>-</v>
      </c>
      <c r="O382" s="12"/>
      <c r="Q382" s="62">
        <f t="shared" si="143"/>
        <v>0</v>
      </c>
      <c r="R382" s="28" t="s">
        <v>63</v>
      </c>
      <c r="S382" s="12" t="str">
        <f t="shared" si="152"/>
        <v>-</v>
      </c>
      <c r="T382" s="12" t="str">
        <f t="shared" si="137"/>
        <v>-</v>
      </c>
      <c r="U382" s="12"/>
      <c r="V382" s="12"/>
      <c r="W382" s="62">
        <f t="shared" si="144"/>
        <v>10</v>
      </c>
      <c r="X382" s="28">
        <v>0</v>
      </c>
      <c r="Y382" s="12" t="str">
        <f t="shared" si="153"/>
        <v>-</v>
      </c>
      <c r="Z382" s="12">
        <f t="shared" si="138"/>
        <v>10</v>
      </c>
      <c r="AA382" s="12"/>
      <c r="AB382" s="64"/>
      <c r="AC382" s="62">
        <f t="shared" si="145"/>
        <v>0</v>
      </c>
      <c r="AD382" s="28" t="s">
        <v>68</v>
      </c>
      <c r="AE382" s="12" t="str">
        <f t="shared" si="154"/>
        <v>-</v>
      </c>
      <c r="AF382" s="12" t="str">
        <f t="shared" si="139"/>
        <v>-</v>
      </c>
      <c r="AG382" s="12"/>
      <c r="AH382" s="17"/>
      <c r="AI382" s="17"/>
      <c r="AJ382" s="2">
        <f t="shared" si="155"/>
        <v>0</v>
      </c>
      <c r="AK382" s="2">
        <f t="shared" si="156"/>
        <v>0</v>
      </c>
      <c r="AL382" s="2">
        <f t="shared" si="157"/>
        <v>0</v>
      </c>
      <c r="AM382" s="2">
        <f t="shared" si="158"/>
        <v>11</v>
      </c>
    </row>
    <row r="383" spans="1:39" outlineLevel="1" x14ac:dyDescent="0.25">
      <c r="A383" t="s">
        <v>33</v>
      </c>
      <c r="B383" t="str">
        <f t="shared" si="150"/>
        <v xml:space="preserve"> (x)</v>
      </c>
      <c r="C383" s="3">
        <v>3722</v>
      </c>
      <c r="I383" s="45" t="str">
        <f t="shared" si="140"/>
        <v/>
      </c>
      <c r="J383" s="46" t="str">
        <f t="shared" si="141"/>
        <v/>
      </c>
      <c r="K383" s="62">
        <f t="shared" si="142"/>
        <v>0</v>
      </c>
      <c r="L383" s="28" t="s">
        <v>63</v>
      </c>
      <c r="M383" s="12" t="str">
        <f t="shared" si="151"/>
        <v>-</v>
      </c>
      <c r="N383" s="12" t="str">
        <f t="shared" si="136"/>
        <v>-</v>
      </c>
      <c r="O383" s="12"/>
      <c r="Q383" s="62">
        <f t="shared" si="143"/>
        <v>0</v>
      </c>
      <c r="R383" s="28" t="s">
        <v>63</v>
      </c>
      <c r="S383" s="12" t="str">
        <f t="shared" si="152"/>
        <v>-</v>
      </c>
      <c r="T383" s="12" t="str">
        <f t="shared" si="137"/>
        <v>-</v>
      </c>
      <c r="U383" s="12"/>
      <c r="V383" s="12"/>
      <c r="W383" s="62">
        <f t="shared" si="144"/>
        <v>10</v>
      </c>
      <c r="X383" s="28">
        <v>0</v>
      </c>
      <c r="Y383" s="12" t="str">
        <f t="shared" si="153"/>
        <v>-</v>
      </c>
      <c r="Z383" s="12">
        <f t="shared" si="138"/>
        <v>10</v>
      </c>
      <c r="AA383" s="12"/>
      <c r="AB383" s="64"/>
      <c r="AC383" s="62">
        <f t="shared" si="145"/>
        <v>0</v>
      </c>
      <c r="AD383" s="28" t="s">
        <v>68</v>
      </c>
      <c r="AE383" s="12" t="str">
        <f t="shared" si="154"/>
        <v>-</v>
      </c>
      <c r="AF383" s="12" t="str">
        <f t="shared" si="139"/>
        <v>-</v>
      </c>
      <c r="AG383" s="12"/>
      <c r="AH383" s="17"/>
      <c r="AI383" s="17"/>
      <c r="AJ383" s="2">
        <f t="shared" si="155"/>
        <v>0</v>
      </c>
      <c r="AK383" s="2">
        <f t="shared" si="156"/>
        <v>0</v>
      </c>
      <c r="AL383" s="2">
        <f t="shared" si="157"/>
        <v>0</v>
      </c>
      <c r="AM383" s="2">
        <f t="shared" si="158"/>
        <v>11</v>
      </c>
    </row>
    <row r="384" spans="1:39" outlineLevel="1" x14ac:dyDescent="0.25">
      <c r="A384" t="s">
        <v>33</v>
      </c>
      <c r="B384" t="str">
        <f t="shared" si="150"/>
        <v xml:space="preserve"> (x)</v>
      </c>
      <c r="C384" s="3">
        <v>3723</v>
      </c>
      <c r="I384" s="45" t="str">
        <f t="shared" si="140"/>
        <v/>
      </c>
      <c r="J384" s="46" t="str">
        <f t="shared" si="141"/>
        <v/>
      </c>
      <c r="K384" s="62">
        <f t="shared" si="142"/>
        <v>0</v>
      </c>
      <c r="L384" s="28" t="s">
        <v>63</v>
      </c>
      <c r="M384" s="12" t="str">
        <f t="shared" si="151"/>
        <v>-</v>
      </c>
      <c r="N384" s="12" t="str">
        <f t="shared" si="136"/>
        <v>-</v>
      </c>
      <c r="O384" s="12"/>
      <c r="Q384" s="62">
        <f t="shared" si="143"/>
        <v>0</v>
      </c>
      <c r="R384" s="28" t="s">
        <v>63</v>
      </c>
      <c r="S384" s="12" t="str">
        <f t="shared" si="152"/>
        <v>-</v>
      </c>
      <c r="T384" s="12" t="str">
        <f t="shared" si="137"/>
        <v>-</v>
      </c>
      <c r="U384" s="12"/>
      <c r="V384" s="12"/>
      <c r="W384" s="62">
        <f t="shared" si="144"/>
        <v>10</v>
      </c>
      <c r="X384" s="28">
        <v>0</v>
      </c>
      <c r="Y384" s="12" t="str">
        <f t="shared" si="153"/>
        <v>-</v>
      </c>
      <c r="Z384" s="12">
        <f t="shared" si="138"/>
        <v>10</v>
      </c>
      <c r="AA384" s="12"/>
      <c r="AB384" s="64"/>
      <c r="AC384" s="62">
        <f t="shared" si="145"/>
        <v>0</v>
      </c>
      <c r="AD384" s="28" t="s">
        <v>68</v>
      </c>
      <c r="AE384" s="12" t="str">
        <f t="shared" si="154"/>
        <v>-</v>
      </c>
      <c r="AF384" s="12" t="str">
        <f t="shared" si="139"/>
        <v>-</v>
      </c>
      <c r="AG384" s="12"/>
      <c r="AH384" s="17"/>
      <c r="AI384" s="17"/>
      <c r="AJ384" s="2">
        <f t="shared" si="155"/>
        <v>0</v>
      </c>
      <c r="AK384" s="2">
        <f t="shared" si="156"/>
        <v>0</v>
      </c>
      <c r="AL384" s="2">
        <f t="shared" si="157"/>
        <v>0</v>
      </c>
      <c r="AM384" s="2">
        <f t="shared" si="158"/>
        <v>11</v>
      </c>
    </row>
    <row r="385" spans="1:40" outlineLevel="1" x14ac:dyDescent="0.25">
      <c r="A385" t="s">
        <v>33</v>
      </c>
      <c r="B385" t="str">
        <f t="shared" si="150"/>
        <v xml:space="preserve"> (x)</v>
      </c>
      <c r="C385" s="3">
        <v>3724</v>
      </c>
      <c r="I385" s="45" t="str">
        <f t="shared" si="140"/>
        <v/>
      </c>
      <c r="J385" s="46" t="str">
        <f t="shared" si="141"/>
        <v/>
      </c>
      <c r="K385" s="62">
        <f t="shared" si="142"/>
        <v>0</v>
      </c>
      <c r="L385" s="28" t="s">
        <v>63</v>
      </c>
      <c r="M385" s="12" t="str">
        <f t="shared" si="151"/>
        <v>-</v>
      </c>
      <c r="N385" s="12" t="str">
        <f t="shared" si="136"/>
        <v>-</v>
      </c>
      <c r="O385" s="12"/>
      <c r="Q385" s="62">
        <f t="shared" si="143"/>
        <v>0</v>
      </c>
      <c r="R385" s="28" t="s">
        <v>63</v>
      </c>
      <c r="S385" s="12" t="str">
        <f t="shared" si="152"/>
        <v>-</v>
      </c>
      <c r="T385" s="12" t="str">
        <f t="shared" si="137"/>
        <v>-</v>
      </c>
      <c r="U385" s="12"/>
      <c r="V385" s="12"/>
      <c r="W385" s="62">
        <f t="shared" si="144"/>
        <v>10</v>
      </c>
      <c r="X385" s="28">
        <v>0</v>
      </c>
      <c r="Y385" s="12" t="str">
        <f t="shared" si="153"/>
        <v>-</v>
      </c>
      <c r="Z385" s="12">
        <f t="shared" si="138"/>
        <v>10</v>
      </c>
      <c r="AA385" s="12"/>
      <c r="AB385" s="64"/>
      <c r="AC385" s="62">
        <f t="shared" si="145"/>
        <v>0</v>
      </c>
      <c r="AD385" s="28" t="s">
        <v>68</v>
      </c>
      <c r="AE385" s="12" t="str">
        <f t="shared" si="154"/>
        <v>-</v>
      </c>
      <c r="AF385" s="12" t="str">
        <f t="shared" si="139"/>
        <v>-</v>
      </c>
      <c r="AG385" s="12"/>
      <c r="AH385" s="17"/>
      <c r="AI385" s="17"/>
      <c r="AJ385" s="2">
        <f t="shared" si="155"/>
        <v>0</v>
      </c>
      <c r="AK385" s="2">
        <f t="shared" si="156"/>
        <v>0</v>
      </c>
      <c r="AL385" s="2">
        <f t="shared" si="157"/>
        <v>0</v>
      </c>
      <c r="AM385" s="2">
        <f t="shared" si="158"/>
        <v>11</v>
      </c>
    </row>
    <row r="386" spans="1:40" outlineLevel="1" x14ac:dyDescent="0.25">
      <c r="A386" t="s">
        <v>33</v>
      </c>
      <c r="B386" t="str">
        <f t="shared" si="150"/>
        <v xml:space="preserve"> (x)</v>
      </c>
      <c r="C386" s="3">
        <v>3725</v>
      </c>
      <c r="I386" s="45" t="str">
        <f t="shared" si="140"/>
        <v/>
      </c>
      <c r="J386" s="46" t="str">
        <f t="shared" si="141"/>
        <v/>
      </c>
      <c r="K386" s="62">
        <f t="shared" si="142"/>
        <v>0</v>
      </c>
      <c r="L386" s="28" t="s">
        <v>63</v>
      </c>
      <c r="M386" s="12" t="str">
        <f t="shared" si="151"/>
        <v>-</v>
      </c>
      <c r="N386" s="12" t="str">
        <f t="shared" si="136"/>
        <v>-</v>
      </c>
      <c r="O386" s="12"/>
      <c r="Q386" s="62">
        <f t="shared" si="143"/>
        <v>0</v>
      </c>
      <c r="R386" s="28" t="s">
        <v>63</v>
      </c>
      <c r="S386" s="12" t="str">
        <f t="shared" si="152"/>
        <v>-</v>
      </c>
      <c r="T386" s="12" t="str">
        <f t="shared" si="137"/>
        <v>-</v>
      </c>
      <c r="U386" s="12"/>
      <c r="V386" s="12"/>
      <c r="W386" s="62">
        <f t="shared" si="144"/>
        <v>10</v>
      </c>
      <c r="X386" s="28">
        <v>0</v>
      </c>
      <c r="Y386" s="12" t="str">
        <f t="shared" si="153"/>
        <v>-</v>
      </c>
      <c r="Z386" s="12">
        <f t="shared" si="138"/>
        <v>10</v>
      </c>
      <c r="AA386" s="12"/>
      <c r="AB386" s="64"/>
      <c r="AC386" s="62">
        <f t="shared" si="145"/>
        <v>0</v>
      </c>
      <c r="AD386" s="28" t="s">
        <v>68</v>
      </c>
      <c r="AE386" s="12" t="str">
        <f t="shared" si="154"/>
        <v>-</v>
      </c>
      <c r="AF386" s="12" t="str">
        <f t="shared" si="139"/>
        <v>-</v>
      </c>
      <c r="AG386" s="12"/>
      <c r="AH386" s="17"/>
      <c r="AI386" s="17"/>
      <c r="AJ386" s="2">
        <f t="shared" si="155"/>
        <v>0</v>
      </c>
      <c r="AK386" s="2">
        <f t="shared" si="156"/>
        <v>0</v>
      </c>
      <c r="AL386" s="2">
        <f t="shared" si="157"/>
        <v>0</v>
      </c>
      <c r="AM386" s="2">
        <f t="shared" si="158"/>
        <v>11</v>
      </c>
    </row>
    <row r="387" spans="1:40" s="14" customFormat="1" x14ac:dyDescent="0.25">
      <c r="A387" s="32"/>
      <c r="B387" s="5" t="s">
        <v>43</v>
      </c>
      <c r="C387" s="5"/>
      <c r="D387" s="5"/>
      <c r="E387" s="5"/>
      <c r="F387" s="5"/>
      <c r="G387" s="5"/>
      <c r="H387" s="5"/>
      <c r="I387" s="44" t="str">
        <f t="shared" si="140"/>
        <v/>
      </c>
      <c r="J387" s="44" t="str">
        <f t="shared" si="141"/>
        <v/>
      </c>
      <c r="K387" s="62">
        <f t="shared" si="142"/>
        <v>0</v>
      </c>
      <c r="L387" s="11" t="s">
        <v>63</v>
      </c>
      <c r="M387" s="15">
        <f>AVERAGE(M388:M413)</f>
        <v>0.49721955002093571</v>
      </c>
      <c r="N387" s="15" t="str">
        <f t="shared" si="136"/>
        <v>-</v>
      </c>
      <c r="O387" s="15"/>
      <c r="P387" s="17"/>
      <c r="Q387" s="62">
        <f t="shared" si="143"/>
        <v>0</v>
      </c>
      <c r="R387" s="11" t="s">
        <v>63</v>
      </c>
      <c r="S387" s="15">
        <f>AVERAGE(S388:S413)</f>
        <v>0.49917455820515882</v>
      </c>
      <c r="T387" s="15" t="str">
        <f t="shared" si="137"/>
        <v>-</v>
      </c>
      <c r="U387" s="15"/>
      <c r="V387" s="15"/>
      <c r="W387" s="62">
        <f t="shared" si="144"/>
        <v>10</v>
      </c>
      <c r="X387" s="11">
        <v>0</v>
      </c>
      <c r="Y387" s="15">
        <f>AVERAGE(Y388:Y413)</f>
        <v>0.44184308983895076</v>
      </c>
      <c r="Z387" s="15">
        <f t="shared" si="138"/>
        <v>10</v>
      </c>
      <c r="AA387" s="15"/>
      <c r="AB387" s="64"/>
      <c r="AC387" s="62">
        <f t="shared" si="145"/>
        <v>0</v>
      </c>
      <c r="AD387" s="11" t="s">
        <v>68</v>
      </c>
      <c r="AE387" s="15">
        <f>AVERAGE(AE388:AE413)</f>
        <v>0.41364760416199869</v>
      </c>
      <c r="AF387" s="15" t="str">
        <f t="shared" si="139"/>
        <v>-</v>
      </c>
      <c r="AG387" s="15"/>
      <c r="AH387" s="17"/>
      <c r="AI387" s="63"/>
      <c r="AJ387" s="4">
        <f t="shared" si="155"/>
        <v>0</v>
      </c>
      <c r="AK387" s="4">
        <f t="shared" si="156"/>
        <v>0</v>
      </c>
      <c r="AL387" s="4">
        <f t="shared" si="157"/>
        <v>0</v>
      </c>
      <c r="AM387" s="4">
        <f t="shared" si="158"/>
        <v>11</v>
      </c>
      <c r="AN387" s="32"/>
    </row>
    <row r="388" spans="1:40" outlineLevel="1" x14ac:dyDescent="0.25">
      <c r="A388" t="s">
        <v>33</v>
      </c>
      <c r="B388" s="7" t="str">
        <f t="shared" si="150"/>
        <v>Fachboden groß (360x360)</v>
      </c>
      <c r="C388" s="8">
        <v>3750</v>
      </c>
      <c r="D388" s="7" t="s">
        <v>43</v>
      </c>
      <c r="E388">
        <v>360</v>
      </c>
      <c r="F388">
        <v>360</v>
      </c>
      <c r="I388" s="45">
        <f t="shared" si="140"/>
        <v>0.12959999999999999</v>
      </c>
      <c r="J388" s="46">
        <f t="shared" si="141"/>
        <v>1.44</v>
      </c>
      <c r="K388" s="62">
        <f t="shared" si="142"/>
        <v>34</v>
      </c>
      <c r="L388" s="28">
        <v>18</v>
      </c>
      <c r="M388" s="13">
        <f t="shared" ref="M388:M414" si="159">IFERROR(K388/L388-1,"-")</f>
        <v>0.88888888888888884</v>
      </c>
      <c r="N388" s="12">
        <f t="shared" si="136"/>
        <v>16</v>
      </c>
      <c r="O388" s="30" t="s">
        <v>72</v>
      </c>
      <c r="Q388" s="62">
        <f t="shared" si="143"/>
        <v>114</v>
      </c>
      <c r="R388" s="28">
        <v>70</v>
      </c>
      <c r="S388" s="13">
        <f t="shared" ref="S388:S414" si="160">IFERROR(Q388/R388-1,"-")</f>
        <v>0.62857142857142856</v>
      </c>
      <c r="T388" s="12">
        <f t="shared" si="137"/>
        <v>44</v>
      </c>
      <c r="U388" s="30" t="s">
        <v>72</v>
      </c>
      <c r="V388" s="30"/>
      <c r="W388" s="62">
        <f t="shared" si="144"/>
        <v>89</v>
      </c>
      <c r="X388" s="28">
        <v>59</v>
      </c>
      <c r="Y388" s="13">
        <f t="shared" ref="Y388:Y414" si="161">IFERROR(W388/X388-1,"-")</f>
        <v>0.50847457627118642</v>
      </c>
      <c r="Z388" s="12">
        <f t="shared" si="138"/>
        <v>30</v>
      </c>
      <c r="AA388" s="30" t="s">
        <v>72</v>
      </c>
      <c r="AB388" s="64"/>
      <c r="AC388" s="62">
        <f t="shared" si="145"/>
        <v>177</v>
      </c>
      <c r="AD388" s="28">
        <v>124</v>
      </c>
      <c r="AE388" s="13">
        <f t="shared" ref="AE388:AE414" si="162">IFERROR(AC388/AD388-1,"-")</f>
        <v>0.42741935483870974</v>
      </c>
      <c r="AF388" s="12">
        <f t="shared" si="139"/>
        <v>53</v>
      </c>
      <c r="AG388" s="30" t="s">
        <v>72</v>
      </c>
      <c r="AH388" s="17"/>
      <c r="AI388" s="16"/>
      <c r="AJ388" s="2">
        <f t="shared" si="155"/>
        <v>37</v>
      </c>
      <c r="AK388" s="2">
        <f t="shared" si="156"/>
        <v>125</v>
      </c>
      <c r="AL388" s="2">
        <f t="shared" si="157"/>
        <v>195</v>
      </c>
      <c r="AM388" s="2">
        <f t="shared" si="158"/>
        <v>98</v>
      </c>
    </row>
    <row r="389" spans="1:40" outlineLevel="1" x14ac:dyDescent="0.25">
      <c r="A389" t="s">
        <v>33</v>
      </c>
      <c r="B389" s="7" t="str">
        <f t="shared" si="150"/>
        <v>Fachboden groß (420x360)</v>
      </c>
      <c r="C389">
        <v>3751</v>
      </c>
      <c r="D389" s="7" t="s">
        <v>43</v>
      </c>
      <c r="E389">
        <v>420</v>
      </c>
      <c r="F389">
        <v>360</v>
      </c>
      <c r="I389" s="45">
        <f t="shared" si="140"/>
        <v>0.1512</v>
      </c>
      <c r="J389" s="46">
        <f t="shared" si="141"/>
        <v>1.56</v>
      </c>
      <c r="K389" s="62">
        <f t="shared" si="142"/>
        <v>34</v>
      </c>
      <c r="L389" s="28">
        <v>21</v>
      </c>
      <c r="M389" s="13">
        <f t="shared" si="159"/>
        <v>0.61904761904761907</v>
      </c>
      <c r="N389" s="12">
        <f t="shared" si="136"/>
        <v>13</v>
      </c>
      <c r="O389" s="30" t="s">
        <v>72</v>
      </c>
      <c r="Q389" s="62">
        <f t="shared" si="143"/>
        <v>121</v>
      </c>
      <c r="R389" s="28">
        <v>75</v>
      </c>
      <c r="S389" s="13">
        <f t="shared" si="160"/>
        <v>0.61333333333333329</v>
      </c>
      <c r="T389" s="12">
        <f t="shared" si="137"/>
        <v>46</v>
      </c>
      <c r="U389" s="30" t="s">
        <v>72</v>
      </c>
      <c r="V389" s="30"/>
      <c r="W389" s="62">
        <f t="shared" si="144"/>
        <v>92</v>
      </c>
      <c r="X389" s="28">
        <v>61</v>
      </c>
      <c r="Y389" s="13">
        <f t="shared" si="161"/>
        <v>0.50819672131147531</v>
      </c>
      <c r="Z389" s="12">
        <f t="shared" si="138"/>
        <v>31</v>
      </c>
      <c r="AA389" s="30" t="s">
        <v>72</v>
      </c>
      <c r="AB389" s="64"/>
      <c r="AC389" s="62">
        <f t="shared" si="145"/>
        <v>178</v>
      </c>
      <c r="AD389" s="28">
        <v>125</v>
      </c>
      <c r="AE389" s="13">
        <f t="shared" si="162"/>
        <v>0.42399999999999993</v>
      </c>
      <c r="AF389" s="12">
        <f t="shared" si="139"/>
        <v>53</v>
      </c>
      <c r="AG389" s="30" t="s">
        <v>72</v>
      </c>
      <c r="AH389" s="17"/>
      <c r="AI389" s="16"/>
      <c r="AJ389" s="2">
        <f t="shared" si="155"/>
        <v>37</v>
      </c>
      <c r="AK389" s="2">
        <f t="shared" si="156"/>
        <v>133</v>
      </c>
      <c r="AL389" s="2">
        <f t="shared" si="157"/>
        <v>196</v>
      </c>
      <c r="AM389" s="2">
        <f t="shared" si="158"/>
        <v>101</v>
      </c>
    </row>
    <row r="390" spans="1:40" outlineLevel="1" x14ac:dyDescent="0.25">
      <c r="A390" t="s">
        <v>33</v>
      </c>
      <c r="B390" s="7" t="str">
        <f t="shared" si="150"/>
        <v>Fachboden groß (580x360)</v>
      </c>
      <c r="C390">
        <v>3752</v>
      </c>
      <c r="D390" s="7" t="s">
        <v>43</v>
      </c>
      <c r="E390">
        <v>580</v>
      </c>
      <c r="F390">
        <v>360</v>
      </c>
      <c r="I390" s="45">
        <f t="shared" si="140"/>
        <v>0.20879999999999999</v>
      </c>
      <c r="J390" s="46">
        <f t="shared" si="141"/>
        <v>1.88</v>
      </c>
      <c r="K390" s="62">
        <f t="shared" si="142"/>
        <v>43</v>
      </c>
      <c r="L390" s="28">
        <v>28</v>
      </c>
      <c r="M390" s="13">
        <f t="shared" si="159"/>
        <v>0.53571428571428581</v>
      </c>
      <c r="N390" s="12">
        <f t="shared" ref="N390:N453" si="163">IFERROR(K390-L390,"-")</f>
        <v>15</v>
      </c>
      <c r="O390" s="30" t="s">
        <v>72</v>
      </c>
      <c r="Q390" s="62">
        <f t="shared" si="143"/>
        <v>161</v>
      </c>
      <c r="R390" s="28">
        <v>105</v>
      </c>
      <c r="S390" s="13">
        <f t="shared" si="160"/>
        <v>0.53333333333333344</v>
      </c>
      <c r="T390" s="12">
        <f t="shared" ref="T390:T442" si="164">IFERROR(Q390-R390,"-")</f>
        <v>56</v>
      </c>
      <c r="U390" s="30" t="s">
        <v>72</v>
      </c>
      <c r="V390" s="30"/>
      <c r="W390" s="62">
        <f t="shared" si="144"/>
        <v>130</v>
      </c>
      <c r="X390" s="28">
        <v>89</v>
      </c>
      <c r="Y390" s="13">
        <f t="shared" si="161"/>
        <v>0.4606741573033708</v>
      </c>
      <c r="Z390" s="12">
        <f t="shared" ref="Z390:Z453" si="165">IFERROR(W390-X390,"-")</f>
        <v>41</v>
      </c>
      <c r="AA390" s="30" t="s">
        <v>72</v>
      </c>
      <c r="AB390" s="64"/>
      <c r="AC390" s="62">
        <f t="shared" si="145"/>
        <v>185</v>
      </c>
      <c r="AD390" s="28">
        <v>130</v>
      </c>
      <c r="AE390" s="13">
        <f t="shared" si="162"/>
        <v>0.42307692307692313</v>
      </c>
      <c r="AF390" s="12">
        <f t="shared" ref="AF390:AF453" si="166">IFERROR(AC390-AD390,"-")</f>
        <v>55</v>
      </c>
      <c r="AG390" s="30" t="s">
        <v>72</v>
      </c>
      <c r="AH390" s="17"/>
      <c r="AI390" s="16"/>
      <c r="AJ390" s="2">
        <f t="shared" si="155"/>
        <v>47</v>
      </c>
      <c r="AK390" s="2">
        <f t="shared" si="156"/>
        <v>177</v>
      </c>
      <c r="AL390" s="2">
        <f t="shared" si="157"/>
        <v>204</v>
      </c>
      <c r="AM390" s="2">
        <f t="shared" si="158"/>
        <v>143</v>
      </c>
    </row>
    <row r="391" spans="1:40" outlineLevel="1" x14ac:dyDescent="0.25">
      <c r="A391" t="s">
        <v>33</v>
      </c>
      <c r="B391" s="7" t="str">
        <f t="shared" si="150"/>
        <v>Fachboden groß (780x360)</v>
      </c>
      <c r="C391">
        <v>3753</v>
      </c>
      <c r="D391" s="7" t="s">
        <v>43</v>
      </c>
      <c r="E391">
        <v>780</v>
      </c>
      <c r="F391">
        <v>360</v>
      </c>
      <c r="I391" s="45">
        <f t="shared" ref="I391:I454" si="167">+IF($E391="","",MAX($E391,360)/1000*MAX($F391,360)/1000)</f>
        <v>0.28079999999999999</v>
      </c>
      <c r="J391" s="46">
        <f t="shared" ref="J391:J454" si="168">IF($F391="","",2*MAX($E391,360)/1000+2*MAX($F391,360)/1000)</f>
        <v>2.2800000000000002</v>
      </c>
      <c r="K391" s="62">
        <f t="shared" ref="K391:K442" si="169">+IFERROR(MAX($J$5,ROUND(L391*(1+L$2)^N$2+J$2,0)),0)</f>
        <v>56</v>
      </c>
      <c r="L391" s="28">
        <v>38</v>
      </c>
      <c r="M391" s="13">
        <f t="shared" si="159"/>
        <v>0.47368421052631571</v>
      </c>
      <c r="N391" s="12">
        <f t="shared" si="163"/>
        <v>18</v>
      </c>
      <c r="O391" s="30" t="s">
        <v>72</v>
      </c>
      <c r="Q391" s="62">
        <f t="shared" ref="Q391:Q454" si="170">+IFERROR(IF(AND(R391="-",K391&gt;0),ROUND(V$4*K391,0),ROUND(R391*(1+S$2)^U$2+Q$2,0)),0)</f>
        <v>185</v>
      </c>
      <c r="R391" s="28">
        <v>123</v>
      </c>
      <c r="S391" s="13">
        <f t="shared" si="160"/>
        <v>0.50406504065040658</v>
      </c>
      <c r="T391" s="12">
        <f t="shared" si="164"/>
        <v>62</v>
      </c>
      <c r="U391" s="30" t="s">
        <v>72</v>
      </c>
      <c r="V391" s="30"/>
      <c r="W391" s="62">
        <f t="shared" ref="W391:W454" si="171">+IFERROR(IF(AND(X391="-",Q391&gt;0),ROUND(AB$4*Q391,0),ROUND(X391*(1+Y$2)^AA$2+W$2,0)),0)</f>
        <v>144</v>
      </c>
      <c r="X391" s="28">
        <v>100</v>
      </c>
      <c r="Y391" s="13">
        <f t="shared" si="161"/>
        <v>0.43999999999999995</v>
      </c>
      <c r="Z391" s="12">
        <f t="shared" si="165"/>
        <v>44</v>
      </c>
      <c r="AA391" s="30" t="s">
        <v>72</v>
      </c>
      <c r="AB391" s="64"/>
      <c r="AC391" s="62">
        <f t="shared" ref="AC391:AC454" si="172">+IFERROR(IF(AND(AD391="-",W391&gt;0),ROUND(AH$4*W391,0),ROUND(AD391*(1+AE$2)^AG$2+AC$2,0)),0)</f>
        <v>190</v>
      </c>
      <c r="AD391" s="28">
        <v>134</v>
      </c>
      <c r="AE391" s="13">
        <f t="shared" si="162"/>
        <v>0.41791044776119413</v>
      </c>
      <c r="AF391" s="12">
        <f t="shared" si="166"/>
        <v>56</v>
      </c>
      <c r="AG391" s="30" t="s">
        <v>72</v>
      </c>
      <c r="AH391" s="17"/>
      <c r="AI391" s="16"/>
      <c r="AJ391" s="2">
        <f t="shared" si="155"/>
        <v>62</v>
      </c>
      <c r="AK391" s="2">
        <f t="shared" si="156"/>
        <v>204</v>
      </c>
      <c r="AL391" s="2">
        <f t="shared" si="157"/>
        <v>209</v>
      </c>
      <c r="AM391" s="2">
        <f t="shared" si="158"/>
        <v>158</v>
      </c>
    </row>
    <row r="392" spans="1:40" outlineLevel="1" x14ac:dyDescent="0.25">
      <c r="A392" t="s">
        <v>33</v>
      </c>
      <c r="B392" s="7" t="str">
        <f t="shared" si="150"/>
        <v>Fachboden groß (980x360)</v>
      </c>
      <c r="C392">
        <v>3754</v>
      </c>
      <c r="D392" s="7" t="s">
        <v>43</v>
      </c>
      <c r="E392">
        <v>980</v>
      </c>
      <c r="F392">
        <v>360</v>
      </c>
      <c r="I392" s="45">
        <f t="shared" si="167"/>
        <v>0.3528</v>
      </c>
      <c r="J392" s="46">
        <f t="shared" si="168"/>
        <v>2.6799999999999997</v>
      </c>
      <c r="K392" s="62">
        <f t="shared" si="169"/>
        <v>70</v>
      </c>
      <c r="L392" s="28">
        <v>48</v>
      </c>
      <c r="M392" s="13">
        <f t="shared" si="159"/>
        <v>0.45833333333333326</v>
      </c>
      <c r="N392" s="12">
        <f t="shared" si="163"/>
        <v>22</v>
      </c>
      <c r="O392" s="30" t="s">
        <v>72</v>
      </c>
      <c r="Q392" s="62">
        <f t="shared" si="170"/>
        <v>223</v>
      </c>
      <c r="R392" s="28">
        <v>151</v>
      </c>
      <c r="S392" s="13">
        <f t="shared" si="160"/>
        <v>0.47682119205298013</v>
      </c>
      <c r="T392" s="12">
        <f t="shared" si="164"/>
        <v>72</v>
      </c>
      <c r="U392" s="30" t="s">
        <v>72</v>
      </c>
      <c r="V392" s="30"/>
      <c r="W392" s="62">
        <f t="shared" si="171"/>
        <v>174</v>
      </c>
      <c r="X392" s="28">
        <v>122</v>
      </c>
      <c r="Y392" s="13">
        <f t="shared" si="161"/>
        <v>0.42622950819672134</v>
      </c>
      <c r="Z392" s="12">
        <f t="shared" si="165"/>
        <v>52</v>
      </c>
      <c r="AA392" s="30" t="s">
        <v>72</v>
      </c>
      <c r="AB392" s="64"/>
      <c r="AC392" s="62">
        <f t="shared" si="172"/>
        <v>209</v>
      </c>
      <c r="AD392" s="28">
        <v>148</v>
      </c>
      <c r="AE392" s="13">
        <f t="shared" si="162"/>
        <v>0.41216216216216206</v>
      </c>
      <c r="AF392" s="12">
        <f t="shared" si="166"/>
        <v>61</v>
      </c>
      <c r="AG392" s="30" t="s">
        <v>72</v>
      </c>
      <c r="AH392" s="17"/>
      <c r="AI392" s="16"/>
      <c r="AJ392" s="2">
        <f t="shared" si="155"/>
        <v>77</v>
      </c>
      <c r="AK392" s="2">
        <f t="shared" si="156"/>
        <v>245</v>
      </c>
      <c r="AL392" s="2">
        <f t="shared" si="157"/>
        <v>230</v>
      </c>
      <c r="AM392" s="2">
        <f t="shared" si="158"/>
        <v>191</v>
      </c>
    </row>
    <row r="393" spans="1:40" outlineLevel="1" x14ac:dyDescent="0.25">
      <c r="A393" t="s">
        <v>33</v>
      </c>
      <c r="B393" s="7" t="str">
        <f t="shared" si="150"/>
        <v>Fachboden groß (360x580)</v>
      </c>
      <c r="C393">
        <v>3755</v>
      </c>
      <c r="D393" s="7" t="s">
        <v>43</v>
      </c>
      <c r="E393">
        <v>360</v>
      </c>
      <c r="F393">
        <v>580</v>
      </c>
      <c r="I393" s="45">
        <f t="shared" si="167"/>
        <v>0.20879999999999999</v>
      </c>
      <c r="J393" s="46">
        <f t="shared" si="168"/>
        <v>1.88</v>
      </c>
      <c r="K393" s="62">
        <f t="shared" si="169"/>
        <v>43</v>
      </c>
      <c r="L393" s="28">
        <v>28</v>
      </c>
      <c r="M393" s="13">
        <f t="shared" si="159"/>
        <v>0.53571428571428581</v>
      </c>
      <c r="N393" s="12">
        <f t="shared" si="163"/>
        <v>15</v>
      </c>
      <c r="O393" s="30" t="s">
        <v>72</v>
      </c>
      <c r="Q393" s="62">
        <f t="shared" si="170"/>
        <v>161</v>
      </c>
      <c r="R393" s="28">
        <v>105</v>
      </c>
      <c r="S393" s="13">
        <f t="shared" si="160"/>
        <v>0.53333333333333344</v>
      </c>
      <c r="T393" s="12">
        <f t="shared" si="164"/>
        <v>56</v>
      </c>
      <c r="U393" s="30" t="s">
        <v>72</v>
      </c>
      <c r="V393" s="30"/>
      <c r="W393" s="62">
        <f t="shared" si="171"/>
        <v>130</v>
      </c>
      <c r="X393" s="28">
        <v>89</v>
      </c>
      <c r="Y393" s="13">
        <f t="shared" si="161"/>
        <v>0.4606741573033708</v>
      </c>
      <c r="Z393" s="12">
        <f t="shared" si="165"/>
        <v>41</v>
      </c>
      <c r="AA393" s="30" t="s">
        <v>72</v>
      </c>
      <c r="AB393" s="64"/>
      <c r="AC393" s="62">
        <f t="shared" si="172"/>
        <v>185</v>
      </c>
      <c r="AD393" s="28">
        <v>130</v>
      </c>
      <c r="AE393" s="13">
        <f t="shared" si="162"/>
        <v>0.42307692307692313</v>
      </c>
      <c r="AF393" s="12">
        <f t="shared" si="166"/>
        <v>55</v>
      </c>
      <c r="AG393" s="30" t="s">
        <v>72</v>
      </c>
      <c r="AH393" s="17"/>
      <c r="AI393" s="16"/>
      <c r="AJ393" s="2">
        <f t="shared" si="155"/>
        <v>47</v>
      </c>
      <c r="AK393" s="2">
        <f t="shared" si="156"/>
        <v>177</v>
      </c>
      <c r="AL393" s="2">
        <f t="shared" si="157"/>
        <v>204</v>
      </c>
      <c r="AM393" s="2">
        <f t="shared" si="158"/>
        <v>143</v>
      </c>
    </row>
    <row r="394" spans="1:40" outlineLevel="1" x14ac:dyDescent="0.25">
      <c r="A394" t="s">
        <v>33</v>
      </c>
      <c r="B394" s="7" t="str">
        <f t="shared" si="150"/>
        <v>Fachboden groß (420x580)</v>
      </c>
      <c r="C394">
        <v>3756</v>
      </c>
      <c r="D394" s="7" t="s">
        <v>43</v>
      </c>
      <c r="E394">
        <v>420</v>
      </c>
      <c r="F394">
        <v>580</v>
      </c>
      <c r="I394" s="45">
        <f t="shared" si="167"/>
        <v>0.24359999999999998</v>
      </c>
      <c r="J394" s="46">
        <f t="shared" si="168"/>
        <v>2</v>
      </c>
      <c r="K394" s="62">
        <f t="shared" si="169"/>
        <v>49</v>
      </c>
      <c r="L394" s="28">
        <v>33</v>
      </c>
      <c r="M394" s="13">
        <f t="shared" si="159"/>
        <v>0.48484848484848486</v>
      </c>
      <c r="N394" s="12">
        <f t="shared" si="163"/>
        <v>16</v>
      </c>
      <c r="O394" s="30" t="s">
        <v>72</v>
      </c>
      <c r="Q394" s="62">
        <f t="shared" si="170"/>
        <v>181</v>
      </c>
      <c r="R394" s="28">
        <v>120</v>
      </c>
      <c r="S394" s="13">
        <f t="shared" si="160"/>
        <v>0.5083333333333333</v>
      </c>
      <c r="T394" s="12">
        <f t="shared" si="164"/>
        <v>61</v>
      </c>
      <c r="U394" s="30" t="s">
        <v>72</v>
      </c>
      <c r="V394" s="30"/>
      <c r="W394" s="62">
        <f t="shared" si="171"/>
        <v>147</v>
      </c>
      <c r="X394" s="28">
        <v>102</v>
      </c>
      <c r="Y394" s="13">
        <f t="shared" si="161"/>
        <v>0.44117647058823528</v>
      </c>
      <c r="Z394" s="12">
        <f t="shared" si="165"/>
        <v>45</v>
      </c>
      <c r="AA394" s="30" t="s">
        <v>72</v>
      </c>
      <c r="AB394" s="64"/>
      <c r="AC394" s="62">
        <f t="shared" si="172"/>
        <v>186</v>
      </c>
      <c r="AD394" s="28">
        <v>131</v>
      </c>
      <c r="AE394" s="13">
        <f t="shared" si="162"/>
        <v>0.41984732824427473</v>
      </c>
      <c r="AF394" s="12">
        <f t="shared" si="166"/>
        <v>55</v>
      </c>
      <c r="AG394" s="30" t="s">
        <v>72</v>
      </c>
      <c r="AH394" s="17"/>
      <c r="AI394" s="16"/>
      <c r="AJ394" s="2">
        <f t="shared" si="155"/>
        <v>54</v>
      </c>
      <c r="AK394" s="2">
        <f t="shared" si="156"/>
        <v>199</v>
      </c>
      <c r="AL394" s="2">
        <f t="shared" si="157"/>
        <v>205</v>
      </c>
      <c r="AM394" s="2">
        <f t="shared" si="158"/>
        <v>162</v>
      </c>
    </row>
    <row r="395" spans="1:40" outlineLevel="1" x14ac:dyDescent="0.25">
      <c r="A395" t="s">
        <v>33</v>
      </c>
      <c r="B395" s="7" t="str">
        <f t="shared" si="150"/>
        <v>Fachboden groß (580x580)</v>
      </c>
      <c r="C395">
        <v>3757</v>
      </c>
      <c r="D395" s="7" t="s">
        <v>43</v>
      </c>
      <c r="E395">
        <v>580</v>
      </c>
      <c r="F395">
        <v>580</v>
      </c>
      <c r="I395" s="45">
        <f t="shared" si="167"/>
        <v>0.33639999999999998</v>
      </c>
      <c r="J395" s="46">
        <f t="shared" si="168"/>
        <v>2.3199999999999998</v>
      </c>
      <c r="K395" s="62">
        <f t="shared" si="169"/>
        <v>67</v>
      </c>
      <c r="L395" s="28">
        <v>46</v>
      </c>
      <c r="M395" s="13">
        <f t="shared" si="159"/>
        <v>0.45652173913043481</v>
      </c>
      <c r="N395" s="12">
        <f t="shared" si="163"/>
        <v>21</v>
      </c>
      <c r="O395" s="30" t="s">
        <v>72</v>
      </c>
      <c r="Q395" s="62">
        <f t="shared" si="170"/>
        <v>228</v>
      </c>
      <c r="R395" s="28">
        <v>155</v>
      </c>
      <c r="S395" s="13">
        <f t="shared" si="160"/>
        <v>0.47096774193548385</v>
      </c>
      <c r="T395" s="12">
        <f t="shared" si="164"/>
        <v>73</v>
      </c>
      <c r="U395" s="30" t="s">
        <v>72</v>
      </c>
      <c r="V395" s="30"/>
      <c r="W395" s="62">
        <f t="shared" si="171"/>
        <v>183</v>
      </c>
      <c r="X395" s="28">
        <v>129</v>
      </c>
      <c r="Y395" s="13">
        <f t="shared" si="161"/>
        <v>0.41860465116279078</v>
      </c>
      <c r="Z395" s="12">
        <f t="shared" si="165"/>
        <v>54</v>
      </c>
      <c r="AA395" s="30" t="s">
        <v>72</v>
      </c>
      <c r="AB395" s="64"/>
      <c r="AC395" s="62">
        <f t="shared" si="172"/>
        <v>191</v>
      </c>
      <c r="AD395" s="28">
        <v>135</v>
      </c>
      <c r="AE395" s="13">
        <f t="shared" si="162"/>
        <v>0.41481481481481475</v>
      </c>
      <c r="AF395" s="12">
        <f t="shared" si="166"/>
        <v>56</v>
      </c>
      <c r="AG395" s="30" t="s">
        <v>72</v>
      </c>
      <c r="AH395" s="17"/>
      <c r="AI395" s="16"/>
      <c r="AJ395" s="2">
        <f t="shared" si="155"/>
        <v>74</v>
      </c>
      <c r="AK395" s="2">
        <f t="shared" si="156"/>
        <v>251</v>
      </c>
      <c r="AL395" s="2">
        <f t="shared" si="157"/>
        <v>210</v>
      </c>
      <c r="AM395" s="2">
        <f t="shared" si="158"/>
        <v>201</v>
      </c>
    </row>
    <row r="396" spans="1:40" outlineLevel="1" x14ac:dyDescent="0.25">
      <c r="A396" t="s">
        <v>33</v>
      </c>
      <c r="B396" s="7" t="str">
        <f t="shared" si="150"/>
        <v>Fachboden groß (780x580)</v>
      </c>
      <c r="C396">
        <v>3758</v>
      </c>
      <c r="D396" s="7" t="s">
        <v>43</v>
      </c>
      <c r="E396">
        <v>780</v>
      </c>
      <c r="F396">
        <v>580</v>
      </c>
      <c r="I396" s="45">
        <f t="shared" si="167"/>
        <v>0.45240000000000002</v>
      </c>
      <c r="J396" s="46">
        <f t="shared" si="168"/>
        <v>2.7199999999999998</v>
      </c>
      <c r="K396" s="62">
        <f t="shared" si="169"/>
        <v>87</v>
      </c>
      <c r="L396" s="28">
        <v>61</v>
      </c>
      <c r="M396" s="13">
        <f t="shared" si="159"/>
        <v>0.42622950819672134</v>
      </c>
      <c r="N396" s="12">
        <f t="shared" si="163"/>
        <v>26</v>
      </c>
      <c r="O396" s="30" t="s">
        <v>72</v>
      </c>
      <c r="Q396" s="62">
        <f t="shared" si="170"/>
        <v>275</v>
      </c>
      <c r="R396" s="28">
        <v>190</v>
      </c>
      <c r="S396" s="13">
        <f t="shared" si="160"/>
        <v>0.44736842105263164</v>
      </c>
      <c r="T396" s="12">
        <f t="shared" si="164"/>
        <v>85</v>
      </c>
      <c r="U396" s="30" t="s">
        <v>72</v>
      </c>
      <c r="V396" s="30"/>
      <c r="W396" s="62">
        <f t="shared" si="171"/>
        <v>225</v>
      </c>
      <c r="X396" s="28">
        <v>160</v>
      </c>
      <c r="Y396" s="13">
        <f t="shared" si="161"/>
        <v>0.40625</v>
      </c>
      <c r="Z396" s="12">
        <f t="shared" si="165"/>
        <v>65</v>
      </c>
      <c r="AA396" s="30" t="s">
        <v>72</v>
      </c>
      <c r="AB396" s="64"/>
      <c r="AC396" s="62">
        <f t="shared" si="172"/>
        <v>237</v>
      </c>
      <c r="AD396" s="28">
        <v>169</v>
      </c>
      <c r="AE396" s="13">
        <f t="shared" si="162"/>
        <v>0.4023668639053255</v>
      </c>
      <c r="AF396" s="12">
        <f t="shared" si="166"/>
        <v>68</v>
      </c>
      <c r="AG396" s="30" t="s">
        <v>72</v>
      </c>
      <c r="AH396" s="17"/>
      <c r="AI396" s="16"/>
      <c r="AJ396" s="2">
        <f t="shared" si="155"/>
        <v>96</v>
      </c>
      <c r="AK396" s="2">
        <f t="shared" si="156"/>
        <v>303</v>
      </c>
      <c r="AL396" s="2">
        <f t="shared" si="157"/>
        <v>261</v>
      </c>
      <c r="AM396" s="2">
        <f t="shared" si="158"/>
        <v>248</v>
      </c>
    </row>
    <row r="397" spans="1:40" outlineLevel="1" x14ac:dyDescent="0.25">
      <c r="A397" t="s">
        <v>33</v>
      </c>
      <c r="B397" s="7" t="str">
        <f t="shared" si="150"/>
        <v>Fachboden groß (980x580)</v>
      </c>
      <c r="C397">
        <v>3759</v>
      </c>
      <c r="D397" s="7" t="s">
        <v>43</v>
      </c>
      <c r="E397">
        <v>980</v>
      </c>
      <c r="F397">
        <v>580</v>
      </c>
      <c r="I397" s="45">
        <f t="shared" si="167"/>
        <v>0.56840000000000002</v>
      </c>
      <c r="J397" s="46">
        <f t="shared" si="168"/>
        <v>3.12</v>
      </c>
      <c r="K397" s="62">
        <f t="shared" si="169"/>
        <v>110</v>
      </c>
      <c r="L397" s="28">
        <v>78</v>
      </c>
      <c r="M397" s="13">
        <f t="shared" si="159"/>
        <v>0.41025641025641035</v>
      </c>
      <c r="N397" s="12">
        <f t="shared" si="163"/>
        <v>32</v>
      </c>
      <c r="O397" s="30" t="s">
        <v>72</v>
      </c>
      <c r="Q397" s="62">
        <f t="shared" si="170"/>
        <v>355</v>
      </c>
      <c r="R397" s="28">
        <v>249</v>
      </c>
      <c r="S397" s="13">
        <f t="shared" si="160"/>
        <v>0.42570281124497988</v>
      </c>
      <c r="T397" s="12">
        <f t="shared" si="164"/>
        <v>106</v>
      </c>
      <c r="U397" s="30" t="s">
        <v>72</v>
      </c>
      <c r="V397" s="30"/>
      <c r="W397" s="62">
        <f t="shared" si="171"/>
        <v>286</v>
      </c>
      <c r="X397" s="28">
        <v>205</v>
      </c>
      <c r="Y397" s="13">
        <f t="shared" si="161"/>
        <v>0.3951219512195121</v>
      </c>
      <c r="Z397" s="12">
        <f t="shared" si="165"/>
        <v>81</v>
      </c>
      <c r="AA397" s="30" t="s">
        <v>72</v>
      </c>
      <c r="AB397" s="64"/>
      <c r="AC397" s="62">
        <f t="shared" si="172"/>
        <v>276</v>
      </c>
      <c r="AD397" s="28">
        <v>198</v>
      </c>
      <c r="AE397" s="13">
        <f t="shared" si="162"/>
        <v>0.39393939393939403</v>
      </c>
      <c r="AF397" s="12">
        <f t="shared" si="166"/>
        <v>78</v>
      </c>
      <c r="AG397" s="30" t="s">
        <v>72</v>
      </c>
      <c r="AH397" s="17"/>
      <c r="AI397" s="16"/>
      <c r="AJ397" s="2">
        <f t="shared" si="155"/>
        <v>121</v>
      </c>
      <c r="AK397" s="2">
        <f t="shared" si="156"/>
        <v>391</v>
      </c>
      <c r="AL397" s="2">
        <f t="shared" si="157"/>
        <v>304</v>
      </c>
      <c r="AM397" s="2">
        <f t="shared" si="158"/>
        <v>315</v>
      </c>
    </row>
    <row r="398" spans="1:40" outlineLevel="1" x14ac:dyDescent="0.25">
      <c r="A398" t="s">
        <v>33</v>
      </c>
      <c r="B398" s="7" t="str">
        <f t="shared" si="150"/>
        <v>Fachboden groß (780x780)</v>
      </c>
      <c r="C398">
        <v>3760</v>
      </c>
      <c r="D398" s="7" t="s">
        <v>43</v>
      </c>
      <c r="E398">
        <v>780</v>
      </c>
      <c r="F398">
        <v>780</v>
      </c>
      <c r="I398" s="45">
        <f t="shared" si="167"/>
        <v>0.60839999999999994</v>
      </c>
      <c r="J398" s="46">
        <f t="shared" si="168"/>
        <v>3.12</v>
      </c>
      <c r="K398" s="62">
        <f t="shared" si="169"/>
        <v>126</v>
      </c>
      <c r="L398" s="28">
        <v>90</v>
      </c>
      <c r="M398" s="13">
        <f t="shared" si="159"/>
        <v>0.39999999999999991</v>
      </c>
      <c r="N398" s="12">
        <f t="shared" si="163"/>
        <v>36</v>
      </c>
      <c r="O398" s="30" t="s">
        <v>72</v>
      </c>
      <c r="Q398" s="62">
        <f t="shared" si="170"/>
        <v>302</v>
      </c>
      <c r="R398" s="28">
        <v>210</v>
      </c>
      <c r="S398" s="13">
        <f t="shared" si="160"/>
        <v>0.43809523809523809</v>
      </c>
      <c r="T398" s="12">
        <f t="shared" si="164"/>
        <v>92</v>
      </c>
      <c r="U398" s="30" t="s">
        <v>72</v>
      </c>
      <c r="V398" s="30"/>
      <c r="W398" s="62">
        <f t="shared" si="171"/>
        <v>272</v>
      </c>
      <c r="X398" s="28">
        <v>195</v>
      </c>
      <c r="Y398" s="13">
        <f t="shared" si="161"/>
        <v>0.3948717948717948</v>
      </c>
      <c r="Z398" s="12">
        <f t="shared" si="165"/>
        <v>77</v>
      </c>
      <c r="AA398" s="30" t="s">
        <v>72</v>
      </c>
      <c r="AB398" s="64"/>
      <c r="AC398" s="62">
        <f t="shared" si="172"/>
        <v>295</v>
      </c>
      <c r="AD398" s="28">
        <v>212</v>
      </c>
      <c r="AE398" s="13">
        <f t="shared" si="162"/>
        <v>0.39150943396226423</v>
      </c>
      <c r="AF398" s="12">
        <f t="shared" si="166"/>
        <v>83</v>
      </c>
      <c r="AG398" s="12"/>
      <c r="AH398" s="17"/>
      <c r="AI398" s="16"/>
      <c r="AJ398" s="2">
        <f t="shared" si="155"/>
        <v>139</v>
      </c>
      <c r="AK398" s="2">
        <f t="shared" si="156"/>
        <v>332</v>
      </c>
      <c r="AL398" s="2">
        <f t="shared" si="157"/>
        <v>325</v>
      </c>
      <c r="AM398" s="2">
        <f t="shared" si="158"/>
        <v>299</v>
      </c>
    </row>
    <row r="399" spans="1:40" outlineLevel="1" x14ac:dyDescent="0.25">
      <c r="A399" t="s">
        <v>33</v>
      </c>
      <c r="B399" s="7" t="str">
        <f t="shared" si="150"/>
        <v>Fachboden groß (980x780)</v>
      </c>
      <c r="C399">
        <v>3761</v>
      </c>
      <c r="D399" s="7" t="s">
        <v>43</v>
      </c>
      <c r="E399">
        <v>980</v>
      </c>
      <c r="F399">
        <v>780</v>
      </c>
      <c r="I399" s="45">
        <f t="shared" si="167"/>
        <v>0.76439999999999997</v>
      </c>
      <c r="J399" s="46">
        <f t="shared" si="168"/>
        <v>3.52</v>
      </c>
      <c r="K399" s="62">
        <f t="shared" si="169"/>
        <v>139</v>
      </c>
      <c r="L399" s="28">
        <v>100</v>
      </c>
      <c r="M399" s="13">
        <f t="shared" si="159"/>
        <v>0.3899999999999999</v>
      </c>
      <c r="N399" s="12">
        <f t="shared" si="163"/>
        <v>39</v>
      </c>
      <c r="O399" s="30" t="s">
        <v>72</v>
      </c>
      <c r="Q399" s="62">
        <f t="shared" si="170"/>
        <v>416</v>
      </c>
      <c r="R399" s="28">
        <v>295</v>
      </c>
      <c r="S399" s="13">
        <f t="shared" si="160"/>
        <v>0.4101694915254237</v>
      </c>
      <c r="T399" s="12">
        <f t="shared" si="164"/>
        <v>121</v>
      </c>
      <c r="U399" s="30" t="s">
        <v>72</v>
      </c>
      <c r="V399" s="30"/>
      <c r="W399" s="62">
        <f t="shared" si="171"/>
        <v>10</v>
      </c>
      <c r="X399" s="28">
        <v>0</v>
      </c>
      <c r="Y399" s="13" t="str">
        <f t="shared" si="161"/>
        <v>-</v>
      </c>
      <c r="Z399" s="12">
        <f t="shared" si="165"/>
        <v>10</v>
      </c>
      <c r="AA399" s="30" t="s">
        <v>72</v>
      </c>
      <c r="AB399" s="64"/>
      <c r="AC399" s="62">
        <f t="shared" si="172"/>
        <v>0</v>
      </c>
      <c r="AD399" s="28" t="s">
        <v>68</v>
      </c>
      <c r="AE399" s="13" t="str">
        <f t="shared" si="162"/>
        <v>-</v>
      </c>
      <c r="AF399" s="12" t="str">
        <f t="shared" si="166"/>
        <v>-</v>
      </c>
      <c r="AG399" s="12"/>
      <c r="AH399" s="17"/>
      <c r="AI399" s="16"/>
      <c r="AJ399" s="2">
        <f t="shared" si="155"/>
        <v>153</v>
      </c>
      <c r="AK399" s="2">
        <f t="shared" si="156"/>
        <v>458</v>
      </c>
      <c r="AL399" s="2">
        <f t="shared" si="157"/>
        <v>0</v>
      </c>
      <c r="AM399" s="2">
        <f t="shared" si="158"/>
        <v>11</v>
      </c>
    </row>
    <row r="400" spans="1:40" outlineLevel="1" x14ac:dyDescent="0.25">
      <c r="A400" t="s">
        <v>33</v>
      </c>
      <c r="B400" s="7" t="str">
        <f t="shared" si="150"/>
        <v>Fachboden groß (980x980)</v>
      </c>
      <c r="C400">
        <v>3762</v>
      </c>
      <c r="D400" s="7" t="s">
        <v>43</v>
      </c>
      <c r="E400">
        <v>980</v>
      </c>
      <c r="F400">
        <v>980</v>
      </c>
      <c r="I400" s="45">
        <f t="shared" si="167"/>
        <v>0.96040000000000003</v>
      </c>
      <c r="J400" s="46">
        <f t="shared" si="168"/>
        <v>3.92</v>
      </c>
      <c r="K400" s="62">
        <f t="shared" si="169"/>
        <v>180</v>
      </c>
      <c r="L400" s="28">
        <v>130</v>
      </c>
      <c r="M400" s="13">
        <f t="shared" si="159"/>
        <v>0.38461538461538458</v>
      </c>
      <c r="N400" s="12">
        <f t="shared" si="163"/>
        <v>50</v>
      </c>
      <c r="O400" s="30" t="s">
        <v>72</v>
      </c>
      <c r="Q400" s="62">
        <f t="shared" si="170"/>
        <v>354</v>
      </c>
      <c r="R400" s="28" t="s">
        <v>63</v>
      </c>
      <c r="S400" s="13" t="str">
        <f t="shared" si="160"/>
        <v>-</v>
      </c>
      <c r="T400" s="12" t="str">
        <f t="shared" si="164"/>
        <v>-</v>
      </c>
      <c r="U400" s="12"/>
      <c r="V400" s="12"/>
      <c r="W400" s="62">
        <f t="shared" si="171"/>
        <v>10</v>
      </c>
      <c r="X400" s="28">
        <v>0</v>
      </c>
      <c r="Y400" s="13" t="str">
        <f t="shared" si="161"/>
        <v>-</v>
      </c>
      <c r="Z400" s="12">
        <f t="shared" si="165"/>
        <v>10</v>
      </c>
      <c r="AA400" s="30" t="s">
        <v>72</v>
      </c>
      <c r="AB400" s="64"/>
      <c r="AC400" s="62">
        <f t="shared" si="172"/>
        <v>0</v>
      </c>
      <c r="AD400" s="28" t="s">
        <v>68</v>
      </c>
      <c r="AE400" s="13" t="str">
        <f t="shared" si="162"/>
        <v>-</v>
      </c>
      <c r="AF400" s="12" t="str">
        <f t="shared" si="166"/>
        <v>-</v>
      </c>
      <c r="AG400" s="12"/>
      <c r="AH400" s="17"/>
      <c r="AI400" s="16"/>
      <c r="AJ400" s="2">
        <f t="shared" si="155"/>
        <v>198</v>
      </c>
      <c r="AK400" s="2">
        <f t="shared" si="156"/>
        <v>389</v>
      </c>
      <c r="AL400" s="2">
        <f t="shared" si="157"/>
        <v>0</v>
      </c>
      <c r="AM400" s="2">
        <f t="shared" si="158"/>
        <v>11</v>
      </c>
    </row>
    <row r="401" spans="1:40" outlineLevel="1" x14ac:dyDescent="0.25">
      <c r="A401" t="s">
        <v>33</v>
      </c>
      <c r="B401" t="str">
        <f t="shared" si="150"/>
        <v xml:space="preserve"> (x)</v>
      </c>
      <c r="C401" s="3">
        <v>3763</v>
      </c>
      <c r="I401" s="45" t="str">
        <f t="shared" si="167"/>
        <v/>
      </c>
      <c r="J401" s="46" t="str">
        <f t="shared" si="168"/>
        <v/>
      </c>
      <c r="K401" s="62">
        <f t="shared" si="169"/>
        <v>0</v>
      </c>
      <c r="L401" s="28" t="s">
        <v>63</v>
      </c>
      <c r="M401" s="12" t="str">
        <f t="shared" si="159"/>
        <v>-</v>
      </c>
      <c r="N401" s="12" t="str">
        <f t="shared" si="163"/>
        <v>-</v>
      </c>
      <c r="O401" s="12"/>
      <c r="Q401" s="62">
        <f t="shared" si="170"/>
        <v>0</v>
      </c>
      <c r="R401" s="28" t="s">
        <v>63</v>
      </c>
      <c r="S401" s="12" t="str">
        <f t="shared" si="160"/>
        <v>-</v>
      </c>
      <c r="T401" s="12" t="str">
        <f t="shared" si="164"/>
        <v>-</v>
      </c>
      <c r="U401" s="12"/>
      <c r="V401" s="12"/>
      <c r="W401" s="62">
        <f t="shared" si="171"/>
        <v>10</v>
      </c>
      <c r="X401" s="28">
        <v>0</v>
      </c>
      <c r="Y401" s="12" t="str">
        <f t="shared" si="161"/>
        <v>-</v>
      </c>
      <c r="Z401" s="12">
        <f t="shared" si="165"/>
        <v>10</v>
      </c>
      <c r="AA401" s="30" t="s">
        <v>72</v>
      </c>
      <c r="AB401" s="64"/>
      <c r="AC401" s="62">
        <f t="shared" si="172"/>
        <v>0</v>
      </c>
      <c r="AD401" s="28" t="s">
        <v>68</v>
      </c>
      <c r="AE401" s="12" t="str">
        <f t="shared" si="162"/>
        <v>-</v>
      </c>
      <c r="AF401" s="12" t="str">
        <f t="shared" si="166"/>
        <v>-</v>
      </c>
      <c r="AG401" s="12"/>
      <c r="AH401" s="17"/>
      <c r="AI401" s="17"/>
      <c r="AJ401" s="2">
        <f t="shared" si="155"/>
        <v>0</v>
      </c>
      <c r="AK401" s="2">
        <f t="shared" si="156"/>
        <v>0</v>
      </c>
      <c r="AL401" s="2">
        <f t="shared" si="157"/>
        <v>0</v>
      </c>
      <c r="AM401" s="2">
        <f t="shared" si="158"/>
        <v>11</v>
      </c>
    </row>
    <row r="402" spans="1:40" outlineLevel="1" x14ac:dyDescent="0.25">
      <c r="A402" t="s">
        <v>33</v>
      </c>
      <c r="B402" t="str">
        <f t="shared" si="150"/>
        <v xml:space="preserve"> (x)</v>
      </c>
      <c r="C402" s="3">
        <v>3764</v>
      </c>
      <c r="I402" s="45" t="str">
        <f t="shared" si="167"/>
        <v/>
      </c>
      <c r="J402" s="46" t="str">
        <f t="shared" si="168"/>
        <v/>
      </c>
      <c r="K402" s="62">
        <f t="shared" si="169"/>
        <v>0</v>
      </c>
      <c r="L402" s="28" t="s">
        <v>63</v>
      </c>
      <c r="M402" s="12" t="str">
        <f t="shared" si="159"/>
        <v>-</v>
      </c>
      <c r="N402" s="12" t="str">
        <f t="shared" si="163"/>
        <v>-</v>
      </c>
      <c r="O402" s="12"/>
      <c r="Q402" s="62">
        <f t="shared" si="170"/>
        <v>0</v>
      </c>
      <c r="R402" s="28" t="s">
        <v>63</v>
      </c>
      <c r="S402" s="12" t="str">
        <f t="shared" si="160"/>
        <v>-</v>
      </c>
      <c r="T402" s="12" t="str">
        <f t="shared" si="164"/>
        <v>-</v>
      </c>
      <c r="U402" s="12"/>
      <c r="V402" s="12"/>
      <c r="W402" s="62">
        <f t="shared" si="171"/>
        <v>10</v>
      </c>
      <c r="X402" s="28">
        <v>0</v>
      </c>
      <c r="Y402" s="12" t="str">
        <f t="shared" si="161"/>
        <v>-</v>
      </c>
      <c r="Z402" s="12">
        <f t="shared" si="165"/>
        <v>10</v>
      </c>
      <c r="AA402" s="12"/>
      <c r="AB402" s="64"/>
      <c r="AC402" s="62">
        <f t="shared" si="172"/>
        <v>0</v>
      </c>
      <c r="AD402" s="28" t="s">
        <v>68</v>
      </c>
      <c r="AE402" s="12" t="str">
        <f t="shared" si="162"/>
        <v>-</v>
      </c>
      <c r="AF402" s="12" t="str">
        <f t="shared" si="166"/>
        <v>-</v>
      </c>
      <c r="AG402" s="12"/>
      <c r="AH402" s="17"/>
      <c r="AI402" s="17"/>
      <c r="AJ402" s="2">
        <f t="shared" si="155"/>
        <v>0</v>
      </c>
      <c r="AK402" s="2">
        <f t="shared" si="156"/>
        <v>0</v>
      </c>
      <c r="AL402" s="2">
        <f t="shared" si="157"/>
        <v>0</v>
      </c>
      <c r="AM402" s="2">
        <f t="shared" si="158"/>
        <v>11</v>
      </c>
    </row>
    <row r="403" spans="1:40" outlineLevel="1" x14ac:dyDescent="0.25">
      <c r="A403" t="s">
        <v>33</v>
      </c>
      <c r="B403" t="str">
        <f t="shared" si="150"/>
        <v xml:space="preserve"> (x)</v>
      </c>
      <c r="C403" s="3">
        <v>3765</v>
      </c>
      <c r="I403" s="45" t="str">
        <f t="shared" si="167"/>
        <v/>
      </c>
      <c r="J403" s="46" t="str">
        <f t="shared" si="168"/>
        <v/>
      </c>
      <c r="K403" s="62">
        <f t="shared" si="169"/>
        <v>0</v>
      </c>
      <c r="L403" s="28" t="s">
        <v>63</v>
      </c>
      <c r="M403" s="12" t="str">
        <f t="shared" si="159"/>
        <v>-</v>
      </c>
      <c r="N403" s="12" t="str">
        <f t="shared" si="163"/>
        <v>-</v>
      </c>
      <c r="O403" s="12"/>
      <c r="Q403" s="62">
        <f t="shared" si="170"/>
        <v>0</v>
      </c>
      <c r="R403" s="28" t="s">
        <v>63</v>
      </c>
      <c r="S403" s="12" t="str">
        <f t="shared" si="160"/>
        <v>-</v>
      </c>
      <c r="T403" s="12" t="str">
        <f t="shared" si="164"/>
        <v>-</v>
      </c>
      <c r="U403" s="12"/>
      <c r="V403" s="12"/>
      <c r="W403" s="62">
        <f t="shared" si="171"/>
        <v>10</v>
      </c>
      <c r="X403" s="28">
        <v>0</v>
      </c>
      <c r="Y403" s="12" t="str">
        <f t="shared" si="161"/>
        <v>-</v>
      </c>
      <c r="Z403" s="12">
        <f t="shared" si="165"/>
        <v>10</v>
      </c>
      <c r="AA403" s="12"/>
      <c r="AB403" s="64"/>
      <c r="AC403" s="62">
        <f t="shared" si="172"/>
        <v>0</v>
      </c>
      <c r="AD403" s="28" t="s">
        <v>68</v>
      </c>
      <c r="AE403" s="12" t="str">
        <f t="shared" si="162"/>
        <v>-</v>
      </c>
      <c r="AF403" s="12" t="str">
        <f t="shared" si="166"/>
        <v>-</v>
      </c>
      <c r="AG403" s="12"/>
      <c r="AH403" s="17"/>
      <c r="AI403" s="17"/>
      <c r="AJ403" s="2">
        <f t="shared" si="155"/>
        <v>0</v>
      </c>
      <c r="AK403" s="2">
        <f t="shared" si="156"/>
        <v>0</v>
      </c>
      <c r="AL403" s="2">
        <f t="shared" si="157"/>
        <v>0</v>
      </c>
      <c r="AM403" s="2">
        <f t="shared" si="158"/>
        <v>11</v>
      </c>
    </row>
    <row r="404" spans="1:40" outlineLevel="1" x14ac:dyDescent="0.25">
      <c r="A404" t="s">
        <v>33</v>
      </c>
      <c r="B404" t="str">
        <f t="shared" si="150"/>
        <v xml:space="preserve"> (x)</v>
      </c>
      <c r="C404" s="3">
        <v>3766</v>
      </c>
      <c r="I404" s="45" t="str">
        <f t="shared" si="167"/>
        <v/>
      </c>
      <c r="J404" s="46" t="str">
        <f t="shared" si="168"/>
        <v/>
      </c>
      <c r="K404" s="62">
        <f t="shared" si="169"/>
        <v>0</v>
      </c>
      <c r="L404" s="28" t="s">
        <v>63</v>
      </c>
      <c r="M404" s="12" t="str">
        <f t="shared" si="159"/>
        <v>-</v>
      </c>
      <c r="N404" s="12" t="str">
        <f t="shared" si="163"/>
        <v>-</v>
      </c>
      <c r="O404" s="12"/>
      <c r="Q404" s="62">
        <f t="shared" si="170"/>
        <v>0</v>
      </c>
      <c r="R404" s="28" t="s">
        <v>63</v>
      </c>
      <c r="S404" s="12" t="str">
        <f t="shared" si="160"/>
        <v>-</v>
      </c>
      <c r="T404" s="12" t="str">
        <f t="shared" si="164"/>
        <v>-</v>
      </c>
      <c r="U404" s="12"/>
      <c r="V404" s="12"/>
      <c r="W404" s="62">
        <f t="shared" si="171"/>
        <v>10</v>
      </c>
      <c r="X404" s="28">
        <v>0</v>
      </c>
      <c r="Y404" s="12" t="str">
        <f t="shared" si="161"/>
        <v>-</v>
      </c>
      <c r="Z404" s="12">
        <f t="shared" si="165"/>
        <v>10</v>
      </c>
      <c r="AA404" s="12"/>
      <c r="AB404" s="64"/>
      <c r="AC404" s="62">
        <f t="shared" si="172"/>
        <v>0</v>
      </c>
      <c r="AD404" s="28" t="s">
        <v>68</v>
      </c>
      <c r="AE404" s="12" t="str">
        <f t="shared" si="162"/>
        <v>-</v>
      </c>
      <c r="AF404" s="12" t="str">
        <f t="shared" si="166"/>
        <v>-</v>
      </c>
      <c r="AG404" s="12"/>
      <c r="AH404" s="17"/>
      <c r="AI404" s="17"/>
      <c r="AJ404" s="2">
        <f t="shared" si="155"/>
        <v>0</v>
      </c>
      <c r="AK404" s="2">
        <f t="shared" si="156"/>
        <v>0</v>
      </c>
      <c r="AL404" s="2">
        <f t="shared" si="157"/>
        <v>0</v>
      </c>
      <c r="AM404" s="2">
        <f t="shared" si="158"/>
        <v>11</v>
      </c>
    </row>
    <row r="405" spans="1:40" outlineLevel="1" x14ac:dyDescent="0.25">
      <c r="A405" t="s">
        <v>33</v>
      </c>
      <c r="B405" t="str">
        <f t="shared" si="150"/>
        <v xml:space="preserve"> (x)</v>
      </c>
      <c r="C405" s="3">
        <v>3767</v>
      </c>
      <c r="I405" s="45" t="str">
        <f t="shared" si="167"/>
        <v/>
      </c>
      <c r="J405" s="46" t="str">
        <f t="shared" si="168"/>
        <v/>
      </c>
      <c r="K405" s="62">
        <f t="shared" si="169"/>
        <v>0</v>
      </c>
      <c r="L405" s="28" t="s">
        <v>63</v>
      </c>
      <c r="M405" s="12" t="str">
        <f t="shared" si="159"/>
        <v>-</v>
      </c>
      <c r="N405" s="12" t="str">
        <f t="shared" si="163"/>
        <v>-</v>
      </c>
      <c r="O405" s="12"/>
      <c r="Q405" s="62">
        <f t="shared" si="170"/>
        <v>0</v>
      </c>
      <c r="R405" s="28" t="s">
        <v>63</v>
      </c>
      <c r="S405" s="12" t="str">
        <f t="shared" si="160"/>
        <v>-</v>
      </c>
      <c r="T405" s="12" t="str">
        <f t="shared" si="164"/>
        <v>-</v>
      </c>
      <c r="U405" s="12"/>
      <c r="V405" s="12"/>
      <c r="W405" s="62">
        <f t="shared" si="171"/>
        <v>10</v>
      </c>
      <c r="X405" s="28">
        <v>0</v>
      </c>
      <c r="Y405" s="12" t="str">
        <f t="shared" si="161"/>
        <v>-</v>
      </c>
      <c r="Z405" s="12">
        <f t="shared" si="165"/>
        <v>10</v>
      </c>
      <c r="AA405" s="12"/>
      <c r="AB405" s="64"/>
      <c r="AC405" s="62">
        <f t="shared" si="172"/>
        <v>0</v>
      </c>
      <c r="AD405" s="28" t="s">
        <v>68</v>
      </c>
      <c r="AE405" s="12" t="str">
        <f t="shared" si="162"/>
        <v>-</v>
      </c>
      <c r="AF405" s="12" t="str">
        <f t="shared" si="166"/>
        <v>-</v>
      </c>
      <c r="AG405" s="12"/>
      <c r="AH405" s="17"/>
      <c r="AI405" s="17"/>
      <c r="AJ405" s="2">
        <f t="shared" si="155"/>
        <v>0</v>
      </c>
      <c r="AK405" s="2">
        <f t="shared" si="156"/>
        <v>0</v>
      </c>
      <c r="AL405" s="2">
        <f t="shared" si="157"/>
        <v>0</v>
      </c>
      <c r="AM405" s="2">
        <f t="shared" si="158"/>
        <v>11</v>
      </c>
    </row>
    <row r="406" spans="1:40" outlineLevel="1" x14ac:dyDescent="0.25">
      <c r="A406" t="s">
        <v>33</v>
      </c>
      <c r="B406" t="str">
        <f t="shared" si="150"/>
        <v xml:space="preserve"> (x)</v>
      </c>
      <c r="C406" s="3">
        <v>3768</v>
      </c>
      <c r="I406" s="45" t="str">
        <f t="shared" si="167"/>
        <v/>
      </c>
      <c r="J406" s="46" t="str">
        <f t="shared" si="168"/>
        <v/>
      </c>
      <c r="K406" s="62">
        <f t="shared" si="169"/>
        <v>0</v>
      </c>
      <c r="L406" s="28" t="s">
        <v>63</v>
      </c>
      <c r="M406" s="12" t="str">
        <f t="shared" si="159"/>
        <v>-</v>
      </c>
      <c r="N406" s="12" t="str">
        <f t="shared" si="163"/>
        <v>-</v>
      </c>
      <c r="O406" s="12"/>
      <c r="Q406" s="62">
        <f t="shared" si="170"/>
        <v>0</v>
      </c>
      <c r="R406" s="28" t="s">
        <v>63</v>
      </c>
      <c r="S406" s="12" t="str">
        <f t="shared" si="160"/>
        <v>-</v>
      </c>
      <c r="T406" s="12" t="str">
        <f t="shared" si="164"/>
        <v>-</v>
      </c>
      <c r="U406" s="12"/>
      <c r="V406" s="12"/>
      <c r="W406" s="62">
        <f t="shared" si="171"/>
        <v>10</v>
      </c>
      <c r="X406" s="28">
        <v>0</v>
      </c>
      <c r="Y406" s="12" t="str">
        <f t="shared" si="161"/>
        <v>-</v>
      </c>
      <c r="Z406" s="12">
        <f t="shared" si="165"/>
        <v>10</v>
      </c>
      <c r="AA406" s="12"/>
      <c r="AB406" s="64"/>
      <c r="AC406" s="62">
        <f t="shared" si="172"/>
        <v>0</v>
      </c>
      <c r="AD406" s="28" t="s">
        <v>68</v>
      </c>
      <c r="AE406" s="12" t="str">
        <f t="shared" si="162"/>
        <v>-</v>
      </c>
      <c r="AF406" s="12" t="str">
        <f t="shared" si="166"/>
        <v>-</v>
      </c>
      <c r="AG406" s="12"/>
      <c r="AH406" s="17"/>
      <c r="AI406" s="17"/>
      <c r="AJ406" s="2">
        <f t="shared" si="155"/>
        <v>0</v>
      </c>
      <c r="AK406" s="2">
        <f t="shared" si="156"/>
        <v>0</v>
      </c>
      <c r="AL406" s="2">
        <f t="shared" si="157"/>
        <v>0</v>
      </c>
      <c r="AM406" s="2">
        <f t="shared" si="158"/>
        <v>11</v>
      </c>
    </row>
    <row r="407" spans="1:40" outlineLevel="1" x14ac:dyDescent="0.25">
      <c r="A407" t="s">
        <v>33</v>
      </c>
      <c r="B407" t="str">
        <f t="shared" si="150"/>
        <v xml:space="preserve"> (x)</v>
      </c>
      <c r="C407" s="3">
        <v>3769</v>
      </c>
      <c r="I407" s="45" t="str">
        <f t="shared" si="167"/>
        <v/>
      </c>
      <c r="J407" s="46" t="str">
        <f t="shared" si="168"/>
        <v/>
      </c>
      <c r="K407" s="62">
        <f t="shared" si="169"/>
        <v>0</v>
      </c>
      <c r="L407" s="28" t="s">
        <v>63</v>
      </c>
      <c r="M407" s="12" t="str">
        <f t="shared" si="159"/>
        <v>-</v>
      </c>
      <c r="N407" s="12" t="str">
        <f t="shared" si="163"/>
        <v>-</v>
      </c>
      <c r="O407" s="12"/>
      <c r="Q407" s="62">
        <f t="shared" si="170"/>
        <v>0</v>
      </c>
      <c r="R407" s="28" t="s">
        <v>63</v>
      </c>
      <c r="S407" s="12" t="str">
        <f t="shared" si="160"/>
        <v>-</v>
      </c>
      <c r="T407" s="12" t="str">
        <f t="shared" si="164"/>
        <v>-</v>
      </c>
      <c r="U407" s="12"/>
      <c r="V407" s="12"/>
      <c r="W407" s="62">
        <f t="shared" si="171"/>
        <v>10</v>
      </c>
      <c r="X407" s="28">
        <v>0</v>
      </c>
      <c r="Y407" s="12" t="str">
        <f t="shared" si="161"/>
        <v>-</v>
      </c>
      <c r="Z407" s="12">
        <f t="shared" si="165"/>
        <v>10</v>
      </c>
      <c r="AA407" s="12"/>
      <c r="AB407" s="64"/>
      <c r="AC407" s="62">
        <f t="shared" si="172"/>
        <v>0</v>
      </c>
      <c r="AD407" s="28" t="s">
        <v>68</v>
      </c>
      <c r="AE407" s="12" t="str">
        <f t="shared" si="162"/>
        <v>-</v>
      </c>
      <c r="AF407" s="12" t="str">
        <f t="shared" si="166"/>
        <v>-</v>
      </c>
      <c r="AG407" s="12"/>
      <c r="AH407" s="17"/>
      <c r="AI407" s="17"/>
      <c r="AJ407" s="2">
        <f t="shared" si="155"/>
        <v>0</v>
      </c>
      <c r="AK407" s="2">
        <f t="shared" si="156"/>
        <v>0</v>
      </c>
      <c r="AL407" s="2">
        <f t="shared" si="157"/>
        <v>0</v>
      </c>
      <c r="AM407" s="2">
        <f t="shared" si="158"/>
        <v>11</v>
      </c>
    </row>
    <row r="408" spans="1:40" outlineLevel="1" x14ac:dyDescent="0.25">
      <c r="A408" t="s">
        <v>33</v>
      </c>
      <c r="B408" t="str">
        <f t="shared" si="150"/>
        <v xml:space="preserve"> (x)</v>
      </c>
      <c r="C408" s="3">
        <v>3770</v>
      </c>
      <c r="I408" s="45" t="str">
        <f t="shared" si="167"/>
        <v/>
      </c>
      <c r="J408" s="46" t="str">
        <f t="shared" si="168"/>
        <v/>
      </c>
      <c r="K408" s="62">
        <f t="shared" si="169"/>
        <v>0</v>
      </c>
      <c r="L408" s="28" t="s">
        <v>63</v>
      </c>
      <c r="M408" s="12" t="str">
        <f t="shared" si="159"/>
        <v>-</v>
      </c>
      <c r="N408" s="12" t="str">
        <f t="shared" si="163"/>
        <v>-</v>
      </c>
      <c r="O408" s="12"/>
      <c r="Q408" s="62">
        <f t="shared" si="170"/>
        <v>0</v>
      </c>
      <c r="R408" s="28" t="s">
        <v>63</v>
      </c>
      <c r="S408" s="12" t="str">
        <f t="shared" si="160"/>
        <v>-</v>
      </c>
      <c r="T408" s="12" t="str">
        <f t="shared" si="164"/>
        <v>-</v>
      </c>
      <c r="U408" s="12"/>
      <c r="V408" s="12"/>
      <c r="W408" s="62">
        <f t="shared" si="171"/>
        <v>10</v>
      </c>
      <c r="X408" s="28">
        <v>0</v>
      </c>
      <c r="Y408" s="12" t="str">
        <f t="shared" si="161"/>
        <v>-</v>
      </c>
      <c r="Z408" s="12">
        <f t="shared" si="165"/>
        <v>10</v>
      </c>
      <c r="AA408" s="12"/>
      <c r="AB408" s="64"/>
      <c r="AC408" s="62">
        <f t="shared" si="172"/>
        <v>0</v>
      </c>
      <c r="AD408" s="28" t="s">
        <v>68</v>
      </c>
      <c r="AE408" s="12" t="str">
        <f t="shared" si="162"/>
        <v>-</v>
      </c>
      <c r="AF408" s="12" t="str">
        <f t="shared" si="166"/>
        <v>-</v>
      </c>
      <c r="AG408" s="12"/>
      <c r="AH408" s="17"/>
      <c r="AI408" s="17"/>
      <c r="AJ408" s="2">
        <f t="shared" si="155"/>
        <v>0</v>
      </c>
      <c r="AK408" s="2">
        <f t="shared" si="156"/>
        <v>0</v>
      </c>
      <c r="AL408" s="2">
        <f t="shared" si="157"/>
        <v>0</v>
      </c>
      <c r="AM408" s="2">
        <f t="shared" si="158"/>
        <v>11</v>
      </c>
    </row>
    <row r="409" spans="1:40" outlineLevel="1" x14ac:dyDescent="0.25">
      <c r="A409" t="s">
        <v>33</v>
      </c>
      <c r="B409" t="str">
        <f t="shared" si="150"/>
        <v xml:space="preserve"> (x)</v>
      </c>
      <c r="C409" s="3">
        <v>3771</v>
      </c>
      <c r="I409" s="45" t="str">
        <f t="shared" si="167"/>
        <v/>
      </c>
      <c r="J409" s="46" t="str">
        <f t="shared" si="168"/>
        <v/>
      </c>
      <c r="K409" s="62">
        <f t="shared" si="169"/>
        <v>0</v>
      </c>
      <c r="L409" s="28" t="s">
        <v>63</v>
      </c>
      <c r="M409" s="12" t="str">
        <f t="shared" si="159"/>
        <v>-</v>
      </c>
      <c r="N409" s="12" t="str">
        <f t="shared" si="163"/>
        <v>-</v>
      </c>
      <c r="O409" s="12"/>
      <c r="Q409" s="62">
        <f t="shared" si="170"/>
        <v>0</v>
      </c>
      <c r="R409" s="28" t="s">
        <v>63</v>
      </c>
      <c r="S409" s="12" t="str">
        <f t="shared" si="160"/>
        <v>-</v>
      </c>
      <c r="T409" s="12" t="str">
        <f t="shared" si="164"/>
        <v>-</v>
      </c>
      <c r="U409" s="12"/>
      <c r="V409" s="12"/>
      <c r="W409" s="62">
        <f t="shared" si="171"/>
        <v>10</v>
      </c>
      <c r="X409" s="28">
        <v>0</v>
      </c>
      <c r="Y409" s="12" t="str">
        <f t="shared" si="161"/>
        <v>-</v>
      </c>
      <c r="Z409" s="12">
        <f t="shared" si="165"/>
        <v>10</v>
      </c>
      <c r="AA409" s="12"/>
      <c r="AB409" s="64"/>
      <c r="AC409" s="62">
        <f t="shared" si="172"/>
        <v>0</v>
      </c>
      <c r="AD409" s="28" t="s">
        <v>68</v>
      </c>
      <c r="AE409" s="12" t="str">
        <f t="shared" si="162"/>
        <v>-</v>
      </c>
      <c r="AF409" s="12" t="str">
        <f t="shared" si="166"/>
        <v>-</v>
      </c>
      <c r="AG409" s="12"/>
      <c r="AH409" s="17"/>
      <c r="AI409" s="17"/>
      <c r="AJ409" s="2">
        <f t="shared" si="155"/>
        <v>0</v>
      </c>
      <c r="AK409" s="2">
        <f t="shared" si="156"/>
        <v>0</v>
      </c>
      <c r="AL409" s="2">
        <f t="shared" si="157"/>
        <v>0</v>
      </c>
      <c r="AM409" s="2">
        <f t="shared" si="158"/>
        <v>11</v>
      </c>
    </row>
    <row r="410" spans="1:40" outlineLevel="1" x14ac:dyDescent="0.25">
      <c r="A410" t="s">
        <v>33</v>
      </c>
      <c r="B410" t="str">
        <f t="shared" si="150"/>
        <v xml:space="preserve"> (x)</v>
      </c>
      <c r="C410" s="3">
        <v>3772</v>
      </c>
      <c r="I410" s="45" t="str">
        <f t="shared" si="167"/>
        <v/>
      </c>
      <c r="J410" s="46" t="str">
        <f t="shared" si="168"/>
        <v/>
      </c>
      <c r="K410" s="62">
        <f t="shared" si="169"/>
        <v>0</v>
      </c>
      <c r="L410" s="28" t="s">
        <v>63</v>
      </c>
      <c r="M410" s="12" t="str">
        <f t="shared" si="159"/>
        <v>-</v>
      </c>
      <c r="N410" s="12" t="str">
        <f t="shared" si="163"/>
        <v>-</v>
      </c>
      <c r="O410" s="12"/>
      <c r="Q410" s="62">
        <f t="shared" si="170"/>
        <v>0</v>
      </c>
      <c r="R410" s="28" t="s">
        <v>63</v>
      </c>
      <c r="S410" s="12" t="str">
        <f t="shared" si="160"/>
        <v>-</v>
      </c>
      <c r="T410" s="12" t="str">
        <f t="shared" si="164"/>
        <v>-</v>
      </c>
      <c r="U410" s="12"/>
      <c r="V410" s="12"/>
      <c r="W410" s="62">
        <f t="shared" si="171"/>
        <v>10</v>
      </c>
      <c r="X410" s="28">
        <v>0</v>
      </c>
      <c r="Y410" s="12" t="str">
        <f t="shared" si="161"/>
        <v>-</v>
      </c>
      <c r="Z410" s="12">
        <f t="shared" si="165"/>
        <v>10</v>
      </c>
      <c r="AA410" s="12"/>
      <c r="AB410" s="64"/>
      <c r="AC410" s="62">
        <f t="shared" si="172"/>
        <v>0</v>
      </c>
      <c r="AD410" s="28" t="s">
        <v>68</v>
      </c>
      <c r="AE410" s="12" t="str">
        <f t="shared" si="162"/>
        <v>-</v>
      </c>
      <c r="AF410" s="12" t="str">
        <f t="shared" si="166"/>
        <v>-</v>
      </c>
      <c r="AG410" s="12"/>
      <c r="AH410" s="17"/>
      <c r="AI410" s="17"/>
      <c r="AJ410" s="2">
        <f t="shared" si="155"/>
        <v>0</v>
      </c>
      <c r="AK410" s="2">
        <f t="shared" si="156"/>
        <v>0</v>
      </c>
      <c r="AL410" s="2">
        <f t="shared" si="157"/>
        <v>0</v>
      </c>
      <c r="AM410" s="2">
        <f t="shared" si="158"/>
        <v>11</v>
      </c>
    </row>
    <row r="411" spans="1:40" outlineLevel="1" x14ac:dyDescent="0.25">
      <c r="A411" t="s">
        <v>33</v>
      </c>
      <c r="B411" t="str">
        <f t="shared" si="150"/>
        <v xml:space="preserve"> (x)</v>
      </c>
      <c r="C411" s="3">
        <v>3773</v>
      </c>
      <c r="I411" s="45" t="str">
        <f t="shared" si="167"/>
        <v/>
      </c>
      <c r="J411" s="46" t="str">
        <f t="shared" si="168"/>
        <v/>
      </c>
      <c r="K411" s="62">
        <f t="shared" si="169"/>
        <v>0</v>
      </c>
      <c r="L411" s="28" t="s">
        <v>63</v>
      </c>
      <c r="M411" s="12" t="str">
        <f t="shared" si="159"/>
        <v>-</v>
      </c>
      <c r="N411" s="12" t="str">
        <f t="shared" si="163"/>
        <v>-</v>
      </c>
      <c r="O411" s="12"/>
      <c r="Q411" s="62">
        <f t="shared" si="170"/>
        <v>0</v>
      </c>
      <c r="R411" s="28" t="s">
        <v>63</v>
      </c>
      <c r="S411" s="12" t="str">
        <f t="shared" si="160"/>
        <v>-</v>
      </c>
      <c r="T411" s="12" t="str">
        <f t="shared" si="164"/>
        <v>-</v>
      </c>
      <c r="U411" s="12"/>
      <c r="V411" s="12"/>
      <c r="W411" s="62">
        <f t="shared" si="171"/>
        <v>10</v>
      </c>
      <c r="X411" s="28">
        <v>0</v>
      </c>
      <c r="Y411" s="12" t="str">
        <f t="shared" si="161"/>
        <v>-</v>
      </c>
      <c r="Z411" s="12">
        <f t="shared" si="165"/>
        <v>10</v>
      </c>
      <c r="AA411" s="12"/>
      <c r="AB411" s="64"/>
      <c r="AC411" s="62">
        <f t="shared" si="172"/>
        <v>0</v>
      </c>
      <c r="AD411" s="28" t="s">
        <v>68</v>
      </c>
      <c r="AE411" s="12" t="str">
        <f t="shared" si="162"/>
        <v>-</v>
      </c>
      <c r="AF411" s="12" t="str">
        <f t="shared" si="166"/>
        <v>-</v>
      </c>
      <c r="AG411" s="12"/>
      <c r="AH411" s="17"/>
      <c r="AI411" s="17"/>
      <c r="AJ411" s="2">
        <f t="shared" si="155"/>
        <v>0</v>
      </c>
      <c r="AK411" s="2">
        <f t="shared" si="156"/>
        <v>0</v>
      </c>
      <c r="AL411" s="2">
        <f t="shared" si="157"/>
        <v>0</v>
      </c>
      <c r="AM411" s="2">
        <f t="shared" si="158"/>
        <v>11</v>
      </c>
    </row>
    <row r="412" spans="1:40" outlineLevel="1" x14ac:dyDescent="0.25">
      <c r="A412" t="s">
        <v>33</v>
      </c>
      <c r="B412" t="str">
        <f t="shared" si="150"/>
        <v xml:space="preserve"> (x)</v>
      </c>
      <c r="C412" s="3">
        <v>3774</v>
      </c>
      <c r="I412" s="45" t="str">
        <f t="shared" si="167"/>
        <v/>
      </c>
      <c r="J412" s="46" t="str">
        <f t="shared" si="168"/>
        <v/>
      </c>
      <c r="K412" s="62">
        <f t="shared" si="169"/>
        <v>0</v>
      </c>
      <c r="L412" s="28" t="s">
        <v>63</v>
      </c>
      <c r="M412" s="12" t="str">
        <f t="shared" si="159"/>
        <v>-</v>
      </c>
      <c r="N412" s="12" t="str">
        <f t="shared" si="163"/>
        <v>-</v>
      </c>
      <c r="O412" s="12"/>
      <c r="Q412" s="62">
        <f t="shared" si="170"/>
        <v>0</v>
      </c>
      <c r="R412" s="28" t="s">
        <v>63</v>
      </c>
      <c r="S412" s="12" t="str">
        <f t="shared" si="160"/>
        <v>-</v>
      </c>
      <c r="T412" s="12" t="str">
        <f t="shared" si="164"/>
        <v>-</v>
      </c>
      <c r="U412" s="12"/>
      <c r="V412" s="12"/>
      <c r="W412" s="62">
        <f t="shared" si="171"/>
        <v>10</v>
      </c>
      <c r="X412" s="28">
        <v>0</v>
      </c>
      <c r="Y412" s="12" t="str">
        <f t="shared" si="161"/>
        <v>-</v>
      </c>
      <c r="Z412" s="12">
        <f t="shared" si="165"/>
        <v>10</v>
      </c>
      <c r="AA412" s="12"/>
      <c r="AB412" s="64"/>
      <c r="AC412" s="62">
        <f t="shared" si="172"/>
        <v>0</v>
      </c>
      <c r="AD412" s="28" t="s">
        <v>68</v>
      </c>
      <c r="AE412" s="12" t="str">
        <f t="shared" si="162"/>
        <v>-</v>
      </c>
      <c r="AF412" s="12" t="str">
        <f t="shared" si="166"/>
        <v>-</v>
      </c>
      <c r="AG412" s="12"/>
      <c r="AH412" s="17"/>
      <c r="AI412" s="17"/>
      <c r="AJ412" s="2">
        <f t="shared" si="155"/>
        <v>0</v>
      </c>
      <c r="AK412" s="2">
        <f t="shared" si="156"/>
        <v>0</v>
      </c>
      <c r="AL412" s="2">
        <f t="shared" si="157"/>
        <v>0</v>
      </c>
      <c r="AM412" s="2">
        <f t="shared" si="158"/>
        <v>11</v>
      </c>
    </row>
    <row r="413" spans="1:40" outlineLevel="1" x14ac:dyDescent="0.25">
      <c r="A413" t="s">
        <v>33</v>
      </c>
      <c r="B413" t="str">
        <f t="shared" si="150"/>
        <v xml:space="preserve"> (x)</v>
      </c>
      <c r="C413" s="3">
        <v>3775</v>
      </c>
      <c r="I413" s="45" t="str">
        <f t="shared" si="167"/>
        <v/>
      </c>
      <c r="J413" s="46" t="str">
        <f t="shared" si="168"/>
        <v/>
      </c>
      <c r="K413" s="62">
        <f t="shared" si="169"/>
        <v>0</v>
      </c>
      <c r="L413" s="28" t="s">
        <v>63</v>
      </c>
      <c r="M413" s="12" t="str">
        <f t="shared" si="159"/>
        <v>-</v>
      </c>
      <c r="N413" s="12" t="str">
        <f t="shared" si="163"/>
        <v>-</v>
      </c>
      <c r="O413" s="12"/>
      <c r="Q413" s="62">
        <f t="shared" si="170"/>
        <v>0</v>
      </c>
      <c r="R413" s="28" t="s">
        <v>63</v>
      </c>
      <c r="S413" s="12" t="str">
        <f t="shared" si="160"/>
        <v>-</v>
      </c>
      <c r="T413" s="12" t="str">
        <f t="shared" si="164"/>
        <v>-</v>
      </c>
      <c r="U413" s="12"/>
      <c r="V413" s="12"/>
      <c r="W413" s="62">
        <f t="shared" si="171"/>
        <v>10</v>
      </c>
      <c r="X413" s="28">
        <v>0</v>
      </c>
      <c r="Y413" s="12" t="str">
        <f t="shared" si="161"/>
        <v>-</v>
      </c>
      <c r="Z413" s="12">
        <f t="shared" si="165"/>
        <v>10</v>
      </c>
      <c r="AA413" s="12"/>
      <c r="AB413" s="64"/>
      <c r="AC413" s="62">
        <f t="shared" si="172"/>
        <v>0</v>
      </c>
      <c r="AD413" s="28" t="s">
        <v>68</v>
      </c>
      <c r="AE413" s="12" t="str">
        <f t="shared" si="162"/>
        <v>-</v>
      </c>
      <c r="AF413" s="12" t="str">
        <f t="shared" si="166"/>
        <v>-</v>
      </c>
      <c r="AG413" s="12"/>
      <c r="AH413" s="17"/>
      <c r="AI413" s="17"/>
      <c r="AJ413" s="2">
        <f t="shared" si="155"/>
        <v>0</v>
      </c>
      <c r="AK413" s="2">
        <f t="shared" si="156"/>
        <v>0</v>
      </c>
      <c r="AL413" s="2">
        <f t="shared" si="157"/>
        <v>0</v>
      </c>
      <c r="AM413" s="2">
        <f t="shared" si="158"/>
        <v>11</v>
      </c>
    </row>
    <row r="414" spans="1:40" outlineLevel="1" x14ac:dyDescent="0.25">
      <c r="A414" t="s">
        <v>33</v>
      </c>
      <c r="B414" s="6" t="str">
        <f>IF(OR(E414="-",F414="-"),"-",D414&amp;" ("&amp;E414&amp;"x"&amp;F414&amp;")")</f>
        <v>Fachboden (420x420)</v>
      </c>
      <c r="C414" s="3" t="s">
        <v>34</v>
      </c>
      <c r="D414" s="6" t="s">
        <v>33</v>
      </c>
      <c r="E414">
        <v>420</v>
      </c>
      <c r="F414">
        <v>420</v>
      </c>
      <c r="I414" s="45">
        <f t="shared" si="167"/>
        <v>0.1764</v>
      </c>
      <c r="J414" s="46">
        <f t="shared" si="168"/>
        <v>1.68</v>
      </c>
      <c r="K414" s="62">
        <f t="shared" si="169"/>
        <v>0</v>
      </c>
      <c r="L414" s="28" t="s">
        <v>63</v>
      </c>
      <c r="M414" s="12" t="str">
        <f t="shared" si="159"/>
        <v>-</v>
      </c>
      <c r="N414" s="12" t="str">
        <f t="shared" si="163"/>
        <v>-</v>
      </c>
      <c r="O414" s="30" t="s">
        <v>73</v>
      </c>
      <c r="Q414" s="62">
        <f t="shared" si="170"/>
        <v>0</v>
      </c>
      <c r="R414" s="28" t="s">
        <v>63</v>
      </c>
      <c r="S414" s="12" t="str">
        <f t="shared" si="160"/>
        <v>-</v>
      </c>
      <c r="T414" s="12" t="str">
        <f t="shared" si="164"/>
        <v>-</v>
      </c>
      <c r="U414" s="30" t="s">
        <v>73</v>
      </c>
      <c r="V414" s="30"/>
      <c r="W414" s="62">
        <f t="shared" si="171"/>
        <v>10</v>
      </c>
      <c r="X414" s="28">
        <v>0</v>
      </c>
      <c r="Y414" s="12" t="str">
        <f t="shared" si="161"/>
        <v>-</v>
      </c>
      <c r="Z414" s="12">
        <f t="shared" si="165"/>
        <v>10</v>
      </c>
      <c r="AA414" s="30" t="s">
        <v>73</v>
      </c>
      <c r="AB414" s="64"/>
      <c r="AC414" s="62">
        <f t="shared" si="172"/>
        <v>0</v>
      </c>
      <c r="AD414" s="28" t="s">
        <v>68</v>
      </c>
      <c r="AE414" s="12" t="str">
        <f t="shared" si="162"/>
        <v>-</v>
      </c>
      <c r="AF414" s="12" t="str">
        <f t="shared" si="166"/>
        <v>-</v>
      </c>
      <c r="AG414" s="30" t="s">
        <v>73</v>
      </c>
      <c r="AH414" s="17"/>
      <c r="AI414" s="17"/>
      <c r="AJ414" s="2">
        <f t="shared" si="155"/>
        <v>0</v>
      </c>
      <c r="AK414" s="2">
        <f t="shared" si="156"/>
        <v>0</v>
      </c>
      <c r="AL414" s="2">
        <f t="shared" si="157"/>
        <v>0</v>
      </c>
      <c r="AM414" s="2">
        <f t="shared" si="158"/>
        <v>11</v>
      </c>
    </row>
    <row r="415" spans="1:40" s="14" customFormat="1" x14ac:dyDescent="0.25">
      <c r="A415" s="32"/>
      <c r="B415" s="5" t="s">
        <v>42</v>
      </c>
      <c r="C415" s="5"/>
      <c r="D415" s="5"/>
      <c r="E415" s="5"/>
      <c r="F415" s="5"/>
      <c r="G415" s="5"/>
      <c r="H415" s="5"/>
      <c r="I415" s="44" t="str">
        <f t="shared" si="167"/>
        <v/>
      </c>
      <c r="J415" s="44" t="str">
        <f t="shared" si="168"/>
        <v/>
      </c>
      <c r="K415" s="62">
        <f t="shared" si="169"/>
        <v>0</v>
      </c>
      <c r="L415" s="11" t="s">
        <v>63</v>
      </c>
      <c r="M415" s="15">
        <f>AVERAGE(M416:M441)</f>
        <v>0.4834163894425153</v>
      </c>
      <c r="N415" s="15" t="str">
        <f t="shared" si="163"/>
        <v>-</v>
      </c>
      <c r="O415" s="15"/>
      <c r="P415" s="17"/>
      <c r="Q415" s="62">
        <f t="shared" si="170"/>
        <v>0</v>
      </c>
      <c r="R415" s="11" t="s">
        <v>63</v>
      </c>
      <c r="S415" s="15">
        <f>AVERAGE(S416:S441)</f>
        <v>0.49232801461441</v>
      </c>
      <c r="T415" s="15" t="str">
        <f t="shared" si="164"/>
        <v>-</v>
      </c>
      <c r="U415" s="15"/>
      <c r="V415" s="15"/>
      <c r="W415" s="62">
        <f t="shared" si="171"/>
        <v>10</v>
      </c>
      <c r="X415" s="11">
        <v>0</v>
      </c>
      <c r="Y415" s="15">
        <f>AVERAGE(Y416:Y441)</f>
        <v>0.44184308983895076</v>
      </c>
      <c r="Z415" s="15">
        <f t="shared" si="165"/>
        <v>10</v>
      </c>
      <c r="AA415" s="15"/>
      <c r="AB415" s="64"/>
      <c r="AC415" s="62">
        <f t="shared" si="172"/>
        <v>0</v>
      </c>
      <c r="AD415" s="11" t="s">
        <v>68</v>
      </c>
      <c r="AE415" s="15">
        <f>AVERAGE(AE416:AE441)</f>
        <v>0.41364760416199869</v>
      </c>
      <c r="AF415" s="15" t="str">
        <f t="shared" si="166"/>
        <v>-</v>
      </c>
      <c r="AG415" s="15"/>
      <c r="AH415" s="17"/>
      <c r="AI415" s="63"/>
      <c r="AJ415" s="4">
        <f t="shared" si="155"/>
        <v>0</v>
      </c>
      <c r="AK415" s="4">
        <f t="shared" si="156"/>
        <v>0</v>
      </c>
      <c r="AL415" s="4">
        <f t="shared" si="157"/>
        <v>0</v>
      </c>
      <c r="AM415" s="4">
        <f t="shared" si="158"/>
        <v>11</v>
      </c>
      <c r="AN415" s="32"/>
    </row>
    <row r="416" spans="1:40" ht="14.25" customHeight="1" outlineLevel="1" x14ac:dyDescent="0.25">
      <c r="A416" t="s">
        <v>38</v>
      </c>
      <c r="B416" s="7" t="str">
        <f t="shared" si="150"/>
        <v>Klappenboden (360x360)</v>
      </c>
      <c r="C416">
        <v>3800</v>
      </c>
      <c r="D416" s="7" t="s">
        <v>42</v>
      </c>
      <c r="E416">
        <v>360</v>
      </c>
      <c r="F416">
        <v>360</v>
      </c>
      <c r="I416" s="45">
        <f t="shared" si="167"/>
        <v>0.12959999999999999</v>
      </c>
      <c r="J416" s="46">
        <f t="shared" si="168"/>
        <v>1.44</v>
      </c>
      <c r="K416" s="62">
        <f t="shared" si="169"/>
        <v>34</v>
      </c>
      <c r="L416" s="28">
        <v>18</v>
      </c>
      <c r="M416" s="13">
        <f t="shared" ref="M416:M442" si="173">IFERROR(K416/L416-1,"-")</f>
        <v>0.88888888888888884</v>
      </c>
      <c r="N416" s="12">
        <f t="shared" si="163"/>
        <v>16</v>
      </c>
      <c r="O416" s="30" t="s">
        <v>72</v>
      </c>
      <c r="Q416" s="62">
        <f t="shared" si="170"/>
        <v>114</v>
      </c>
      <c r="R416" s="28">
        <v>70</v>
      </c>
      <c r="S416" s="13">
        <f t="shared" ref="S416:S441" si="174">IFERROR(Q416/R416-1,"-")</f>
        <v>0.62857142857142856</v>
      </c>
      <c r="T416" s="12">
        <f t="shared" si="164"/>
        <v>44</v>
      </c>
      <c r="U416" s="30" t="s">
        <v>72</v>
      </c>
      <c r="V416" s="30"/>
      <c r="W416" s="62">
        <f t="shared" si="171"/>
        <v>89</v>
      </c>
      <c r="X416" s="28">
        <v>59</v>
      </c>
      <c r="Y416" s="13">
        <f t="shared" ref="Y416:Y441" si="175">IFERROR(W416/X416-1,"-")</f>
        <v>0.50847457627118642</v>
      </c>
      <c r="Z416" s="12">
        <f t="shared" si="165"/>
        <v>30</v>
      </c>
      <c r="AA416" s="30" t="s">
        <v>72</v>
      </c>
      <c r="AB416" s="64"/>
      <c r="AC416" s="62">
        <f t="shared" si="172"/>
        <v>177</v>
      </c>
      <c r="AD416" s="28">
        <v>124</v>
      </c>
      <c r="AE416" s="13">
        <f t="shared" ref="AE416:AE441" si="176">IFERROR(AC416/AD416-1,"-")</f>
        <v>0.42741935483870974</v>
      </c>
      <c r="AF416" s="12">
        <f t="shared" si="166"/>
        <v>53</v>
      </c>
      <c r="AG416" s="12"/>
      <c r="AH416" s="17"/>
      <c r="AI416" s="16"/>
      <c r="AJ416" s="2">
        <f t="shared" si="155"/>
        <v>37</v>
      </c>
      <c r="AK416" s="2">
        <f t="shared" si="156"/>
        <v>125</v>
      </c>
      <c r="AL416" s="2">
        <f t="shared" si="157"/>
        <v>195</v>
      </c>
      <c r="AM416" s="2">
        <f t="shared" si="158"/>
        <v>98</v>
      </c>
    </row>
    <row r="417" spans="1:39" outlineLevel="1" x14ac:dyDescent="0.25">
      <c r="A417" t="s">
        <v>38</v>
      </c>
      <c r="B417" s="7" t="str">
        <f t="shared" si="150"/>
        <v>Klappenboden (420x360)</v>
      </c>
      <c r="C417">
        <v>3801</v>
      </c>
      <c r="D417" s="7" t="s">
        <v>42</v>
      </c>
      <c r="E417">
        <v>420</v>
      </c>
      <c r="F417">
        <v>360</v>
      </c>
      <c r="I417" s="45">
        <f t="shared" si="167"/>
        <v>0.1512</v>
      </c>
      <c r="J417" s="46">
        <f t="shared" si="168"/>
        <v>1.56</v>
      </c>
      <c r="K417" s="62">
        <f t="shared" si="169"/>
        <v>34</v>
      </c>
      <c r="L417" s="28">
        <v>21</v>
      </c>
      <c r="M417" s="13">
        <f t="shared" si="173"/>
        <v>0.61904761904761907</v>
      </c>
      <c r="N417" s="12">
        <f t="shared" si="163"/>
        <v>13</v>
      </c>
      <c r="O417" s="30" t="s">
        <v>72</v>
      </c>
      <c r="Q417" s="62">
        <f t="shared" si="170"/>
        <v>121</v>
      </c>
      <c r="R417" s="28">
        <v>75</v>
      </c>
      <c r="S417" s="13">
        <f t="shared" si="174"/>
        <v>0.61333333333333329</v>
      </c>
      <c r="T417" s="12">
        <f t="shared" si="164"/>
        <v>46</v>
      </c>
      <c r="U417" s="30" t="s">
        <v>72</v>
      </c>
      <c r="V417" s="30"/>
      <c r="W417" s="62">
        <f t="shared" si="171"/>
        <v>92</v>
      </c>
      <c r="X417" s="28">
        <v>61</v>
      </c>
      <c r="Y417" s="13">
        <f t="shared" si="175"/>
        <v>0.50819672131147531</v>
      </c>
      <c r="Z417" s="12">
        <f t="shared" si="165"/>
        <v>31</v>
      </c>
      <c r="AA417" s="30" t="s">
        <v>72</v>
      </c>
      <c r="AB417" s="64"/>
      <c r="AC417" s="62">
        <f t="shared" si="172"/>
        <v>178</v>
      </c>
      <c r="AD417" s="28">
        <v>125</v>
      </c>
      <c r="AE417" s="13">
        <f t="shared" si="176"/>
        <v>0.42399999999999993</v>
      </c>
      <c r="AF417" s="12">
        <f t="shared" si="166"/>
        <v>53</v>
      </c>
      <c r="AG417" s="12"/>
      <c r="AH417" s="17"/>
      <c r="AI417" s="16"/>
      <c r="AJ417" s="2">
        <f t="shared" si="155"/>
        <v>37</v>
      </c>
      <c r="AK417" s="2">
        <f t="shared" si="156"/>
        <v>133</v>
      </c>
      <c r="AL417" s="2">
        <f t="shared" si="157"/>
        <v>196</v>
      </c>
      <c r="AM417" s="2">
        <f t="shared" si="158"/>
        <v>101</v>
      </c>
    </row>
    <row r="418" spans="1:39" outlineLevel="1" x14ac:dyDescent="0.25">
      <c r="A418" t="s">
        <v>38</v>
      </c>
      <c r="B418" s="7" t="str">
        <f t="shared" ref="B418:B450" si="177">IF(OR(E418="-",F418="-"),"-",D418&amp;" ("&amp;E418&amp;"x"&amp;F418&amp;")")</f>
        <v>Klappenboden (580x360)</v>
      </c>
      <c r="C418">
        <v>3802</v>
      </c>
      <c r="D418" s="7" t="s">
        <v>42</v>
      </c>
      <c r="E418">
        <v>580</v>
      </c>
      <c r="F418">
        <v>360</v>
      </c>
      <c r="I418" s="45">
        <f t="shared" si="167"/>
        <v>0.20879999999999999</v>
      </c>
      <c r="J418" s="46">
        <f t="shared" si="168"/>
        <v>1.88</v>
      </c>
      <c r="K418" s="62">
        <f t="shared" si="169"/>
        <v>43</v>
      </c>
      <c r="L418" s="28">
        <v>28</v>
      </c>
      <c r="M418" s="13">
        <f t="shared" si="173"/>
        <v>0.53571428571428581</v>
      </c>
      <c r="N418" s="12">
        <f t="shared" si="163"/>
        <v>15</v>
      </c>
      <c r="O418" s="30" t="s">
        <v>72</v>
      </c>
      <c r="Q418" s="62">
        <f t="shared" si="170"/>
        <v>161</v>
      </c>
      <c r="R418" s="28">
        <v>105</v>
      </c>
      <c r="S418" s="13">
        <f t="shared" si="174"/>
        <v>0.53333333333333344</v>
      </c>
      <c r="T418" s="12">
        <f t="shared" si="164"/>
        <v>56</v>
      </c>
      <c r="U418" s="30" t="s">
        <v>72</v>
      </c>
      <c r="V418" s="30"/>
      <c r="W418" s="62">
        <f t="shared" si="171"/>
        <v>130</v>
      </c>
      <c r="X418" s="28">
        <v>89</v>
      </c>
      <c r="Y418" s="13">
        <f t="shared" si="175"/>
        <v>0.4606741573033708</v>
      </c>
      <c r="Z418" s="12">
        <f t="shared" si="165"/>
        <v>41</v>
      </c>
      <c r="AA418" s="30" t="s">
        <v>72</v>
      </c>
      <c r="AB418" s="64"/>
      <c r="AC418" s="62">
        <f t="shared" si="172"/>
        <v>185</v>
      </c>
      <c r="AD418" s="28">
        <v>130</v>
      </c>
      <c r="AE418" s="13">
        <f t="shared" si="176"/>
        <v>0.42307692307692313</v>
      </c>
      <c r="AF418" s="12">
        <f t="shared" si="166"/>
        <v>55</v>
      </c>
      <c r="AG418" s="12"/>
      <c r="AH418" s="17"/>
      <c r="AI418" s="16"/>
      <c r="AJ418" s="2">
        <f t="shared" si="155"/>
        <v>47</v>
      </c>
      <c r="AK418" s="2">
        <f t="shared" si="156"/>
        <v>177</v>
      </c>
      <c r="AL418" s="2">
        <f t="shared" si="157"/>
        <v>204</v>
      </c>
      <c r="AM418" s="2">
        <f t="shared" si="158"/>
        <v>143</v>
      </c>
    </row>
    <row r="419" spans="1:39" outlineLevel="1" x14ac:dyDescent="0.25">
      <c r="A419" t="s">
        <v>38</v>
      </c>
      <c r="B419" s="7" t="str">
        <f t="shared" si="177"/>
        <v>Klappenboden (780x360)</v>
      </c>
      <c r="C419">
        <v>3803</v>
      </c>
      <c r="D419" s="7" t="s">
        <v>42</v>
      </c>
      <c r="E419">
        <v>780</v>
      </c>
      <c r="F419">
        <v>360</v>
      </c>
      <c r="I419" s="45">
        <f t="shared" si="167"/>
        <v>0.28079999999999999</v>
      </c>
      <c r="J419" s="46">
        <f t="shared" si="168"/>
        <v>2.2800000000000002</v>
      </c>
      <c r="K419" s="62">
        <f t="shared" si="169"/>
        <v>56</v>
      </c>
      <c r="L419" s="28">
        <v>38</v>
      </c>
      <c r="M419" s="13">
        <f t="shared" si="173"/>
        <v>0.47368421052631571</v>
      </c>
      <c r="N419" s="12">
        <f t="shared" si="163"/>
        <v>18</v>
      </c>
      <c r="O419" s="30" t="s">
        <v>72</v>
      </c>
      <c r="Q419" s="62">
        <f t="shared" si="170"/>
        <v>185</v>
      </c>
      <c r="R419" s="28">
        <v>123</v>
      </c>
      <c r="S419" s="13">
        <f t="shared" si="174"/>
        <v>0.50406504065040658</v>
      </c>
      <c r="T419" s="12">
        <f t="shared" si="164"/>
        <v>62</v>
      </c>
      <c r="U419" s="30" t="s">
        <v>72</v>
      </c>
      <c r="V419" s="30"/>
      <c r="W419" s="62">
        <f t="shared" si="171"/>
        <v>144</v>
      </c>
      <c r="X419" s="28">
        <v>100</v>
      </c>
      <c r="Y419" s="13">
        <f t="shared" si="175"/>
        <v>0.43999999999999995</v>
      </c>
      <c r="Z419" s="12">
        <f t="shared" si="165"/>
        <v>44</v>
      </c>
      <c r="AA419" s="30" t="s">
        <v>72</v>
      </c>
      <c r="AB419" s="64"/>
      <c r="AC419" s="62">
        <f t="shared" si="172"/>
        <v>190</v>
      </c>
      <c r="AD419" s="28">
        <v>134</v>
      </c>
      <c r="AE419" s="13">
        <f t="shared" si="176"/>
        <v>0.41791044776119413</v>
      </c>
      <c r="AF419" s="12">
        <f t="shared" si="166"/>
        <v>56</v>
      </c>
      <c r="AG419" s="12"/>
      <c r="AH419" s="17"/>
      <c r="AI419" s="16"/>
      <c r="AJ419" s="2">
        <f t="shared" si="155"/>
        <v>62</v>
      </c>
      <c r="AK419" s="2">
        <f t="shared" si="156"/>
        <v>204</v>
      </c>
      <c r="AL419" s="2">
        <f t="shared" si="157"/>
        <v>209</v>
      </c>
      <c r="AM419" s="2">
        <f t="shared" si="158"/>
        <v>158</v>
      </c>
    </row>
    <row r="420" spans="1:39" outlineLevel="1" x14ac:dyDescent="0.25">
      <c r="A420" t="s">
        <v>38</v>
      </c>
      <c r="B420" s="7" t="str">
        <f t="shared" si="177"/>
        <v>Klappenboden (980x360)</v>
      </c>
      <c r="C420">
        <v>3804</v>
      </c>
      <c r="D420" s="7" t="s">
        <v>42</v>
      </c>
      <c r="E420">
        <v>980</v>
      </c>
      <c r="F420">
        <v>360</v>
      </c>
      <c r="I420" s="45">
        <f t="shared" si="167"/>
        <v>0.3528</v>
      </c>
      <c r="J420" s="46">
        <f t="shared" si="168"/>
        <v>2.6799999999999997</v>
      </c>
      <c r="K420" s="62">
        <f t="shared" si="169"/>
        <v>70</v>
      </c>
      <c r="L420" s="28">
        <v>48</v>
      </c>
      <c r="M420" s="13">
        <f t="shared" si="173"/>
        <v>0.45833333333333326</v>
      </c>
      <c r="N420" s="12">
        <f t="shared" si="163"/>
        <v>22</v>
      </c>
      <c r="O420" s="30" t="s">
        <v>72</v>
      </c>
      <c r="Q420" s="62">
        <f t="shared" si="170"/>
        <v>223</v>
      </c>
      <c r="R420" s="28">
        <v>151</v>
      </c>
      <c r="S420" s="13">
        <f t="shared" si="174"/>
        <v>0.47682119205298013</v>
      </c>
      <c r="T420" s="12">
        <f t="shared" si="164"/>
        <v>72</v>
      </c>
      <c r="U420" s="30" t="s">
        <v>72</v>
      </c>
      <c r="V420" s="30"/>
      <c r="W420" s="62">
        <f t="shared" si="171"/>
        <v>174</v>
      </c>
      <c r="X420" s="28">
        <v>122</v>
      </c>
      <c r="Y420" s="13">
        <f t="shared" si="175"/>
        <v>0.42622950819672134</v>
      </c>
      <c r="Z420" s="12">
        <f t="shared" si="165"/>
        <v>52</v>
      </c>
      <c r="AA420" s="30" t="s">
        <v>72</v>
      </c>
      <c r="AB420" s="64"/>
      <c r="AC420" s="62">
        <f t="shared" si="172"/>
        <v>209</v>
      </c>
      <c r="AD420" s="28">
        <v>148</v>
      </c>
      <c r="AE420" s="13">
        <f t="shared" si="176"/>
        <v>0.41216216216216206</v>
      </c>
      <c r="AF420" s="12">
        <f t="shared" si="166"/>
        <v>61</v>
      </c>
      <c r="AG420" s="12"/>
      <c r="AH420" s="17"/>
      <c r="AI420" s="16"/>
      <c r="AJ420" s="2">
        <f t="shared" si="155"/>
        <v>77</v>
      </c>
      <c r="AK420" s="2">
        <f t="shared" si="156"/>
        <v>245</v>
      </c>
      <c r="AL420" s="2">
        <f t="shared" si="157"/>
        <v>230</v>
      </c>
      <c r="AM420" s="2">
        <f t="shared" si="158"/>
        <v>191</v>
      </c>
    </row>
    <row r="421" spans="1:39" outlineLevel="1" x14ac:dyDescent="0.25">
      <c r="A421" t="s">
        <v>38</v>
      </c>
      <c r="B421" s="7" t="str">
        <f t="shared" si="177"/>
        <v>Klappenboden (360x580)</v>
      </c>
      <c r="C421">
        <v>3805</v>
      </c>
      <c r="D421" s="7" t="s">
        <v>42</v>
      </c>
      <c r="E421">
        <v>360</v>
      </c>
      <c r="F421">
        <v>580</v>
      </c>
      <c r="I421" s="45">
        <f t="shared" si="167"/>
        <v>0.20879999999999999</v>
      </c>
      <c r="J421" s="46">
        <f t="shared" si="168"/>
        <v>1.88</v>
      </c>
      <c r="K421" s="62">
        <f t="shared" si="169"/>
        <v>43</v>
      </c>
      <c r="L421" s="28">
        <v>28</v>
      </c>
      <c r="M421" s="13">
        <f t="shared" si="173"/>
        <v>0.53571428571428581</v>
      </c>
      <c r="N421" s="12">
        <f t="shared" si="163"/>
        <v>15</v>
      </c>
      <c r="O421" s="30" t="s">
        <v>72</v>
      </c>
      <c r="Q421" s="62">
        <f t="shared" si="170"/>
        <v>161</v>
      </c>
      <c r="R421" s="28">
        <v>105</v>
      </c>
      <c r="S421" s="13">
        <f t="shared" si="174"/>
        <v>0.53333333333333344</v>
      </c>
      <c r="T421" s="12">
        <f t="shared" si="164"/>
        <v>56</v>
      </c>
      <c r="U421" s="30" t="s">
        <v>72</v>
      </c>
      <c r="V421" s="30"/>
      <c r="W421" s="62">
        <f t="shared" si="171"/>
        <v>130</v>
      </c>
      <c r="X421" s="28">
        <v>89</v>
      </c>
      <c r="Y421" s="13">
        <f t="shared" si="175"/>
        <v>0.4606741573033708</v>
      </c>
      <c r="Z421" s="12">
        <f t="shared" si="165"/>
        <v>41</v>
      </c>
      <c r="AA421" s="30" t="s">
        <v>72</v>
      </c>
      <c r="AB421" s="64"/>
      <c r="AC421" s="62">
        <f t="shared" si="172"/>
        <v>185</v>
      </c>
      <c r="AD421" s="28">
        <v>130</v>
      </c>
      <c r="AE421" s="13">
        <f t="shared" si="176"/>
        <v>0.42307692307692313</v>
      </c>
      <c r="AF421" s="12">
        <f t="shared" si="166"/>
        <v>55</v>
      </c>
      <c r="AG421" s="12"/>
      <c r="AH421" s="17"/>
      <c r="AI421" s="16"/>
      <c r="AJ421" s="2">
        <f t="shared" si="155"/>
        <v>47</v>
      </c>
      <c r="AK421" s="2">
        <f t="shared" si="156"/>
        <v>177</v>
      </c>
      <c r="AL421" s="2">
        <f t="shared" si="157"/>
        <v>204</v>
      </c>
      <c r="AM421" s="2">
        <f t="shared" si="158"/>
        <v>143</v>
      </c>
    </row>
    <row r="422" spans="1:39" outlineLevel="1" x14ac:dyDescent="0.25">
      <c r="A422" t="s">
        <v>38</v>
      </c>
      <c r="B422" s="7" t="str">
        <f t="shared" si="177"/>
        <v>Klappenboden (420x580)</v>
      </c>
      <c r="C422">
        <v>3806</v>
      </c>
      <c r="D422" s="7" t="s">
        <v>42</v>
      </c>
      <c r="E422">
        <v>420</v>
      </c>
      <c r="F422">
        <v>580</v>
      </c>
      <c r="I422" s="45">
        <f t="shared" si="167"/>
        <v>0.24359999999999998</v>
      </c>
      <c r="J422" s="46">
        <f t="shared" si="168"/>
        <v>2</v>
      </c>
      <c r="K422" s="62">
        <f t="shared" si="169"/>
        <v>49</v>
      </c>
      <c r="L422" s="28">
        <v>33</v>
      </c>
      <c r="M422" s="13">
        <f t="shared" si="173"/>
        <v>0.48484848484848486</v>
      </c>
      <c r="N422" s="12">
        <f t="shared" si="163"/>
        <v>16</v>
      </c>
      <c r="O422" s="30" t="s">
        <v>72</v>
      </c>
      <c r="Q422" s="62">
        <f t="shared" si="170"/>
        <v>181</v>
      </c>
      <c r="R422" s="28">
        <v>120</v>
      </c>
      <c r="S422" s="13">
        <f t="shared" si="174"/>
        <v>0.5083333333333333</v>
      </c>
      <c r="T422" s="12">
        <f t="shared" si="164"/>
        <v>61</v>
      </c>
      <c r="U422" s="30" t="s">
        <v>72</v>
      </c>
      <c r="V422" s="30"/>
      <c r="W422" s="62">
        <f t="shared" si="171"/>
        <v>147</v>
      </c>
      <c r="X422" s="28">
        <v>102</v>
      </c>
      <c r="Y422" s="13">
        <f t="shared" si="175"/>
        <v>0.44117647058823528</v>
      </c>
      <c r="Z422" s="12">
        <f t="shared" si="165"/>
        <v>45</v>
      </c>
      <c r="AA422" s="30" t="s">
        <v>72</v>
      </c>
      <c r="AB422" s="64"/>
      <c r="AC422" s="62">
        <f t="shared" si="172"/>
        <v>186</v>
      </c>
      <c r="AD422" s="28">
        <v>131</v>
      </c>
      <c r="AE422" s="13">
        <f t="shared" si="176"/>
        <v>0.41984732824427473</v>
      </c>
      <c r="AF422" s="12">
        <f t="shared" si="166"/>
        <v>55</v>
      </c>
      <c r="AG422" s="12"/>
      <c r="AH422" s="17"/>
      <c r="AI422" s="16"/>
      <c r="AJ422" s="2">
        <f t="shared" si="155"/>
        <v>54</v>
      </c>
      <c r="AK422" s="2">
        <f t="shared" si="156"/>
        <v>199</v>
      </c>
      <c r="AL422" s="2">
        <f t="shared" si="157"/>
        <v>205</v>
      </c>
      <c r="AM422" s="2">
        <f t="shared" si="158"/>
        <v>162</v>
      </c>
    </row>
    <row r="423" spans="1:39" outlineLevel="1" x14ac:dyDescent="0.25">
      <c r="A423" t="s">
        <v>38</v>
      </c>
      <c r="B423" s="7" t="str">
        <f t="shared" si="177"/>
        <v>Klappenboden (580x580)</v>
      </c>
      <c r="C423">
        <v>3807</v>
      </c>
      <c r="D423" s="7" t="s">
        <v>42</v>
      </c>
      <c r="E423">
        <v>580</v>
      </c>
      <c r="F423">
        <v>580</v>
      </c>
      <c r="I423" s="45">
        <f t="shared" si="167"/>
        <v>0.33639999999999998</v>
      </c>
      <c r="J423" s="46">
        <f t="shared" si="168"/>
        <v>2.3199999999999998</v>
      </c>
      <c r="K423" s="62">
        <f t="shared" si="169"/>
        <v>67</v>
      </c>
      <c r="L423" s="28">
        <v>46</v>
      </c>
      <c r="M423" s="13">
        <f t="shared" si="173"/>
        <v>0.45652173913043481</v>
      </c>
      <c r="N423" s="12">
        <f t="shared" si="163"/>
        <v>21</v>
      </c>
      <c r="O423" s="30" t="s">
        <v>72</v>
      </c>
      <c r="Q423" s="62">
        <f t="shared" si="170"/>
        <v>228</v>
      </c>
      <c r="R423" s="28">
        <v>155</v>
      </c>
      <c r="S423" s="13">
        <f t="shared" si="174"/>
        <v>0.47096774193548385</v>
      </c>
      <c r="T423" s="12">
        <f t="shared" si="164"/>
        <v>73</v>
      </c>
      <c r="U423" s="30" t="s">
        <v>72</v>
      </c>
      <c r="V423" s="30"/>
      <c r="W423" s="62">
        <f t="shared" si="171"/>
        <v>183</v>
      </c>
      <c r="X423" s="28">
        <v>129</v>
      </c>
      <c r="Y423" s="13">
        <f t="shared" si="175"/>
        <v>0.41860465116279078</v>
      </c>
      <c r="Z423" s="12">
        <f t="shared" si="165"/>
        <v>54</v>
      </c>
      <c r="AA423" s="30" t="s">
        <v>72</v>
      </c>
      <c r="AB423" s="64"/>
      <c r="AC423" s="62">
        <f t="shared" si="172"/>
        <v>191</v>
      </c>
      <c r="AD423" s="28">
        <v>135</v>
      </c>
      <c r="AE423" s="13">
        <f t="shared" si="176"/>
        <v>0.41481481481481475</v>
      </c>
      <c r="AF423" s="12">
        <f t="shared" si="166"/>
        <v>56</v>
      </c>
      <c r="AG423" s="12"/>
      <c r="AH423" s="17"/>
      <c r="AI423" s="16"/>
      <c r="AJ423" s="2">
        <f t="shared" si="155"/>
        <v>74</v>
      </c>
      <c r="AK423" s="2">
        <f t="shared" si="156"/>
        <v>251</v>
      </c>
      <c r="AL423" s="2">
        <f t="shared" si="157"/>
        <v>210</v>
      </c>
      <c r="AM423" s="2">
        <f t="shared" si="158"/>
        <v>201</v>
      </c>
    </row>
    <row r="424" spans="1:39" outlineLevel="1" x14ac:dyDescent="0.25">
      <c r="A424" t="s">
        <v>38</v>
      </c>
      <c r="B424" s="7" t="str">
        <f t="shared" si="177"/>
        <v>Klappenboden (780x580)</v>
      </c>
      <c r="C424">
        <v>3808</v>
      </c>
      <c r="D424" s="7" t="s">
        <v>42</v>
      </c>
      <c r="E424">
        <v>780</v>
      </c>
      <c r="F424">
        <v>580</v>
      </c>
      <c r="I424" s="45">
        <f t="shared" si="167"/>
        <v>0.45240000000000002</v>
      </c>
      <c r="J424" s="46">
        <f t="shared" si="168"/>
        <v>2.7199999999999998</v>
      </c>
      <c r="K424" s="62">
        <f t="shared" si="169"/>
        <v>87</v>
      </c>
      <c r="L424" s="28">
        <v>61</v>
      </c>
      <c r="M424" s="13">
        <f t="shared" si="173"/>
        <v>0.42622950819672134</v>
      </c>
      <c r="N424" s="12">
        <f t="shared" si="163"/>
        <v>26</v>
      </c>
      <c r="O424" s="30" t="s">
        <v>72</v>
      </c>
      <c r="Q424" s="62">
        <f t="shared" si="170"/>
        <v>275</v>
      </c>
      <c r="R424" s="28">
        <v>190</v>
      </c>
      <c r="S424" s="13">
        <f t="shared" si="174"/>
        <v>0.44736842105263164</v>
      </c>
      <c r="T424" s="12">
        <f t="shared" si="164"/>
        <v>85</v>
      </c>
      <c r="U424" s="30" t="s">
        <v>72</v>
      </c>
      <c r="V424" s="30"/>
      <c r="W424" s="62">
        <f t="shared" si="171"/>
        <v>225</v>
      </c>
      <c r="X424" s="28">
        <v>160</v>
      </c>
      <c r="Y424" s="13">
        <f t="shared" si="175"/>
        <v>0.40625</v>
      </c>
      <c r="Z424" s="12">
        <f t="shared" si="165"/>
        <v>65</v>
      </c>
      <c r="AA424" s="30" t="s">
        <v>72</v>
      </c>
      <c r="AB424" s="64"/>
      <c r="AC424" s="62">
        <f t="shared" si="172"/>
        <v>237</v>
      </c>
      <c r="AD424" s="28">
        <v>169</v>
      </c>
      <c r="AE424" s="13">
        <f t="shared" si="176"/>
        <v>0.4023668639053255</v>
      </c>
      <c r="AF424" s="12">
        <f t="shared" si="166"/>
        <v>68</v>
      </c>
      <c r="AG424" s="12"/>
      <c r="AH424" s="17"/>
      <c r="AI424" s="16"/>
      <c r="AJ424" s="2">
        <f t="shared" si="155"/>
        <v>96</v>
      </c>
      <c r="AK424" s="2">
        <f t="shared" si="156"/>
        <v>303</v>
      </c>
      <c r="AL424" s="2">
        <f t="shared" si="157"/>
        <v>261</v>
      </c>
      <c r="AM424" s="2">
        <f t="shared" si="158"/>
        <v>248</v>
      </c>
    </row>
    <row r="425" spans="1:39" outlineLevel="1" x14ac:dyDescent="0.25">
      <c r="A425" t="s">
        <v>38</v>
      </c>
      <c r="B425" s="7" t="str">
        <f t="shared" si="177"/>
        <v>Klappenboden (980x580)</v>
      </c>
      <c r="C425">
        <v>3809</v>
      </c>
      <c r="D425" s="7" t="s">
        <v>42</v>
      </c>
      <c r="E425">
        <v>980</v>
      </c>
      <c r="F425">
        <v>580</v>
      </c>
      <c r="I425" s="45">
        <f t="shared" si="167"/>
        <v>0.56840000000000002</v>
      </c>
      <c r="J425" s="46">
        <f t="shared" si="168"/>
        <v>3.12</v>
      </c>
      <c r="K425" s="62">
        <f t="shared" si="169"/>
        <v>110</v>
      </c>
      <c r="L425" s="28">
        <v>78</v>
      </c>
      <c r="M425" s="13">
        <f t="shared" si="173"/>
        <v>0.41025641025641035</v>
      </c>
      <c r="N425" s="12">
        <f t="shared" si="163"/>
        <v>32</v>
      </c>
      <c r="O425" s="30" t="s">
        <v>72</v>
      </c>
      <c r="Q425" s="62">
        <f t="shared" si="170"/>
        <v>355</v>
      </c>
      <c r="R425" s="28">
        <v>249</v>
      </c>
      <c r="S425" s="13">
        <f t="shared" si="174"/>
        <v>0.42570281124497988</v>
      </c>
      <c r="T425" s="12">
        <f t="shared" si="164"/>
        <v>106</v>
      </c>
      <c r="U425" s="30" t="s">
        <v>72</v>
      </c>
      <c r="V425" s="30"/>
      <c r="W425" s="62">
        <f t="shared" si="171"/>
        <v>286</v>
      </c>
      <c r="X425" s="28">
        <v>205</v>
      </c>
      <c r="Y425" s="13">
        <f t="shared" si="175"/>
        <v>0.3951219512195121</v>
      </c>
      <c r="Z425" s="12">
        <f t="shared" si="165"/>
        <v>81</v>
      </c>
      <c r="AA425" s="30" t="s">
        <v>72</v>
      </c>
      <c r="AB425" s="64"/>
      <c r="AC425" s="62">
        <f t="shared" si="172"/>
        <v>276</v>
      </c>
      <c r="AD425" s="28">
        <v>198</v>
      </c>
      <c r="AE425" s="13">
        <f t="shared" si="176"/>
        <v>0.39393939393939403</v>
      </c>
      <c r="AF425" s="12">
        <f t="shared" si="166"/>
        <v>78</v>
      </c>
      <c r="AG425" s="12"/>
      <c r="AH425" s="17"/>
      <c r="AI425" s="16"/>
      <c r="AJ425" s="2">
        <f t="shared" si="155"/>
        <v>121</v>
      </c>
      <c r="AK425" s="2">
        <f t="shared" si="156"/>
        <v>391</v>
      </c>
      <c r="AL425" s="2">
        <f t="shared" si="157"/>
        <v>304</v>
      </c>
      <c r="AM425" s="2">
        <f t="shared" si="158"/>
        <v>315</v>
      </c>
    </row>
    <row r="426" spans="1:39" outlineLevel="1" x14ac:dyDescent="0.25">
      <c r="A426" t="s">
        <v>38</v>
      </c>
      <c r="B426" s="7" t="str">
        <f t="shared" si="177"/>
        <v>Klappenboden (420x780)</v>
      </c>
      <c r="C426">
        <v>3810</v>
      </c>
      <c r="D426" s="7" t="s">
        <v>42</v>
      </c>
      <c r="E426">
        <v>420</v>
      </c>
      <c r="F426">
        <v>780</v>
      </c>
      <c r="I426" s="45">
        <f t="shared" si="167"/>
        <v>0.32759999999999995</v>
      </c>
      <c r="J426" s="46">
        <f t="shared" si="168"/>
        <v>2.4</v>
      </c>
      <c r="K426" s="62">
        <f t="shared" si="169"/>
        <v>65</v>
      </c>
      <c r="L426" s="28">
        <v>45</v>
      </c>
      <c r="M426" s="13">
        <f t="shared" si="173"/>
        <v>0.44444444444444442</v>
      </c>
      <c r="N426" s="12">
        <f t="shared" si="163"/>
        <v>20</v>
      </c>
      <c r="O426" s="30" t="s">
        <v>72</v>
      </c>
      <c r="Q426" s="62">
        <f t="shared" si="170"/>
        <v>128</v>
      </c>
      <c r="R426" s="28" t="s">
        <v>63</v>
      </c>
      <c r="S426" s="13" t="str">
        <f t="shared" si="174"/>
        <v>-</v>
      </c>
      <c r="T426" s="12" t="str">
        <f t="shared" si="164"/>
        <v>-</v>
      </c>
      <c r="U426" s="30" t="s">
        <v>72</v>
      </c>
      <c r="V426" s="30"/>
      <c r="W426" s="62">
        <f t="shared" si="171"/>
        <v>10</v>
      </c>
      <c r="X426" s="28">
        <v>0</v>
      </c>
      <c r="Y426" s="13" t="str">
        <f t="shared" si="175"/>
        <v>-</v>
      </c>
      <c r="Z426" s="12">
        <f t="shared" si="165"/>
        <v>10</v>
      </c>
      <c r="AA426" s="30" t="s">
        <v>72</v>
      </c>
      <c r="AB426" s="64"/>
      <c r="AC426" s="62">
        <f t="shared" si="172"/>
        <v>0</v>
      </c>
      <c r="AD426" s="28" t="s">
        <v>68</v>
      </c>
      <c r="AE426" s="13" t="str">
        <f t="shared" si="176"/>
        <v>-</v>
      </c>
      <c r="AF426" s="12" t="str">
        <f t="shared" si="166"/>
        <v>-</v>
      </c>
      <c r="AG426" s="12"/>
      <c r="AH426" s="17"/>
      <c r="AI426" s="16"/>
      <c r="AJ426" s="2">
        <f t="shared" si="155"/>
        <v>72</v>
      </c>
      <c r="AK426" s="2">
        <f t="shared" si="156"/>
        <v>141</v>
      </c>
      <c r="AL426" s="2">
        <f t="shared" si="157"/>
        <v>0</v>
      </c>
      <c r="AM426" s="2">
        <f t="shared" si="158"/>
        <v>11</v>
      </c>
    </row>
    <row r="427" spans="1:39" outlineLevel="1" x14ac:dyDescent="0.25">
      <c r="A427" t="s">
        <v>38</v>
      </c>
      <c r="B427" s="7" t="str">
        <f t="shared" si="177"/>
        <v>Klappenboden (420x980)</v>
      </c>
      <c r="C427">
        <v>3811</v>
      </c>
      <c r="D427" s="7" t="s">
        <v>42</v>
      </c>
      <c r="E427">
        <v>420</v>
      </c>
      <c r="F427">
        <v>980</v>
      </c>
      <c r="I427" s="45">
        <f t="shared" si="167"/>
        <v>0.41159999999999997</v>
      </c>
      <c r="J427" s="46">
        <f t="shared" si="168"/>
        <v>2.8</v>
      </c>
      <c r="K427" s="62">
        <f t="shared" si="169"/>
        <v>79</v>
      </c>
      <c r="L427" s="28">
        <v>55</v>
      </c>
      <c r="M427" s="13">
        <f t="shared" si="173"/>
        <v>0.43636363636363629</v>
      </c>
      <c r="N427" s="12">
        <f t="shared" si="163"/>
        <v>24</v>
      </c>
      <c r="O427" s="30" t="s">
        <v>72</v>
      </c>
      <c r="Q427" s="62">
        <f t="shared" si="170"/>
        <v>155</v>
      </c>
      <c r="R427" s="28" t="s">
        <v>63</v>
      </c>
      <c r="S427" s="13" t="str">
        <f t="shared" si="174"/>
        <v>-</v>
      </c>
      <c r="T427" s="12" t="str">
        <f t="shared" si="164"/>
        <v>-</v>
      </c>
      <c r="U427" s="30" t="s">
        <v>72</v>
      </c>
      <c r="V427" s="30"/>
      <c r="W427" s="62">
        <f t="shared" si="171"/>
        <v>10</v>
      </c>
      <c r="X427" s="28">
        <v>0</v>
      </c>
      <c r="Y427" s="13" t="str">
        <f t="shared" si="175"/>
        <v>-</v>
      </c>
      <c r="Z427" s="12">
        <f t="shared" si="165"/>
        <v>10</v>
      </c>
      <c r="AA427" s="30" t="s">
        <v>72</v>
      </c>
      <c r="AB427" s="64"/>
      <c r="AC427" s="62">
        <f t="shared" si="172"/>
        <v>0</v>
      </c>
      <c r="AD427" s="28" t="s">
        <v>68</v>
      </c>
      <c r="AE427" s="13" t="str">
        <f t="shared" si="176"/>
        <v>-</v>
      </c>
      <c r="AF427" s="12" t="str">
        <f t="shared" si="166"/>
        <v>-</v>
      </c>
      <c r="AG427" s="12"/>
      <c r="AH427" s="17"/>
      <c r="AI427" s="16"/>
      <c r="AJ427" s="2">
        <f t="shared" si="155"/>
        <v>87</v>
      </c>
      <c r="AK427" s="2">
        <f t="shared" si="156"/>
        <v>171</v>
      </c>
      <c r="AL427" s="2">
        <f t="shared" si="157"/>
        <v>0</v>
      </c>
      <c r="AM427" s="2">
        <f t="shared" si="158"/>
        <v>11</v>
      </c>
    </row>
    <row r="428" spans="1:39" outlineLevel="1" x14ac:dyDescent="0.25">
      <c r="A428" t="s">
        <v>38</v>
      </c>
      <c r="B428" s="7" t="str">
        <f t="shared" si="177"/>
        <v>Klappenboden (780x780)</v>
      </c>
      <c r="C428">
        <v>3812</v>
      </c>
      <c r="D428" s="7" t="s">
        <v>42</v>
      </c>
      <c r="E428">
        <v>780</v>
      </c>
      <c r="F428">
        <v>780</v>
      </c>
      <c r="I428" s="45">
        <f t="shared" si="167"/>
        <v>0.60839999999999994</v>
      </c>
      <c r="J428" s="46">
        <f t="shared" si="168"/>
        <v>3.12</v>
      </c>
      <c r="K428" s="62">
        <f t="shared" si="169"/>
        <v>126</v>
      </c>
      <c r="L428" s="28">
        <v>90</v>
      </c>
      <c r="M428" s="13">
        <f t="shared" si="173"/>
        <v>0.39999999999999991</v>
      </c>
      <c r="N428" s="12">
        <f t="shared" si="163"/>
        <v>36</v>
      </c>
      <c r="O428" s="30" t="s">
        <v>72</v>
      </c>
      <c r="Q428" s="62">
        <f t="shared" si="170"/>
        <v>302</v>
      </c>
      <c r="R428" s="28">
        <v>210</v>
      </c>
      <c r="S428" s="13">
        <f t="shared" si="174"/>
        <v>0.43809523809523809</v>
      </c>
      <c r="T428" s="12">
        <f t="shared" si="164"/>
        <v>92</v>
      </c>
      <c r="U428" s="30" t="s">
        <v>72</v>
      </c>
      <c r="V428" s="30"/>
      <c r="W428" s="62">
        <f t="shared" si="171"/>
        <v>272</v>
      </c>
      <c r="X428" s="28">
        <v>195</v>
      </c>
      <c r="Y428" s="13">
        <f t="shared" si="175"/>
        <v>0.3948717948717948</v>
      </c>
      <c r="Z428" s="12">
        <f t="shared" si="165"/>
        <v>77</v>
      </c>
      <c r="AA428" s="30" t="s">
        <v>72</v>
      </c>
      <c r="AB428" s="64"/>
      <c r="AC428" s="62">
        <f t="shared" si="172"/>
        <v>295</v>
      </c>
      <c r="AD428" s="28">
        <v>212</v>
      </c>
      <c r="AE428" s="13">
        <f t="shared" si="176"/>
        <v>0.39150943396226423</v>
      </c>
      <c r="AF428" s="12">
        <f t="shared" si="166"/>
        <v>83</v>
      </c>
      <c r="AG428" s="12"/>
      <c r="AH428" s="17"/>
      <c r="AI428" s="16"/>
      <c r="AJ428" s="2">
        <f t="shared" si="155"/>
        <v>139</v>
      </c>
      <c r="AK428" s="2">
        <f t="shared" si="156"/>
        <v>332</v>
      </c>
      <c r="AL428" s="2">
        <f t="shared" si="157"/>
        <v>325</v>
      </c>
      <c r="AM428" s="2">
        <f t="shared" si="158"/>
        <v>299</v>
      </c>
    </row>
    <row r="429" spans="1:39" outlineLevel="1" x14ac:dyDescent="0.25">
      <c r="A429" t="s">
        <v>38</v>
      </c>
      <c r="B429" s="7" t="str">
        <f t="shared" si="177"/>
        <v>Klappenboden (780x980)</v>
      </c>
      <c r="C429">
        <v>3813</v>
      </c>
      <c r="D429" s="7" t="s">
        <v>42</v>
      </c>
      <c r="E429">
        <v>780</v>
      </c>
      <c r="F429">
        <v>980</v>
      </c>
      <c r="I429" s="45">
        <f t="shared" si="167"/>
        <v>0.76439999999999997</v>
      </c>
      <c r="J429" s="46">
        <f t="shared" si="168"/>
        <v>3.52</v>
      </c>
      <c r="K429" s="62">
        <f t="shared" si="169"/>
        <v>139</v>
      </c>
      <c r="L429" s="28">
        <v>100</v>
      </c>
      <c r="M429" s="13">
        <f t="shared" si="173"/>
        <v>0.3899999999999999</v>
      </c>
      <c r="N429" s="12">
        <f t="shared" si="163"/>
        <v>39</v>
      </c>
      <c r="O429" s="30" t="s">
        <v>72</v>
      </c>
      <c r="Q429" s="62">
        <f t="shared" si="170"/>
        <v>416</v>
      </c>
      <c r="R429" s="28">
        <v>295</v>
      </c>
      <c r="S429" s="13">
        <f t="shared" si="174"/>
        <v>0.4101694915254237</v>
      </c>
      <c r="T429" s="12">
        <f t="shared" si="164"/>
        <v>121</v>
      </c>
      <c r="U429" s="30" t="s">
        <v>72</v>
      </c>
      <c r="V429" s="30"/>
      <c r="W429" s="62">
        <f t="shared" si="171"/>
        <v>10</v>
      </c>
      <c r="X429" s="28">
        <v>0</v>
      </c>
      <c r="Y429" s="13" t="str">
        <f t="shared" si="175"/>
        <v>-</v>
      </c>
      <c r="Z429" s="12">
        <f t="shared" si="165"/>
        <v>10</v>
      </c>
      <c r="AA429" s="30" t="s">
        <v>72</v>
      </c>
      <c r="AB429" s="64"/>
      <c r="AC429" s="62">
        <f t="shared" si="172"/>
        <v>0</v>
      </c>
      <c r="AD429" s="28" t="s">
        <v>68</v>
      </c>
      <c r="AE429" s="13" t="str">
        <f t="shared" si="176"/>
        <v>-</v>
      </c>
      <c r="AF429" s="12" t="str">
        <f t="shared" si="166"/>
        <v>-</v>
      </c>
      <c r="AG429" s="12"/>
      <c r="AH429" s="17"/>
      <c r="AI429" s="16"/>
      <c r="AJ429" s="2">
        <f t="shared" si="155"/>
        <v>153</v>
      </c>
      <c r="AK429" s="2">
        <f t="shared" si="156"/>
        <v>458</v>
      </c>
      <c r="AL429" s="2">
        <f t="shared" si="157"/>
        <v>0</v>
      </c>
      <c r="AM429" s="2">
        <f t="shared" si="158"/>
        <v>11</v>
      </c>
    </row>
    <row r="430" spans="1:39" outlineLevel="1" x14ac:dyDescent="0.25">
      <c r="A430" t="s">
        <v>38</v>
      </c>
      <c r="B430" s="7" t="str">
        <f t="shared" si="177"/>
        <v>Klappenboden (980x780)</v>
      </c>
      <c r="C430">
        <v>3814</v>
      </c>
      <c r="D430" s="7" t="s">
        <v>42</v>
      </c>
      <c r="E430">
        <v>980</v>
      </c>
      <c r="F430">
        <v>780</v>
      </c>
      <c r="I430" s="45">
        <f t="shared" si="167"/>
        <v>0.76439999999999997</v>
      </c>
      <c r="J430" s="46">
        <f t="shared" si="168"/>
        <v>3.52</v>
      </c>
      <c r="K430" s="62">
        <f t="shared" si="169"/>
        <v>139</v>
      </c>
      <c r="L430" s="28">
        <v>100</v>
      </c>
      <c r="M430" s="13">
        <f t="shared" si="173"/>
        <v>0.3899999999999999</v>
      </c>
      <c r="N430" s="12">
        <f t="shared" si="163"/>
        <v>39</v>
      </c>
      <c r="O430" s="30" t="s">
        <v>72</v>
      </c>
      <c r="Q430" s="62">
        <f t="shared" si="170"/>
        <v>416</v>
      </c>
      <c r="R430" s="28">
        <v>295</v>
      </c>
      <c r="S430" s="13">
        <f t="shared" si="174"/>
        <v>0.4101694915254237</v>
      </c>
      <c r="T430" s="12">
        <f t="shared" si="164"/>
        <v>121</v>
      </c>
      <c r="U430" s="30" t="s">
        <v>72</v>
      </c>
      <c r="V430" s="30"/>
      <c r="W430" s="62">
        <f t="shared" si="171"/>
        <v>10</v>
      </c>
      <c r="X430" s="28">
        <v>0</v>
      </c>
      <c r="Y430" s="13" t="str">
        <f t="shared" si="175"/>
        <v>-</v>
      </c>
      <c r="Z430" s="12">
        <f t="shared" si="165"/>
        <v>10</v>
      </c>
      <c r="AA430" s="30" t="s">
        <v>72</v>
      </c>
      <c r="AB430" s="64"/>
      <c r="AC430" s="62">
        <f t="shared" si="172"/>
        <v>0</v>
      </c>
      <c r="AD430" s="28" t="s">
        <v>68</v>
      </c>
      <c r="AE430" s="13" t="str">
        <f t="shared" si="176"/>
        <v>-</v>
      </c>
      <c r="AF430" s="12" t="str">
        <f t="shared" si="166"/>
        <v>-</v>
      </c>
      <c r="AG430" s="12"/>
      <c r="AH430" s="17"/>
      <c r="AI430" s="16"/>
      <c r="AJ430" s="2">
        <f t="shared" si="155"/>
        <v>153</v>
      </c>
      <c r="AK430" s="2">
        <f t="shared" si="156"/>
        <v>458</v>
      </c>
      <c r="AL430" s="2">
        <f t="shared" si="157"/>
        <v>0</v>
      </c>
      <c r="AM430" s="2">
        <f t="shared" si="158"/>
        <v>11</v>
      </c>
    </row>
    <row r="431" spans="1:39" outlineLevel="1" x14ac:dyDescent="0.25">
      <c r="A431" t="s">
        <v>38</v>
      </c>
      <c r="B431" s="7" t="str">
        <f t="shared" si="177"/>
        <v>Klappenboden (980x980)</v>
      </c>
      <c r="C431">
        <v>3815</v>
      </c>
      <c r="D431" s="7" t="s">
        <v>42</v>
      </c>
      <c r="E431">
        <v>980</v>
      </c>
      <c r="F431">
        <v>980</v>
      </c>
      <c r="I431" s="45">
        <f t="shared" si="167"/>
        <v>0.96040000000000003</v>
      </c>
      <c r="J431" s="46">
        <f t="shared" si="168"/>
        <v>3.92</v>
      </c>
      <c r="K431" s="62">
        <f t="shared" si="169"/>
        <v>180</v>
      </c>
      <c r="L431" s="28">
        <v>130</v>
      </c>
      <c r="M431" s="13">
        <f t="shared" si="173"/>
        <v>0.38461538461538458</v>
      </c>
      <c r="N431" s="12">
        <f t="shared" si="163"/>
        <v>50</v>
      </c>
      <c r="O431" s="30" t="s">
        <v>72</v>
      </c>
      <c r="Q431" s="62">
        <f t="shared" si="170"/>
        <v>354</v>
      </c>
      <c r="R431" s="28" t="s">
        <v>63</v>
      </c>
      <c r="S431" s="13" t="str">
        <f t="shared" si="174"/>
        <v>-</v>
      </c>
      <c r="T431" s="12" t="str">
        <f t="shared" si="164"/>
        <v>-</v>
      </c>
      <c r="U431" s="30" t="s">
        <v>72</v>
      </c>
      <c r="V431" s="30"/>
      <c r="W431" s="62">
        <f t="shared" si="171"/>
        <v>10</v>
      </c>
      <c r="X431" s="28">
        <v>0</v>
      </c>
      <c r="Y431" s="13" t="str">
        <f t="shared" si="175"/>
        <v>-</v>
      </c>
      <c r="Z431" s="12">
        <f t="shared" si="165"/>
        <v>10</v>
      </c>
      <c r="AA431" s="30" t="s">
        <v>72</v>
      </c>
      <c r="AB431" s="64"/>
      <c r="AC431" s="62">
        <f t="shared" si="172"/>
        <v>0</v>
      </c>
      <c r="AD431" s="28" t="s">
        <v>68</v>
      </c>
      <c r="AE431" s="13" t="str">
        <f t="shared" si="176"/>
        <v>-</v>
      </c>
      <c r="AF431" s="12" t="str">
        <f t="shared" si="166"/>
        <v>-</v>
      </c>
      <c r="AG431" s="12"/>
      <c r="AH431" s="17"/>
      <c r="AI431" s="16"/>
      <c r="AJ431" s="2">
        <f t="shared" si="155"/>
        <v>198</v>
      </c>
      <c r="AK431" s="2">
        <f t="shared" si="156"/>
        <v>389</v>
      </c>
      <c r="AL431" s="2">
        <f t="shared" si="157"/>
        <v>0</v>
      </c>
      <c r="AM431" s="2">
        <f t="shared" si="158"/>
        <v>11</v>
      </c>
    </row>
    <row r="432" spans="1:39" outlineLevel="1" x14ac:dyDescent="0.25">
      <c r="A432" t="s">
        <v>38</v>
      </c>
      <c r="B432" t="str">
        <f t="shared" si="177"/>
        <v xml:space="preserve"> (980x420)</v>
      </c>
      <c r="C432" s="3" t="s">
        <v>186</v>
      </c>
      <c r="E432">
        <v>980</v>
      </c>
      <c r="F432">
        <v>420</v>
      </c>
      <c r="I432" s="45">
        <f t="shared" si="167"/>
        <v>0.41159999999999997</v>
      </c>
      <c r="J432" s="46">
        <f t="shared" si="168"/>
        <v>2.8</v>
      </c>
      <c r="K432" s="62">
        <f t="shared" si="169"/>
        <v>0</v>
      </c>
      <c r="L432" s="28" t="s">
        <v>63</v>
      </c>
      <c r="M432" s="12" t="str">
        <f t="shared" si="173"/>
        <v>-</v>
      </c>
      <c r="N432" s="12" t="str">
        <f t="shared" si="163"/>
        <v>-</v>
      </c>
      <c r="O432" s="12"/>
      <c r="Q432" s="62">
        <f t="shared" si="170"/>
        <v>0</v>
      </c>
      <c r="R432" s="28" t="s">
        <v>63</v>
      </c>
      <c r="S432" s="12" t="str">
        <f t="shared" si="174"/>
        <v>-</v>
      </c>
      <c r="T432" s="12" t="str">
        <f t="shared" si="164"/>
        <v>-</v>
      </c>
      <c r="U432" s="12"/>
      <c r="V432" s="12"/>
      <c r="W432" s="62">
        <f t="shared" si="171"/>
        <v>10</v>
      </c>
      <c r="X432" s="28">
        <v>0</v>
      </c>
      <c r="Y432" s="12" t="str">
        <f t="shared" si="175"/>
        <v>-</v>
      </c>
      <c r="Z432" s="12">
        <f t="shared" si="165"/>
        <v>10</v>
      </c>
      <c r="AA432" s="12"/>
      <c r="AB432" s="64"/>
      <c r="AC432" s="62">
        <f t="shared" si="172"/>
        <v>0</v>
      </c>
      <c r="AD432" s="28" t="s">
        <v>68</v>
      </c>
      <c r="AE432" s="12" t="str">
        <f t="shared" si="176"/>
        <v>-</v>
      </c>
      <c r="AF432" s="12" t="str">
        <f t="shared" si="166"/>
        <v>-</v>
      </c>
      <c r="AG432" s="12"/>
      <c r="AH432" s="17"/>
      <c r="AI432" s="17"/>
      <c r="AJ432" s="2">
        <f t="shared" si="155"/>
        <v>0</v>
      </c>
      <c r="AK432" s="2">
        <f t="shared" si="156"/>
        <v>0</v>
      </c>
      <c r="AL432" s="2">
        <f t="shared" si="157"/>
        <v>0</v>
      </c>
      <c r="AM432" s="2">
        <f t="shared" si="158"/>
        <v>11</v>
      </c>
    </row>
    <row r="433" spans="1:40" outlineLevel="1" x14ac:dyDescent="0.25">
      <c r="A433" t="s">
        <v>38</v>
      </c>
      <c r="B433" t="str">
        <f t="shared" si="177"/>
        <v xml:space="preserve"> (x)</v>
      </c>
      <c r="C433" s="3">
        <v>3817</v>
      </c>
      <c r="I433" s="45" t="str">
        <f t="shared" si="167"/>
        <v/>
      </c>
      <c r="J433" s="46" t="str">
        <f t="shared" si="168"/>
        <v/>
      </c>
      <c r="K433" s="62">
        <f t="shared" si="169"/>
        <v>0</v>
      </c>
      <c r="L433" s="28" t="s">
        <v>63</v>
      </c>
      <c r="M433" s="12" t="str">
        <f t="shared" si="173"/>
        <v>-</v>
      </c>
      <c r="N433" s="12" t="str">
        <f t="shared" si="163"/>
        <v>-</v>
      </c>
      <c r="O433" s="12"/>
      <c r="Q433" s="62">
        <f t="shared" si="170"/>
        <v>0</v>
      </c>
      <c r="R433" s="28" t="s">
        <v>63</v>
      </c>
      <c r="S433" s="12" t="str">
        <f t="shared" si="174"/>
        <v>-</v>
      </c>
      <c r="T433" s="12" t="str">
        <f t="shared" si="164"/>
        <v>-</v>
      </c>
      <c r="U433" s="12"/>
      <c r="V433" s="12"/>
      <c r="W433" s="62">
        <f t="shared" si="171"/>
        <v>10</v>
      </c>
      <c r="X433" s="28">
        <v>0</v>
      </c>
      <c r="Y433" s="12" t="str">
        <f t="shared" si="175"/>
        <v>-</v>
      </c>
      <c r="Z433" s="12">
        <f t="shared" si="165"/>
        <v>10</v>
      </c>
      <c r="AA433" s="12"/>
      <c r="AB433" s="64"/>
      <c r="AC433" s="62">
        <f t="shared" si="172"/>
        <v>0</v>
      </c>
      <c r="AD433" s="28" t="s">
        <v>68</v>
      </c>
      <c r="AE433" s="12" t="str">
        <f t="shared" si="176"/>
        <v>-</v>
      </c>
      <c r="AF433" s="12" t="str">
        <f t="shared" si="166"/>
        <v>-</v>
      </c>
      <c r="AG433" s="12"/>
      <c r="AH433" s="17"/>
      <c r="AI433" s="17"/>
      <c r="AJ433" s="2">
        <f t="shared" si="155"/>
        <v>0</v>
      </c>
      <c r="AK433" s="2">
        <f t="shared" si="156"/>
        <v>0</v>
      </c>
      <c r="AL433" s="2">
        <f t="shared" si="157"/>
        <v>0</v>
      </c>
      <c r="AM433" s="2">
        <f t="shared" si="158"/>
        <v>11</v>
      </c>
    </row>
    <row r="434" spans="1:40" outlineLevel="1" x14ac:dyDescent="0.25">
      <c r="A434" t="s">
        <v>38</v>
      </c>
      <c r="B434" t="str">
        <f t="shared" si="177"/>
        <v xml:space="preserve"> (x)</v>
      </c>
      <c r="C434" s="3">
        <v>3818</v>
      </c>
      <c r="I434" s="45" t="str">
        <f t="shared" si="167"/>
        <v/>
      </c>
      <c r="J434" s="46" t="str">
        <f t="shared" si="168"/>
        <v/>
      </c>
      <c r="K434" s="62">
        <f t="shared" si="169"/>
        <v>0</v>
      </c>
      <c r="L434" s="28" t="s">
        <v>63</v>
      </c>
      <c r="M434" s="12" t="str">
        <f t="shared" si="173"/>
        <v>-</v>
      </c>
      <c r="N434" s="12" t="str">
        <f t="shared" si="163"/>
        <v>-</v>
      </c>
      <c r="O434" s="12"/>
      <c r="Q434" s="62">
        <f t="shared" si="170"/>
        <v>0</v>
      </c>
      <c r="R434" s="28" t="s">
        <v>63</v>
      </c>
      <c r="S434" s="12" t="str">
        <f t="shared" si="174"/>
        <v>-</v>
      </c>
      <c r="T434" s="12" t="str">
        <f t="shared" si="164"/>
        <v>-</v>
      </c>
      <c r="U434" s="12"/>
      <c r="V434" s="12"/>
      <c r="W434" s="62">
        <f t="shared" si="171"/>
        <v>10</v>
      </c>
      <c r="X434" s="28">
        <v>0</v>
      </c>
      <c r="Y434" s="12" t="str">
        <f t="shared" si="175"/>
        <v>-</v>
      </c>
      <c r="Z434" s="12">
        <f t="shared" si="165"/>
        <v>10</v>
      </c>
      <c r="AA434" s="12"/>
      <c r="AB434" s="64"/>
      <c r="AC434" s="62">
        <f t="shared" si="172"/>
        <v>0</v>
      </c>
      <c r="AD434" s="28" t="s">
        <v>68</v>
      </c>
      <c r="AE434" s="12" t="str">
        <f t="shared" si="176"/>
        <v>-</v>
      </c>
      <c r="AF434" s="12" t="str">
        <f t="shared" si="166"/>
        <v>-</v>
      </c>
      <c r="AG434" s="12"/>
      <c r="AH434" s="17"/>
      <c r="AI434" s="17"/>
      <c r="AJ434" s="2">
        <f t="shared" si="155"/>
        <v>0</v>
      </c>
      <c r="AK434" s="2">
        <f t="shared" si="156"/>
        <v>0</v>
      </c>
      <c r="AL434" s="2">
        <f t="shared" si="157"/>
        <v>0</v>
      </c>
      <c r="AM434" s="2">
        <f t="shared" si="158"/>
        <v>11</v>
      </c>
    </row>
    <row r="435" spans="1:40" outlineLevel="1" x14ac:dyDescent="0.25">
      <c r="A435" t="s">
        <v>38</v>
      </c>
      <c r="B435" t="str">
        <f t="shared" si="177"/>
        <v xml:space="preserve"> (x)</v>
      </c>
      <c r="C435" s="3">
        <v>3819</v>
      </c>
      <c r="I435" s="45" t="str">
        <f t="shared" si="167"/>
        <v/>
      </c>
      <c r="J435" s="46" t="str">
        <f t="shared" si="168"/>
        <v/>
      </c>
      <c r="K435" s="62">
        <f t="shared" si="169"/>
        <v>0</v>
      </c>
      <c r="L435" s="28" t="s">
        <v>63</v>
      </c>
      <c r="M435" s="12" t="str">
        <f t="shared" si="173"/>
        <v>-</v>
      </c>
      <c r="N435" s="12" t="str">
        <f t="shared" si="163"/>
        <v>-</v>
      </c>
      <c r="O435" s="12"/>
      <c r="Q435" s="62">
        <f t="shared" si="170"/>
        <v>0</v>
      </c>
      <c r="R435" s="28" t="s">
        <v>63</v>
      </c>
      <c r="S435" s="12" t="str">
        <f t="shared" si="174"/>
        <v>-</v>
      </c>
      <c r="T435" s="12" t="str">
        <f t="shared" si="164"/>
        <v>-</v>
      </c>
      <c r="U435" s="12"/>
      <c r="V435" s="12"/>
      <c r="W435" s="62">
        <f t="shared" si="171"/>
        <v>10</v>
      </c>
      <c r="X435" s="28">
        <v>0</v>
      </c>
      <c r="Y435" s="12" t="str">
        <f t="shared" si="175"/>
        <v>-</v>
      </c>
      <c r="Z435" s="12">
        <f t="shared" si="165"/>
        <v>10</v>
      </c>
      <c r="AA435" s="12"/>
      <c r="AB435" s="64"/>
      <c r="AC435" s="62">
        <f t="shared" si="172"/>
        <v>0</v>
      </c>
      <c r="AD435" s="28" t="s">
        <v>68</v>
      </c>
      <c r="AE435" s="12" t="str">
        <f t="shared" si="176"/>
        <v>-</v>
      </c>
      <c r="AF435" s="12" t="str">
        <f t="shared" si="166"/>
        <v>-</v>
      </c>
      <c r="AG435" s="12"/>
      <c r="AH435" s="17"/>
      <c r="AI435" s="17"/>
      <c r="AJ435" s="2">
        <f t="shared" si="155"/>
        <v>0</v>
      </c>
      <c r="AK435" s="2">
        <f t="shared" si="156"/>
        <v>0</v>
      </c>
      <c r="AL435" s="2">
        <f t="shared" si="157"/>
        <v>0</v>
      </c>
      <c r="AM435" s="2">
        <f t="shared" si="158"/>
        <v>11</v>
      </c>
    </row>
    <row r="436" spans="1:40" outlineLevel="1" x14ac:dyDescent="0.25">
      <c r="A436" t="s">
        <v>38</v>
      </c>
      <c r="B436" t="str">
        <f t="shared" si="177"/>
        <v xml:space="preserve"> (x)</v>
      </c>
      <c r="C436" s="3">
        <v>3820</v>
      </c>
      <c r="I436" s="45" t="str">
        <f t="shared" si="167"/>
        <v/>
      </c>
      <c r="J436" s="46" t="str">
        <f t="shared" si="168"/>
        <v/>
      </c>
      <c r="K436" s="62">
        <f t="shared" si="169"/>
        <v>0</v>
      </c>
      <c r="L436" s="28" t="s">
        <v>63</v>
      </c>
      <c r="M436" s="12" t="str">
        <f t="shared" si="173"/>
        <v>-</v>
      </c>
      <c r="N436" s="12" t="str">
        <f t="shared" si="163"/>
        <v>-</v>
      </c>
      <c r="O436" s="12"/>
      <c r="Q436" s="62">
        <f t="shared" si="170"/>
        <v>0</v>
      </c>
      <c r="R436" s="28" t="s">
        <v>63</v>
      </c>
      <c r="S436" s="12" t="str">
        <f t="shared" si="174"/>
        <v>-</v>
      </c>
      <c r="T436" s="12" t="str">
        <f t="shared" si="164"/>
        <v>-</v>
      </c>
      <c r="U436" s="12"/>
      <c r="V436" s="12"/>
      <c r="W436" s="62">
        <f t="shared" si="171"/>
        <v>10</v>
      </c>
      <c r="X436" s="28">
        <v>0</v>
      </c>
      <c r="Y436" s="12" t="str">
        <f t="shared" si="175"/>
        <v>-</v>
      </c>
      <c r="Z436" s="12">
        <f t="shared" si="165"/>
        <v>10</v>
      </c>
      <c r="AA436" s="12"/>
      <c r="AB436" s="64"/>
      <c r="AC436" s="62">
        <f t="shared" si="172"/>
        <v>0</v>
      </c>
      <c r="AD436" s="28" t="s">
        <v>68</v>
      </c>
      <c r="AE436" s="12" t="str">
        <f t="shared" si="176"/>
        <v>-</v>
      </c>
      <c r="AF436" s="12" t="str">
        <f t="shared" si="166"/>
        <v>-</v>
      </c>
      <c r="AG436" s="12"/>
      <c r="AH436" s="17"/>
      <c r="AI436" s="17"/>
      <c r="AJ436" s="2">
        <f t="shared" si="155"/>
        <v>0</v>
      </c>
      <c r="AK436" s="2">
        <f t="shared" si="156"/>
        <v>0</v>
      </c>
      <c r="AL436" s="2">
        <f t="shared" si="157"/>
        <v>0</v>
      </c>
      <c r="AM436" s="2">
        <f t="shared" si="158"/>
        <v>11</v>
      </c>
    </row>
    <row r="437" spans="1:40" outlineLevel="1" x14ac:dyDescent="0.25">
      <c r="A437" t="s">
        <v>38</v>
      </c>
      <c r="B437" t="str">
        <f t="shared" si="177"/>
        <v xml:space="preserve"> (x)</v>
      </c>
      <c r="C437" s="3">
        <v>3821</v>
      </c>
      <c r="I437" s="45" t="str">
        <f t="shared" si="167"/>
        <v/>
      </c>
      <c r="J437" s="46" t="str">
        <f t="shared" si="168"/>
        <v/>
      </c>
      <c r="K437" s="62">
        <f t="shared" si="169"/>
        <v>0</v>
      </c>
      <c r="L437" s="28" t="s">
        <v>63</v>
      </c>
      <c r="M437" s="12" t="str">
        <f t="shared" si="173"/>
        <v>-</v>
      </c>
      <c r="N437" s="12" t="str">
        <f t="shared" si="163"/>
        <v>-</v>
      </c>
      <c r="O437" s="12"/>
      <c r="Q437" s="62">
        <f t="shared" si="170"/>
        <v>0</v>
      </c>
      <c r="R437" s="28" t="s">
        <v>63</v>
      </c>
      <c r="S437" s="12" t="str">
        <f t="shared" si="174"/>
        <v>-</v>
      </c>
      <c r="T437" s="12" t="str">
        <f t="shared" si="164"/>
        <v>-</v>
      </c>
      <c r="U437" s="12"/>
      <c r="V437" s="12"/>
      <c r="W437" s="62">
        <f t="shared" si="171"/>
        <v>10</v>
      </c>
      <c r="X437" s="28">
        <v>0</v>
      </c>
      <c r="Y437" s="12" t="str">
        <f t="shared" si="175"/>
        <v>-</v>
      </c>
      <c r="Z437" s="12">
        <f t="shared" si="165"/>
        <v>10</v>
      </c>
      <c r="AA437" s="12"/>
      <c r="AB437" s="64"/>
      <c r="AC437" s="62">
        <f t="shared" si="172"/>
        <v>0</v>
      </c>
      <c r="AD437" s="28" t="s">
        <v>68</v>
      </c>
      <c r="AE437" s="12" t="str">
        <f t="shared" si="176"/>
        <v>-</v>
      </c>
      <c r="AF437" s="12" t="str">
        <f t="shared" si="166"/>
        <v>-</v>
      </c>
      <c r="AG437" s="12"/>
      <c r="AH437" s="17"/>
      <c r="AI437" s="17"/>
      <c r="AJ437" s="2">
        <f t="shared" si="155"/>
        <v>0</v>
      </c>
      <c r="AK437" s="2">
        <f t="shared" si="156"/>
        <v>0</v>
      </c>
      <c r="AL437" s="2">
        <f t="shared" si="157"/>
        <v>0</v>
      </c>
      <c r="AM437" s="2">
        <f t="shared" si="158"/>
        <v>11</v>
      </c>
    </row>
    <row r="438" spans="1:40" outlineLevel="1" x14ac:dyDescent="0.25">
      <c r="A438" t="s">
        <v>38</v>
      </c>
      <c r="B438" t="str">
        <f t="shared" si="177"/>
        <v xml:space="preserve"> (x)</v>
      </c>
      <c r="C438" s="3">
        <v>3822</v>
      </c>
      <c r="I438" s="45" t="str">
        <f t="shared" si="167"/>
        <v/>
      </c>
      <c r="J438" s="46" t="str">
        <f t="shared" si="168"/>
        <v/>
      </c>
      <c r="K438" s="62">
        <f t="shared" si="169"/>
        <v>0</v>
      </c>
      <c r="L438" s="28" t="s">
        <v>63</v>
      </c>
      <c r="M438" s="12" t="str">
        <f t="shared" si="173"/>
        <v>-</v>
      </c>
      <c r="N438" s="12" t="str">
        <f t="shared" si="163"/>
        <v>-</v>
      </c>
      <c r="O438" s="12"/>
      <c r="Q438" s="62">
        <f t="shared" si="170"/>
        <v>0</v>
      </c>
      <c r="R438" s="28" t="s">
        <v>63</v>
      </c>
      <c r="S438" s="12" t="str">
        <f t="shared" si="174"/>
        <v>-</v>
      </c>
      <c r="T438" s="12" t="str">
        <f t="shared" si="164"/>
        <v>-</v>
      </c>
      <c r="U438" s="12"/>
      <c r="V438" s="12"/>
      <c r="W438" s="62">
        <f t="shared" si="171"/>
        <v>10</v>
      </c>
      <c r="X438" s="28">
        <v>0</v>
      </c>
      <c r="Y438" s="12" t="str">
        <f t="shared" si="175"/>
        <v>-</v>
      </c>
      <c r="Z438" s="12">
        <f t="shared" si="165"/>
        <v>10</v>
      </c>
      <c r="AA438" s="12"/>
      <c r="AB438" s="64"/>
      <c r="AC438" s="62">
        <f t="shared" si="172"/>
        <v>0</v>
      </c>
      <c r="AD438" s="28" t="s">
        <v>68</v>
      </c>
      <c r="AE438" s="12" t="str">
        <f t="shared" si="176"/>
        <v>-</v>
      </c>
      <c r="AF438" s="12" t="str">
        <f t="shared" si="166"/>
        <v>-</v>
      </c>
      <c r="AG438" s="12"/>
      <c r="AH438" s="17"/>
      <c r="AI438" s="17"/>
      <c r="AJ438" s="2">
        <f t="shared" si="155"/>
        <v>0</v>
      </c>
      <c r="AK438" s="2">
        <f t="shared" si="156"/>
        <v>0</v>
      </c>
      <c r="AL438" s="2">
        <f t="shared" si="157"/>
        <v>0</v>
      </c>
      <c r="AM438" s="2">
        <f t="shared" si="158"/>
        <v>11</v>
      </c>
    </row>
    <row r="439" spans="1:40" outlineLevel="1" x14ac:dyDescent="0.25">
      <c r="A439" t="s">
        <v>38</v>
      </c>
      <c r="B439" t="str">
        <f t="shared" si="177"/>
        <v xml:space="preserve"> (x)</v>
      </c>
      <c r="C439" s="3">
        <v>3823</v>
      </c>
      <c r="I439" s="45" t="str">
        <f t="shared" si="167"/>
        <v/>
      </c>
      <c r="J439" s="46" t="str">
        <f t="shared" si="168"/>
        <v/>
      </c>
      <c r="K439" s="62">
        <f t="shared" si="169"/>
        <v>0</v>
      </c>
      <c r="L439" s="28" t="s">
        <v>63</v>
      </c>
      <c r="M439" s="12" t="str">
        <f t="shared" si="173"/>
        <v>-</v>
      </c>
      <c r="N439" s="12" t="str">
        <f t="shared" si="163"/>
        <v>-</v>
      </c>
      <c r="O439" s="12"/>
      <c r="Q439" s="62">
        <f t="shared" si="170"/>
        <v>0</v>
      </c>
      <c r="R439" s="28" t="s">
        <v>63</v>
      </c>
      <c r="S439" s="12" t="str">
        <f t="shared" si="174"/>
        <v>-</v>
      </c>
      <c r="T439" s="12" t="str">
        <f t="shared" si="164"/>
        <v>-</v>
      </c>
      <c r="U439" s="12"/>
      <c r="V439" s="12"/>
      <c r="W439" s="62">
        <f t="shared" si="171"/>
        <v>10</v>
      </c>
      <c r="X439" s="28">
        <v>0</v>
      </c>
      <c r="Y439" s="12" t="str">
        <f t="shared" si="175"/>
        <v>-</v>
      </c>
      <c r="Z439" s="12">
        <f t="shared" si="165"/>
        <v>10</v>
      </c>
      <c r="AA439" s="12"/>
      <c r="AB439" s="64"/>
      <c r="AC439" s="62">
        <f t="shared" si="172"/>
        <v>0</v>
      </c>
      <c r="AD439" s="28" t="s">
        <v>68</v>
      </c>
      <c r="AE439" s="12" t="str">
        <f t="shared" si="176"/>
        <v>-</v>
      </c>
      <c r="AF439" s="12" t="str">
        <f t="shared" si="166"/>
        <v>-</v>
      </c>
      <c r="AG439" s="12"/>
      <c r="AH439" s="17"/>
      <c r="AI439" s="17"/>
      <c r="AJ439" s="2">
        <f t="shared" si="155"/>
        <v>0</v>
      </c>
      <c r="AK439" s="2">
        <f t="shared" si="156"/>
        <v>0</v>
      </c>
      <c r="AL439" s="2">
        <f t="shared" si="157"/>
        <v>0</v>
      </c>
      <c r="AM439" s="2">
        <f t="shared" si="158"/>
        <v>11</v>
      </c>
    </row>
    <row r="440" spans="1:40" outlineLevel="1" x14ac:dyDescent="0.25">
      <c r="A440" t="s">
        <v>38</v>
      </c>
      <c r="B440" t="str">
        <f t="shared" si="177"/>
        <v xml:space="preserve"> (x)</v>
      </c>
      <c r="C440" s="3">
        <v>3824</v>
      </c>
      <c r="I440" s="45" t="str">
        <f t="shared" si="167"/>
        <v/>
      </c>
      <c r="J440" s="46" t="str">
        <f t="shared" si="168"/>
        <v/>
      </c>
      <c r="K440" s="62">
        <f t="shared" si="169"/>
        <v>0</v>
      </c>
      <c r="L440" s="28" t="s">
        <v>63</v>
      </c>
      <c r="M440" s="12" t="str">
        <f t="shared" si="173"/>
        <v>-</v>
      </c>
      <c r="N440" s="12" t="str">
        <f t="shared" si="163"/>
        <v>-</v>
      </c>
      <c r="O440" s="12"/>
      <c r="Q440" s="62">
        <f t="shared" si="170"/>
        <v>0</v>
      </c>
      <c r="R440" s="28" t="s">
        <v>63</v>
      </c>
      <c r="S440" s="12" t="str">
        <f t="shared" si="174"/>
        <v>-</v>
      </c>
      <c r="T440" s="12" t="str">
        <f t="shared" si="164"/>
        <v>-</v>
      </c>
      <c r="U440" s="12"/>
      <c r="V440" s="12"/>
      <c r="W440" s="62">
        <f t="shared" si="171"/>
        <v>10</v>
      </c>
      <c r="X440" s="28">
        <v>0</v>
      </c>
      <c r="Y440" s="12" t="str">
        <f t="shared" si="175"/>
        <v>-</v>
      </c>
      <c r="Z440" s="12">
        <f t="shared" si="165"/>
        <v>10</v>
      </c>
      <c r="AA440" s="12"/>
      <c r="AB440" s="64"/>
      <c r="AC440" s="62">
        <f t="shared" si="172"/>
        <v>0</v>
      </c>
      <c r="AD440" s="28" t="s">
        <v>68</v>
      </c>
      <c r="AE440" s="12" t="str">
        <f t="shared" si="176"/>
        <v>-</v>
      </c>
      <c r="AF440" s="12" t="str">
        <f t="shared" si="166"/>
        <v>-</v>
      </c>
      <c r="AG440" s="12"/>
      <c r="AH440" s="17"/>
      <c r="AI440" s="17"/>
      <c r="AJ440" s="2">
        <f t="shared" si="155"/>
        <v>0</v>
      </c>
      <c r="AK440" s="2">
        <f t="shared" si="156"/>
        <v>0</v>
      </c>
      <c r="AL440" s="2">
        <f t="shared" si="157"/>
        <v>0</v>
      </c>
      <c r="AM440" s="2">
        <f t="shared" si="158"/>
        <v>11</v>
      </c>
    </row>
    <row r="441" spans="1:40" outlineLevel="1" x14ac:dyDescent="0.25">
      <c r="A441" t="s">
        <v>38</v>
      </c>
      <c r="B441" t="str">
        <f t="shared" si="177"/>
        <v xml:space="preserve"> (x)</v>
      </c>
      <c r="C441" s="3">
        <v>3825</v>
      </c>
      <c r="I441" s="45" t="str">
        <f t="shared" si="167"/>
        <v/>
      </c>
      <c r="J441" s="46" t="str">
        <f t="shared" si="168"/>
        <v/>
      </c>
      <c r="K441" s="62">
        <f t="shared" si="169"/>
        <v>0</v>
      </c>
      <c r="L441" s="28" t="s">
        <v>63</v>
      </c>
      <c r="M441" s="12" t="str">
        <f t="shared" si="173"/>
        <v>-</v>
      </c>
      <c r="N441" s="12" t="str">
        <f t="shared" si="163"/>
        <v>-</v>
      </c>
      <c r="O441" s="12"/>
      <c r="Q441" s="62">
        <f t="shared" si="170"/>
        <v>0</v>
      </c>
      <c r="R441" s="28" t="s">
        <v>63</v>
      </c>
      <c r="S441" s="12" t="str">
        <f t="shared" si="174"/>
        <v>-</v>
      </c>
      <c r="T441" s="12" t="str">
        <f t="shared" si="164"/>
        <v>-</v>
      </c>
      <c r="U441" s="12"/>
      <c r="V441" s="12"/>
      <c r="W441" s="62">
        <f t="shared" si="171"/>
        <v>10</v>
      </c>
      <c r="X441" s="28">
        <v>0</v>
      </c>
      <c r="Y441" s="12" t="str">
        <f t="shared" si="175"/>
        <v>-</v>
      </c>
      <c r="Z441" s="12">
        <f t="shared" si="165"/>
        <v>10</v>
      </c>
      <c r="AA441" s="12"/>
      <c r="AB441" s="64"/>
      <c r="AC441" s="62">
        <f t="shared" si="172"/>
        <v>0</v>
      </c>
      <c r="AD441" s="28" t="s">
        <v>68</v>
      </c>
      <c r="AE441" s="12" t="str">
        <f t="shared" si="176"/>
        <v>-</v>
      </c>
      <c r="AF441" s="12" t="str">
        <f t="shared" si="166"/>
        <v>-</v>
      </c>
      <c r="AG441" s="12"/>
      <c r="AH441" s="17"/>
      <c r="AI441" s="17"/>
      <c r="AJ441" s="2">
        <f t="shared" ref="AJ441:AJ462" si="178">+IFERROR(ROUND(K441*(1+AJ$2),0),"-")</f>
        <v>0</v>
      </c>
      <c r="AK441" s="2">
        <f t="shared" ref="AK441:AK462" si="179">+IFERROR(ROUND(Q441*(1+AK$2),0),"-")</f>
        <v>0</v>
      </c>
      <c r="AL441" s="2">
        <f t="shared" ref="AL441:AL504" si="180">+IFERROR(ROUND(AC441*(1+AL$2),0),"-")</f>
        <v>0</v>
      </c>
      <c r="AM441" s="2">
        <f t="shared" ref="AM441:AM462" si="181">+IFERROR(ROUND(W441*(1+AM$2),0),"-")</f>
        <v>11</v>
      </c>
    </row>
    <row r="442" spans="1:40" s="14" customFormat="1" x14ac:dyDescent="0.25">
      <c r="A442" s="32"/>
      <c r="B442" s="5" t="s">
        <v>9</v>
      </c>
      <c r="C442" s="5"/>
      <c r="D442" s="5"/>
      <c r="E442" s="5"/>
      <c r="F442" s="5"/>
      <c r="G442" s="5"/>
      <c r="H442" s="5"/>
      <c r="I442" s="44" t="str">
        <f t="shared" si="167"/>
        <v/>
      </c>
      <c r="J442" s="44" t="str">
        <f t="shared" si="168"/>
        <v/>
      </c>
      <c r="K442" s="62">
        <f t="shared" si="169"/>
        <v>0</v>
      </c>
      <c r="L442" s="11" t="s">
        <v>63</v>
      </c>
      <c r="M442" s="15" t="str">
        <f t="shared" si="173"/>
        <v>-</v>
      </c>
      <c r="N442" s="15" t="str">
        <f t="shared" si="163"/>
        <v>-</v>
      </c>
      <c r="O442" s="15"/>
      <c r="P442" s="17"/>
      <c r="Q442" s="62">
        <f t="shared" si="170"/>
        <v>0</v>
      </c>
      <c r="R442" s="11" t="s">
        <v>63</v>
      </c>
      <c r="S442" s="15"/>
      <c r="T442" s="15" t="str">
        <f t="shared" si="164"/>
        <v>-</v>
      </c>
      <c r="U442" s="15"/>
      <c r="V442" s="15"/>
      <c r="W442" s="62">
        <f t="shared" si="171"/>
        <v>10</v>
      </c>
      <c r="X442" s="11">
        <v>0</v>
      </c>
      <c r="Y442" s="15"/>
      <c r="Z442" s="15">
        <f t="shared" si="165"/>
        <v>10</v>
      </c>
      <c r="AA442" s="15"/>
      <c r="AB442" s="64"/>
      <c r="AC442" s="49">
        <f t="shared" si="172"/>
        <v>0</v>
      </c>
      <c r="AD442" s="11" t="s">
        <v>94</v>
      </c>
      <c r="AE442" s="15"/>
      <c r="AF442" s="15" t="str">
        <f t="shared" si="166"/>
        <v>-</v>
      </c>
      <c r="AG442" s="15"/>
      <c r="AH442" s="17"/>
      <c r="AI442" s="63"/>
      <c r="AJ442" s="4">
        <f t="shared" si="178"/>
        <v>0</v>
      </c>
      <c r="AK442" s="4">
        <f t="shared" si="179"/>
        <v>0</v>
      </c>
      <c r="AL442" s="4">
        <f t="shared" si="180"/>
        <v>0</v>
      </c>
      <c r="AM442" s="4">
        <f t="shared" si="181"/>
        <v>11</v>
      </c>
      <c r="AN442" s="32"/>
    </row>
    <row r="443" spans="1:40" ht="15" customHeight="1" outlineLevel="1" x14ac:dyDescent="0.25">
      <c r="A443" t="s">
        <v>9</v>
      </c>
      <c r="B443" s="6" t="str">
        <f t="shared" si="177"/>
        <v>Tischplatte (1960x800)</v>
      </c>
      <c r="C443" s="3" t="s">
        <v>32</v>
      </c>
      <c r="D443" s="6" t="s">
        <v>9</v>
      </c>
      <c r="E443">
        <v>1960</v>
      </c>
      <c r="F443">
        <v>800</v>
      </c>
      <c r="G443">
        <v>360</v>
      </c>
      <c r="H443">
        <v>980</v>
      </c>
      <c r="I443" s="45">
        <f t="shared" si="167"/>
        <v>1.5680000000000001</v>
      </c>
      <c r="J443" s="46">
        <f t="shared" si="168"/>
        <v>5.52</v>
      </c>
      <c r="K443" s="99"/>
      <c r="L443" s="100" t="s">
        <v>63</v>
      </c>
      <c r="M443" s="12" t="str">
        <f t="shared" ref="M443:M462" si="182">IFERROR(K443/L443-1,"-")</f>
        <v>-</v>
      </c>
      <c r="N443" s="12" t="str">
        <f t="shared" si="163"/>
        <v>-</v>
      </c>
      <c r="O443" s="30"/>
      <c r="Q443" s="99">
        <f t="shared" si="170"/>
        <v>20</v>
      </c>
      <c r="R443" s="50"/>
      <c r="S443" s="50"/>
      <c r="T443" s="50"/>
      <c r="U443" s="51"/>
      <c r="V443" s="51"/>
      <c r="W443" s="99">
        <f t="shared" si="171"/>
        <v>10</v>
      </c>
      <c r="X443" s="28">
        <v>0</v>
      </c>
      <c r="Y443" s="12" t="str">
        <f t="shared" ref="Y443:Y462" si="183">IFERROR(W443/X443-1,"-")</f>
        <v>-</v>
      </c>
      <c r="Z443" s="12">
        <f t="shared" si="165"/>
        <v>10</v>
      </c>
      <c r="AA443" s="30" t="s">
        <v>73</v>
      </c>
      <c r="AB443" s="64"/>
      <c r="AC443" s="99">
        <f t="shared" si="172"/>
        <v>19</v>
      </c>
      <c r="AD443" s="28" t="s">
        <v>63</v>
      </c>
      <c r="AE443" s="12" t="str">
        <f t="shared" ref="AE443:AE462" si="184">IFERROR(AC443/AD443-1,"-")</f>
        <v>-</v>
      </c>
      <c r="AF443" s="12" t="str">
        <f t="shared" si="166"/>
        <v>-</v>
      </c>
      <c r="AG443" s="30" t="s">
        <v>73</v>
      </c>
      <c r="AH443" s="17"/>
      <c r="AI443" s="17"/>
      <c r="AJ443" s="2">
        <f t="shared" si="178"/>
        <v>0</v>
      </c>
      <c r="AK443" s="2">
        <f t="shared" si="179"/>
        <v>22</v>
      </c>
      <c r="AL443" s="2">
        <f t="shared" si="180"/>
        <v>21</v>
      </c>
      <c r="AM443" s="2">
        <f t="shared" si="181"/>
        <v>11</v>
      </c>
    </row>
    <row r="444" spans="1:40" ht="15" customHeight="1" outlineLevel="1" x14ac:dyDescent="0.25">
      <c r="A444" t="s">
        <v>9</v>
      </c>
      <c r="B444" s="6" t="str">
        <f t="shared" si="177"/>
        <v>Tischplatte_rund (1400x1400)</v>
      </c>
      <c r="C444" s="3" t="s">
        <v>31</v>
      </c>
      <c r="D444" s="6" t="s">
        <v>30</v>
      </c>
      <c r="E444">
        <v>1400</v>
      </c>
      <c r="F444">
        <v>1400</v>
      </c>
      <c r="G444">
        <v>1440</v>
      </c>
      <c r="H444">
        <v>1440</v>
      </c>
      <c r="I444" s="45">
        <f t="shared" si="167"/>
        <v>1.9599999999999997</v>
      </c>
      <c r="J444" s="46">
        <f t="shared" si="168"/>
        <v>5.6</v>
      </c>
      <c r="K444" s="99"/>
      <c r="L444" s="100" t="s">
        <v>63</v>
      </c>
      <c r="M444" s="12" t="str">
        <f t="shared" si="182"/>
        <v>-</v>
      </c>
      <c r="N444" s="12" t="str">
        <f t="shared" si="163"/>
        <v>-</v>
      </c>
      <c r="O444" s="30"/>
      <c r="Q444" s="99">
        <f t="shared" si="170"/>
        <v>20</v>
      </c>
      <c r="R444" s="50"/>
      <c r="S444" s="50"/>
      <c r="T444" s="50"/>
      <c r="U444" s="51"/>
      <c r="V444" s="51"/>
      <c r="W444" s="99">
        <f t="shared" si="171"/>
        <v>10</v>
      </c>
      <c r="X444" s="28">
        <v>0</v>
      </c>
      <c r="Y444" s="12" t="str">
        <f t="shared" si="183"/>
        <v>-</v>
      </c>
      <c r="Z444" s="12">
        <f t="shared" si="165"/>
        <v>10</v>
      </c>
      <c r="AA444" s="30" t="s">
        <v>73</v>
      </c>
      <c r="AB444" s="64"/>
      <c r="AC444" s="99">
        <f t="shared" si="172"/>
        <v>19</v>
      </c>
      <c r="AD444" s="28" t="s">
        <v>63</v>
      </c>
      <c r="AE444" s="12" t="str">
        <f t="shared" si="184"/>
        <v>-</v>
      </c>
      <c r="AF444" s="12" t="str">
        <f t="shared" si="166"/>
        <v>-</v>
      </c>
      <c r="AG444" s="30" t="s">
        <v>73</v>
      </c>
      <c r="AH444" s="17"/>
      <c r="AI444" s="17"/>
      <c r="AJ444" s="2">
        <f t="shared" si="178"/>
        <v>0</v>
      </c>
      <c r="AK444" s="2">
        <f t="shared" si="179"/>
        <v>22</v>
      </c>
      <c r="AL444" s="2">
        <f t="shared" si="180"/>
        <v>21</v>
      </c>
      <c r="AM444" s="2">
        <f t="shared" si="181"/>
        <v>11</v>
      </c>
    </row>
    <row r="445" spans="1:40" ht="15" customHeight="1" outlineLevel="1" x14ac:dyDescent="0.25">
      <c r="A445" t="s">
        <v>9</v>
      </c>
      <c r="B445" s="6" t="str">
        <f t="shared" si="177"/>
        <v>Tischplatte links (1800x800)</v>
      </c>
      <c r="C445" s="3" t="s">
        <v>23</v>
      </c>
      <c r="D445" s="6" t="s">
        <v>22</v>
      </c>
      <c r="E445">
        <v>1800</v>
      </c>
      <c r="F445">
        <v>800</v>
      </c>
      <c r="G445">
        <v>1800</v>
      </c>
      <c r="H445">
        <v>980</v>
      </c>
      <c r="I445" s="45">
        <f t="shared" si="167"/>
        <v>1.44</v>
      </c>
      <c r="J445" s="46">
        <f t="shared" si="168"/>
        <v>5.2</v>
      </c>
      <c r="K445" s="99"/>
      <c r="L445" s="100" t="s">
        <v>63</v>
      </c>
      <c r="M445" s="12" t="str">
        <f t="shared" si="182"/>
        <v>-</v>
      </c>
      <c r="N445" s="12" t="str">
        <f t="shared" si="163"/>
        <v>-</v>
      </c>
      <c r="O445" s="30"/>
      <c r="Q445" s="99">
        <f t="shared" si="170"/>
        <v>20</v>
      </c>
      <c r="R445" s="50"/>
      <c r="S445" s="50"/>
      <c r="T445" s="50"/>
      <c r="U445" s="51"/>
      <c r="V445" s="51"/>
      <c r="W445" s="99">
        <f t="shared" si="171"/>
        <v>10</v>
      </c>
      <c r="X445" s="28">
        <v>0</v>
      </c>
      <c r="Y445" s="12" t="str">
        <f t="shared" si="183"/>
        <v>-</v>
      </c>
      <c r="Z445" s="12">
        <f t="shared" si="165"/>
        <v>10</v>
      </c>
      <c r="AA445" s="30" t="s">
        <v>73</v>
      </c>
      <c r="AB445" s="64"/>
      <c r="AC445" s="99">
        <f t="shared" si="172"/>
        <v>19</v>
      </c>
      <c r="AD445" s="28" t="s">
        <v>63</v>
      </c>
      <c r="AE445" s="12" t="str">
        <f t="shared" si="184"/>
        <v>-</v>
      </c>
      <c r="AF445" s="12" t="str">
        <f t="shared" si="166"/>
        <v>-</v>
      </c>
      <c r="AG445" s="30" t="s">
        <v>73</v>
      </c>
      <c r="AH445" s="17"/>
      <c r="AI445" s="17"/>
      <c r="AJ445" s="2">
        <f t="shared" si="178"/>
        <v>0</v>
      </c>
      <c r="AK445" s="2">
        <f t="shared" si="179"/>
        <v>22</v>
      </c>
      <c r="AL445" s="2">
        <f t="shared" si="180"/>
        <v>21</v>
      </c>
      <c r="AM445" s="2">
        <f t="shared" si="181"/>
        <v>11</v>
      </c>
    </row>
    <row r="446" spans="1:40" ht="15" customHeight="1" outlineLevel="1" x14ac:dyDescent="0.25">
      <c r="A446" t="s">
        <v>9</v>
      </c>
      <c r="B446" s="6" t="str">
        <f t="shared" si="177"/>
        <v>Tischplatte rechts (1800x800)</v>
      </c>
      <c r="C446" s="3" t="s">
        <v>21</v>
      </c>
      <c r="D446" s="6" t="s">
        <v>20</v>
      </c>
      <c r="E446">
        <v>1800</v>
      </c>
      <c r="F446">
        <v>800</v>
      </c>
      <c r="G446">
        <v>1800</v>
      </c>
      <c r="H446">
        <v>980</v>
      </c>
      <c r="I446" s="45">
        <f t="shared" si="167"/>
        <v>1.44</v>
      </c>
      <c r="J446" s="46">
        <f t="shared" si="168"/>
        <v>5.2</v>
      </c>
      <c r="K446" s="99"/>
      <c r="L446" s="100" t="s">
        <v>63</v>
      </c>
      <c r="M446" s="12" t="str">
        <f t="shared" si="182"/>
        <v>-</v>
      </c>
      <c r="N446" s="12" t="str">
        <f t="shared" si="163"/>
        <v>-</v>
      </c>
      <c r="O446" s="30"/>
      <c r="Q446" s="99">
        <f t="shared" si="170"/>
        <v>20</v>
      </c>
      <c r="R446" s="50"/>
      <c r="S446" s="50"/>
      <c r="T446" s="50"/>
      <c r="U446" s="51"/>
      <c r="V446" s="51"/>
      <c r="W446" s="99">
        <f t="shared" si="171"/>
        <v>10</v>
      </c>
      <c r="X446" s="28">
        <v>0</v>
      </c>
      <c r="Y446" s="12" t="str">
        <f t="shared" si="183"/>
        <v>-</v>
      </c>
      <c r="Z446" s="12">
        <f t="shared" si="165"/>
        <v>10</v>
      </c>
      <c r="AA446" s="30" t="s">
        <v>73</v>
      </c>
      <c r="AB446" s="64"/>
      <c r="AC446" s="99">
        <f t="shared" si="172"/>
        <v>19</v>
      </c>
      <c r="AD446" s="28" t="s">
        <v>63</v>
      </c>
      <c r="AE446" s="12" t="str">
        <f t="shared" si="184"/>
        <v>-</v>
      </c>
      <c r="AF446" s="12" t="str">
        <f t="shared" si="166"/>
        <v>-</v>
      </c>
      <c r="AG446" s="30" t="s">
        <v>73</v>
      </c>
      <c r="AH446" s="17"/>
      <c r="AI446" s="17"/>
      <c r="AJ446" s="2">
        <f t="shared" si="178"/>
        <v>0</v>
      </c>
      <c r="AK446" s="2">
        <f t="shared" si="179"/>
        <v>22</v>
      </c>
      <c r="AL446" s="2">
        <f t="shared" si="180"/>
        <v>21</v>
      </c>
      <c r="AM446" s="2">
        <f t="shared" si="181"/>
        <v>11</v>
      </c>
    </row>
    <row r="447" spans="1:40" ht="15" customHeight="1" outlineLevel="1" x14ac:dyDescent="0.25">
      <c r="A447" t="s">
        <v>9</v>
      </c>
      <c r="B447" s="6" t="str">
        <f t="shared" si="177"/>
        <v>Tischplatte (1600x800)</v>
      </c>
      <c r="C447" s="3" t="s">
        <v>13</v>
      </c>
      <c r="D447" s="6" t="s">
        <v>9</v>
      </c>
      <c r="E447">
        <v>1600</v>
      </c>
      <c r="F447">
        <v>800</v>
      </c>
      <c r="G447">
        <v>1800</v>
      </c>
      <c r="H447">
        <v>980</v>
      </c>
      <c r="I447" s="45">
        <f t="shared" si="167"/>
        <v>1.28</v>
      </c>
      <c r="J447" s="46">
        <f t="shared" si="168"/>
        <v>4.8000000000000007</v>
      </c>
      <c r="K447" s="99"/>
      <c r="L447" s="100" t="s">
        <v>63</v>
      </c>
      <c r="M447" s="12" t="str">
        <f t="shared" si="182"/>
        <v>-</v>
      </c>
      <c r="N447" s="12" t="str">
        <f t="shared" si="163"/>
        <v>-</v>
      </c>
      <c r="O447" s="30"/>
      <c r="Q447" s="99">
        <f t="shared" si="170"/>
        <v>20</v>
      </c>
      <c r="R447" s="50"/>
      <c r="S447" s="50"/>
      <c r="T447" s="50"/>
      <c r="U447" s="51"/>
      <c r="V447" s="51"/>
      <c r="W447" s="99">
        <f t="shared" si="171"/>
        <v>10</v>
      </c>
      <c r="X447" s="28">
        <v>0</v>
      </c>
      <c r="Y447" s="12" t="str">
        <f t="shared" si="183"/>
        <v>-</v>
      </c>
      <c r="Z447" s="12">
        <f t="shared" si="165"/>
        <v>10</v>
      </c>
      <c r="AA447" s="30" t="s">
        <v>73</v>
      </c>
      <c r="AB447" s="64"/>
      <c r="AC447" s="99">
        <f t="shared" si="172"/>
        <v>19</v>
      </c>
      <c r="AD447" s="28" t="s">
        <v>63</v>
      </c>
      <c r="AE447" s="12" t="str">
        <f t="shared" si="184"/>
        <v>-</v>
      </c>
      <c r="AF447" s="12" t="str">
        <f t="shared" si="166"/>
        <v>-</v>
      </c>
      <c r="AG447" s="30" t="s">
        <v>73</v>
      </c>
      <c r="AH447" s="17"/>
      <c r="AI447" s="17"/>
      <c r="AJ447" s="2">
        <f t="shared" si="178"/>
        <v>0</v>
      </c>
      <c r="AK447" s="2">
        <f t="shared" si="179"/>
        <v>22</v>
      </c>
      <c r="AL447" s="2">
        <f t="shared" si="180"/>
        <v>21</v>
      </c>
      <c r="AM447" s="2">
        <f t="shared" si="181"/>
        <v>11</v>
      </c>
    </row>
    <row r="448" spans="1:40" ht="15" customHeight="1" outlineLevel="1" x14ac:dyDescent="0.25">
      <c r="A448" t="s">
        <v>9</v>
      </c>
      <c r="B448" s="6" t="str">
        <f t="shared" si="177"/>
        <v>Tischplatte (1800x800)</v>
      </c>
      <c r="C448" s="3" t="s">
        <v>12</v>
      </c>
      <c r="D448" s="6" t="s">
        <v>9</v>
      </c>
      <c r="E448">
        <v>1800</v>
      </c>
      <c r="F448">
        <v>800</v>
      </c>
      <c r="G448">
        <v>1800</v>
      </c>
      <c r="H448">
        <v>980</v>
      </c>
      <c r="I448" s="45">
        <f t="shared" si="167"/>
        <v>1.44</v>
      </c>
      <c r="J448" s="46">
        <f t="shared" si="168"/>
        <v>5.2</v>
      </c>
      <c r="K448" s="99"/>
      <c r="L448" s="100" t="s">
        <v>63</v>
      </c>
      <c r="M448" s="12" t="str">
        <f t="shared" si="182"/>
        <v>-</v>
      </c>
      <c r="N448" s="12" t="str">
        <f t="shared" si="163"/>
        <v>-</v>
      </c>
      <c r="O448" s="30"/>
      <c r="Q448" s="99">
        <f t="shared" si="170"/>
        <v>20</v>
      </c>
      <c r="R448" s="50"/>
      <c r="S448" s="50"/>
      <c r="T448" s="50"/>
      <c r="U448" s="51"/>
      <c r="V448" s="51"/>
      <c r="W448" s="99">
        <f t="shared" si="171"/>
        <v>10</v>
      </c>
      <c r="X448" s="28">
        <v>0</v>
      </c>
      <c r="Y448" s="12" t="str">
        <f t="shared" si="183"/>
        <v>-</v>
      </c>
      <c r="Z448" s="12">
        <f t="shared" si="165"/>
        <v>10</v>
      </c>
      <c r="AA448" s="30" t="s">
        <v>73</v>
      </c>
      <c r="AB448" s="64"/>
      <c r="AC448" s="99">
        <f t="shared" si="172"/>
        <v>19</v>
      </c>
      <c r="AD448" s="28" t="s">
        <v>63</v>
      </c>
      <c r="AE448" s="12" t="str">
        <f t="shared" si="184"/>
        <v>-</v>
      </c>
      <c r="AF448" s="12" t="str">
        <f t="shared" si="166"/>
        <v>-</v>
      </c>
      <c r="AG448" s="30" t="s">
        <v>73</v>
      </c>
      <c r="AH448" s="17"/>
      <c r="AI448" s="17"/>
      <c r="AJ448" s="2">
        <f t="shared" si="178"/>
        <v>0</v>
      </c>
      <c r="AK448" s="2">
        <f t="shared" si="179"/>
        <v>22</v>
      </c>
      <c r="AL448" s="2">
        <f t="shared" si="180"/>
        <v>21</v>
      </c>
      <c r="AM448" s="2">
        <f t="shared" si="181"/>
        <v>11</v>
      </c>
    </row>
    <row r="449" spans="1:40" ht="15" customHeight="1" outlineLevel="1" x14ac:dyDescent="0.25">
      <c r="A449" t="s">
        <v>9</v>
      </c>
      <c r="B449" s="6" t="str">
        <f t="shared" si="177"/>
        <v>Tischplatte (2000x1000)</v>
      </c>
      <c r="C449" s="3" t="s">
        <v>11</v>
      </c>
      <c r="D449" s="6" t="s">
        <v>9</v>
      </c>
      <c r="E449">
        <v>2000</v>
      </c>
      <c r="F449">
        <v>1000</v>
      </c>
      <c r="G449">
        <v>1800</v>
      </c>
      <c r="H449">
        <v>980</v>
      </c>
      <c r="I449" s="45">
        <f t="shared" si="167"/>
        <v>2</v>
      </c>
      <c r="J449" s="46">
        <f t="shared" si="168"/>
        <v>6</v>
      </c>
      <c r="K449" s="99"/>
      <c r="L449" s="100" t="s">
        <v>63</v>
      </c>
      <c r="M449" s="12" t="str">
        <f t="shared" si="182"/>
        <v>-</v>
      </c>
      <c r="N449" s="12" t="str">
        <f t="shared" si="163"/>
        <v>-</v>
      </c>
      <c r="O449" s="30"/>
      <c r="Q449" s="99">
        <f t="shared" si="170"/>
        <v>20</v>
      </c>
      <c r="R449" s="50"/>
      <c r="S449" s="50"/>
      <c r="T449" s="50"/>
      <c r="U449" s="51"/>
      <c r="V449" s="51"/>
      <c r="W449" s="99">
        <f t="shared" si="171"/>
        <v>10</v>
      </c>
      <c r="X449" s="28">
        <v>0</v>
      </c>
      <c r="Y449" s="12" t="str">
        <f t="shared" si="183"/>
        <v>-</v>
      </c>
      <c r="Z449" s="12">
        <f t="shared" si="165"/>
        <v>10</v>
      </c>
      <c r="AA449" s="30" t="s">
        <v>73</v>
      </c>
      <c r="AB449" s="64"/>
      <c r="AC449" s="99">
        <f t="shared" si="172"/>
        <v>19</v>
      </c>
      <c r="AD449" s="28" t="s">
        <v>63</v>
      </c>
      <c r="AE449" s="12" t="str">
        <f t="shared" si="184"/>
        <v>-</v>
      </c>
      <c r="AF449" s="12" t="str">
        <f t="shared" si="166"/>
        <v>-</v>
      </c>
      <c r="AG449" s="30" t="s">
        <v>73</v>
      </c>
      <c r="AH449" s="17"/>
      <c r="AI449" s="17"/>
      <c r="AJ449" s="2">
        <f t="shared" si="178"/>
        <v>0</v>
      </c>
      <c r="AK449" s="2">
        <f t="shared" si="179"/>
        <v>22</v>
      </c>
      <c r="AL449" s="2">
        <f t="shared" si="180"/>
        <v>21</v>
      </c>
      <c r="AM449" s="2">
        <f t="shared" si="181"/>
        <v>11</v>
      </c>
    </row>
    <row r="450" spans="1:40" ht="15" customHeight="1" outlineLevel="1" x14ac:dyDescent="0.25">
      <c r="A450" t="s">
        <v>9</v>
      </c>
      <c r="B450" s="6" t="str">
        <f t="shared" si="177"/>
        <v>Tischplatte (2340x980)</v>
      </c>
      <c r="C450" s="3" t="s">
        <v>10</v>
      </c>
      <c r="D450" s="6" t="s">
        <v>9</v>
      </c>
      <c r="E450">
        <v>2340</v>
      </c>
      <c r="F450">
        <v>980</v>
      </c>
      <c r="G450">
        <v>1800</v>
      </c>
      <c r="H450">
        <v>980</v>
      </c>
      <c r="I450" s="45">
        <f t="shared" si="167"/>
        <v>2.2931999999999997</v>
      </c>
      <c r="J450" s="46">
        <f t="shared" si="168"/>
        <v>6.64</v>
      </c>
      <c r="K450" s="99"/>
      <c r="L450" s="100" t="s">
        <v>63</v>
      </c>
      <c r="M450" s="12" t="str">
        <f t="shared" si="182"/>
        <v>-</v>
      </c>
      <c r="N450" s="12" t="str">
        <f t="shared" si="163"/>
        <v>-</v>
      </c>
      <c r="O450" s="30"/>
      <c r="Q450" s="99">
        <f t="shared" si="170"/>
        <v>20</v>
      </c>
      <c r="R450" s="50"/>
      <c r="S450" s="50"/>
      <c r="T450" s="50"/>
      <c r="U450" s="51"/>
      <c r="V450" s="51"/>
      <c r="W450" s="99">
        <f t="shared" si="171"/>
        <v>10</v>
      </c>
      <c r="X450" s="28">
        <v>0</v>
      </c>
      <c r="Y450" s="12" t="str">
        <f t="shared" si="183"/>
        <v>-</v>
      </c>
      <c r="Z450" s="12">
        <f t="shared" si="165"/>
        <v>10</v>
      </c>
      <c r="AA450" s="30" t="s">
        <v>73</v>
      </c>
      <c r="AB450" s="64"/>
      <c r="AC450" s="99">
        <f t="shared" si="172"/>
        <v>19</v>
      </c>
      <c r="AD450" s="28" t="s">
        <v>63</v>
      </c>
      <c r="AE450" s="12" t="str">
        <f t="shared" si="184"/>
        <v>-</v>
      </c>
      <c r="AF450" s="12" t="str">
        <f t="shared" si="166"/>
        <v>-</v>
      </c>
      <c r="AG450" s="30" t="s">
        <v>73</v>
      </c>
      <c r="AH450" s="17"/>
      <c r="AI450" s="17"/>
      <c r="AJ450" s="2">
        <f t="shared" si="178"/>
        <v>0</v>
      </c>
      <c r="AK450" s="2">
        <f t="shared" si="179"/>
        <v>22</v>
      </c>
      <c r="AL450" s="2">
        <f t="shared" si="180"/>
        <v>21</v>
      </c>
      <c r="AM450" s="2">
        <f t="shared" si="181"/>
        <v>11</v>
      </c>
    </row>
    <row r="451" spans="1:40" ht="15" customHeight="1" outlineLevel="1" x14ac:dyDescent="0.25">
      <c r="B451" s="6"/>
      <c r="C451" s="3"/>
      <c r="I451" s="45" t="str">
        <f t="shared" si="167"/>
        <v/>
      </c>
      <c r="J451" s="46" t="str">
        <f t="shared" si="168"/>
        <v/>
      </c>
      <c r="K451" s="99"/>
      <c r="L451" s="100" t="s">
        <v>63</v>
      </c>
      <c r="M451" s="12" t="str">
        <f t="shared" si="182"/>
        <v>-</v>
      </c>
      <c r="N451" s="12" t="str">
        <f t="shared" si="163"/>
        <v>-</v>
      </c>
      <c r="O451" s="30"/>
      <c r="Q451" s="99">
        <f t="shared" si="170"/>
        <v>20</v>
      </c>
      <c r="R451" s="50"/>
      <c r="S451" s="50"/>
      <c r="T451" s="50"/>
      <c r="U451" s="51"/>
      <c r="V451" s="51"/>
      <c r="W451" s="99">
        <f t="shared" si="171"/>
        <v>10</v>
      </c>
      <c r="X451" s="28">
        <v>0</v>
      </c>
      <c r="Y451" s="12" t="str">
        <f t="shared" si="183"/>
        <v>-</v>
      </c>
      <c r="Z451" s="12">
        <f t="shared" si="165"/>
        <v>10</v>
      </c>
      <c r="AA451" s="30" t="s">
        <v>73</v>
      </c>
      <c r="AB451" s="64"/>
      <c r="AC451" s="99">
        <f t="shared" si="172"/>
        <v>19</v>
      </c>
      <c r="AD451" s="28" t="s">
        <v>63</v>
      </c>
      <c r="AE451" s="12" t="str">
        <f t="shared" si="184"/>
        <v>-</v>
      </c>
      <c r="AF451" s="12" t="str">
        <f t="shared" si="166"/>
        <v>-</v>
      </c>
      <c r="AG451" s="30" t="s">
        <v>73</v>
      </c>
      <c r="AH451" s="17"/>
      <c r="AI451" s="17"/>
      <c r="AJ451" s="2">
        <f t="shared" si="178"/>
        <v>0</v>
      </c>
      <c r="AK451" s="2">
        <f t="shared" si="179"/>
        <v>22</v>
      </c>
      <c r="AL451" s="2">
        <f t="shared" si="180"/>
        <v>21</v>
      </c>
      <c r="AM451" s="2">
        <f t="shared" si="181"/>
        <v>11</v>
      </c>
    </row>
    <row r="452" spans="1:40" ht="15" customHeight="1" outlineLevel="1" x14ac:dyDescent="0.25">
      <c r="B452" s="6"/>
      <c r="C452" s="3"/>
      <c r="D452" s="6"/>
      <c r="I452" s="45" t="str">
        <f t="shared" si="167"/>
        <v/>
      </c>
      <c r="J452" s="46" t="str">
        <f t="shared" si="168"/>
        <v/>
      </c>
      <c r="K452" s="99"/>
      <c r="L452" s="100" t="s">
        <v>63</v>
      </c>
      <c r="M452" s="12" t="str">
        <f t="shared" si="182"/>
        <v>-</v>
      </c>
      <c r="N452" s="12" t="str">
        <f t="shared" si="163"/>
        <v>-</v>
      </c>
      <c r="O452" s="30"/>
      <c r="Q452" s="99">
        <f t="shared" si="170"/>
        <v>20</v>
      </c>
      <c r="R452" s="50"/>
      <c r="S452" s="50"/>
      <c r="T452" s="50"/>
      <c r="U452" s="51"/>
      <c r="V452" s="51"/>
      <c r="W452" s="99">
        <f t="shared" si="171"/>
        <v>10</v>
      </c>
      <c r="X452" s="28">
        <v>0</v>
      </c>
      <c r="Y452" s="12" t="str">
        <f t="shared" si="183"/>
        <v>-</v>
      </c>
      <c r="Z452" s="12">
        <f t="shared" si="165"/>
        <v>10</v>
      </c>
      <c r="AA452" s="30" t="s">
        <v>73</v>
      </c>
      <c r="AB452" s="64"/>
      <c r="AC452" s="99">
        <f t="shared" si="172"/>
        <v>19</v>
      </c>
      <c r="AD452" s="28" t="s">
        <v>63</v>
      </c>
      <c r="AE452" s="12" t="str">
        <f t="shared" si="184"/>
        <v>-</v>
      </c>
      <c r="AF452" s="12" t="str">
        <f t="shared" si="166"/>
        <v>-</v>
      </c>
      <c r="AG452" s="30" t="s">
        <v>73</v>
      </c>
      <c r="AH452" s="17"/>
      <c r="AI452" s="17"/>
      <c r="AJ452" s="2">
        <f t="shared" si="178"/>
        <v>0</v>
      </c>
      <c r="AK452" s="2">
        <f t="shared" si="179"/>
        <v>22</v>
      </c>
      <c r="AL452" s="2">
        <f t="shared" si="180"/>
        <v>21</v>
      </c>
      <c r="AM452" s="2">
        <f t="shared" si="181"/>
        <v>11</v>
      </c>
    </row>
    <row r="453" spans="1:40" ht="15" customHeight="1" outlineLevel="1" x14ac:dyDescent="0.25">
      <c r="B453" s="6"/>
      <c r="C453" s="3"/>
      <c r="D453" s="6"/>
      <c r="I453" s="45" t="str">
        <f t="shared" si="167"/>
        <v/>
      </c>
      <c r="J453" s="46" t="str">
        <f t="shared" si="168"/>
        <v/>
      </c>
      <c r="K453" s="99"/>
      <c r="L453" s="100" t="s">
        <v>63</v>
      </c>
      <c r="M453" s="12" t="str">
        <f t="shared" si="182"/>
        <v>-</v>
      </c>
      <c r="N453" s="12" t="str">
        <f t="shared" si="163"/>
        <v>-</v>
      </c>
      <c r="O453" s="30"/>
      <c r="Q453" s="99">
        <f t="shared" si="170"/>
        <v>20</v>
      </c>
      <c r="R453" s="50"/>
      <c r="S453" s="50"/>
      <c r="T453" s="50"/>
      <c r="U453" s="51"/>
      <c r="V453" s="51"/>
      <c r="W453" s="99">
        <f t="shared" si="171"/>
        <v>10</v>
      </c>
      <c r="X453" s="28">
        <v>0</v>
      </c>
      <c r="Y453" s="12" t="str">
        <f t="shared" si="183"/>
        <v>-</v>
      </c>
      <c r="Z453" s="12">
        <f t="shared" si="165"/>
        <v>10</v>
      </c>
      <c r="AA453" s="30" t="s">
        <v>73</v>
      </c>
      <c r="AB453" s="64"/>
      <c r="AC453" s="99">
        <f t="shared" si="172"/>
        <v>19</v>
      </c>
      <c r="AD453" s="28" t="s">
        <v>63</v>
      </c>
      <c r="AE453" s="12" t="str">
        <f t="shared" si="184"/>
        <v>-</v>
      </c>
      <c r="AF453" s="12" t="str">
        <f t="shared" si="166"/>
        <v>-</v>
      </c>
      <c r="AG453" s="30" t="s">
        <v>73</v>
      </c>
      <c r="AH453" s="17"/>
      <c r="AI453" s="17"/>
      <c r="AJ453" s="2">
        <f t="shared" si="178"/>
        <v>0</v>
      </c>
      <c r="AK453" s="2">
        <f t="shared" si="179"/>
        <v>22</v>
      </c>
      <c r="AL453" s="2">
        <f t="shared" si="180"/>
        <v>21</v>
      </c>
      <c r="AM453" s="2">
        <f t="shared" si="181"/>
        <v>11</v>
      </c>
    </row>
    <row r="454" spans="1:40" ht="15" customHeight="1" outlineLevel="1" x14ac:dyDescent="0.25">
      <c r="B454" s="6"/>
      <c r="C454" s="3"/>
      <c r="D454" s="6"/>
      <c r="I454" s="45" t="str">
        <f t="shared" si="167"/>
        <v/>
      </c>
      <c r="J454" s="46" t="str">
        <f t="shared" si="168"/>
        <v/>
      </c>
      <c r="K454" s="99"/>
      <c r="L454" s="100" t="s">
        <v>63</v>
      </c>
      <c r="M454" s="12" t="str">
        <f t="shared" si="182"/>
        <v>-</v>
      </c>
      <c r="N454" s="12" t="str">
        <f t="shared" ref="N454:N517" si="185">IFERROR(K454-L454,"-")</f>
        <v>-</v>
      </c>
      <c r="O454" s="30"/>
      <c r="Q454" s="99">
        <f t="shared" si="170"/>
        <v>20</v>
      </c>
      <c r="R454" s="50"/>
      <c r="S454" s="50"/>
      <c r="T454" s="50"/>
      <c r="U454" s="51"/>
      <c r="V454" s="51"/>
      <c r="W454" s="99">
        <f t="shared" si="171"/>
        <v>10</v>
      </c>
      <c r="X454" s="28">
        <v>0</v>
      </c>
      <c r="Y454" s="12" t="str">
        <f t="shared" si="183"/>
        <v>-</v>
      </c>
      <c r="Z454" s="12">
        <f t="shared" ref="Z454:Z517" si="186">IFERROR(W454-X454,"-")</f>
        <v>10</v>
      </c>
      <c r="AA454" s="30" t="s">
        <v>73</v>
      </c>
      <c r="AB454" s="64"/>
      <c r="AC454" s="99">
        <f t="shared" si="172"/>
        <v>19</v>
      </c>
      <c r="AD454" s="28" t="s">
        <v>63</v>
      </c>
      <c r="AE454" s="12" t="str">
        <f t="shared" si="184"/>
        <v>-</v>
      </c>
      <c r="AF454" s="12" t="str">
        <f t="shared" ref="AF454:AF517" si="187">IFERROR(AC454-AD454,"-")</f>
        <v>-</v>
      </c>
      <c r="AG454" s="30" t="s">
        <v>73</v>
      </c>
      <c r="AH454" s="17"/>
      <c r="AI454" s="17"/>
      <c r="AJ454" s="2">
        <f t="shared" si="178"/>
        <v>0</v>
      </c>
      <c r="AK454" s="2">
        <f t="shared" si="179"/>
        <v>22</v>
      </c>
      <c r="AL454" s="2">
        <f t="shared" si="180"/>
        <v>21</v>
      </c>
      <c r="AM454" s="2">
        <f t="shared" si="181"/>
        <v>11</v>
      </c>
    </row>
    <row r="455" spans="1:40" ht="15" customHeight="1" outlineLevel="1" x14ac:dyDescent="0.25">
      <c r="B455" s="6"/>
      <c r="C455" s="3"/>
      <c r="D455" s="6"/>
      <c r="I455" s="45" t="str">
        <f t="shared" ref="I455:I518" si="188">+IF($E455="","",MAX($E455,360)/1000*MAX($F455,360)/1000)</f>
        <v/>
      </c>
      <c r="J455" s="46" t="str">
        <f t="shared" ref="J455:U518" si="189">IF($F455="","",2*MAX($E455,360)/1000+2*MAX($F455,360)/1000)</f>
        <v/>
      </c>
      <c r="K455" s="99"/>
      <c r="L455" s="100" t="s">
        <v>63</v>
      </c>
      <c r="M455" s="12" t="str">
        <f t="shared" si="182"/>
        <v>-</v>
      </c>
      <c r="N455" s="12" t="str">
        <f t="shared" si="185"/>
        <v>-</v>
      </c>
      <c r="O455" s="30"/>
      <c r="Q455" s="99">
        <f t="shared" ref="Q455:Q518" si="190">+IFERROR(IF(AND(R455="-",K455&gt;0),ROUND(V$4*K455,0),ROUND(R455*(1+S$2)^U$2+Q$2,0)),0)</f>
        <v>20</v>
      </c>
      <c r="R455" s="50"/>
      <c r="S455" s="50"/>
      <c r="T455" s="50"/>
      <c r="U455" s="51"/>
      <c r="V455" s="51"/>
      <c r="W455" s="99">
        <f t="shared" ref="W455:W518" si="191">+IFERROR(IF(AND(X455="-",Q455&gt;0),ROUND(AB$4*Q455,0),ROUND(X455*(1+Y$2)^AA$2+W$2,0)),0)</f>
        <v>10</v>
      </c>
      <c r="X455" s="28">
        <v>0</v>
      </c>
      <c r="Y455" s="12" t="str">
        <f t="shared" si="183"/>
        <v>-</v>
      </c>
      <c r="Z455" s="12">
        <f t="shared" si="186"/>
        <v>10</v>
      </c>
      <c r="AA455" s="30" t="s">
        <v>73</v>
      </c>
      <c r="AB455" s="64"/>
      <c r="AC455" s="99">
        <f t="shared" ref="AC455:AC518" si="192">+IFERROR(IF(AND(AD455="-",W455&gt;0),ROUND(AH$4*W455,0),ROUND(AD455*(1+AE$2)^AG$2+AC$2,0)),0)</f>
        <v>19</v>
      </c>
      <c r="AD455" s="28" t="s">
        <v>63</v>
      </c>
      <c r="AE455" s="12" t="str">
        <f t="shared" si="184"/>
        <v>-</v>
      </c>
      <c r="AF455" s="12" t="str">
        <f t="shared" si="187"/>
        <v>-</v>
      </c>
      <c r="AG455" s="30" t="s">
        <v>73</v>
      </c>
      <c r="AH455" s="17"/>
      <c r="AI455" s="17"/>
      <c r="AJ455" s="2">
        <f t="shared" si="178"/>
        <v>0</v>
      </c>
      <c r="AK455" s="2">
        <f t="shared" si="179"/>
        <v>22</v>
      </c>
      <c r="AL455" s="2">
        <f t="shared" si="180"/>
        <v>21</v>
      </c>
      <c r="AM455" s="2">
        <f t="shared" si="181"/>
        <v>11</v>
      </c>
    </row>
    <row r="456" spans="1:40" ht="15" customHeight="1" outlineLevel="1" x14ac:dyDescent="0.25">
      <c r="B456" s="6"/>
      <c r="C456" s="3"/>
      <c r="D456" s="6"/>
      <c r="I456" s="45" t="str">
        <f t="shared" si="188"/>
        <v/>
      </c>
      <c r="J456" s="46" t="str">
        <f t="shared" si="189"/>
        <v/>
      </c>
      <c r="K456" s="99"/>
      <c r="L456" s="100" t="s">
        <v>63</v>
      </c>
      <c r="M456" s="12" t="str">
        <f t="shared" si="182"/>
        <v>-</v>
      </c>
      <c r="N456" s="12" t="str">
        <f t="shared" si="185"/>
        <v>-</v>
      </c>
      <c r="O456" s="30"/>
      <c r="Q456" s="99">
        <f t="shared" si="190"/>
        <v>20</v>
      </c>
      <c r="R456" s="50"/>
      <c r="S456" s="50"/>
      <c r="T456" s="50"/>
      <c r="U456" s="51"/>
      <c r="V456" s="51"/>
      <c r="W456" s="99">
        <f t="shared" si="191"/>
        <v>10</v>
      </c>
      <c r="X456" s="28">
        <v>0</v>
      </c>
      <c r="Y456" s="12" t="str">
        <f t="shared" si="183"/>
        <v>-</v>
      </c>
      <c r="Z456" s="12">
        <f t="shared" si="186"/>
        <v>10</v>
      </c>
      <c r="AA456" s="30" t="s">
        <v>73</v>
      </c>
      <c r="AB456" s="64"/>
      <c r="AC456" s="99">
        <f t="shared" si="192"/>
        <v>19</v>
      </c>
      <c r="AD456" s="28" t="s">
        <v>63</v>
      </c>
      <c r="AE456" s="12" t="str">
        <f t="shared" si="184"/>
        <v>-</v>
      </c>
      <c r="AF456" s="12" t="str">
        <f t="shared" si="187"/>
        <v>-</v>
      </c>
      <c r="AG456" s="30" t="s">
        <v>73</v>
      </c>
      <c r="AH456" s="17"/>
      <c r="AI456" s="17"/>
      <c r="AJ456" s="2">
        <f t="shared" si="178"/>
        <v>0</v>
      </c>
      <c r="AK456" s="2">
        <f t="shared" si="179"/>
        <v>22</v>
      </c>
      <c r="AL456" s="2">
        <f t="shared" si="180"/>
        <v>21</v>
      </c>
      <c r="AM456" s="2">
        <f t="shared" si="181"/>
        <v>11</v>
      </c>
    </row>
    <row r="457" spans="1:40" ht="15" customHeight="1" outlineLevel="1" x14ac:dyDescent="0.25">
      <c r="B457" s="6"/>
      <c r="C457" s="3"/>
      <c r="D457" s="6"/>
      <c r="I457" s="45" t="str">
        <f t="shared" si="188"/>
        <v/>
      </c>
      <c r="J457" s="46" t="str">
        <f t="shared" si="189"/>
        <v/>
      </c>
      <c r="K457" s="99"/>
      <c r="L457" s="100" t="s">
        <v>63</v>
      </c>
      <c r="M457" s="12" t="str">
        <f t="shared" si="182"/>
        <v>-</v>
      </c>
      <c r="N457" s="12" t="str">
        <f t="shared" si="185"/>
        <v>-</v>
      </c>
      <c r="O457" s="30"/>
      <c r="Q457" s="99">
        <f t="shared" si="190"/>
        <v>20</v>
      </c>
      <c r="R457" s="50"/>
      <c r="S457" s="50"/>
      <c r="T457" s="50"/>
      <c r="U457" s="51"/>
      <c r="V457" s="51"/>
      <c r="W457" s="99">
        <f t="shared" si="191"/>
        <v>10</v>
      </c>
      <c r="X457" s="28">
        <v>0</v>
      </c>
      <c r="Y457" s="12" t="str">
        <f t="shared" si="183"/>
        <v>-</v>
      </c>
      <c r="Z457" s="12">
        <f t="shared" si="186"/>
        <v>10</v>
      </c>
      <c r="AA457" s="30" t="s">
        <v>73</v>
      </c>
      <c r="AB457" s="64"/>
      <c r="AC457" s="99">
        <f t="shared" si="192"/>
        <v>19</v>
      </c>
      <c r="AD457" s="28" t="s">
        <v>63</v>
      </c>
      <c r="AE457" s="12" t="str">
        <f t="shared" si="184"/>
        <v>-</v>
      </c>
      <c r="AF457" s="12" t="str">
        <f t="shared" si="187"/>
        <v>-</v>
      </c>
      <c r="AG457" s="30" t="s">
        <v>73</v>
      </c>
      <c r="AH457" s="17"/>
      <c r="AI457" s="17"/>
      <c r="AJ457" s="2">
        <f t="shared" si="178"/>
        <v>0</v>
      </c>
      <c r="AK457" s="2">
        <f t="shared" si="179"/>
        <v>22</v>
      </c>
      <c r="AL457" s="2">
        <f t="shared" si="180"/>
        <v>21</v>
      </c>
      <c r="AM457" s="2">
        <f t="shared" si="181"/>
        <v>11</v>
      </c>
    </row>
    <row r="458" spans="1:40" ht="15" customHeight="1" outlineLevel="1" x14ac:dyDescent="0.25">
      <c r="B458" s="6"/>
      <c r="C458" s="3"/>
      <c r="D458" s="6"/>
      <c r="I458" s="45" t="str">
        <f t="shared" si="188"/>
        <v/>
      </c>
      <c r="J458" s="46" t="str">
        <f t="shared" si="189"/>
        <v/>
      </c>
      <c r="K458" s="99"/>
      <c r="L458" s="100" t="s">
        <v>63</v>
      </c>
      <c r="M458" s="12" t="str">
        <f t="shared" si="182"/>
        <v>-</v>
      </c>
      <c r="N458" s="12" t="str">
        <f t="shared" si="185"/>
        <v>-</v>
      </c>
      <c r="O458" s="30"/>
      <c r="Q458" s="99">
        <f t="shared" si="190"/>
        <v>20</v>
      </c>
      <c r="R458" s="50"/>
      <c r="S458" s="50"/>
      <c r="T458" s="50"/>
      <c r="U458" s="51"/>
      <c r="V458" s="51"/>
      <c r="W458" s="99">
        <f t="shared" si="191"/>
        <v>10</v>
      </c>
      <c r="X458" s="28">
        <v>0</v>
      </c>
      <c r="Y458" s="12" t="str">
        <f t="shared" si="183"/>
        <v>-</v>
      </c>
      <c r="Z458" s="12">
        <f t="shared" si="186"/>
        <v>10</v>
      </c>
      <c r="AA458" s="30" t="s">
        <v>73</v>
      </c>
      <c r="AB458" s="64"/>
      <c r="AC458" s="99">
        <f t="shared" si="192"/>
        <v>19</v>
      </c>
      <c r="AD458" s="28" t="s">
        <v>63</v>
      </c>
      <c r="AE458" s="12" t="str">
        <f t="shared" si="184"/>
        <v>-</v>
      </c>
      <c r="AF458" s="12" t="str">
        <f t="shared" si="187"/>
        <v>-</v>
      </c>
      <c r="AG458" s="30" t="s">
        <v>73</v>
      </c>
      <c r="AH458" s="17"/>
      <c r="AI458" s="17"/>
      <c r="AJ458" s="2">
        <f t="shared" si="178"/>
        <v>0</v>
      </c>
      <c r="AK458" s="2">
        <f t="shared" si="179"/>
        <v>22</v>
      </c>
      <c r="AL458" s="2">
        <f t="shared" si="180"/>
        <v>21</v>
      </c>
      <c r="AM458" s="2">
        <f t="shared" si="181"/>
        <v>11</v>
      </c>
    </row>
    <row r="459" spans="1:40" ht="15" customHeight="1" outlineLevel="1" x14ac:dyDescent="0.25">
      <c r="B459" s="6"/>
      <c r="C459" s="3"/>
      <c r="D459" s="6"/>
      <c r="I459" s="45" t="str">
        <f t="shared" si="188"/>
        <v/>
      </c>
      <c r="J459" s="46" t="str">
        <f t="shared" si="189"/>
        <v/>
      </c>
      <c r="K459" s="99"/>
      <c r="L459" s="100" t="s">
        <v>63</v>
      </c>
      <c r="M459" s="12" t="str">
        <f t="shared" si="182"/>
        <v>-</v>
      </c>
      <c r="N459" s="12" t="str">
        <f t="shared" si="185"/>
        <v>-</v>
      </c>
      <c r="O459" s="30"/>
      <c r="Q459" s="99">
        <f t="shared" si="190"/>
        <v>20</v>
      </c>
      <c r="R459" s="50"/>
      <c r="S459" s="50"/>
      <c r="T459" s="50"/>
      <c r="U459" s="51"/>
      <c r="V459" s="51"/>
      <c r="W459" s="99">
        <f t="shared" si="191"/>
        <v>10</v>
      </c>
      <c r="X459" s="28">
        <v>0</v>
      </c>
      <c r="Y459" s="12" t="str">
        <f t="shared" si="183"/>
        <v>-</v>
      </c>
      <c r="Z459" s="12">
        <f t="shared" si="186"/>
        <v>10</v>
      </c>
      <c r="AA459" s="30" t="s">
        <v>73</v>
      </c>
      <c r="AB459" s="64"/>
      <c r="AC459" s="99">
        <f t="shared" si="192"/>
        <v>19</v>
      </c>
      <c r="AD459" s="28" t="s">
        <v>63</v>
      </c>
      <c r="AE459" s="12" t="str">
        <f t="shared" si="184"/>
        <v>-</v>
      </c>
      <c r="AF459" s="12" t="str">
        <f t="shared" si="187"/>
        <v>-</v>
      </c>
      <c r="AG459" s="30" t="s">
        <v>73</v>
      </c>
      <c r="AH459" s="17"/>
      <c r="AI459" s="17"/>
      <c r="AJ459" s="2">
        <f t="shared" si="178"/>
        <v>0</v>
      </c>
      <c r="AK459" s="2">
        <f t="shared" si="179"/>
        <v>22</v>
      </c>
      <c r="AL459" s="2">
        <f t="shared" si="180"/>
        <v>21</v>
      </c>
      <c r="AM459" s="2">
        <f t="shared" si="181"/>
        <v>11</v>
      </c>
    </row>
    <row r="460" spans="1:40" ht="15" customHeight="1" outlineLevel="1" x14ac:dyDescent="0.25">
      <c r="B460" s="6"/>
      <c r="C460" s="3"/>
      <c r="D460" s="6"/>
      <c r="I460" s="45" t="str">
        <f t="shared" si="188"/>
        <v/>
      </c>
      <c r="J460" s="46" t="str">
        <f t="shared" si="189"/>
        <v/>
      </c>
      <c r="K460" s="99"/>
      <c r="L460" s="100" t="s">
        <v>63</v>
      </c>
      <c r="M460" s="12" t="str">
        <f t="shared" si="182"/>
        <v>-</v>
      </c>
      <c r="N460" s="12" t="str">
        <f t="shared" si="185"/>
        <v>-</v>
      </c>
      <c r="O460" s="30"/>
      <c r="Q460" s="99">
        <f t="shared" si="190"/>
        <v>20</v>
      </c>
      <c r="R460" s="50"/>
      <c r="S460" s="50"/>
      <c r="T460" s="50"/>
      <c r="U460" s="51"/>
      <c r="V460" s="51"/>
      <c r="W460" s="99">
        <f t="shared" si="191"/>
        <v>10</v>
      </c>
      <c r="X460" s="28">
        <v>0</v>
      </c>
      <c r="Y460" s="12" t="str">
        <f t="shared" si="183"/>
        <v>-</v>
      </c>
      <c r="Z460" s="12">
        <f t="shared" si="186"/>
        <v>10</v>
      </c>
      <c r="AA460" s="30" t="s">
        <v>73</v>
      </c>
      <c r="AB460" s="64"/>
      <c r="AC460" s="99">
        <f t="shared" si="192"/>
        <v>19</v>
      </c>
      <c r="AD460" s="28" t="s">
        <v>63</v>
      </c>
      <c r="AE460" s="12" t="str">
        <f t="shared" si="184"/>
        <v>-</v>
      </c>
      <c r="AF460" s="12" t="str">
        <f t="shared" si="187"/>
        <v>-</v>
      </c>
      <c r="AG460" s="30" t="s">
        <v>73</v>
      </c>
      <c r="AH460" s="17"/>
      <c r="AI460" s="17"/>
      <c r="AJ460" s="2">
        <f t="shared" si="178"/>
        <v>0</v>
      </c>
      <c r="AK460" s="2">
        <f t="shared" si="179"/>
        <v>22</v>
      </c>
      <c r="AL460" s="2">
        <f t="shared" si="180"/>
        <v>21</v>
      </c>
      <c r="AM460" s="2">
        <f t="shared" si="181"/>
        <v>11</v>
      </c>
    </row>
    <row r="461" spans="1:40" ht="15" customHeight="1" outlineLevel="1" x14ac:dyDescent="0.25">
      <c r="B461" s="6"/>
      <c r="C461" s="3"/>
      <c r="D461" s="6"/>
      <c r="I461" s="45" t="str">
        <f t="shared" si="188"/>
        <v/>
      </c>
      <c r="J461" s="46" t="str">
        <f t="shared" si="189"/>
        <v/>
      </c>
      <c r="K461" s="99"/>
      <c r="L461" s="100" t="s">
        <v>63</v>
      </c>
      <c r="M461" s="12" t="str">
        <f t="shared" si="182"/>
        <v>-</v>
      </c>
      <c r="N461" s="12" t="str">
        <f t="shared" si="185"/>
        <v>-</v>
      </c>
      <c r="O461" s="30"/>
      <c r="Q461" s="99">
        <f t="shared" si="190"/>
        <v>20</v>
      </c>
      <c r="R461" s="50"/>
      <c r="S461" s="50"/>
      <c r="T461" s="50"/>
      <c r="U461" s="51"/>
      <c r="V461" s="51"/>
      <c r="W461" s="99">
        <f t="shared" si="191"/>
        <v>10</v>
      </c>
      <c r="X461" s="28">
        <v>0</v>
      </c>
      <c r="Y461" s="12" t="str">
        <f t="shared" si="183"/>
        <v>-</v>
      </c>
      <c r="Z461" s="12">
        <f t="shared" si="186"/>
        <v>10</v>
      </c>
      <c r="AA461" s="30" t="s">
        <v>73</v>
      </c>
      <c r="AB461" s="64"/>
      <c r="AC461" s="99">
        <f t="shared" si="192"/>
        <v>19</v>
      </c>
      <c r="AD461" s="28" t="s">
        <v>63</v>
      </c>
      <c r="AE461" s="12" t="str">
        <f t="shared" si="184"/>
        <v>-</v>
      </c>
      <c r="AF461" s="12" t="str">
        <f t="shared" si="187"/>
        <v>-</v>
      </c>
      <c r="AG461" s="30" t="s">
        <v>73</v>
      </c>
      <c r="AH461" s="17"/>
      <c r="AI461" s="17"/>
      <c r="AJ461" s="2">
        <f t="shared" si="178"/>
        <v>0</v>
      </c>
      <c r="AK461" s="2">
        <f t="shared" si="179"/>
        <v>22</v>
      </c>
      <c r="AL461" s="2">
        <f t="shared" si="180"/>
        <v>21</v>
      </c>
      <c r="AM461" s="2">
        <f t="shared" si="181"/>
        <v>11</v>
      </c>
    </row>
    <row r="462" spans="1:40" ht="15" customHeight="1" outlineLevel="1" x14ac:dyDescent="0.25">
      <c r="B462" s="6"/>
      <c r="C462" s="3"/>
      <c r="D462" s="6"/>
      <c r="I462" s="45" t="str">
        <f t="shared" si="188"/>
        <v/>
      </c>
      <c r="J462" s="46" t="str">
        <f t="shared" si="189"/>
        <v/>
      </c>
      <c r="K462" s="99"/>
      <c r="L462" s="100" t="s">
        <v>63</v>
      </c>
      <c r="M462" s="12" t="str">
        <f t="shared" si="182"/>
        <v>-</v>
      </c>
      <c r="N462" s="12" t="str">
        <f t="shared" si="185"/>
        <v>-</v>
      </c>
      <c r="O462" s="30"/>
      <c r="Q462" s="99">
        <f t="shared" si="190"/>
        <v>20</v>
      </c>
      <c r="R462" s="50"/>
      <c r="S462" s="50"/>
      <c r="T462" s="50"/>
      <c r="U462" s="51"/>
      <c r="V462" s="51"/>
      <c r="W462" s="99">
        <f t="shared" si="191"/>
        <v>10</v>
      </c>
      <c r="X462" s="28">
        <v>0</v>
      </c>
      <c r="Y462" s="12" t="str">
        <f t="shared" si="183"/>
        <v>-</v>
      </c>
      <c r="Z462" s="12">
        <f t="shared" si="186"/>
        <v>10</v>
      </c>
      <c r="AA462" s="30" t="s">
        <v>73</v>
      </c>
      <c r="AB462" s="64"/>
      <c r="AC462" s="99">
        <f t="shared" si="192"/>
        <v>19</v>
      </c>
      <c r="AD462" s="28" t="s">
        <v>63</v>
      </c>
      <c r="AE462" s="12" t="str">
        <f t="shared" si="184"/>
        <v>-</v>
      </c>
      <c r="AF462" s="12" t="str">
        <f t="shared" si="187"/>
        <v>-</v>
      </c>
      <c r="AG462" s="30" t="s">
        <v>73</v>
      </c>
      <c r="AH462" s="17"/>
      <c r="AI462" s="17"/>
      <c r="AJ462" s="2">
        <f t="shared" si="178"/>
        <v>0</v>
      </c>
      <c r="AK462" s="2">
        <f t="shared" si="179"/>
        <v>22</v>
      </c>
      <c r="AL462" s="2">
        <f t="shared" si="180"/>
        <v>21</v>
      </c>
      <c r="AM462" s="2">
        <f t="shared" si="181"/>
        <v>11</v>
      </c>
    </row>
    <row r="463" spans="1:40" s="14" customFormat="1" x14ac:dyDescent="0.25">
      <c r="A463" s="32"/>
      <c r="B463" s="5" t="s">
        <v>2</v>
      </c>
      <c r="C463" s="5"/>
      <c r="D463" s="5"/>
      <c r="E463" s="5"/>
      <c r="F463" s="5"/>
      <c r="G463" s="5"/>
      <c r="H463" s="5"/>
      <c r="I463" s="44" t="s">
        <v>178</v>
      </c>
      <c r="J463" s="102">
        <v>0</v>
      </c>
      <c r="K463" s="44" t="str">
        <f t="shared" si="189"/>
        <v/>
      </c>
      <c r="L463" s="44" t="str">
        <f t="shared" si="189"/>
        <v/>
      </c>
      <c r="M463" s="44" t="str">
        <f t="shared" si="189"/>
        <v/>
      </c>
      <c r="N463" s="44" t="str">
        <f t="shared" si="189"/>
        <v/>
      </c>
      <c r="O463" s="44" t="str">
        <f t="shared" si="189"/>
        <v/>
      </c>
      <c r="P463" s="17"/>
      <c r="Q463" s="44">
        <f t="shared" si="190"/>
        <v>0</v>
      </c>
      <c r="R463" s="11" t="s">
        <v>63</v>
      </c>
      <c r="S463" s="15">
        <f>AVERAGE(S464:S484)</f>
        <v>0.43885909064480499</v>
      </c>
      <c r="T463" s="15" t="str">
        <f>IFERROR(#REF!-R463,"-")</f>
        <v>-</v>
      </c>
      <c r="U463" s="15"/>
      <c r="V463" s="15"/>
      <c r="W463" s="44">
        <f t="shared" si="191"/>
        <v>0</v>
      </c>
      <c r="X463" s="11" t="s">
        <v>63</v>
      </c>
      <c r="Y463" s="15">
        <f>AVERAGE(Y464:Y484)</f>
        <v>0.39259220208413076</v>
      </c>
      <c r="Z463" s="15" t="str">
        <f>IFERROR(#REF!-X463,"-")</f>
        <v>-</v>
      </c>
      <c r="AA463" s="15"/>
      <c r="AB463" s="64"/>
      <c r="AC463" s="44">
        <f t="shared" si="192"/>
        <v>10</v>
      </c>
      <c r="AD463" s="11"/>
      <c r="AE463" s="15" t="e">
        <f>AVERAGE(AE464:AE484)</f>
        <v>#DIV/0!</v>
      </c>
      <c r="AF463" s="15">
        <f t="shared" si="187"/>
        <v>10</v>
      </c>
      <c r="AG463" s="15"/>
      <c r="AH463" s="17"/>
      <c r="AI463" s="63"/>
      <c r="AJ463" s="4" t="str">
        <f>+IFERROR(ROUND(#REF!*(1+AJ$2),0),"-")</f>
        <v>-</v>
      </c>
      <c r="AK463" s="4" t="str">
        <f>+IFERROR(ROUND(#REF!*(1+AK$2),0),"-")</f>
        <v>-</v>
      </c>
      <c r="AL463" s="4">
        <f t="shared" si="180"/>
        <v>11</v>
      </c>
      <c r="AM463" s="4" t="str">
        <f>+IFERROR(ROUND(#REF!*(1+AM$2),0),"-")</f>
        <v>-</v>
      </c>
      <c r="AN463" s="32"/>
    </row>
    <row r="464" spans="1:40" outlineLevel="1" x14ac:dyDescent="0.25">
      <c r="A464" t="s">
        <v>2</v>
      </c>
      <c r="B464" t="str">
        <f t="shared" ref="B464:B520" si="193">IF(OR(E464="-",F464="-"),"-",D464&amp;" ("&amp;E464&amp;"x"&amp;F464&amp;")")</f>
        <v>Klappe (420x180)</v>
      </c>
      <c r="C464">
        <v>5000</v>
      </c>
      <c r="D464" t="s">
        <v>2</v>
      </c>
      <c r="E464">
        <v>420</v>
      </c>
      <c r="F464">
        <v>180</v>
      </c>
      <c r="I464" s="45">
        <f t="shared" si="188"/>
        <v>0.1512</v>
      </c>
      <c r="J464" s="46">
        <f t="shared" si="189"/>
        <v>1.56</v>
      </c>
      <c r="K464" s="62">
        <f>+IFERROR(ROUND(L464*(1+L$2)^N$2+J$463,0),0)</f>
        <v>169</v>
      </c>
      <c r="L464" s="28">
        <v>126</v>
      </c>
      <c r="M464" s="13">
        <f t="shared" ref="M464:M484" si="194">IFERROR(K464/L464-1,"-")</f>
        <v>0.34126984126984117</v>
      </c>
      <c r="N464" s="12">
        <f t="shared" si="185"/>
        <v>43</v>
      </c>
      <c r="O464" s="30" t="s">
        <v>72</v>
      </c>
      <c r="Q464" s="62">
        <f t="shared" si="190"/>
        <v>255</v>
      </c>
      <c r="R464" s="28">
        <v>175</v>
      </c>
      <c r="S464" s="13">
        <f t="shared" ref="S464:S484" si="195">IFERROR(Q464/R464-1,"-")</f>
        <v>0.45714285714285707</v>
      </c>
      <c r="T464" s="12">
        <f t="shared" ref="T464:T511" si="196">IFERROR(Q464-R464,"-")</f>
        <v>80</v>
      </c>
      <c r="U464" s="12"/>
      <c r="V464" s="12"/>
      <c r="W464" s="62">
        <f t="shared" si="191"/>
        <v>237</v>
      </c>
      <c r="X464" s="28">
        <v>169</v>
      </c>
      <c r="Y464" s="13">
        <f t="shared" ref="Y464:Y484" si="197">IFERROR(W464/X464-1,"-")</f>
        <v>0.4023668639053255</v>
      </c>
      <c r="Z464" s="12">
        <f t="shared" si="186"/>
        <v>68</v>
      </c>
      <c r="AA464" s="12"/>
      <c r="AB464" s="64"/>
      <c r="AC464" s="62">
        <f t="shared" si="192"/>
        <v>446</v>
      </c>
      <c r="AD464" s="28" t="s">
        <v>63</v>
      </c>
      <c r="AE464" s="13" t="str">
        <f t="shared" ref="AE464:AE484" si="198">IFERROR(AC464/AD464-1,"-")</f>
        <v>-</v>
      </c>
      <c r="AF464" s="12" t="str">
        <f t="shared" si="187"/>
        <v>-</v>
      </c>
      <c r="AG464" s="12"/>
      <c r="AH464" s="17"/>
      <c r="AI464" s="16"/>
      <c r="AJ464" s="2">
        <f t="shared" ref="AJ464:AJ484" si="199">+IFERROR(ROUND(K464*(1+AJ$2),0),"-")</f>
        <v>186</v>
      </c>
      <c r="AK464" s="2">
        <f t="shared" ref="AK464:AK484" si="200">+IFERROR(ROUND(Q464*(1+AK$2),0),"-")</f>
        <v>281</v>
      </c>
      <c r="AL464" s="2">
        <f t="shared" si="180"/>
        <v>491</v>
      </c>
      <c r="AM464" s="2">
        <f t="shared" ref="AM464:AM484" si="201">+IFERROR(ROUND(W464*(1+AM$2),0),"-")</f>
        <v>261</v>
      </c>
    </row>
    <row r="465" spans="1:39" outlineLevel="1" x14ac:dyDescent="0.25">
      <c r="A465" t="s">
        <v>2</v>
      </c>
      <c r="B465" t="str">
        <f t="shared" si="193"/>
        <v>Klappe (420x360)</v>
      </c>
      <c r="C465">
        <v>5001</v>
      </c>
      <c r="D465" t="s">
        <v>2</v>
      </c>
      <c r="E465">
        <v>420</v>
      </c>
      <c r="F465">
        <v>360</v>
      </c>
      <c r="I465" s="45">
        <f t="shared" si="188"/>
        <v>0.1512</v>
      </c>
      <c r="J465" s="46">
        <f t="shared" si="189"/>
        <v>1.56</v>
      </c>
      <c r="K465" s="62">
        <f t="shared" ref="K465:K528" si="202">+IFERROR(ROUND(L465*(1+L$2)^N$2+J$463,0),0)</f>
        <v>169</v>
      </c>
      <c r="L465" s="28">
        <v>126</v>
      </c>
      <c r="M465" s="13">
        <f t="shared" si="194"/>
        <v>0.34126984126984117</v>
      </c>
      <c r="N465" s="12">
        <f t="shared" si="185"/>
        <v>43</v>
      </c>
      <c r="O465" s="30" t="s">
        <v>72</v>
      </c>
      <c r="Q465" s="62">
        <f t="shared" si="190"/>
        <v>255</v>
      </c>
      <c r="R465" s="28">
        <v>175</v>
      </c>
      <c r="S465" s="13">
        <f t="shared" si="195"/>
        <v>0.45714285714285707</v>
      </c>
      <c r="T465" s="12">
        <f t="shared" si="196"/>
        <v>80</v>
      </c>
      <c r="U465" s="12"/>
      <c r="V465" s="12"/>
      <c r="W465" s="62">
        <f t="shared" si="191"/>
        <v>237</v>
      </c>
      <c r="X465" s="28">
        <v>169</v>
      </c>
      <c r="Y465" s="13">
        <f t="shared" si="197"/>
        <v>0.4023668639053255</v>
      </c>
      <c r="Z465" s="12">
        <f t="shared" si="186"/>
        <v>68</v>
      </c>
      <c r="AA465" s="12"/>
      <c r="AB465" s="64"/>
      <c r="AC465" s="62">
        <f t="shared" si="192"/>
        <v>446</v>
      </c>
      <c r="AD465" s="28" t="s">
        <v>63</v>
      </c>
      <c r="AE465" s="13" t="str">
        <f t="shared" si="198"/>
        <v>-</v>
      </c>
      <c r="AF465" s="12" t="str">
        <f t="shared" si="187"/>
        <v>-</v>
      </c>
      <c r="AG465" s="12"/>
      <c r="AH465" s="17"/>
      <c r="AI465" s="16"/>
      <c r="AJ465" s="2">
        <f t="shared" si="199"/>
        <v>186</v>
      </c>
      <c r="AK465" s="2">
        <f t="shared" si="200"/>
        <v>281</v>
      </c>
      <c r="AL465" s="2">
        <f t="shared" si="180"/>
        <v>491</v>
      </c>
      <c r="AM465" s="2">
        <f t="shared" si="201"/>
        <v>261</v>
      </c>
    </row>
    <row r="466" spans="1:39" outlineLevel="1" x14ac:dyDescent="0.25">
      <c r="A466" t="s">
        <v>2</v>
      </c>
      <c r="B466" t="str">
        <f t="shared" si="193"/>
        <v>Klappe (580x180)</v>
      </c>
      <c r="C466">
        <v>5002</v>
      </c>
      <c r="D466" t="s">
        <v>2</v>
      </c>
      <c r="E466">
        <v>580</v>
      </c>
      <c r="F466">
        <v>180</v>
      </c>
      <c r="I466" s="45">
        <f t="shared" si="188"/>
        <v>0.20879999999999999</v>
      </c>
      <c r="J466" s="46">
        <f t="shared" si="189"/>
        <v>1.88</v>
      </c>
      <c r="K466" s="62">
        <f t="shared" si="202"/>
        <v>184</v>
      </c>
      <c r="L466" s="28">
        <v>137</v>
      </c>
      <c r="M466" s="13">
        <f t="shared" si="194"/>
        <v>0.34306569343065685</v>
      </c>
      <c r="N466" s="12">
        <f t="shared" si="185"/>
        <v>47</v>
      </c>
      <c r="O466" s="30" t="s">
        <v>72</v>
      </c>
      <c r="Q466" s="62">
        <f t="shared" si="190"/>
        <v>283</v>
      </c>
      <c r="R466" s="28">
        <v>196</v>
      </c>
      <c r="S466" s="13">
        <f t="shared" si="195"/>
        <v>0.44387755102040827</v>
      </c>
      <c r="T466" s="12">
        <f t="shared" si="196"/>
        <v>87</v>
      </c>
      <c r="U466" s="12"/>
      <c r="V466" s="12"/>
      <c r="W466" s="62">
        <f t="shared" si="191"/>
        <v>259</v>
      </c>
      <c r="X466" s="28">
        <v>185</v>
      </c>
      <c r="Y466" s="13">
        <f t="shared" si="197"/>
        <v>0.39999999999999991</v>
      </c>
      <c r="Z466" s="12">
        <f t="shared" si="186"/>
        <v>74</v>
      </c>
      <c r="AA466" s="12"/>
      <c r="AB466" s="64"/>
      <c r="AC466" s="62">
        <f t="shared" si="192"/>
        <v>487</v>
      </c>
      <c r="AD466" s="28" t="s">
        <v>63</v>
      </c>
      <c r="AE466" s="13" t="str">
        <f t="shared" si="198"/>
        <v>-</v>
      </c>
      <c r="AF466" s="12" t="str">
        <f t="shared" si="187"/>
        <v>-</v>
      </c>
      <c r="AG466" s="12"/>
      <c r="AH466" s="17"/>
      <c r="AI466" s="16"/>
      <c r="AJ466" s="2">
        <f t="shared" si="199"/>
        <v>202</v>
      </c>
      <c r="AK466" s="2">
        <f t="shared" si="200"/>
        <v>311</v>
      </c>
      <c r="AL466" s="2">
        <f t="shared" si="180"/>
        <v>536</v>
      </c>
      <c r="AM466" s="2">
        <f t="shared" si="201"/>
        <v>285</v>
      </c>
    </row>
    <row r="467" spans="1:39" outlineLevel="1" x14ac:dyDescent="0.25">
      <c r="A467" t="s">
        <v>2</v>
      </c>
      <c r="B467" t="str">
        <f t="shared" si="193"/>
        <v>Klappe (580x360)</v>
      </c>
      <c r="C467">
        <v>5003</v>
      </c>
      <c r="D467" t="s">
        <v>2</v>
      </c>
      <c r="E467">
        <v>580</v>
      </c>
      <c r="F467">
        <v>360</v>
      </c>
      <c r="I467" s="45">
        <f t="shared" si="188"/>
        <v>0.20879999999999999</v>
      </c>
      <c r="J467" s="46">
        <f t="shared" si="189"/>
        <v>1.88</v>
      </c>
      <c r="K467" s="62">
        <f t="shared" si="202"/>
        <v>184</v>
      </c>
      <c r="L467" s="28">
        <v>137</v>
      </c>
      <c r="M467" s="13">
        <f t="shared" si="194"/>
        <v>0.34306569343065685</v>
      </c>
      <c r="N467" s="12">
        <f t="shared" si="185"/>
        <v>47</v>
      </c>
      <c r="O467" s="30" t="s">
        <v>72</v>
      </c>
      <c r="Q467" s="62">
        <f t="shared" si="190"/>
        <v>283</v>
      </c>
      <c r="R467" s="28">
        <v>196</v>
      </c>
      <c r="S467" s="13">
        <f t="shared" si="195"/>
        <v>0.44387755102040827</v>
      </c>
      <c r="T467" s="12">
        <f t="shared" si="196"/>
        <v>87</v>
      </c>
      <c r="U467" s="12"/>
      <c r="V467" s="12"/>
      <c r="W467" s="62">
        <f t="shared" si="191"/>
        <v>259</v>
      </c>
      <c r="X467" s="28">
        <v>185</v>
      </c>
      <c r="Y467" s="13">
        <f t="shared" si="197"/>
        <v>0.39999999999999991</v>
      </c>
      <c r="Z467" s="12">
        <f t="shared" si="186"/>
        <v>74</v>
      </c>
      <c r="AA467" s="12"/>
      <c r="AB467" s="64"/>
      <c r="AC467" s="62">
        <f t="shared" si="192"/>
        <v>487</v>
      </c>
      <c r="AD467" s="28" t="s">
        <v>63</v>
      </c>
      <c r="AE467" s="13" t="str">
        <f t="shared" si="198"/>
        <v>-</v>
      </c>
      <c r="AF467" s="12" t="str">
        <f t="shared" si="187"/>
        <v>-</v>
      </c>
      <c r="AG467" s="12"/>
      <c r="AH467" s="17"/>
      <c r="AI467" s="16"/>
      <c r="AJ467" s="2">
        <f t="shared" si="199"/>
        <v>202</v>
      </c>
      <c r="AK467" s="2">
        <f t="shared" si="200"/>
        <v>311</v>
      </c>
      <c r="AL467" s="2">
        <f t="shared" si="180"/>
        <v>536</v>
      </c>
      <c r="AM467" s="2">
        <f t="shared" si="201"/>
        <v>285</v>
      </c>
    </row>
    <row r="468" spans="1:39" outlineLevel="1" x14ac:dyDescent="0.25">
      <c r="A468" t="s">
        <v>2</v>
      </c>
      <c r="B468" t="str">
        <f t="shared" si="193"/>
        <v>Klappe (780x180)</v>
      </c>
      <c r="C468">
        <v>5004</v>
      </c>
      <c r="D468" t="s">
        <v>2</v>
      </c>
      <c r="E468">
        <v>780</v>
      </c>
      <c r="F468">
        <v>180</v>
      </c>
      <c r="I468" s="45">
        <f t="shared" si="188"/>
        <v>0.28079999999999999</v>
      </c>
      <c r="J468" s="46">
        <f t="shared" si="189"/>
        <v>2.2800000000000002</v>
      </c>
      <c r="K468" s="62">
        <f t="shared" si="202"/>
        <v>198</v>
      </c>
      <c r="L468" s="28">
        <v>147</v>
      </c>
      <c r="M468" s="13">
        <f t="shared" si="194"/>
        <v>0.34693877551020402</v>
      </c>
      <c r="N468" s="12">
        <f t="shared" si="185"/>
        <v>51</v>
      </c>
      <c r="O468" s="30" t="s">
        <v>72</v>
      </c>
      <c r="Q468" s="62">
        <f t="shared" si="190"/>
        <v>310</v>
      </c>
      <c r="R468" s="28">
        <v>216</v>
      </c>
      <c r="S468" s="13">
        <f t="shared" si="195"/>
        <v>0.43518518518518512</v>
      </c>
      <c r="T468" s="12">
        <f t="shared" si="196"/>
        <v>94</v>
      </c>
      <c r="U468" s="12"/>
      <c r="V468" s="12"/>
      <c r="W468" s="62">
        <f t="shared" si="191"/>
        <v>280</v>
      </c>
      <c r="X468" s="28">
        <v>201</v>
      </c>
      <c r="Y468" s="13">
        <f t="shared" si="197"/>
        <v>0.39303482587064686</v>
      </c>
      <c r="Z468" s="12">
        <f t="shared" si="186"/>
        <v>79</v>
      </c>
      <c r="AA468" s="12"/>
      <c r="AB468" s="64"/>
      <c r="AC468" s="62">
        <f t="shared" si="192"/>
        <v>527</v>
      </c>
      <c r="AD468" s="28" t="s">
        <v>63</v>
      </c>
      <c r="AE468" s="13" t="str">
        <f t="shared" si="198"/>
        <v>-</v>
      </c>
      <c r="AF468" s="12" t="str">
        <f t="shared" si="187"/>
        <v>-</v>
      </c>
      <c r="AG468" s="12"/>
      <c r="AH468" s="17"/>
      <c r="AI468" s="16"/>
      <c r="AJ468" s="2">
        <f t="shared" si="199"/>
        <v>218</v>
      </c>
      <c r="AK468" s="2">
        <f t="shared" si="200"/>
        <v>341</v>
      </c>
      <c r="AL468" s="2">
        <f t="shared" si="180"/>
        <v>580</v>
      </c>
      <c r="AM468" s="2">
        <f t="shared" si="201"/>
        <v>308</v>
      </c>
    </row>
    <row r="469" spans="1:39" outlineLevel="1" x14ac:dyDescent="0.25">
      <c r="A469" t="s">
        <v>2</v>
      </c>
      <c r="B469" t="str">
        <f t="shared" si="193"/>
        <v>Klappe (780x360)</v>
      </c>
      <c r="C469">
        <v>5005</v>
      </c>
      <c r="D469" t="s">
        <v>2</v>
      </c>
      <c r="E469">
        <v>780</v>
      </c>
      <c r="F469">
        <v>360</v>
      </c>
      <c r="I469" s="45">
        <f t="shared" si="188"/>
        <v>0.28079999999999999</v>
      </c>
      <c r="J469" s="46">
        <f t="shared" si="189"/>
        <v>2.2800000000000002</v>
      </c>
      <c r="K469" s="62">
        <f t="shared" si="202"/>
        <v>198</v>
      </c>
      <c r="L469" s="28">
        <v>147</v>
      </c>
      <c r="M469" s="13">
        <f t="shared" si="194"/>
        <v>0.34693877551020402</v>
      </c>
      <c r="N469" s="12">
        <f t="shared" si="185"/>
        <v>51</v>
      </c>
      <c r="O469" s="30" t="s">
        <v>72</v>
      </c>
      <c r="Q469" s="62">
        <f t="shared" si="190"/>
        <v>310</v>
      </c>
      <c r="R469" s="28">
        <v>216</v>
      </c>
      <c r="S469" s="13">
        <f t="shared" si="195"/>
        <v>0.43518518518518512</v>
      </c>
      <c r="T469" s="12">
        <f t="shared" si="196"/>
        <v>94</v>
      </c>
      <c r="U469" s="12"/>
      <c r="V469" s="12"/>
      <c r="W469" s="62">
        <f t="shared" si="191"/>
        <v>280</v>
      </c>
      <c r="X469" s="28">
        <v>201</v>
      </c>
      <c r="Y469" s="13">
        <f t="shared" si="197"/>
        <v>0.39303482587064686</v>
      </c>
      <c r="Z469" s="12">
        <f t="shared" si="186"/>
        <v>79</v>
      </c>
      <c r="AA469" s="12"/>
      <c r="AB469" s="64"/>
      <c r="AC469" s="62">
        <f t="shared" si="192"/>
        <v>527</v>
      </c>
      <c r="AD469" s="28" t="s">
        <v>63</v>
      </c>
      <c r="AE469" s="13" t="str">
        <f t="shared" si="198"/>
        <v>-</v>
      </c>
      <c r="AF469" s="12" t="str">
        <f t="shared" si="187"/>
        <v>-</v>
      </c>
      <c r="AG469" s="12"/>
      <c r="AH469" s="17"/>
      <c r="AI469" s="16"/>
      <c r="AJ469" s="2">
        <f t="shared" si="199"/>
        <v>218</v>
      </c>
      <c r="AK469" s="2">
        <f t="shared" si="200"/>
        <v>341</v>
      </c>
      <c r="AL469" s="2">
        <f t="shared" si="180"/>
        <v>580</v>
      </c>
      <c r="AM469" s="2">
        <f t="shared" si="201"/>
        <v>308</v>
      </c>
    </row>
    <row r="470" spans="1:39" outlineLevel="1" x14ac:dyDescent="0.25">
      <c r="A470" t="s">
        <v>2</v>
      </c>
      <c r="B470" t="str">
        <f t="shared" si="193"/>
        <v>Klappe (980x180)</v>
      </c>
      <c r="C470">
        <v>5006</v>
      </c>
      <c r="D470" t="s">
        <v>2</v>
      </c>
      <c r="E470">
        <v>980</v>
      </c>
      <c r="F470">
        <v>180</v>
      </c>
      <c r="I470" s="45">
        <f t="shared" si="188"/>
        <v>0.3528</v>
      </c>
      <c r="J470" s="46">
        <f t="shared" si="189"/>
        <v>2.6799999999999997</v>
      </c>
      <c r="K470" s="62">
        <f t="shared" si="202"/>
        <v>250</v>
      </c>
      <c r="L470" s="28">
        <v>186</v>
      </c>
      <c r="M470" s="13">
        <f t="shared" si="194"/>
        <v>0.34408602150537626</v>
      </c>
      <c r="N470" s="12">
        <f t="shared" si="185"/>
        <v>64</v>
      </c>
      <c r="O470" s="30" t="s">
        <v>72</v>
      </c>
      <c r="Q470" s="62">
        <f t="shared" si="190"/>
        <v>369</v>
      </c>
      <c r="R470" s="28">
        <v>260</v>
      </c>
      <c r="S470" s="13">
        <f t="shared" si="195"/>
        <v>0.4192307692307693</v>
      </c>
      <c r="T470" s="12">
        <f t="shared" si="196"/>
        <v>109</v>
      </c>
      <c r="U470" s="12"/>
      <c r="V470" s="12"/>
      <c r="W470" s="62">
        <f t="shared" si="191"/>
        <v>345</v>
      </c>
      <c r="X470" s="28">
        <v>249</v>
      </c>
      <c r="Y470" s="13">
        <f t="shared" si="197"/>
        <v>0.3855421686746987</v>
      </c>
      <c r="Z470" s="12">
        <f t="shared" si="186"/>
        <v>96</v>
      </c>
      <c r="AA470" s="12"/>
      <c r="AB470" s="64"/>
      <c r="AC470" s="62">
        <f t="shared" si="192"/>
        <v>649</v>
      </c>
      <c r="AD470" s="28" t="s">
        <v>63</v>
      </c>
      <c r="AE470" s="13" t="str">
        <f t="shared" si="198"/>
        <v>-</v>
      </c>
      <c r="AF470" s="12" t="str">
        <f t="shared" si="187"/>
        <v>-</v>
      </c>
      <c r="AG470" s="12"/>
      <c r="AH470" s="17"/>
      <c r="AI470" s="16"/>
      <c r="AJ470" s="2">
        <f t="shared" si="199"/>
        <v>275</v>
      </c>
      <c r="AK470" s="2">
        <f t="shared" si="200"/>
        <v>406</v>
      </c>
      <c r="AL470" s="2">
        <f t="shared" si="180"/>
        <v>714</v>
      </c>
      <c r="AM470" s="2">
        <f t="shared" si="201"/>
        <v>380</v>
      </c>
    </row>
    <row r="471" spans="1:39" outlineLevel="1" x14ac:dyDescent="0.25">
      <c r="A471" t="s">
        <v>2</v>
      </c>
      <c r="B471" t="str">
        <f t="shared" si="193"/>
        <v>Klappe (980x360)</v>
      </c>
      <c r="C471">
        <v>5007</v>
      </c>
      <c r="D471" t="s">
        <v>2</v>
      </c>
      <c r="E471">
        <v>980</v>
      </c>
      <c r="F471">
        <v>360</v>
      </c>
      <c r="I471" s="45">
        <f t="shared" si="188"/>
        <v>0.3528</v>
      </c>
      <c r="J471" s="46">
        <f t="shared" si="189"/>
        <v>2.6799999999999997</v>
      </c>
      <c r="K471" s="62">
        <f t="shared" si="202"/>
        <v>250</v>
      </c>
      <c r="L471" s="28">
        <v>186</v>
      </c>
      <c r="M471" s="13">
        <f t="shared" si="194"/>
        <v>0.34408602150537626</v>
      </c>
      <c r="N471" s="12">
        <f t="shared" si="185"/>
        <v>64</v>
      </c>
      <c r="O471" s="30" t="s">
        <v>72</v>
      </c>
      <c r="Q471" s="62">
        <f t="shared" si="190"/>
        <v>369</v>
      </c>
      <c r="R471" s="28">
        <v>260</v>
      </c>
      <c r="S471" s="13">
        <f t="shared" si="195"/>
        <v>0.4192307692307693</v>
      </c>
      <c r="T471" s="12">
        <f t="shared" si="196"/>
        <v>109</v>
      </c>
      <c r="U471" s="12"/>
      <c r="V471" s="12"/>
      <c r="W471" s="62">
        <f t="shared" si="191"/>
        <v>345</v>
      </c>
      <c r="X471" s="28">
        <v>249</v>
      </c>
      <c r="Y471" s="13">
        <f t="shared" si="197"/>
        <v>0.3855421686746987</v>
      </c>
      <c r="Z471" s="12">
        <f t="shared" si="186"/>
        <v>96</v>
      </c>
      <c r="AA471" s="12"/>
      <c r="AB471" s="64"/>
      <c r="AC471" s="62">
        <f t="shared" si="192"/>
        <v>649</v>
      </c>
      <c r="AD471" s="28" t="s">
        <v>63</v>
      </c>
      <c r="AE471" s="13" t="str">
        <f t="shared" si="198"/>
        <v>-</v>
      </c>
      <c r="AF471" s="12" t="str">
        <f t="shared" si="187"/>
        <v>-</v>
      </c>
      <c r="AG471" s="12"/>
      <c r="AH471" s="17"/>
      <c r="AI471" s="16"/>
      <c r="AJ471" s="2">
        <f t="shared" si="199"/>
        <v>275</v>
      </c>
      <c r="AK471" s="2">
        <f t="shared" si="200"/>
        <v>406</v>
      </c>
      <c r="AL471" s="2">
        <f t="shared" si="180"/>
        <v>714</v>
      </c>
      <c r="AM471" s="2">
        <f t="shared" si="201"/>
        <v>380</v>
      </c>
    </row>
    <row r="472" spans="1:39" outlineLevel="1" x14ac:dyDescent="0.25">
      <c r="A472" t="s">
        <v>2</v>
      </c>
      <c r="B472" t="str">
        <f>IF(OR(E472="-",F472="-"),"-",D472&amp;" ("&amp;E472&amp;"x"&amp;F472&amp;")")</f>
        <v>Klappe (360x180)</v>
      </c>
      <c r="C472">
        <v>5009</v>
      </c>
      <c r="D472" t="s">
        <v>2</v>
      </c>
      <c r="E472">
        <v>360</v>
      </c>
      <c r="F472">
        <v>180</v>
      </c>
      <c r="I472" s="45">
        <f t="shared" si="188"/>
        <v>0.12959999999999999</v>
      </c>
      <c r="J472" s="46">
        <f t="shared" si="189"/>
        <v>1.44</v>
      </c>
      <c r="K472" s="62">
        <f t="shared" si="202"/>
        <v>169</v>
      </c>
      <c r="L472" s="28">
        <v>126</v>
      </c>
      <c r="M472" s="13">
        <f t="shared" si="194"/>
        <v>0.34126984126984117</v>
      </c>
      <c r="N472" s="12">
        <f t="shared" si="185"/>
        <v>43</v>
      </c>
      <c r="O472" s="30" t="s">
        <v>72</v>
      </c>
      <c r="Q472" s="62">
        <f t="shared" si="190"/>
        <v>333</v>
      </c>
      <c r="R472" s="28" t="s">
        <v>63</v>
      </c>
      <c r="S472" s="13" t="str">
        <f t="shared" si="195"/>
        <v>-</v>
      </c>
      <c r="T472" s="12" t="str">
        <f t="shared" si="196"/>
        <v>-</v>
      </c>
      <c r="U472" s="12"/>
      <c r="V472" s="12"/>
      <c r="W472" s="62">
        <f t="shared" si="191"/>
        <v>345</v>
      </c>
      <c r="X472" s="28">
        <v>249</v>
      </c>
      <c r="Y472" s="13">
        <f t="shared" si="197"/>
        <v>0.3855421686746987</v>
      </c>
      <c r="Z472" s="12">
        <f t="shared" si="186"/>
        <v>96</v>
      </c>
      <c r="AA472" s="12"/>
      <c r="AB472" s="64"/>
      <c r="AC472" s="62">
        <f t="shared" si="192"/>
        <v>649</v>
      </c>
      <c r="AD472" s="28" t="s">
        <v>63</v>
      </c>
      <c r="AE472" s="13" t="str">
        <f t="shared" si="198"/>
        <v>-</v>
      </c>
      <c r="AF472" s="12" t="str">
        <f t="shared" si="187"/>
        <v>-</v>
      </c>
      <c r="AG472" s="12"/>
      <c r="AH472" s="17"/>
      <c r="AI472" s="16"/>
      <c r="AJ472" s="2">
        <f t="shared" si="199"/>
        <v>186</v>
      </c>
      <c r="AK472" s="2">
        <f t="shared" si="200"/>
        <v>366</v>
      </c>
      <c r="AL472" s="2">
        <f t="shared" si="180"/>
        <v>714</v>
      </c>
      <c r="AM472" s="2">
        <f t="shared" si="201"/>
        <v>380</v>
      </c>
    </row>
    <row r="473" spans="1:39" outlineLevel="1" x14ac:dyDescent="0.25">
      <c r="A473" t="s">
        <v>2</v>
      </c>
      <c r="B473" t="str">
        <f t="shared" si="193"/>
        <v>Klappe (360x360)</v>
      </c>
      <c r="C473">
        <v>5008</v>
      </c>
      <c r="D473" t="s">
        <v>2</v>
      </c>
      <c r="E473">
        <v>360</v>
      </c>
      <c r="F473">
        <v>360</v>
      </c>
      <c r="I473" s="45">
        <f t="shared" si="188"/>
        <v>0.12959999999999999</v>
      </c>
      <c r="J473" s="46">
        <f t="shared" si="189"/>
        <v>1.44</v>
      </c>
      <c r="K473" s="62">
        <f t="shared" si="202"/>
        <v>169</v>
      </c>
      <c r="L473" s="28">
        <v>126</v>
      </c>
      <c r="M473" s="13">
        <f t="shared" si="194"/>
        <v>0.34126984126984117</v>
      </c>
      <c r="N473" s="12">
        <f t="shared" si="185"/>
        <v>43</v>
      </c>
      <c r="O473" s="30" t="s">
        <v>72</v>
      </c>
      <c r="Q473" s="62">
        <f t="shared" si="190"/>
        <v>333</v>
      </c>
      <c r="R473" s="28" t="s">
        <v>63</v>
      </c>
      <c r="S473" s="13" t="str">
        <f t="shared" si="195"/>
        <v>-</v>
      </c>
      <c r="T473" s="12" t="str">
        <f t="shared" si="196"/>
        <v>-</v>
      </c>
      <c r="U473" s="12"/>
      <c r="V473" s="12"/>
      <c r="W473" s="62">
        <f t="shared" si="191"/>
        <v>345</v>
      </c>
      <c r="X473" s="28">
        <v>249</v>
      </c>
      <c r="Y473" s="13">
        <f t="shared" si="197"/>
        <v>0.3855421686746987</v>
      </c>
      <c r="Z473" s="12">
        <f t="shared" si="186"/>
        <v>96</v>
      </c>
      <c r="AA473" s="12"/>
      <c r="AB473" s="64"/>
      <c r="AC473" s="62">
        <f t="shared" si="192"/>
        <v>649</v>
      </c>
      <c r="AD473" s="28" t="s">
        <v>63</v>
      </c>
      <c r="AE473" s="13" t="str">
        <f t="shared" si="198"/>
        <v>-</v>
      </c>
      <c r="AF473" s="12" t="str">
        <f t="shared" si="187"/>
        <v>-</v>
      </c>
      <c r="AG473" s="12"/>
      <c r="AH473" s="17"/>
      <c r="AI473" s="16"/>
      <c r="AJ473" s="2">
        <f t="shared" si="199"/>
        <v>186</v>
      </c>
      <c r="AK473" s="2">
        <f t="shared" si="200"/>
        <v>366</v>
      </c>
      <c r="AL473" s="2">
        <f t="shared" si="180"/>
        <v>714</v>
      </c>
      <c r="AM473" s="2">
        <f t="shared" si="201"/>
        <v>380</v>
      </c>
    </row>
    <row r="474" spans="1:39" outlineLevel="1" x14ac:dyDescent="0.25">
      <c r="A474" t="s">
        <v>2</v>
      </c>
      <c r="B474" t="s">
        <v>185</v>
      </c>
      <c r="C474" s="3" t="s">
        <v>186</v>
      </c>
      <c r="E474">
        <v>980</v>
      </c>
      <c r="F474">
        <v>420</v>
      </c>
      <c r="I474" s="45">
        <f t="shared" si="188"/>
        <v>0.41159999999999997</v>
      </c>
      <c r="J474" s="46">
        <f t="shared" si="189"/>
        <v>2.8</v>
      </c>
      <c r="K474" s="62">
        <v>255</v>
      </c>
      <c r="L474" s="28" t="s">
        <v>63</v>
      </c>
      <c r="M474" s="12" t="str">
        <f t="shared" si="194"/>
        <v>-</v>
      </c>
      <c r="N474" s="12" t="str">
        <f t="shared" si="185"/>
        <v>-</v>
      </c>
      <c r="O474" s="12"/>
      <c r="Q474" s="62">
        <f t="shared" si="190"/>
        <v>502</v>
      </c>
      <c r="R474" s="28" t="s">
        <v>63</v>
      </c>
      <c r="S474" s="12" t="str">
        <f t="shared" si="195"/>
        <v>-</v>
      </c>
      <c r="T474" s="12" t="str">
        <f t="shared" si="196"/>
        <v>-</v>
      </c>
      <c r="U474" s="12"/>
      <c r="V474" s="12"/>
      <c r="W474" s="62">
        <f t="shared" si="191"/>
        <v>345</v>
      </c>
      <c r="X474" s="28">
        <v>249</v>
      </c>
      <c r="Y474" s="12">
        <f t="shared" si="197"/>
        <v>0.3855421686746987</v>
      </c>
      <c r="Z474" s="12">
        <f t="shared" si="186"/>
        <v>96</v>
      </c>
      <c r="AA474" s="12"/>
      <c r="AB474" s="64"/>
      <c r="AC474" s="62">
        <f t="shared" si="192"/>
        <v>649</v>
      </c>
      <c r="AD474" s="28" t="s">
        <v>63</v>
      </c>
      <c r="AE474" s="12" t="str">
        <f t="shared" si="198"/>
        <v>-</v>
      </c>
      <c r="AF474" s="12" t="str">
        <f t="shared" si="187"/>
        <v>-</v>
      </c>
      <c r="AG474" s="12"/>
      <c r="AH474" s="17"/>
      <c r="AI474" s="17"/>
      <c r="AJ474" s="2">
        <f t="shared" si="199"/>
        <v>281</v>
      </c>
      <c r="AK474" s="2">
        <f t="shared" si="200"/>
        <v>552</v>
      </c>
      <c r="AL474" s="2">
        <f t="shared" si="180"/>
        <v>714</v>
      </c>
      <c r="AM474" s="2">
        <f t="shared" si="201"/>
        <v>380</v>
      </c>
    </row>
    <row r="475" spans="1:39" outlineLevel="1" x14ac:dyDescent="0.25">
      <c r="A475" t="s">
        <v>2</v>
      </c>
      <c r="B475" t="str">
        <f t="shared" si="193"/>
        <v xml:space="preserve"> (x)</v>
      </c>
      <c r="C475" s="3">
        <v>5011</v>
      </c>
      <c r="I475" s="45" t="str">
        <f t="shared" si="188"/>
        <v/>
      </c>
      <c r="J475" s="46" t="str">
        <f t="shared" si="189"/>
        <v/>
      </c>
      <c r="K475" s="62">
        <f t="shared" si="202"/>
        <v>0</v>
      </c>
      <c r="L475" s="28" t="s">
        <v>63</v>
      </c>
      <c r="M475" s="12" t="str">
        <f t="shared" si="194"/>
        <v>-</v>
      </c>
      <c r="N475" s="12" t="str">
        <f t="shared" si="185"/>
        <v>-</v>
      </c>
      <c r="O475" s="12"/>
      <c r="Q475" s="62">
        <f t="shared" si="190"/>
        <v>0</v>
      </c>
      <c r="R475" s="28" t="s">
        <v>63</v>
      </c>
      <c r="S475" s="12" t="str">
        <f t="shared" si="195"/>
        <v>-</v>
      </c>
      <c r="T475" s="12" t="str">
        <f t="shared" si="196"/>
        <v>-</v>
      </c>
      <c r="U475" s="12"/>
      <c r="V475" s="12"/>
      <c r="W475" s="62">
        <f t="shared" si="191"/>
        <v>10</v>
      </c>
      <c r="X475" s="28">
        <v>0</v>
      </c>
      <c r="Y475" s="12" t="str">
        <f t="shared" si="197"/>
        <v>-</v>
      </c>
      <c r="Z475" s="12">
        <f t="shared" si="186"/>
        <v>10</v>
      </c>
      <c r="AA475" s="12"/>
      <c r="AB475" s="64"/>
      <c r="AC475" s="62">
        <f t="shared" si="192"/>
        <v>19</v>
      </c>
      <c r="AD475" s="28" t="s">
        <v>63</v>
      </c>
      <c r="AE475" s="12" t="str">
        <f t="shared" si="198"/>
        <v>-</v>
      </c>
      <c r="AF475" s="12" t="str">
        <f t="shared" si="187"/>
        <v>-</v>
      </c>
      <c r="AG475" s="12"/>
      <c r="AH475" s="17"/>
      <c r="AI475" s="17"/>
      <c r="AJ475" s="2">
        <f t="shared" si="199"/>
        <v>0</v>
      </c>
      <c r="AK475" s="2">
        <f t="shared" si="200"/>
        <v>0</v>
      </c>
      <c r="AL475" s="2">
        <f t="shared" si="180"/>
        <v>21</v>
      </c>
      <c r="AM475" s="2">
        <f t="shared" si="201"/>
        <v>11</v>
      </c>
    </row>
    <row r="476" spans="1:39" outlineLevel="1" x14ac:dyDescent="0.25">
      <c r="A476" t="s">
        <v>2</v>
      </c>
      <c r="B476" t="str">
        <f t="shared" si="193"/>
        <v xml:space="preserve"> (x)</v>
      </c>
      <c r="C476" s="3">
        <v>5012</v>
      </c>
      <c r="I476" s="45" t="str">
        <f t="shared" si="188"/>
        <v/>
      </c>
      <c r="J476" s="46" t="str">
        <f t="shared" si="189"/>
        <v/>
      </c>
      <c r="K476" s="62">
        <f t="shared" si="202"/>
        <v>0</v>
      </c>
      <c r="L476" s="28" t="s">
        <v>63</v>
      </c>
      <c r="M476" s="12" t="str">
        <f t="shared" si="194"/>
        <v>-</v>
      </c>
      <c r="N476" s="12" t="str">
        <f t="shared" si="185"/>
        <v>-</v>
      </c>
      <c r="O476" s="12"/>
      <c r="Q476" s="62">
        <f t="shared" si="190"/>
        <v>0</v>
      </c>
      <c r="R476" s="28" t="s">
        <v>63</v>
      </c>
      <c r="S476" s="12" t="str">
        <f t="shared" si="195"/>
        <v>-</v>
      </c>
      <c r="T476" s="12" t="str">
        <f t="shared" si="196"/>
        <v>-</v>
      </c>
      <c r="U476" s="12"/>
      <c r="V476" s="12"/>
      <c r="W476" s="62">
        <f t="shared" si="191"/>
        <v>10</v>
      </c>
      <c r="X476" s="28">
        <v>0</v>
      </c>
      <c r="Y476" s="12" t="str">
        <f t="shared" si="197"/>
        <v>-</v>
      </c>
      <c r="Z476" s="12">
        <f t="shared" si="186"/>
        <v>10</v>
      </c>
      <c r="AA476" s="12"/>
      <c r="AB476" s="64"/>
      <c r="AC476" s="62">
        <f t="shared" si="192"/>
        <v>19</v>
      </c>
      <c r="AD476" s="28" t="s">
        <v>63</v>
      </c>
      <c r="AE476" s="12" t="str">
        <f t="shared" si="198"/>
        <v>-</v>
      </c>
      <c r="AF476" s="12" t="str">
        <f t="shared" si="187"/>
        <v>-</v>
      </c>
      <c r="AG476" s="12"/>
      <c r="AH476" s="17"/>
      <c r="AI476" s="17"/>
      <c r="AJ476" s="2">
        <f t="shared" si="199"/>
        <v>0</v>
      </c>
      <c r="AK476" s="2">
        <f t="shared" si="200"/>
        <v>0</v>
      </c>
      <c r="AL476" s="2">
        <f t="shared" si="180"/>
        <v>21</v>
      </c>
      <c r="AM476" s="2">
        <f t="shared" si="201"/>
        <v>11</v>
      </c>
    </row>
    <row r="477" spans="1:39" outlineLevel="1" x14ac:dyDescent="0.25">
      <c r="A477" t="s">
        <v>2</v>
      </c>
      <c r="B477" t="str">
        <f t="shared" si="193"/>
        <v xml:space="preserve"> (x)</v>
      </c>
      <c r="C477" s="3">
        <v>5013</v>
      </c>
      <c r="I477" s="45" t="str">
        <f t="shared" si="188"/>
        <v/>
      </c>
      <c r="J477" s="46" t="str">
        <f t="shared" si="189"/>
        <v/>
      </c>
      <c r="K477" s="62">
        <f t="shared" si="202"/>
        <v>0</v>
      </c>
      <c r="L477" s="28" t="s">
        <v>63</v>
      </c>
      <c r="M477" s="12" t="str">
        <f t="shared" si="194"/>
        <v>-</v>
      </c>
      <c r="N477" s="12" t="str">
        <f t="shared" si="185"/>
        <v>-</v>
      </c>
      <c r="O477" s="12"/>
      <c r="Q477" s="62">
        <f t="shared" si="190"/>
        <v>0</v>
      </c>
      <c r="R477" s="28" t="s">
        <v>63</v>
      </c>
      <c r="S477" s="12" t="str">
        <f t="shared" si="195"/>
        <v>-</v>
      </c>
      <c r="T477" s="12" t="str">
        <f t="shared" si="196"/>
        <v>-</v>
      </c>
      <c r="U477" s="12"/>
      <c r="V477" s="12"/>
      <c r="W477" s="62">
        <f t="shared" si="191"/>
        <v>10</v>
      </c>
      <c r="X477" s="28">
        <v>0</v>
      </c>
      <c r="Y477" s="12" t="str">
        <f t="shared" si="197"/>
        <v>-</v>
      </c>
      <c r="Z477" s="12">
        <f t="shared" si="186"/>
        <v>10</v>
      </c>
      <c r="AA477" s="12"/>
      <c r="AB477" s="64"/>
      <c r="AC477" s="62">
        <f t="shared" si="192"/>
        <v>19</v>
      </c>
      <c r="AD477" s="28" t="s">
        <v>63</v>
      </c>
      <c r="AE477" s="12" t="str">
        <f t="shared" si="198"/>
        <v>-</v>
      </c>
      <c r="AF477" s="12" t="str">
        <f t="shared" si="187"/>
        <v>-</v>
      </c>
      <c r="AG477" s="12"/>
      <c r="AH477" s="17"/>
      <c r="AI477" s="17"/>
      <c r="AJ477" s="2">
        <f t="shared" si="199"/>
        <v>0</v>
      </c>
      <c r="AK477" s="2">
        <f t="shared" si="200"/>
        <v>0</v>
      </c>
      <c r="AL477" s="2">
        <f t="shared" si="180"/>
        <v>21</v>
      </c>
      <c r="AM477" s="2">
        <f t="shared" si="201"/>
        <v>11</v>
      </c>
    </row>
    <row r="478" spans="1:39" outlineLevel="1" x14ac:dyDescent="0.25">
      <c r="A478" t="s">
        <v>2</v>
      </c>
      <c r="B478" t="str">
        <f t="shared" si="193"/>
        <v xml:space="preserve"> (x)</v>
      </c>
      <c r="C478" s="3">
        <v>5014</v>
      </c>
      <c r="I478" s="45" t="str">
        <f t="shared" si="188"/>
        <v/>
      </c>
      <c r="J478" s="46" t="str">
        <f t="shared" si="189"/>
        <v/>
      </c>
      <c r="K478" s="62">
        <f t="shared" si="202"/>
        <v>0</v>
      </c>
      <c r="L478" s="28" t="s">
        <v>63</v>
      </c>
      <c r="M478" s="12" t="str">
        <f t="shared" si="194"/>
        <v>-</v>
      </c>
      <c r="N478" s="12" t="str">
        <f t="shared" si="185"/>
        <v>-</v>
      </c>
      <c r="O478" s="12"/>
      <c r="Q478" s="62">
        <f t="shared" si="190"/>
        <v>0</v>
      </c>
      <c r="R478" s="28" t="s">
        <v>63</v>
      </c>
      <c r="S478" s="12" t="str">
        <f t="shared" si="195"/>
        <v>-</v>
      </c>
      <c r="T478" s="12" t="str">
        <f t="shared" si="196"/>
        <v>-</v>
      </c>
      <c r="U478" s="12"/>
      <c r="V478" s="12"/>
      <c r="W478" s="62">
        <f t="shared" si="191"/>
        <v>10</v>
      </c>
      <c r="X478" s="28">
        <v>0</v>
      </c>
      <c r="Y478" s="12" t="str">
        <f t="shared" si="197"/>
        <v>-</v>
      </c>
      <c r="Z478" s="12">
        <f t="shared" si="186"/>
        <v>10</v>
      </c>
      <c r="AA478" s="12"/>
      <c r="AB478" s="64"/>
      <c r="AC478" s="62">
        <f t="shared" si="192"/>
        <v>19</v>
      </c>
      <c r="AD478" s="28" t="s">
        <v>63</v>
      </c>
      <c r="AE478" s="12" t="str">
        <f t="shared" si="198"/>
        <v>-</v>
      </c>
      <c r="AF478" s="12" t="str">
        <f t="shared" si="187"/>
        <v>-</v>
      </c>
      <c r="AG478" s="12"/>
      <c r="AH478" s="17"/>
      <c r="AI478" s="17"/>
      <c r="AJ478" s="2">
        <f t="shared" si="199"/>
        <v>0</v>
      </c>
      <c r="AK478" s="2">
        <f t="shared" si="200"/>
        <v>0</v>
      </c>
      <c r="AL478" s="2">
        <f t="shared" si="180"/>
        <v>21</v>
      </c>
      <c r="AM478" s="2">
        <f t="shared" si="201"/>
        <v>11</v>
      </c>
    </row>
    <row r="479" spans="1:39" outlineLevel="1" x14ac:dyDescent="0.25">
      <c r="A479" t="s">
        <v>2</v>
      </c>
      <c r="B479" t="str">
        <f t="shared" si="193"/>
        <v xml:space="preserve"> (x)</v>
      </c>
      <c r="C479" s="3">
        <v>5015</v>
      </c>
      <c r="I479" s="45" t="str">
        <f t="shared" si="188"/>
        <v/>
      </c>
      <c r="J479" s="46" t="str">
        <f t="shared" si="189"/>
        <v/>
      </c>
      <c r="K479" s="62">
        <f t="shared" si="202"/>
        <v>0</v>
      </c>
      <c r="L479" s="28" t="s">
        <v>63</v>
      </c>
      <c r="M479" s="12" t="str">
        <f t="shared" si="194"/>
        <v>-</v>
      </c>
      <c r="N479" s="12" t="str">
        <f t="shared" si="185"/>
        <v>-</v>
      </c>
      <c r="O479" s="12"/>
      <c r="Q479" s="62">
        <f t="shared" si="190"/>
        <v>0</v>
      </c>
      <c r="R479" s="28" t="s">
        <v>63</v>
      </c>
      <c r="S479" s="12" t="str">
        <f t="shared" si="195"/>
        <v>-</v>
      </c>
      <c r="T479" s="12" t="str">
        <f t="shared" si="196"/>
        <v>-</v>
      </c>
      <c r="U479" s="12"/>
      <c r="V479" s="12"/>
      <c r="W479" s="62">
        <f t="shared" si="191"/>
        <v>10</v>
      </c>
      <c r="X479" s="28">
        <v>0</v>
      </c>
      <c r="Y479" s="12" t="str">
        <f t="shared" si="197"/>
        <v>-</v>
      </c>
      <c r="Z479" s="12">
        <f t="shared" si="186"/>
        <v>10</v>
      </c>
      <c r="AA479" s="12"/>
      <c r="AB479" s="64"/>
      <c r="AC479" s="62">
        <f t="shared" si="192"/>
        <v>19</v>
      </c>
      <c r="AD479" s="28" t="s">
        <v>63</v>
      </c>
      <c r="AE479" s="12" t="str">
        <f t="shared" si="198"/>
        <v>-</v>
      </c>
      <c r="AF479" s="12" t="str">
        <f t="shared" si="187"/>
        <v>-</v>
      </c>
      <c r="AG479" s="12"/>
      <c r="AH479" s="17"/>
      <c r="AI479" s="17"/>
      <c r="AJ479" s="2">
        <f t="shared" si="199"/>
        <v>0</v>
      </c>
      <c r="AK479" s="2">
        <f t="shared" si="200"/>
        <v>0</v>
      </c>
      <c r="AL479" s="2">
        <f t="shared" si="180"/>
        <v>21</v>
      </c>
      <c r="AM479" s="2">
        <f t="shared" si="201"/>
        <v>11</v>
      </c>
    </row>
    <row r="480" spans="1:39" outlineLevel="1" x14ac:dyDescent="0.25">
      <c r="A480" t="s">
        <v>2</v>
      </c>
      <c r="B480" t="str">
        <f t="shared" si="193"/>
        <v xml:space="preserve"> (x)</v>
      </c>
      <c r="C480" s="3">
        <v>5016</v>
      </c>
      <c r="I480" s="45" t="str">
        <f t="shared" si="188"/>
        <v/>
      </c>
      <c r="J480" s="46" t="str">
        <f t="shared" si="189"/>
        <v/>
      </c>
      <c r="K480" s="62">
        <f t="shared" si="202"/>
        <v>0</v>
      </c>
      <c r="L480" s="28" t="s">
        <v>63</v>
      </c>
      <c r="M480" s="12" t="str">
        <f t="shared" si="194"/>
        <v>-</v>
      </c>
      <c r="N480" s="12" t="str">
        <f t="shared" si="185"/>
        <v>-</v>
      </c>
      <c r="O480" s="12"/>
      <c r="Q480" s="62">
        <f t="shared" si="190"/>
        <v>0</v>
      </c>
      <c r="R480" s="28" t="s">
        <v>63</v>
      </c>
      <c r="S480" s="12" t="str">
        <f t="shared" si="195"/>
        <v>-</v>
      </c>
      <c r="T480" s="12" t="str">
        <f t="shared" si="196"/>
        <v>-</v>
      </c>
      <c r="U480" s="12"/>
      <c r="V480" s="12"/>
      <c r="W480" s="62">
        <f t="shared" si="191"/>
        <v>10</v>
      </c>
      <c r="X480" s="28">
        <v>0</v>
      </c>
      <c r="Y480" s="12" t="str">
        <f t="shared" si="197"/>
        <v>-</v>
      </c>
      <c r="Z480" s="12">
        <f t="shared" si="186"/>
        <v>10</v>
      </c>
      <c r="AA480" s="12"/>
      <c r="AB480" s="64"/>
      <c r="AC480" s="62">
        <f t="shared" si="192"/>
        <v>19</v>
      </c>
      <c r="AD480" s="28" t="s">
        <v>63</v>
      </c>
      <c r="AE480" s="12" t="str">
        <f t="shared" si="198"/>
        <v>-</v>
      </c>
      <c r="AF480" s="12" t="str">
        <f t="shared" si="187"/>
        <v>-</v>
      </c>
      <c r="AG480" s="12"/>
      <c r="AH480" s="17"/>
      <c r="AI480" s="17"/>
      <c r="AJ480" s="2">
        <f t="shared" si="199"/>
        <v>0</v>
      </c>
      <c r="AK480" s="2">
        <f t="shared" si="200"/>
        <v>0</v>
      </c>
      <c r="AL480" s="2">
        <f t="shared" si="180"/>
        <v>21</v>
      </c>
      <c r="AM480" s="2">
        <f t="shared" si="201"/>
        <v>11</v>
      </c>
    </row>
    <row r="481" spans="1:40" outlineLevel="1" x14ac:dyDescent="0.25">
      <c r="A481" t="s">
        <v>2</v>
      </c>
      <c r="B481" t="str">
        <f t="shared" si="193"/>
        <v xml:space="preserve"> (x)</v>
      </c>
      <c r="C481" s="3">
        <v>5017</v>
      </c>
      <c r="I481" s="45" t="str">
        <f t="shared" si="188"/>
        <v/>
      </c>
      <c r="J481" s="46" t="str">
        <f t="shared" si="189"/>
        <v/>
      </c>
      <c r="K481" s="62">
        <f t="shared" si="202"/>
        <v>0</v>
      </c>
      <c r="L481" s="28" t="s">
        <v>63</v>
      </c>
      <c r="M481" s="12" t="str">
        <f t="shared" si="194"/>
        <v>-</v>
      </c>
      <c r="N481" s="12" t="str">
        <f t="shared" si="185"/>
        <v>-</v>
      </c>
      <c r="O481" s="12"/>
      <c r="Q481" s="62">
        <f t="shared" si="190"/>
        <v>0</v>
      </c>
      <c r="R481" s="28" t="s">
        <v>63</v>
      </c>
      <c r="S481" s="12" t="str">
        <f t="shared" si="195"/>
        <v>-</v>
      </c>
      <c r="T481" s="12" t="str">
        <f t="shared" si="196"/>
        <v>-</v>
      </c>
      <c r="U481" s="12"/>
      <c r="V481" s="12"/>
      <c r="W481" s="62">
        <f t="shared" si="191"/>
        <v>10</v>
      </c>
      <c r="X481" s="28">
        <v>0</v>
      </c>
      <c r="Y481" s="12" t="str">
        <f t="shared" si="197"/>
        <v>-</v>
      </c>
      <c r="Z481" s="12">
        <f t="shared" si="186"/>
        <v>10</v>
      </c>
      <c r="AA481" s="12"/>
      <c r="AB481" s="64"/>
      <c r="AC481" s="62">
        <f t="shared" si="192"/>
        <v>19</v>
      </c>
      <c r="AD481" s="28" t="s">
        <v>63</v>
      </c>
      <c r="AE481" s="12" t="str">
        <f t="shared" si="198"/>
        <v>-</v>
      </c>
      <c r="AF481" s="12" t="str">
        <f t="shared" si="187"/>
        <v>-</v>
      </c>
      <c r="AG481" s="12"/>
      <c r="AH481" s="17"/>
      <c r="AI481" s="17"/>
      <c r="AJ481" s="2">
        <f t="shared" si="199"/>
        <v>0</v>
      </c>
      <c r="AK481" s="2">
        <f t="shared" si="200"/>
        <v>0</v>
      </c>
      <c r="AL481" s="2">
        <f t="shared" si="180"/>
        <v>21</v>
      </c>
      <c r="AM481" s="2">
        <f t="shared" si="201"/>
        <v>11</v>
      </c>
    </row>
    <row r="482" spans="1:40" outlineLevel="1" x14ac:dyDescent="0.25">
      <c r="A482" t="s">
        <v>2</v>
      </c>
      <c r="B482" t="str">
        <f t="shared" si="193"/>
        <v xml:space="preserve"> (x)</v>
      </c>
      <c r="C482" s="3">
        <v>5018</v>
      </c>
      <c r="I482" s="45" t="str">
        <f t="shared" si="188"/>
        <v/>
      </c>
      <c r="J482" s="46" t="str">
        <f t="shared" si="189"/>
        <v/>
      </c>
      <c r="K482" s="62">
        <f t="shared" si="202"/>
        <v>0</v>
      </c>
      <c r="L482" s="28" t="s">
        <v>63</v>
      </c>
      <c r="M482" s="12" t="str">
        <f t="shared" si="194"/>
        <v>-</v>
      </c>
      <c r="N482" s="12" t="str">
        <f t="shared" si="185"/>
        <v>-</v>
      </c>
      <c r="O482" s="12"/>
      <c r="Q482" s="62">
        <f t="shared" si="190"/>
        <v>0</v>
      </c>
      <c r="R482" s="28" t="s">
        <v>63</v>
      </c>
      <c r="S482" s="12" t="str">
        <f t="shared" si="195"/>
        <v>-</v>
      </c>
      <c r="T482" s="12" t="str">
        <f t="shared" si="196"/>
        <v>-</v>
      </c>
      <c r="U482" s="12"/>
      <c r="V482" s="12"/>
      <c r="W482" s="62">
        <f t="shared" si="191"/>
        <v>10</v>
      </c>
      <c r="X482" s="28">
        <v>0</v>
      </c>
      <c r="Y482" s="12" t="str">
        <f t="shared" si="197"/>
        <v>-</v>
      </c>
      <c r="Z482" s="12">
        <f t="shared" si="186"/>
        <v>10</v>
      </c>
      <c r="AA482" s="12"/>
      <c r="AB482" s="64"/>
      <c r="AC482" s="62">
        <f t="shared" si="192"/>
        <v>19</v>
      </c>
      <c r="AD482" s="28" t="s">
        <v>63</v>
      </c>
      <c r="AE482" s="12" t="str">
        <f t="shared" si="198"/>
        <v>-</v>
      </c>
      <c r="AF482" s="12" t="str">
        <f t="shared" si="187"/>
        <v>-</v>
      </c>
      <c r="AG482" s="12"/>
      <c r="AH482" s="17"/>
      <c r="AI482" s="17"/>
      <c r="AJ482" s="2">
        <f t="shared" si="199"/>
        <v>0</v>
      </c>
      <c r="AK482" s="2">
        <f t="shared" si="200"/>
        <v>0</v>
      </c>
      <c r="AL482" s="2">
        <f t="shared" si="180"/>
        <v>21</v>
      </c>
      <c r="AM482" s="2">
        <f t="shared" si="201"/>
        <v>11</v>
      </c>
    </row>
    <row r="483" spans="1:40" outlineLevel="1" x14ac:dyDescent="0.25">
      <c r="A483" t="s">
        <v>2</v>
      </c>
      <c r="B483" t="str">
        <f t="shared" si="193"/>
        <v xml:space="preserve"> (x)</v>
      </c>
      <c r="C483" s="3">
        <v>5019</v>
      </c>
      <c r="I483" s="45" t="str">
        <f t="shared" si="188"/>
        <v/>
      </c>
      <c r="J483" s="46" t="str">
        <f t="shared" si="189"/>
        <v/>
      </c>
      <c r="K483" s="62">
        <f t="shared" si="202"/>
        <v>0</v>
      </c>
      <c r="L483" s="28" t="s">
        <v>63</v>
      </c>
      <c r="M483" s="12" t="str">
        <f t="shared" si="194"/>
        <v>-</v>
      </c>
      <c r="N483" s="12" t="str">
        <f t="shared" si="185"/>
        <v>-</v>
      </c>
      <c r="O483" s="12"/>
      <c r="Q483" s="62">
        <f t="shared" si="190"/>
        <v>0</v>
      </c>
      <c r="R483" s="28" t="s">
        <v>63</v>
      </c>
      <c r="S483" s="12" t="str">
        <f t="shared" si="195"/>
        <v>-</v>
      </c>
      <c r="T483" s="12" t="str">
        <f t="shared" si="196"/>
        <v>-</v>
      </c>
      <c r="U483" s="12"/>
      <c r="V483" s="12"/>
      <c r="W483" s="62">
        <f t="shared" si="191"/>
        <v>10</v>
      </c>
      <c r="X483" s="28">
        <v>0</v>
      </c>
      <c r="Y483" s="12" t="str">
        <f t="shared" si="197"/>
        <v>-</v>
      </c>
      <c r="Z483" s="12">
        <f t="shared" si="186"/>
        <v>10</v>
      </c>
      <c r="AA483" s="12"/>
      <c r="AB483" s="64"/>
      <c r="AC483" s="62">
        <f t="shared" si="192"/>
        <v>19</v>
      </c>
      <c r="AD483" s="28" t="s">
        <v>63</v>
      </c>
      <c r="AE483" s="12" t="str">
        <f t="shared" si="198"/>
        <v>-</v>
      </c>
      <c r="AF483" s="12" t="str">
        <f t="shared" si="187"/>
        <v>-</v>
      </c>
      <c r="AG483" s="12"/>
      <c r="AH483" s="17"/>
      <c r="AI483" s="17"/>
      <c r="AJ483" s="2">
        <f t="shared" si="199"/>
        <v>0</v>
      </c>
      <c r="AK483" s="2">
        <f t="shared" si="200"/>
        <v>0</v>
      </c>
      <c r="AL483" s="2">
        <f t="shared" si="180"/>
        <v>21</v>
      </c>
      <c r="AM483" s="2">
        <f t="shared" si="201"/>
        <v>11</v>
      </c>
    </row>
    <row r="484" spans="1:40" outlineLevel="1" x14ac:dyDescent="0.25">
      <c r="A484" t="s">
        <v>2</v>
      </c>
      <c r="B484" t="str">
        <f t="shared" si="193"/>
        <v xml:space="preserve"> (x)</v>
      </c>
      <c r="C484" s="3">
        <v>5020</v>
      </c>
      <c r="I484" s="45" t="str">
        <f t="shared" si="188"/>
        <v/>
      </c>
      <c r="J484" s="46" t="str">
        <f t="shared" si="189"/>
        <v/>
      </c>
      <c r="K484" s="62">
        <f t="shared" si="202"/>
        <v>0</v>
      </c>
      <c r="L484" s="28" t="s">
        <v>63</v>
      </c>
      <c r="M484" s="12" t="str">
        <f t="shared" si="194"/>
        <v>-</v>
      </c>
      <c r="N484" s="12" t="str">
        <f t="shared" si="185"/>
        <v>-</v>
      </c>
      <c r="O484" s="12"/>
      <c r="Q484" s="62">
        <f t="shared" si="190"/>
        <v>0</v>
      </c>
      <c r="R484" s="28" t="s">
        <v>63</v>
      </c>
      <c r="S484" s="12" t="str">
        <f t="shared" si="195"/>
        <v>-</v>
      </c>
      <c r="T484" s="12" t="str">
        <f t="shared" si="196"/>
        <v>-</v>
      </c>
      <c r="U484" s="12"/>
      <c r="V484" s="12"/>
      <c r="W484" s="62">
        <f t="shared" si="191"/>
        <v>10</v>
      </c>
      <c r="X484" s="28">
        <v>0</v>
      </c>
      <c r="Y484" s="12" t="str">
        <f t="shared" si="197"/>
        <v>-</v>
      </c>
      <c r="Z484" s="12">
        <f t="shared" si="186"/>
        <v>10</v>
      </c>
      <c r="AA484" s="12"/>
      <c r="AB484" s="64"/>
      <c r="AC484" s="62">
        <f t="shared" si="192"/>
        <v>19</v>
      </c>
      <c r="AD484" s="28" t="s">
        <v>63</v>
      </c>
      <c r="AE484" s="12" t="str">
        <f t="shared" si="198"/>
        <v>-</v>
      </c>
      <c r="AF484" s="12" t="str">
        <f t="shared" si="187"/>
        <v>-</v>
      </c>
      <c r="AG484" s="12"/>
      <c r="AH484" s="17"/>
      <c r="AI484" s="17"/>
      <c r="AJ484" s="2">
        <f t="shared" si="199"/>
        <v>0</v>
      </c>
      <c r="AK484" s="2">
        <f t="shared" si="200"/>
        <v>0</v>
      </c>
      <c r="AL484" s="2">
        <f t="shared" si="180"/>
        <v>21</v>
      </c>
      <c r="AM484" s="2">
        <f t="shared" si="201"/>
        <v>11</v>
      </c>
    </row>
    <row r="485" spans="1:40" s="14" customFormat="1" x14ac:dyDescent="0.25">
      <c r="A485" s="32"/>
      <c r="B485" s="5" t="s">
        <v>1</v>
      </c>
      <c r="C485" s="5"/>
      <c r="D485" s="5"/>
      <c r="E485" s="5"/>
      <c r="F485" s="5"/>
      <c r="G485" s="5"/>
      <c r="H485" s="5"/>
      <c r="I485" s="44" t="str">
        <f t="shared" si="188"/>
        <v/>
      </c>
      <c r="J485" s="44" t="str">
        <f t="shared" si="189"/>
        <v/>
      </c>
      <c r="K485" s="62">
        <f t="shared" si="202"/>
        <v>0</v>
      </c>
      <c r="L485" s="44" t="str">
        <f t="shared" si="189"/>
        <v/>
      </c>
      <c r="M485" s="44" t="str">
        <f t="shared" si="189"/>
        <v/>
      </c>
      <c r="N485" s="44" t="str">
        <f t="shared" si="189"/>
        <v/>
      </c>
      <c r="O485" s="44" t="str">
        <f t="shared" si="189"/>
        <v/>
      </c>
      <c r="P485" s="44" t="str">
        <f t="shared" si="189"/>
        <v/>
      </c>
      <c r="Q485" s="44">
        <f t="shared" si="190"/>
        <v>0</v>
      </c>
      <c r="R485" s="11" t="s">
        <v>63</v>
      </c>
      <c r="S485" s="15">
        <f>AVERAGE(S486:S511)</f>
        <v>0.4323549725337823</v>
      </c>
      <c r="T485" s="15" t="str">
        <f>IFERROR(#REF!-R485,"-")</f>
        <v>-</v>
      </c>
      <c r="U485" s="15"/>
      <c r="V485" s="15"/>
      <c r="W485" s="44">
        <f t="shared" si="191"/>
        <v>10</v>
      </c>
      <c r="X485" s="28"/>
      <c r="Y485" s="15">
        <f>AVERAGE(Y486:Y511)</f>
        <v>0.39007663755865146</v>
      </c>
      <c r="Z485" s="15" t="str">
        <f>IFERROR(#REF!-X485,"-")</f>
        <v>-</v>
      </c>
      <c r="AA485" s="15"/>
      <c r="AB485" s="64"/>
      <c r="AC485" s="44">
        <f t="shared" si="192"/>
        <v>10</v>
      </c>
      <c r="AD485" s="11"/>
      <c r="AE485" s="15">
        <f>AVERAGE(AE486:AE511)</f>
        <v>0.36683858779696998</v>
      </c>
      <c r="AF485" s="15">
        <f t="shared" si="187"/>
        <v>10</v>
      </c>
      <c r="AG485" s="15"/>
      <c r="AH485" s="17"/>
      <c r="AI485" s="63"/>
      <c r="AJ485" s="4" t="str">
        <f>+IFERROR(ROUND(#REF!*(1+AJ$2),0),"-")</f>
        <v>-</v>
      </c>
      <c r="AK485" s="4" t="str">
        <f>+IFERROR(ROUND(#REF!*(1+AK$2),0),"-")</f>
        <v>-</v>
      </c>
      <c r="AL485" s="4">
        <f t="shared" si="180"/>
        <v>11</v>
      </c>
      <c r="AM485" s="4" t="str">
        <f>+IFERROR(ROUND(#REF!*(1+AM$2),0),"-")</f>
        <v>-</v>
      </c>
      <c r="AN485" s="32"/>
    </row>
    <row r="486" spans="1:40" outlineLevel="1" x14ac:dyDescent="0.25">
      <c r="A486" t="s">
        <v>65</v>
      </c>
      <c r="B486" t="str">
        <f t="shared" si="193"/>
        <v>Tür (420x360)</v>
      </c>
      <c r="C486">
        <v>5100</v>
      </c>
      <c r="D486" t="s">
        <v>1</v>
      </c>
      <c r="E486">
        <v>420</v>
      </c>
      <c r="F486">
        <v>360</v>
      </c>
      <c r="I486" s="45">
        <f t="shared" si="188"/>
        <v>0.1512</v>
      </c>
      <c r="J486" s="46">
        <f t="shared" si="189"/>
        <v>1.56</v>
      </c>
      <c r="K486" s="62">
        <f t="shared" si="202"/>
        <v>136</v>
      </c>
      <c r="L486" s="28">
        <v>101</v>
      </c>
      <c r="M486" s="13">
        <f t="shared" ref="M486:M511" si="203">IFERROR(K486/L486-1,"-")</f>
        <v>0.34653465346534662</v>
      </c>
      <c r="N486" s="12">
        <f t="shared" si="185"/>
        <v>35</v>
      </c>
      <c r="O486" s="30" t="s">
        <v>72</v>
      </c>
      <c r="Q486" s="62">
        <f t="shared" si="190"/>
        <v>205</v>
      </c>
      <c r="R486" s="28">
        <v>138</v>
      </c>
      <c r="S486" s="13">
        <f t="shared" ref="S486:S511" si="204">IFERROR(Q486/R486-1,"-")</f>
        <v>0.48550724637681153</v>
      </c>
      <c r="T486" s="12">
        <f t="shared" si="196"/>
        <v>67</v>
      </c>
      <c r="U486" s="12"/>
      <c r="V486" s="12"/>
      <c r="W486" s="62">
        <f t="shared" si="191"/>
        <v>182</v>
      </c>
      <c r="X486" s="28">
        <v>128</v>
      </c>
      <c r="Y486" s="13">
        <f t="shared" ref="Y486:Y511" si="205">IFERROR(W486/X486-1,"-")</f>
        <v>0.421875</v>
      </c>
      <c r="Z486" s="12">
        <f t="shared" si="186"/>
        <v>54</v>
      </c>
      <c r="AA486" s="12"/>
      <c r="AB486" s="64"/>
      <c r="AC486" s="62">
        <f t="shared" si="192"/>
        <v>479</v>
      </c>
      <c r="AD486" s="28">
        <v>349</v>
      </c>
      <c r="AE486" s="13">
        <f t="shared" ref="AE486:AE511" si="206">IFERROR(AC486/AD486-1,"-")</f>
        <v>0.37249283667621769</v>
      </c>
      <c r="AF486" s="12">
        <f t="shared" si="187"/>
        <v>130</v>
      </c>
      <c r="AG486" s="12"/>
      <c r="AH486" s="17"/>
      <c r="AI486" s="16"/>
      <c r="AJ486" s="2">
        <f t="shared" ref="AJ486:AJ511" si="207">+IFERROR(ROUND(K486*(1+AJ$2),0),"-")</f>
        <v>150</v>
      </c>
      <c r="AK486" s="2">
        <f t="shared" ref="AK486:AK511" si="208">+IFERROR(ROUND(Q486*(1+AK$2),0),"-")</f>
        <v>226</v>
      </c>
      <c r="AL486" s="2">
        <f t="shared" si="180"/>
        <v>527</v>
      </c>
      <c r="AM486" s="2">
        <f t="shared" ref="AM486:AM511" si="209">+IFERROR(ROUND(W486*(1+AM$2),0),"-")</f>
        <v>200</v>
      </c>
    </row>
    <row r="487" spans="1:40" outlineLevel="1" x14ac:dyDescent="0.25">
      <c r="A487" t="s">
        <v>65</v>
      </c>
      <c r="B487" t="str">
        <f t="shared" si="193"/>
        <v>Tür (420x720)</v>
      </c>
      <c r="C487">
        <v>5101</v>
      </c>
      <c r="D487" t="s">
        <v>1</v>
      </c>
      <c r="E487">
        <v>420</v>
      </c>
      <c r="F487">
        <v>720</v>
      </c>
      <c r="I487" s="45">
        <f t="shared" si="188"/>
        <v>0.3024</v>
      </c>
      <c r="J487" s="46">
        <f t="shared" si="189"/>
        <v>2.2799999999999998</v>
      </c>
      <c r="K487" s="62">
        <f t="shared" si="202"/>
        <v>159</v>
      </c>
      <c r="L487" s="28">
        <v>118</v>
      </c>
      <c r="M487" s="13">
        <f t="shared" si="203"/>
        <v>0.34745762711864403</v>
      </c>
      <c r="N487" s="12">
        <f t="shared" si="185"/>
        <v>41</v>
      </c>
      <c r="O487" s="30" t="s">
        <v>72</v>
      </c>
      <c r="Q487" s="62">
        <f t="shared" si="190"/>
        <v>270</v>
      </c>
      <c r="R487" s="28">
        <v>186</v>
      </c>
      <c r="S487" s="13">
        <f t="shared" si="204"/>
        <v>0.45161290322580649</v>
      </c>
      <c r="T487" s="12">
        <f t="shared" si="196"/>
        <v>84</v>
      </c>
      <c r="U487" s="12"/>
      <c r="V487" s="12"/>
      <c r="W487" s="62">
        <f t="shared" si="191"/>
        <v>230</v>
      </c>
      <c r="X487" s="28">
        <v>164</v>
      </c>
      <c r="Y487" s="13">
        <f t="shared" si="205"/>
        <v>0.40243902439024382</v>
      </c>
      <c r="Z487" s="12">
        <f t="shared" si="186"/>
        <v>66</v>
      </c>
      <c r="AA487" s="12"/>
      <c r="AB487" s="64"/>
      <c r="AC487" s="62">
        <f t="shared" si="192"/>
        <v>544</v>
      </c>
      <c r="AD487" s="28">
        <v>397</v>
      </c>
      <c r="AE487" s="13">
        <f t="shared" si="206"/>
        <v>0.37027707808564236</v>
      </c>
      <c r="AF487" s="12">
        <f t="shared" si="187"/>
        <v>147</v>
      </c>
      <c r="AG487" s="12"/>
      <c r="AH487" s="17"/>
      <c r="AI487" s="16"/>
      <c r="AJ487" s="2">
        <f t="shared" si="207"/>
        <v>175</v>
      </c>
      <c r="AK487" s="2">
        <f t="shared" si="208"/>
        <v>297</v>
      </c>
      <c r="AL487" s="2">
        <f t="shared" si="180"/>
        <v>598</v>
      </c>
      <c r="AM487" s="2">
        <f t="shared" si="209"/>
        <v>253</v>
      </c>
    </row>
    <row r="488" spans="1:40" outlineLevel="1" x14ac:dyDescent="0.25">
      <c r="A488" t="s">
        <v>65</v>
      </c>
      <c r="B488" t="str">
        <f t="shared" si="193"/>
        <v>Tür (420x1080)</v>
      </c>
      <c r="C488">
        <v>5102</v>
      </c>
      <c r="D488" t="s">
        <v>1</v>
      </c>
      <c r="E488">
        <v>420</v>
      </c>
      <c r="F488">
        <v>1080</v>
      </c>
      <c r="I488" s="45">
        <f t="shared" si="188"/>
        <v>0.45359999999999995</v>
      </c>
      <c r="J488" s="46">
        <f t="shared" si="189"/>
        <v>3</v>
      </c>
      <c r="K488" s="62">
        <f t="shared" si="202"/>
        <v>235</v>
      </c>
      <c r="L488" s="28">
        <v>175</v>
      </c>
      <c r="M488" s="13">
        <f t="shared" si="203"/>
        <v>0.34285714285714275</v>
      </c>
      <c r="N488" s="12">
        <f t="shared" si="185"/>
        <v>60</v>
      </c>
      <c r="O488" s="30" t="s">
        <v>72</v>
      </c>
      <c r="Q488" s="62">
        <f t="shared" si="190"/>
        <v>373</v>
      </c>
      <c r="R488" s="28">
        <v>263</v>
      </c>
      <c r="S488" s="13">
        <f t="shared" si="204"/>
        <v>0.41825095057034223</v>
      </c>
      <c r="T488" s="12">
        <f t="shared" si="196"/>
        <v>110</v>
      </c>
      <c r="U488" s="12"/>
      <c r="V488" s="12"/>
      <c r="W488" s="62">
        <f t="shared" si="191"/>
        <v>339</v>
      </c>
      <c r="X488" s="28">
        <v>245</v>
      </c>
      <c r="Y488" s="13">
        <f t="shared" si="205"/>
        <v>0.38367346938775504</v>
      </c>
      <c r="Z488" s="12">
        <f t="shared" si="186"/>
        <v>94</v>
      </c>
      <c r="AA488" s="12"/>
      <c r="AB488" s="64"/>
      <c r="AC488" s="62">
        <f t="shared" si="192"/>
        <v>643</v>
      </c>
      <c r="AD488" s="28">
        <v>471</v>
      </c>
      <c r="AE488" s="13">
        <f t="shared" si="206"/>
        <v>0.36518046709129504</v>
      </c>
      <c r="AF488" s="12">
        <f t="shared" si="187"/>
        <v>172</v>
      </c>
      <c r="AG488" s="12"/>
      <c r="AH488" s="17"/>
      <c r="AI488" s="16"/>
      <c r="AJ488" s="2">
        <f t="shared" si="207"/>
        <v>259</v>
      </c>
      <c r="AK488" s="2">
        <f t="shared" si="208"/>
        <v>410</v>
      </c>
      <c r="AL488" s="2">
        <f t="shared" si="180"/>
        <v>707</v>
      </c>
      <c r="AM488" s="2">
        <f t="shared" si="209"/>
        <v>373</v>
      </c>
    </row>
    <row r="489" spans="1:40" outlineLevel="1" x14ac:dyDescent="0.25">
      <c r="A489" t="s">
        <v>65</v>
      </c>
      <c r="B489" t="str">
        <f t="shared" si="193"/>
        <v>Tür (420x1440)</v>
      </c>
      <c r="C489">
        <v>5103</v>
      </c>
      <c r="D489" t="s">
        <v>1</v>
      </c>
      <c r="E489">
        <v>420</v>
      </c>
      <c r="F489">
        <v>1440</v>
      </c>
      <c r="I489" s="45">
        <f t="shared" si="188"/>
        <v>0.6048</v>
      </c>
      <c r="J489" s="46">
        <f t="shared" si="189"/>
        <v>3.7199999999999998</v>
      </c>
      <c r="K489" s="62">
        <f t="shared" si="202"/>
        <v>257</v>
      </c>
      <c r="L489" s="28">
        <v>191</v>
      </c>
      <c r="M489" s="13">
        <f t="shared" si="203"/>
        <v>0.34554973821989532</v>
      </c>
      <c r="N489" s="12">
        <f t="shared" si="185"/>
        <v>66</v>
      </c>
      <c r="O489" s="30" t="s">
        <v>72</v>
      </c>
      <c r="Q489" s="62">
        <f t="shared" si="190"/>
        <v>472</v>
      </c>
      <c r="R489" s="28">
        <v>336</v>
      </c>
      <c r="S489" s="13">
        <f t="shared" si="204"/>
        <v>0.40476190476190466</v>
      </c>
      <c r="T489" s="12">
        <f t="shared" si="196"/>
        <v>136</v>
      </c>
      <c r="U489" s="12"/>
      <c r="V489" s="12"/>
      <c r="W489" s="62">
        <f t="shared" si="191"/>
        <v>402</v>
      </c>
      <c r="X489" s="28">
        <v>292</v>
      </c>
      <c r="Y489" s="13">
        <f t="shared" si="205"/>
        <v>0.37671232876712324</v>
      </c>
      <c r="Z489" s="12">
        <f t="shared" si="186"/>
        <v>110</v>
      </c>
      <c r="AA489" s="12"/>
      <c r="AB489" s="64"/>
      <c r="AC489" s="62">
        <f t="shared" si="192"/>
        <v>712</v>
      </c>
      <c r="AD489" s="28">
        <v>522</v>
      </c>
      <c r="AE489" s="13">
        <f t="shared" si="206"/>
        <v>0.36398467432950188</v>
      </c>
      <c r="AF489" s="12">
        <f t="shared" si="187"/>
        <v>190</v>
      </c>
      <c r="AG489" s="12"/>
      <c r="AH489" s="17"/>
      <c r="AI489" s="16"/>
      <c r="AJ489" s="2">
        <f t="shared" si="207"/>
        <v>283</v>
      </c>
      <c r="AK489" s="2">
        <f t="shared" si="208"/>
        <v>519</v>
      </c>
      <c r="AL489" s="2">
        <f t="shared" si="180"/>
        <v>783</v>
      </c>
      <c r="AM489" s="2">
        <f t="shared" si="209"/>
        <v>442</v>
      </c>
    </row>
    <row r="490" spans="1:40" outlineLevel="1" x14ac:dyDescent="0.25">
      <c r="A490" t="s">
        <v>65</v>
      </c>
      <c r="B490" t="str">
        <f t="shared" si="193"/>
        <v>Tür (420x1800)</v>
      </c>
      <c r="C490">
        <v>5104</v>
      </c>
      <c r="D490" t="s">
        <v>1</v>
      </c>
      <c r="E490">
        <v>420</v>
      </c>
      <c r="F490">
        <v>1800</v>
      </c>
      <c r="I490" s="45">
        <f t="shared" si="188"/>
        <v>0.75600000000000001</v>
      </c>
      <c r="J490" s="46">
        <f t="shared" si="189"/>
        <v>4.4400000000000004</v>
      </c>
      <c r="K490" s="62">
        <f t="shared" si="202"/>
        <v>340</v>
      </c>
      <c r="L490" s="28">
        <v>253</v>
      </c>
      <c r="M490" s="13">
        <f t="shared" si="203"/>
        <v>0.34387351778656128</v>
      </c>
      <c r="N490" s="12">
        <f t="shared" si="185"/>
        <v>87</v>
      </c>
      <c r="O490" s="30" t="s">
        <v>72</v>
      </c>
      <c r="Q490" s="62">
        <f t="shared" si="190"/>
        <v>669</v>
      </c>
      <c r="R490" s="28" t="s">
        <v>63</v>
      </c>
      <c r="S490" s="47"/>
      <c r="T490" s="50"/>
      <c r="U490" s="50"/>
      <c r="V490" s="50"/>
      <c r="W490" s="62">
        <f t="shared" si="191"/>
        <v>494</v>
      </c>
      <c r="X490" s="28">
        <v>360</v>
      </c>
      <c r="Y490" s="13">
        <f t="shared" si="205"/>
        <v>0.37222222222222223</v>
      </c>
      <c r="Z490" s="12">
        <f t="shared" si="186"/>
        <v>134</v>
      </c>
      <c r="AA490" s="12"/>
      <c r="AB490" s="64"/>
      <c r="AC490" s="62">
        <f t="shared" si="192"/>
        <v>834</v>
      </c>
      <c r="AD490" s="28">
        <v>613</v>
      </c>
      <c r="AE490" s="13">
        <f t="shared" si="206"/>
        <v>0.3605220228384991</v>
      </c>
      <c r="AF490" s="12">
        <f t="shared" si="187"/>
        <v>221</v>
      </c>
      <c r="AG490" s="12"/>
      <c r="AH490" s="17"/>
      <c r="AI490" s="16"/>
      <c r="AJ490" s="2">
        <f t="shared" si="207"/>
        <v>374</v>
      </c>
      <c r="AK490" s="2">
        <f t="shared" si="208"/>
        <v>736</v>
      </c>
      <c r="AL490" s="2">
        <f t="shared" si="180"/>
        <v>917</v>
      </c>
      <c r="AM490" s="2">
        <f t="shared" si="209"/>
        <v>543</v>
      </c>
    </row>
    <row r="491" spans="1:40" outlineLevel="1" x14ac:dyDescent="0.25">
      <c r="A491" t="s">
        <v>65</v>
      </c>
      <c r="B491" t="str">
        <f t="shared" si="193"/>
        <v>Tür (580x360)</v>
      </c>
      <c r="C491">
        <v>5105</v>
      </c>
      <c r="D491" t="s">
        <v>1</v>
      </c>
      <c r="E491">
        <v>580</v>
      </c>
      <c r="F491">
        <v>360</v>
      </c>
      <c r="I491" s="45">
        <f t="shared" si="188"/>
        <v>0.20879999999999999</v>
      </c>
      <c r="J491" s="46">
        <f t="shared" si="189"/>
        <v>1.88</v>
      </c>
      <c r="K491" s="62">
        <f t="shared" si="202"/>
        <v>153</v>
      </c>
      <c r="L491" s="28">
        <v>114</v>
      </c>
      <c r="M491" s="13">
        <f t="shared" si="203"/>
        <v>0.34210526315789469</v>
      </c>
      <c r="N491" s="12">
        <f t="shared" si="185"/>
        <v>39</v>
      </c>
      <c r="O491" s="30"/>
      <c r="Q491" s="62">
        <f t="shared" si="190"/>
        <v>228</v>
      </c>
      <c r="R491" s="28">
        <v>155</v>
      </c>
      <c r="S491" s="13">
        <f t="shared" si="204"/>
        <v>0.47096774193548385</v>
      </c>
      <c r="T491" s="12">
        <f t="shared" si="196"/>
        <v>73</v>
      </c>
      <c r="U491" s="12"/>
      <c r="V491" s="12"/>
      <c r="W491" s="62">
        <f t="shared" si="191"/>
        <v>208</v>
      </c>
      <c r="X491" s="28">
        <v>147</v>
      </c>
      <c r="Y491" s="13">
        <f t="shared" si="205"/>
        <v>0.41496598639455784</v>
      </c>
      <c r="Z491" s="12">
        <f t="shared" si="186"/>
        <v>61</v>
      </c>
      <c r="AA491" s="12"/>
      <c r="AB491" s="64"/>
      <c r="AC491" s="62">
        <f t="shared" si="192"/>
        <v>509</v>
      </c>
      <c r="AD491" s="28">
        <v>371</v>
      </c>
      <c r="AE491" s="13">
        <f t="shared" si="206"/>
        <v>0.37196765498652296</v>
      </c>
      <c r="AF491" s="12">
        <f t="shared" si="187"/>
        <v>138</v>
      </c>
      <c r="AG491" s="12"/>
      <c r="AH491" s="17"/>
      <c r="AI491" s="16"/>
      <c r="AJ491" s="2">
        <f t="shared" si="207"/>
        <v>168</v>
      </c>
      <c r="AK491" s="2">
        <f t="shared" si="208"/>
        <v>251</v>
      </c>
      <c r="AL491" s="2">
        <f t="shared" si="180"/>
        <v>560</v>
      </c>
      <c r="AM491" s="2">
        <f t="shared" si="209"/>
        <v>229</v>
      </c>
    </row>
    <row r="492" spans="1:40" outlineLevel="1" x14ac:dyDescent="0.25">
      <c r="A492" t="s">
        <v>65</v>
      </c>
      <c r="B492" t="str">
        <f t="shared" si="193"/>
        <v>Tür (580x720)</v>
      </c>
      <c r="C492">
        <v>5106</v>
      </c>
      <c r="D492" t="s">
        <v>1</v>
      </c>
      <c r="E492">
        <v>580</v>
      </c>
      <c r="F492">
        <v>720</v>
      </c>
      <c r="I492" s="45">
        <f t="shared" si="188"/>
        <v>0.41759999999999997</v>
      </c>
      <c r="J492" s="46">
        <f t="shared" si="189"/>
        <v>2.5999999999999996</v>
      </c>
      <c r="K492" s="62">
        <f t="shared" si="202"/>
        <v>210</v>
      </c>
      <c r="L492" s="28">
        <v>156</v>
      </c>
      <c r="M492" s="13">
        <f t="shared" si="203"/>
        <v>0.34615384615384626</v>
      </c>
      <c r="N492" s="12">
        <f t="shared" si="185"/>
        <v>54</v>
      </c>
      <c r="O492" s="30"/>
      <c r="Q492" s="62">
        <f t="shared" si="190"/>
        <v>332</v>
      </c>
      <c r="R492" s="28">
        <v>232</v>
      </c>
      <c r="S492" s="13">
        <f t="shared" si="204"/>
        <v>0.43103448275862077</v>
      </c>
      <c r="T492" s="12">
        <f t="shared" si="196"/>
        <v>100</v>
      </c>
      <c r="U492" s="12"/>
      <c r="V492" s="12"/>
      <c r="W492" s="62">
        <f t="shared" si="191"/>
        <v>306</v>
      </c>
      <c r="X492" s="28">
        <v>220</v>
      </c>
      <c r="Y492" s="13">
        <f t="shared" si="205"/>
        <v>0.39090909090909087</v>
      </c>
      <c r="Z492" s="12">
        <f t="shared" si="186"/>
        <v>86</v>
      </c>
      <c r="AA492" s="12"/>
      <c r="AB492" s="64"/>
      <c r="AC492" s="62">
        <f t="shared" si="192"/>
        <v>585</v>
      </c>
      <c r="AD492" s="28">
        <v>428</v>
      </c>
      <c r="AE492" s="13">
        <f t="shared" si="206"/>
        <v>0.36682242990654212</v>
      </c>
      <c r="AF492" s="12">
        <f t="shared" si="187"/>
        <v>157</v>
      </c>
      <c r="AG492" s="12"/>
      <c r="AH492" s="17"/>
      <c r="AI492" s="16"/>
      <c r="AJ492" s="2">
        <f t="shared" si="207"/>
        <v>231</v>
      </c>
      <c r="AK492" s="2">
        <f t="shared" si="208"/>
        <v>365</v>
      </c>
      <c r="AL492" s="2">
        <f t="shared" si="180"/>
        <v>644</v>
      </c>
      <c r="AM492" s="2">
        <f t="shared" si="209"/>
        <v>337</v>
      </c>
    </row>
    <row r="493" spans="1:40" outlineLevel="1" x14ac:dyDescent="0.25">
      <c r="A493" t="s">
        <v>65</v>
      </c>
      <c r="B493" t="str">
        <f t="shared" si="193"/>
        <v>Tür (580x1080)</v>
      </c>
      <c r="C493">
        <v>5107</v>
      </c>
      <c r="D493" t="s">
        <v>1</v>
      </c>
      <c r="E493">
        <v>580</v>
      </c>
      <c r="F493">
        <v>1080</v>
      </c>
      <c r="I493" s="45">
        <f t="shared" si="188"/>
        <v>0.62639999999999996</v>
      </c>
      <c r="J493" s="46">
        <f t="shared" si="189"/>
        <v>3.3200000000000003</v>
      </c>
      <c r="K493" s="62">
        <f t="shared" si="202"/>
        <v>278</v>
      </c>
      <c r="L493" s="28">
        <v>207</v>
      </c>
      <c r="M493" s="13">
        <f t="shared" si="203"/>
        <v>0.34299516908212557</v>
      </c>
      <c r="N493" s="12">
        <f t="shared" si="185"/>
        <v>71</v>
      </c>
      <c r="O493" s="30"/>
      <c r="Q493" s="62">
        <f t="shared" si="190"/>
        <v>459</v>
      </c>
      <c r="R493" s="28">
        <v>327</v>
      </c>
      <c r="S493" s="13">
        <f t="shared" si="204"/>
        <v>0.40366972477064222</v>
      </c>
      <c r="T493" s="12">
        <f t="shared" si="196"/>
        <v>132</v>
      </c>
      <c r="U493" s="12"/>
      <c r="V493" s="12"/>
      <c r="W493" s="62">
        <f t="shared" si="191"/>
        <v>415</v>
      </c>
      <c r="X493" s="28">
        <v>301</v>
      </c>
      <c r="Y493" s="13">
        <f t="shared" si="205"/>
        <v>0.37873754152823924</v>
      </c>
      <c r="Z493" s="12">
        <f t="shared" si="186"/>
        <v>114</v>
      </c>
      <c r="AA493" s="12"/>
      <c r="AB493" s="64"/>
      <c r="AC493" s="62">
        <f t="shared" si="192"/>
        <v>709</v>
      </c>
      <c r="AD493" s="28">
        <v>520</v>
      </c>
      <c r="AE493" s="13">
        <f t="shared" si="206"/>
        <v>0.3634615384615385</v>
      </c>
      <c r="AF493" s="12">
        <f t="shared" si="187"/>
        <v>189</v>
      </c>
      <c r="AG493" s="12"/>
      <c r="AH493" s="17"/>
      <c r="AI493" s="16"/>
      <c r="AJ493" s="2">
        <f t="shared" si="207"/>
        <v>306</v>
      </c>
      <c r="AK493" s="2">
        <f t="shared" si="208"/>
        <v>505</v>
      </c>
      <c r="AL493" s="2">
        <f t="shared" si="180"/>
        <v>780</v>
      </c>
      <c r="AM493" s="2">
        <f t="shared" si="209"/>
        <v>457</v>
      </c>
    </row>
    <row r="494" spans="1:40" outlineLevel="1" x14ac:dyDescent="0.25">
      <c r="A494" t="s">
        <v>65</v>
      </c>
      <c r="B494" t="str">
        <f t="shared" si="193"/>
        <v>Tür (580x1440)</v>
      </c>
      <c r="C494">
        <v>5108</v>
      </c>
      <c r="D494" t="s">
        <v>1</v>
      </c>
      <c r="E494">
        <v>580</v>
      </c>
      <c r="F494">
        <v>1440</v>
      </c>
      <c r="I494" s="45">
        <f t="shared" si="188"/>
        <v>0.83519999999999994</v>
      </c>
      <c r="J494" s="46">
        <f t="shared" si="189"/>
        <v>4.04</v>
      </c>
      <c r="K494" s="62">
        <f t="shared" si="202"/>
        <v>337</v>
      </c>
      <c r="L494" s="28">
        <v>251</v>
      </c>
      <c r="M494" s="13">
        <f t="shared" si="203"/>
        <v>0.34262948207171307</v>
      </c>
      <c r="N494" s="12">
        <f t="shared" si="185"/>
        <v>86</v>
      </c>
      <c r="O494" s="30"/>
      <c r="Q494" s="62">
        <f t="shared" si="190"/>
        <v>560</v>
      </c>
      <c r="R494" s="28">
        <v>402</v>
      </c>
      <c r="S494" s="13">
        <f t="shared" si="204"/>
        <v>0.39303482587064686</v>
      </c>
      <c r="T494" s="12">
        <f t="shared" si="196"/>
        <v>158</v>
      </c>
      <c r="U494" s="12"/>
      <c r="V494" s="12"/>
      <c r="W494" s="62">
        <f t="shared" si="191"/>
        <v>503</v>
      </c>
      <c r="X494" s="28">
        <v>367</v>
      </c>
      <c r="Y494" s="13">
        <f t="shared" si="205"/>
        <v>0.37057220708446859</v>
      </c>
      <c r="Z494" s="12">
        <f t="shared" si="186"/>
        <v>136</v>
      </c>
      <c r="AA494" s="12"/>
      <c r="AB494" s="64"/>
      <c r="AC494" s="62">
        <f t="shared" si="192"/>
        <v>946</v>
      </c>
      <c r="AD494" s="28" t="s">
        <v>63</v>
      </c>
      <c r="AE494" s="13" t="str">
        <f t="shared" si="206"/>
        <v>-</v>
      </c>
      <c r="AF494" s="12" t="str">
        <f t="shared" si="187"/>
        <v>-</v>
      </c>
      <c r="AG494" s="12"/>
      <c r="AH494" s="17"/>
      <c r="AI494" s="16"/>
      <c r="AJ494" s="2">
        <f t="shared" si="207"/>
        <v>371</v>
      </c>
      <c r="AK494" s="2">
        <f t="shared" si="208"/>
        <v>616</v>
      </c>
      <c r="AL494" s="2">
        <f t="shared" si="180"/>
        <v>1041</v>
      </c>
      <c r="AM494" s="2">
        <f t="shared" si="209"/>
        <v>553</v>
      </c>
    </row>
    <row r="495" spans="1:40" outlineLevel="1" x14ac:dyDescent="0.25">
      <c r="A495" t="s">
        <v>65</v>
      </c>
      <c r="B495" t="str">
        <f t="shared" si="193"/>
        <v>Tür (580x1800)</v>
      </c>
      <c r="C495">
        <v>5109</v>
      </c>
      <c r="D495" t="s">
        <v>1</v>
      </c>
      <c r="E495">
        <v>580</v>
      </c>
      <c r="F495">
        <v>1800</v>
      </c>
      <c r="I495" s="45">
        <f t="shared" si="188"/>
        <v>1.044</v>
      </c>
      <c r="J495" s="46">
        <f t="shared" si="189"/>
        <v>4.76</v>
      </c>
      <c r="K495" s="62">
        <f t="shared" si="202"/>
        <v>417</v>
      </c>
      <c r="L495" s="28">
        <v>310</v>
      </c>
      <c r="M495" s="13">
        <f t="shared" si="203"/>
        <v>0.34516129032258069</v>
      </c>
      <c r="N495" s="12">
        <f t="shared" si="185"/>
        <v>107</v>
      </c>
      <c r="O495" s="30"/>
      <c r="Q495" s="62">
        <f t="shared" si="190"/>
        <v>821</v>
      </c>
      <c r="R495" s="28" t="s">
        <v>63</v>
      </c>
      <c r="S495" s="47"/>
      <c r="T495" s="50"/>
      <c r="U495" s="50"/>
      <c r="V495" s="50"/>
      <c r="W495" s="62">
        <f t="shared" si="191"/>
        <v>619</v>
      </c>
      <c r="X495" s="28">
        <v>453</v>
      </c>
      <c r="Y495" s="13">
        <f t="shared" si="205"/>
        <v>0.36644591611479038</v>
      </c>
      <c r="Z495" s="12">
        <f t="shared" si="186"/>
        <v>166</v>
      </c>
      <c r="AA495" s="12"/>
      <c r="AB495" s="64"/>
      <c r="AC495" s="62">
        <f t="shared" si="192"/>
        <v>1164</v>
      </c>
      <c r="AD495" s="28" t="s">
        <v>63</v>
      </c>
      <c r="AE495" s="13" t="str">
        <f t="shared" si="206"/>
        <v>-</v>
      </c>
      <c r="AF495" s="12" t="str">
        <f t="shared" si="187"/>
        <v>-</v>
      </c>
      <c r="AG495" s="12"/>
      <c r="AH495" s="17"/>
      <c r="AI495" s="16"/>
      <c r="AJ495" s="2">
        <f t="shared" si="207"/>
        <v>459</v>
      </c>
      <c r="AK495" s="2">
        <f t="shared" si="208"/>
        <v>903</v>
      </c>
      <c r="AL495" s="2">
        <f t="shared" si="180"/>
        <v>1280</v>
      </c>
      <c r="AM495" s="2">
        <f t="shared" si="209"/>
        <v>681</v>
      </c>
    </row>
    <row r="496" spans="1:40" outlineLevel="1" x14ac:dyDescent="0.25">
      <c r="A496" t="s">
        <v>65</v>
      </c>
      <c r="B496" t="str">
        <f t="shared" si="193"/>
        <v>Tür (360x360)</v>
      </c>
      <c r="C496">
        <v>5110</v>
      </c>
      <c r="D496" t="s">
        <v>1</v>
      </c>
      <c r="E496">
        <v>360</v>
      </c>
      <c r="F496">
        <v>360</v>
      </c>
      <c r="I496" s="45">
        <f t="shared" si="188"/>
        <v>0.12959999999999999</v>
      </c>
      <c r="J496" s="46">
        <f t="shared" si="189"/>
        <v>1.44</v>
      </c>
      <c r="K496" s="62">
        <f t="shared" si="202"/>
        <v>136</v>
      </c>
      <c r="L496" s="28">
        <v>101</v>
      </c>
      <c r="M496" s="13">
        <f t="shared" si="203"/>
        <v>0.34653465346534662</v>
      </c>
      <c r="N496" s="12">
        <f t="shared" si="185"/>
        <v>35</v>
      </c>
      <c r="O496" s="30"/>
      <c r="Q496" s="62">
        <f t="shared" si="190"/>
        <v>268</v>
      </c>
      <c r="R496" s="28" t="s">
        <v>63</v>
      </c>
      <c r="S496" s="13" t="str">
        <f t="shared" si="204"/>
        <v>-</v>
      </c>
      <c r="T496" s="12" t="str">
        <f t="shared" si="196"/>
        <v>-</v>
      </c>
      <c r="U496" s="12"/>
      <c r="V496" s="12"/>
      <c r="W496" s="62">
        <f t="shared" si="191"/>
        <v>237</v>
      </c>
      <c r="X496" s="28">
        <v>169</v>
      </c>
      <c r="Y496" s="13">
        <f t="shared" si="205"/>
        <v>0.4023668639053255</v>
      </c>
      <c r="Z496" s="12">
        <f t="shared" si="186"/>
        <v>68</v>
      </c>
      <c r="AA496" s="12"/>
      <c r="AB496" s="64"/>
      <c r="AC496" s="62">
        <f t="shared" si="192"/>
        <v>446</v>
      </c>
      <c r="AD496" s="28" t="s">
        <v>63</v>
      </c>
      <c r="AE496" s="13" t="str">
        <f t="shared" si="206"/>
        <v>-</v>
      </c>
      <c r="AF496" s="12" t="str">
        <f t="shared" si="187"/>
        <v>-</v>
      </c>
      <c r="AG496" s="12"/>
      <c r="AH496" s="17"/>
      <c r="AI496" s="16"/>
      <c r="AJ496" s="2">
        <f t="shared" si="207"/>
        <v>150</v>
      </c>
      <c r="AK496" s="2">
        <f t="shared" si="208"/>
        <v>295</v>
      </c>
      <c r="AL496" s="2">
        <f t="shared" si="180"/>
        <v>491</v>
      </c>
      <c r="AM496" s="2">
        <f t="shared" si="209"/>
        <v>261</v>
      </c>
    </row>
    <row r="497" spans="1:40" outlineLevel="1" x14ac:dyDescent="0.25">
      <c r="A497" t="s">
        <v>65</v>
      </c>
      <c r="B497" t="str">
        <f t="shared" si="193"/>
        <v>Tür (780x360)</v>
      </c>
      <c r="C497">
        <v>5111</v>
      </c>
      <c r="D497" t="s">
        <v>1</v>
      </c>
      <c r="E497">
        <v>780</v>
      </c>
      <c r="F497">
        <v>360</v>
      </c>
      <c r="I497" s="45">
        <f t="shared" si="188"/>
        <v>0.28079999999999999</v>
      </c>
      <c r="J497" s="46">
        <f t="shared" si="189"/>
        <v>2.2800000000000002</v>
      </c>
      <c r="K497" s="62">
        <f t="shared" si="202"/>
        <v>0</v>
      </c>
      <c r="L497" s="28" t="s">
        <v>63</v>
      </c>
      <c r="M497" s="13" t="str">
        <f t="shared" si="203"/>
        <v>-</v>
      </c>
      <c r="N497" s="12" t="str">
        <f t="shared" si="185"/>
        <v>-</v>
      </c>
      <c r="O497" s="30"/>
      <c r="Q497" s="62">
        <f t="shared" si="190"/>
        <v>0</v>
      </c>
      <c r="R497" s="28" t="s">
        <v>63</v>
      </c>
      <c r="S497" s="13" t="str">
        <f t="shared" si="204"/>
        <v>-</v>
      </c>
      <c r="T497" s="12" t="str">
        <f t="shared" si="196"/>
        <v>-</v>
      </c>
      <c r="U497" s="12"/>
      <c r="V497" s="12"/>
      <c r="W497" s="62">
        <f t="shared" si="191"/>
        <v>259</v>
      </c>
      <c r="X497" s="28">
        <v>185</v>
      </c>
      <c r="Y497" s="13">
        <f t="shared" si="205"/>
        <v>0.39999999999999991</v>
      </c>
      <c r="Z497" s="12">
        <f t="shared" si="186"/>
        <v>74</v>
      </c>
      <c r="AA497" s="12"/>
      <c r="AB497" s="64"/>
      <c r="AC497" s="62">
        <f t="shared" si="192"/>
        <v>487</v>
      </c>
      <c r="AD497" s="28" t="s">
        <v>63</v>
      </c>
      <c r="AE497" s="13" t="str">
        <f t="shared" si="206"/>
        <v>-</v>
      </c>
      <c r="AF497" s="12" t="str">
        <f t="shared" si="187"/>
        <v>-</v>
      </c>
      <c r="AG497" s="12"/>
      <c r="AH497" s="17"/>
      <c r="AI497" s="16"/>
      <c r="AJ497" s="2">
        <f t="shared" si="207"/>
        <v>0</v>
      </c>
      <c r="AK497" s="2">
        <f t="shared" si="208"/>
        <v>0</v>
      </c>
      <c r="AL497" s="2">
        <f t="shared" si="180"/>
        <v>536</v>
      </c>
      <c r="AM497" s="2">
        <f t="shared" si="209"/>
        <v>285</v>
      </c>
    </row>
    <row r="498" spans="1:40" outlineLevel="1" x14ac:dyDescent="0.25">
      <c r="A498" t="s">
        <v>65</v>
      </c>
      <c r="B498" t="str">
        <f t="shared" si="193"/>
        <v>Tür (780x720)</v>
      </c>
      <c r="C498">
        <v>5112</v>
      </c>
      <c r="D498" t="s">
        <v>1</v>
      </c>
      <c r="E498">
        <v>780</v>
      </c>
      <c r="F498">
        <v>720</v>
      </c>
      <c r="I498" s="45">
        <f t="shared" si="188"/>
        <v>0.56159999999999999</v>
      </c>
      <c r="J498" s="46">
        <f t="shared" si="189"/>
        <v>3</v>
      </c>
      <c r="K498" s="62">
        <f t="shared" si="202"/>
        <v>0</v>
      </c>
      <c r="L498" s="28" t="s">
        <v>63</v>
      </c>
      <c r="M498" s="13" t="str">
        <f t="shared" si="203"/>
        <v>-</v>
      </c>
      <c r="N498" s="12" t="str">
        <f t="shared" si="185"/>
        <v>-</v>
      </c>
      <c r="O498" s="30"/>
      <c r="Q498" s="62">
        <f t="shared" si="190"/>
        <v>0</v>
      </c>
      <c r="R498" s="28" t="s">
        <v>63</v>
      </c>
      <c r="S498" s="13" t="str">
        <f t="shared" si="204"/>
        <v>-</v>
      </c>
      <c r="T498" s="12" t="str">
        <f t="shared" si="196"/>
        <v>-</v>
      </c>
      <c r="U498" s="12"/>
      <c r="V498" s="12"/>
      <c r="W498" s="62">
        <f t="shared" si="191"/>
        <v>10</v>
      </c>
      <c r="X498" s="28">
        <v>0</v>
      </c>
      <c r="Y498" s="13" t="str">
        <f t="shared" si="205"/>
        <v>-</v>
      </c>
      <c r="Z498" s="12">
        <f t="shared" si="186"/>
        <v>10</v>
      </c>
      <c r="AA498" s="12"/>
      <c r="AB498" s="64"/>
      <c r="AC498" s="62">
        <f t="shared" si="192"/>
        <v>19</v>
      </c>
      <c r="AD498" s="28" t="s">
        <v>63</v>
      </c>
      <c r="AE498" s="13" t="str">
        <f t="shared" si="206"/>
        <v>-</v>
      </c>
      <c r="AF498" s="12" t="str">
        <f t="shared" si="187"/>
        <v>-</v>
      </c>
      <c r="AG498" s="12"/>
      <c r="AH498" s="17"/>
      <c r="AI498" s="16"/>
      <c r="AJ498" s="2">
        <f t="shared" si="207"/>
        <v>0</v>
      </c>
      <c r="AK498" s="2">
        <f t="shared" si="208"/>
        <v>0</v>
      </c>
      <c r="AL498" s="2">
        <f t="shared" si="180"/>
        <v>21</v>
      </c>
      <c r="AM498" s="2">
        <f t="shared" si="209"/>
        <v>11</v>
      </c>
    </row>
    <row r="499" spans="1:40" outlineLevel="1" x14ac:dyDescent="0.25">
      <c r="A499" t="s">
        <v>65</v>
      </c>
      <c r="B499" t="str">
        <f t="shared" si="193"/>
        <v>Tür (780x1080)</v>
      </c>
      <c r="C499">
        <v>5113</v>
      </c>
      <c r="D499" t="s">
        <v>1</v>
      </c>
      <c r="E499">
        <v>780</v>
      </c>
      <c r="F499">
        <v>1080</v>
      </c>
      <c r="I499" s="45">
        <f t="shared" si="188"/>
        <v>0.84239999999999993</v>
      </c>
      <c r="J499" s="46">
        <f t="shared" si="189"/>
        <v>3.72</v>
      </c>
      <c r="K499" s="62">
        <f t="shared" si="202"/>
        <v>0</v>
      </c>
      <c r="L499" s="28" t="s">
        <v>63</v>
      </c>
      <c r="M499" s="13" t="str">
        <f t="shared" si="203"/>
        <v>-</v>
      </c>
      <c r="N499" s="12" t="str">
        <f t="shared" si="185"/>
        <v>-</v>
      </c>
      <c r="O499" s="30"/>
      <c r="Q499" s="62">
        <f t="shared" si="190"/>
        <v>0</v>
      </c>
      <c r="R499" s="28" t="s">
        <v>63</v>
      </c>
      <c r="S499" s="13" t="str">
        <f t="shared" si="204"/>
        <v>-</v>
      </c>
      <c r="T499" s="12" t="str">
        <f t="shared" si="196"/>
        <v>-</v>
      </c>
      <c r="U499" s="12"/>
      <c r="V499" s="12"/>
      <c r="W499" s="62">
        <f t="shared" si="191"/>
        <v>10</v>
      </c>
      <c r="X499" s="28">
        <v>0</v>
      </c>
      <c r="Y499" s="13" t="str">
        <f t="shared" si="205"/>
        <v>-</v>
      </c>
      <c r="Z499" s="12">
        <f t="shared" si="186"/>
        <v>10</v>
      </c>
      <c r="AA499" s="12"/>
      <c r="AB499" s="64"/>
      <c r="AC499" s="62">
        <f t="shared" si="192"/>
        <v>19</v>
      </c>
      <c r="AD499" s="28" t="s">
        <v>63</v>
      </c>
      <c r="AE499" s="13" t="str">
        <f t="shared" si="206"/>
        <v>-</v>
      </c>
      <c r="AF499" s="12" t="str">
        <f t="shared" si="187"/>
        <v>-</v>
      </c>
      <c r="AG499" s="12"/>
      <c r="AH499" s="17"/>
      <c r="AI499" s="16"/>
      <c r="AJ499" s="2">
        <f t="shared" si="207"/>
        <v>0</v>
      </c>
      <c r="AK499" s="2">
        <f t="shared" si="208"/>
        <v>0</v>
      </c>
      <c r="AL499" s="2">
        <f t="shared" si="180"/>
        <v>21</v>
      </c>
      <c r="AM499" s="2">
        <f t="shared" si="209"/>
        <v>11</v>
      </c>
    </row>
    <row r="500" spans="1:40" outlineLevel="1" x14ac:dyDescent="0.25">
      <c r="A500" t="s">
        <v>65</v>
      </c>
      <c r="B500" t="str">
        <f t="shared" si="193"/>
        <v>Tür (780x1440)</v>
      </c>
      <c r="C500">
        <v>5114</v>
      </c>
      <c r="D500" t="s">
        <v>1</v>
      </c>
      <c r="E500">
        <v>780</v>
      </c>
      <c r="F500">
        <v>1440</v>
      </c>
      <c r="I500" s="45">
        <f t="shared" si="188"/>
        <v>1.1232</v>
      </c>
      <c r="J500" s="46">
        <f t="shared" si="189"/>
        <v>4.4399999999999995</v>
      </c>
      <c r="K500" s="62">
        <f t="shared" si="202"/>
        <v>0</v>
      </c>
      <c r="L500" s="28" t="s">
        <v>63</v>
      </c>
      <c r="M500" s="13" t="str">
        <f t="shared" si="203"/>
        <v>-</v>
      </c>
      <c r="N500" s="12" t="str">
        <f t="shared" si="185"/>
        <v>-</v>
      </c>
      <c r="O500" s="30"/>
      <c r="Q500" s="62">
        <f t="shared" si="190"/>
        <v>0</v>
      </c>
      <c r="R500" s="28" t="s">
        <v>63</v>
      </c>
      <c r="S500" s="13" t="str">
        <f t="shared" si="204"/>
        <v>-</v>
      </c>
      <c r="T500" s="12" t="str">
        <f t="shared" si="196"/>
        <v>-</v>
      </c>
      <c r="U500" s="12"/>
      <c r="V500" s="12"/>
      <c r="W500" s="62">
        <f t="shared" si="191"/>
        <v>10</v>
      </c>
      <c r="X500" s="28">
        <v>0</v>
      </c>
      <c r="Y500" s="13" t="str">
        <f t="shared" si="205"/>
        <v>-</v>
      </c>
      <c r="Z500" s="12">
        <f t="shared" si="186"/>
        <v>10</v>
      </c>
      <c r="AA500" s="12"/>
      <c r="AB500" s="64"/>
      <c r="AC500" s="62">
        <f t="shared" si="192"/>
        <v>19</v>
      </c>
      <c r="AD500" s="28" t="s">
        <v>63</v>
      </c>
      <c r="AE500" s="13" t="str">
        <f t="shared" si="206"/>
        <v>-</v>
      </c>
      <c r="AF500" s="12" t="str">
        <f t="shared" si="187"/>
        <v>-</v>
      </c>
      <c r="AG500" s="12"/>
      <c r="AH500" s="17"/>
      <c r="AI500" s="16"/>
      <c r="AJ500" s="2">
        <f t="shared" si="207"/>
        <v>0</v>
      </c>
      <c r="AK500" s="2">
        <f t="shared" si="208"/>
        <v>0</v>
      </c>
      <c r="AL500" s="2">
        <f t="shared" si="180"/>
        <v>21</v>
      </c>
      <c r="AM500" s="2">
        <f t="shared" si="209"/>
        <v>11</v>
      </c>
    </row>
    <row r="501" spans="1:40" outlineLevel="1" x14ac:dyDescent="0.25">
      <c r="A501" t="s">
        <v>65</v>
      </c>
      <c r="B501" t="str">
        <f t="shared" si="193"/>
        <v>Tür (780x1800)</v>
      </c>
      <c r="C501">
        <v>5115</v>
      </c>
      <c r="D501" t="s">
        <v>1</v>
      </c>
      <c r="E501">
        <v>780</v>
      </c>
      <c r="F501">
        <v>1800</v>
      </c>
      <c r="I501" s="45">
        <f t="shared" si="188"/>
        <v>1.4039999999999999</v>
      </c>
      <c r="J501" s="46">
        <f t="shared" si="189"/>
        <v>5.16</v>
      </c>
      <c r="K501" s="62">
        <f t="shared" si="202"/>
        <v>0</v>
      </c>
      <c r="L501" s="28" t="s">
        <v>63</v>
      </c>
      <c r="M501" s="13" t="str">
        <f t="shared" si="203"/>
        <v>-</v>
      </c>
      <c r="N501" s="12" t="str">
        <f t="shared" si="185"/>
        <v>-</v>
      </c>
      <c r="O501" s="30"/>
      <c r="Q501" s="62">
        <f t="shared" si="190"/>
        <v>0</v>
      </c>
      <c r="R501" s="28" t="s">
        <v>63</v>
      </c>
      <c r="S501" s="47" t="str">
        <f t="shared" si="204"/>
        <v>-</v>
      </c>
      <c r="T501" s="50" t="str">
        <f t="shared" si="196"/>
        <v>-</v>
      </c>
      <c r="U501" s="50"/>
      <c r="V501" s="50"/>
      <c r="W501" s="62">
        <f t="shared" si="191"/>
        <v>10</v>
      </c>
      <c r="X501" s="28">
        <v>0</v>
      </c>
      <c r="Y501" s="13" t="str">
        <f t="shared" si="205"/>
        <v>-</v>
      </c>
      <c r="Z501" s="12">
        <f t="shared" si="186"/>
        <v>10</v>
      </c>
      <c r="AA501" s="12"/>
      <c r="AB501" s="64"/>
      <c r="AC501" s="62">
        <f t="shared" si="192"/>
        <v>19</v>
      </c>
      <c r="AD501" s="28" t="s">
        <v>63</v>
      </c>
      <c r="AE501" s="13" t="str">
        <f t="shared" si="206"/>
        <v>-</v>
      </c>
      <c r="AF501" s="12" t="str">
        <f t="shared" si="187"/>
        <v>-</v>
      </c>
      <c r="AG501" s="12"/>
      <c r="AH501" s="17"/>
      <c r="AI501" s="16"/>
      <c r="AJ501" s="2">
        <f t="shared" si="207"/>
        <v>0</v>
      </c>
      <c r="AK501" s="2">
        <f t="shared" si="208"/>
        <v>0</v>
      </c>
      <c r="AL501" s="2">
        <f t="shared" si="180"/>
        <v>21</v>
      </c>
      <c r="AM501" s="2">
        <f t="shared" si="209"/>
        <v>11</v>
      </c>
    </row>
    <row r="502" spans="1:40" outlineLevel="1" x14ac:dyDescent="0.25">
      <c r="A502" t="s">
        <v>65</v>
      </c>
      <c r="B502" t="str">
        <f t="shared" si="193"/>
        <v xml:space="preserve"> (x)</v>
      </c>
      <c r="C502" s="3">
        <v>5116</v>
      </c>
      <c r="I502" s="45" t="str">
        <f t="shared" si="188"/>
        <v/>
      </c>
      <c r="J502" s="46" t="str">
        <f t="shared" si="189"/>
        <v/>
      </c>
      <c r="K502" s="62">
        <f t="shared" si="202"/>
        <v>0</v>
      </c>
      <c r="L502" s="28" t="s">
        <v>63</v>
      </c>
      <c r="M502" s="12" t="str">
        <f t="shared" si="203"/>
        <v>-</v>
      </c>
      <c r="N502" s="12" t="str">
        <f t="shared" si="185"/>
        <v>-</v>
      </c>
      <c r="O502" s="12"/>
      <c r="Q502" s="62">
        <f t="shared" si="190"/>
        <v>0</v>
      </c>
      <c r="R502" s="28" t="s">
        <v>63</v>
      </c>
      <c r="S502" s="12" t="str">
        <f t="shared" si="204"/>
        <v>-</v>
      </c>
      <c r="T502" s="12" t="str">
        <f t="shared" si="196"/>
        <v>-</v>
      </c>
      <c r="U502" s="12"/>
      <c r="V502" s="12"/>
      <c r="W502" s="62">
        <f t="shared" si="191"/>
        <v>10</v>
      </c>
      <c r="X502" s="28">
        <v>0</v>
      </c>
      <c r="Y502" s="12" t="str">
        <f t="shared" si="205"/>
        <v>-</v>
      </c>
      <c r="Z502" s="12">
        <f t="shared" si="186"/>
        <v>10</v>
      </c>
      <c r="AA502" s="12"/>
      <c r="AB502" s="64"/>
      <c r="AC502" s="62">
        <f t="shared" si="192"/>
        <v>19</v>
      </c>
      <c r="AD502" s="28" t="s">
        <v>63</v>
      </c>
      <c r="AE502" s="12" t="str">
        <f t="shared" si="206"/>
        <v>-</v>
      </c>
      <c r="AF502" s="12" t="str">
        <f t="shared" si="187"/>
        <v>-</v>
      </c>
      <c r="AG502" s="12"/>
      <c r="AH502" s="17"/>
      <c r="AI502" s="17"/>
      <c r="AJ502" s="2">
        <f t="shared" si="207"/>
        <v>0</v>
      </c>
      <c r="AK502" s="2">
        <f t="shared" si="208"/>
        <v>0</v>
      </c>
      <c r="AL502" s="2">
        <f t="shared" si="180"/>
        <v>21</v>
      </c>
      <c r="AM502" s="2">
        <f t="shared" si="209"/>
        <v>11</v>
      </c>
    </row>
    <row r="503" spans="1:40" outlineLevel="1" x14ac:dyDescent="0.25">
      <c r="A503" t="s">
        <v>65</v>
      </c>
      <c r="B503" t="str">
        <f t="shared" si="193"/>
        <v xml:space="preserve"> (x)</v>
      </c>
      <c r="C503" s="3">
        <v>5117</v>
      </c>
      <c r="I503" s="45" t="str">
        <f t="shared" si="188"/>
        <v/>
      </c>
      <c r="J503" s="46" t="str">
        <f t="shared" si="189"/>
        <v/>
      </c>
      <c r="K503" s="62">
        <f t="shared" si="202"/>
        <v>0</v>
      </c>
      <c r="L503" s="28" t="s">
        <v>63</v>
      </c>
      <c r="M503" s="12" t="str">
        <f t="shared" si="203"/>
        <v>-</v>
      </c>
      <c r="N503" s="12" t="str">
        <f t="shared" si="185"/>
        <v>-</v>
      </c>
      <c r="O503" s="12"/>
      <c r="Q503" s="62">
        <f t="shared" si="190"/>
        <v>0</v>
      </c>
      <c r="R503" s="28" t="s">
        <v>63</v>
      </c>
      <c r="S503" s="12" t="str">
        <f t="shared" si="204"/>
        <v>-</v>
      </c>
      <c r="T503" s="12" t="str">
        <f t="shared" si="196"/>
        <v>-</v>
      </c>
      <c r="U503" s="12"/>
      <c r="V503" s="12"/>
      <c r="W503" s="62">
        <f t="shared" si="191"/>
        <v>10</v>
      </c>
      <c r="X503" s="28">
        <v>0</v>
      </c>
      <c r="Y503" s="12" t="str">
        <f t="shared" si="205"/>
        <v>-</v>
      </c>
      <c r="Z503" s="12">
        <f t="shared" si="186"/>
        <v>10</v>
      </c>
      <c r="AA503" s="12"/>
      <c r="AB503" s="64"/>
      <c r="AC503" s="62">
        <f t="shared" si="192"/>
        <v>19</v>
      </c>
      <c r="AD503" s="28" t="s">
        <v>63</v>
      </c>
      <c r="AE503" s="12" t="str">
        <f t="shared" si="206"/>
        <v>-</v>
      </c>
      <c r="AF503" s="12" t="str">
        <f t="shared" si="187"/>
        <v>-</v>
      </c>
      <c r="AG503" s="12"/>
      <c r="AH503" s="17"/>
      <c r="AI503" s="17"/>
      <c r="AJ503" s="2">
        <f t="shared" si="207"/>
        <v>0</v>
      </c>
      <c r="AK503" s="2">
        <f t="shared" si="208"/>
        <v>0</v>
      </c>
      <c r="AL503" s="2">
        <f t="shared" si="180"/>
        <v>21</v>
      </c>
      <c r="AM503" s="2">
        <f t="shared" si="209"/>
        <v>11</v>
      </c>
    </row>
    <row r="504" spans="1:40" outlineLevel="1" x14ac:dyDescent="0.25">
      <c r="A504" t="s">
        <v>65</v>
      </c>
      <c r="B504" t="str">
        <f t="shared" si="193"/>
        <v xml:space="preserve"> (x)</v>
      </c>
      <c r="C504" s="3">
        <v>5118</v>
      </c>
      <c r="I504" s="45" t="str">
        <f t="shared" si="188"/>
        <v/>
      </c>
      <c r="J504" s="46" t="str">
        <f t="shared" si="189"/>
        <v/>
      </c>
      <c r="K504" s="62">
        <f t="shared" si="202"/>
        <v>0</v>
      </c>
      <c r="L504" s="28" t="s">
        <v>63</v>
      </c>
      <c r="M504" s="12" t="str">
        <f t="shared" si="203"/>
        <v>-</v>
      </c>
      <c r="N504" s="12" t="str">
        <f t="shared" si="185"/>
        <v>-</v>
      </c>
      <c r="O504" s="12"/>
      <c r="Q504" s="62">
        <f t="shared" si="190"/>
        <v>0</v>
      </c>
      <c r="R504" s="28" t="s">
        <v>63</v>
      </c>
      <c r="S504" s="12" t="str">
        <f t="shared" si="204"/>
        <v>-</v>
      </c>
      <c r="T504" s="12" t="str">
        <f t="shared" si="196"/>
        <v>-</v>
      </c>
      <c r="U504" s="12"/>
      <c r="V504" s="12"/>
      <c r="W504" s="62">
        <f t="shared" si="191"/>
        <v>10</v>
      </c>
      <c r="X504" s="28">
        <v>0</v>
      </c>
      <c r="Y504" s="12" t="str">
        <f t="shared" si="205"/>
        <v>-</v>
      </c>
      <c r="Z504" s="12">
        <f t="shared" si="186"/>
        <v>10</v>
      </c>
      <c r="AA504" s="12"/>
      <c r="AB504" s="64"/>
      <c r="AC504" s="62">
        <f t="shared" si="192"/>
        <v>19</v>
      </c>
      <c r="AD504" s="28" t="s">
        <v>63</v>
      </c>
      <c r="AE504" s="12" t="str">
        <f t="shared" si="206"/>
        <v>-</v>
      </c>
      <c r="AF504" s="12" t="str">
        <f t="shared" si="187"/>
        <v>-</v>
      </c>
      <c r="AG504" s="12"/>
      <c r="AH504" s="17"/>
      <c r="AI504" s="17"/>
      <c r="AJ504" s="2">
        <f t="shared" si="207"/>
        <v>0</v>
      </c>
      <c r="AK504" s="2">
        <f t="shared" si="208"/>
        <v>0</v>
      </c>
      <c r="AL504" s="2">
        <f t="shared" si="180"/>
        <v>21</v>
      </c>
      <c r="AM504" s="2">
        <f t="shared" si="209"/>
        <v>11</v>
      </c>
    </row>
    <row r="505" spans="1:40" outlineLevel="1" x14ac:dyDescent="0.25">
      <c r="A505" t="s">
        <v>65</v>
      </c>
      <c r="B505" t="str">
        <f t="shared" si="193"/>
        <v xml:space="preserve"> (x)</v>
      </c>
      <c r="C505" s="3">
        <v>5119</v>
      </c>
      <c r="I505" s="45" t="str">
        <f t="shared" si="188"/>
        <v/>
      </c>
      <c r="J505" s="46" t="str">
        <f t="shared" si="189"/>
        <v/>
      </c>
      <c r="K505" s="62">
        <f t="shared" si="202"/>
        <v>0</v>
      </c>
      <c r="L505" s="28" t="s">
        <v>63</v>
      </c>
      <c r="M505" s="12" t="str">
        <f t="shared" si="203"/>
        <v>-</v>
      </c>
      <c r="N505" s="12" t="str">
        <f t="shared" si="185"/>
        <v>-</v>
      </c>
      <c r="O505" s="12"/>
      <c r="Q505" s="62">
        <f t="shared" si="190"/>
        <v>0</v>
      </c>
      <c r="R505" s="28" t="s">
        <v>63</v>
      </c>
      <c r="S505" s="12" t="str">
        <f t="shared" si="204"/>
        <v>-</v>
      </c>
      <c r="T505" s="12" t="str">
        <f t="shared" si="196"/>
        <v>-</v>
      </c>
      <c r="U505" s="12"/>
      <c r="V505" s="12"/>
      <c r="W505" s="62">
        <f t="shared" si="191"/>
        <v>10</v>
      </c>
      <c r="X505" s="28">
        <v>0</v>
      </c>
      <c r="Y505" s="12" t="str">
        <f t="shared" si="205"/>
        <v>-</v>
      </c>
      <c r="Z505" s="12">
        <f t="shared" si="186"/>
        <v>10</v>
      </c>
      <c r="AA505" s="12"/>
      <c r="AB505" s="64"/>
      <c r="AC505" s="62">
        <f t="shared" si="192"/>
        <v>19</v>
      </c>
      <c r="AD505" s="28" t="s">
        <v>63</v>
      </c>
      <c r="AE505" s="12" t="str">
        <f t="shared" si="206"/>
        <v>-</v>
      </c>
      <c r="AF505" s="12" t="str">
        <f t="shared" si="187"/>
        <v>-</v>
      </c>
      <c r="AG505" s="12"/>
      <c r="AH505" s="17"/>
      <c r="AI505" s="17"/>
      <c r="AJ505" s="2">
        <f t="shared" si="207"/>
        <v>0</v>
      </c>
      <c r="AK505" s="2">
        <f t="shared" si="208"/>
        <v>0</v>
      </c>
      <c r="AL505" s="2">
        <f t="shared" ref="AL505:AL569" si="210">+IFERROR(ROUND(AC505*(1+AL$2),0),"-")</f>
        <v>21</v>
      </c>
      <c r="AM505" s="2">
        <f t="shared" si="209"/>
        <v>11</v>
      </c>
    </row>
    <row r="506" spans="1:40" outlineLevel="1" x14ac:dyDescent="0.25">
      <c r="A506" t="s">
        <v>65</v>
      </c>
      <c r="B506" t="str">
        <f t="shared" si="193"/>
        <v xml:space="preserve"> (x)</v>
      </c>
      <c r="C506" s="3">
        <v>5120</v>
      </c>
      <c r="I506" s="45" t="str">
        <f t="shared" si="188"/>
        <v/>
      </c>
      <c r="J506" s="46" t="str">
        <f t="shared" si="189"/>
        <v/>
      </c>
      <c r="K506" s="62">
        <f t="shared" si="202"/>
        <v>0</v>
      </c>
      <c r="L506" s="28" t="s">
        <v>63</v>
      </c>
      <c r="M506" s="12" t="str">
        <f t="shared" si="203"/>
        <v>-</v>
      </c>
      <c r="N506" s="12" t="str">
        <f t="shared" si="185"/>
        <v>-</v>
      </c>
      <c r="O506" s="12"/>
      <c r="Q506" s="62">
        <f t="shared" si="190"/>
        <v>0</v>
      </c>
      <c r="R506" s="28" t="s">
        <v>63</v>
      </c>
      <c r="S506" s="12" t="str">
        <f t="shared" si="204"/>
        <v>-</v>
      </c>
      <c r="T506" s="12" t="str">
        <f t="shared" si="196"/>
        <v>-</v>
      </c>
      <c r="U506" s="12"/>
      <c r="V506" s="12"/>
      <c r="W506" s="62">
        <f t="shared" si="191"/>
        <v>10</v>
      </c>
      <c r="X506" s="28">
        <v>0</v>
      </c>
      <c r="Y506" s="12" t="str">
        <f t="shared" si="205"/>
        <v>-</v>
      </c>
      <c r="Z506" s="12">
        <f t="shared" si="186"/>
        <v>10</v>
      </c>
      <c r="AA506" s="12"/>
      <c r="AB506" s="64"/>
      <c r="AC506" s="62">
        <f t="shared" si="192"/>
        <v>19</v>
      </c>
      <c r="AD506" s="28" t="s">
        <v>63</v>
      </c>
      <c r="AE506" s="12" t="str">
        <f t="shared" si="206"/>
        <v>-</v>
      </c>
      <c r="AF506" s="12" t="str">
        <f t="shared" si="187"/>
        <v>-</v>
      </c>
      <c r="AG506" s="12"/>
      <c r="AH506" s="17"/>
      <c r="AI506" s="17"/>
      <c r="AJ506" s="2">
        <f t="shared" si="207"/>
        <v>0</v>
      </c>
      <c r="AK506" s="2">
        <f t="shared" si="208"/>
        <v>0</v>
      </c>
      <c r="AL506" s="2">
        <f t="shared" si="210"/>
        <v>21</v>
      </c>
      <c r="AM506" s="2">
        <f t="shared" si="209"/>
        <v>11</v>
      </c>
    </row>
    <row r="507" spans="1:40" outlineLevel="1" x14ac:dyDescent="0.25">
      <c r="A507" t="s">
        <v>65</v>
      </c>
      <c r="B507" t="str">
        <f t="shared" si="193"/>
        <v xml:space="preserve"> (x)</v>
      </c>
      <c r="C507" s="3">
        <v>5121</v>
      </c>
      <c r="I507" s="45" t="str">
        <f t="shared" si="188"/>
        <v/>
      </c>
      <c r="J507" s="46" t="str">
        <f t="shared" si="189"/>
        <v/>
      </c>
      <c r="K507" s="62">
        <f t="shared" si="202"/>
        <v>0</v>
      </c>
      <c r="L507" s="28" t="s">
        <v>63</v>
      </c>
      <c r="M507" s="12" t="str">
        <f t="shared" si="203"/>
        <v>-</v>
      </c>
      <c r="N507" s="12" t="str">
        <f t="shared" si="185"/>
        <v>-</v>
      </c>
      <c r="O507" s="12"/>
      <c r="Q507" s="62">
        <f t="shared" si="190"/>
        <v>0</v>
      </c>
      <c r="R507" s="28" t="s">
        <v>63</v>
      </c>
      <c r="S507" s="12" t="str">
        <f t="shared" si="204"/>
        <v>-</v>
      </c>
      <c r="T507" s="12" t="str">
        <f t="shared" si="196"/>
        <v>-</v>
      </c>
      <c r="U507" s="12"/>
      <c r="V507" s="12"/>
      <c r="W507" s="62">
        <f t="shared" si="191"/>
        <v>10</v>
      </c>
      <c r="X507" s="28">
        <v>0</v>
      </c>
      <c r="Y507" s="12" t="str">
        <f t="shared" si="205"/>
        <v>-</v>
      </c>
      <c r="Z507" s="12">
        <f t="shared" si="186"/>
        <v>10</v>
      </c>
      <c r="AA507" s="12"/>
      <c r="AB507" s="64"/>
      <c r="AC507" s="62">
        <f t="shared" si="192"/>
        <v>19</v>
      </c>
      <c r="AD507" s="28" t="s">
        <v>63</v>
      </c>
      <c r="AE507" s="12" t="str">
        <f t="shared" si="206"/>
        <v>-</v>
      </c>
      <c r="AF507" s="12" t="str">
        <f t="shared" si="187"/>
        <v>-</v>
      </c>
      <c r="AG507" s="12"/>
      <c r="AH507" s="17"/>
      <c r="AI507" s="17"/>
      <c r="AJ507" s="2">
        <f t="shared" si="207"/>
        <v>0</v>
      </c>
      <c r="AK507" s="2">
        <f t="shared" si="208"/>
        <v>0</v>
      </c>
      <c r="AL507" s="2">
        <f t="shared" si="210"/>
        <v>21</v>
      </c>
      <c r="AM507" s="2">
        <f t="shared" si="209"/>
        <v>11</v>
      </c>
    </row>
    <row r="508" spans="1:40" outlineLevel="1" x14ac:dyDescent="0.25">
      <c r="A508" t="s">
        <v>65</v>
      </c>
      <c r="B508" t="str">
        <f t="shared" si="193"/>
        <v xml:space="preserve"> (x)</v>
      </c>
      <c r="C508" s="3">
        <v>5122</v>
      </c>
      <c r="I508" s="45" t="str">
        <f t="shared" si="188"/>
        <v/>
      </c>
      <c r="J508" s="46" t="str">
        <f t="shared" si="189"/>
        <v/>
      </c>
      <c r="K508" s="62">
        <f t="shared" si="202"/>
        <v>0</v>
      </c>
      <c r="L508" s="28" t="s">
        <v>63</v>
      </c>
      <c r="M508" s="12" t="str">
        <f t="shared" si="203"/>
        <v>-</v>
      </c>
      <c r="N508" s="12" t="str">
        <f t="shared" si="185"/>
        <v>-</v>
      </c>
      <c r="O508" s="12"/>
      <c r="Q508" s="62">
        <f t="shared" si="190"/>
        <v>0</v>
      </c>
      <c r="R508" s="28" t="s">
        <v>63</v>
      </c>
      <c r="S508" s="12" t="str">
        <f t="shared" si="204"/>
        <v>-</v>
      </c>
      <c r="T508" s="12" t="str">
        <f t="shared" si="196"/>
        <v>-</v>
      </c>
      <c r="U508" s="12"/>
      <c r="V508" s="12"/>
      <c r="W508" s="62">
        <f t="shared" si="191"/>
        <v>10</v>
      </c>
      <c r="X508" s="28">
        <v>0</v>
      </c>
      <c r="Y508" s="12" t="str">
        <f t="shared" si="205"/>
        <v>-</v>
      </c>
      <c r="Z508" s="12">
        <f t="shared" si="186"/>
        <v>10</v>
      </c>
      <c r="AA508" s="12"/>
      <c r="AB508" s="64"/>
      <c r="AC508" s="62">
        <f t="shared" si="192"/>
        <v>19</v>
      </c>
      <c r="AD508" s="28" t="s">
        <v>63</v>
      </c>
      <c r="AE508" s="12" t="str">
        <f t="shared" si="206"/>
        <v>-</v>
      </c>
      <c r="AF508" s="12" t="str">
        <f t="shared" si="187"/>
        <v>-</v>
      </c>
      <c r="AG508" s="12"/>
      <c r="AH508" s="17"/>
      <c r="AI508" s="17"/>
      <c r="AJ508" s="2">
        <f t="shared" si="207"/>
        <v>0</v>
      </c>
      <c r="AK508" s="2">
        <f t="shared" si="208"/>
        <v>0</v>
      </c>
      <c r="AL508" s="2">
        <f t="shared" si="210"/>
        <v>21</v>
      </c>
      <c r="AM508" s="2">
        <f t="shared" si="209"/>
        <v>11</v>
      </c>
    </row>
    <row r="509" spans="1:40" outlineLevel="1" x14ac:dyDescent="0.25">
      <c r="A509" t="s">
        <v>65</v>
      </c>
      <c r="B509" t="str">
        <f t="shared" si="193"/>
        <v xml:space="preserve"> (x)</v>
      </c>
      <c r="C509" s="3">
        <v>5123</v>
      </c>
      <c r="I509" s="45" t="str">
        <f t="shared" si="188"/>
        <v/>
      </c>
      <c r="J509" s="46" t="str">
        <f t="shared" si="189"/>
        <v/>
      </c>
      <c r="K509" s="62">
        <f t="shared" si="202"/>
        <v>0</v>
      </c>
      <c r="L509" s="28" t="s">
        <v>63</v>
      </c>
      <c r="M509" s="12" t="str">
        <f t="shared" si="203"/>
        <v>-</v>
      </c>
      <c r="N509" s="12" t="str">
        <f t="shared" si="185"/>
        <v>-</v>
      </c>
      <c r="O509" s="12"/>
      <c r="Q509" s="62">
        <f t="shared" si="190"/>
        <v>0</v>
      </c>
      <c r="R509" s="28" t="s">
        <v>63</v>
      </c>
      <c r="S509" s="12" t="str">
        <f t="shared" si="204"/>
        <v>-</v>
      </c>
      <c r="T509" s="12" t="str">
        <f t="shared" si="196"/>
        <v>-</v>
      </c>
      <c r="U509" s="12"/>
      <c r="V509" s="12"/>
      <c r="W509" s="62">
        <f t="shared" si="191"/>
        <v>10</v>
      </c>
      <c r="X509" s="28">
        <v>0</v>
      </c>
      <c r="Y509" s="12" t="str">
        <f t="shared" si="205"/>
        <v>-</v>
      </c>
      <c r="Z509" s="12">
        <f t="shared" si="186"/>
        <v>10</v>
      </c>
      <c r="AA509" s="12"/>
      <c r="AB509" s="64"/>
      <c r="AC509" s="62">
        <f t="shared" si="192"/>
        <v>19</v>
      </c>
      <c r="AD509" s="28" t="s">
        <v>63</v>
      </c>
      <c r="AE509" s="12" t="str">
        <f t="shared" si="206"/>
        <v>-</v>
      </c>
      <c r="AF509" s="12" t="str">
        <f t="shared" si="187"/>
        <v>-</v>
      </c>
      <c r="AG509" s="12"/>
      <c r="AH509" s="17"/>
      <c r="AI509" s="17"/>
      <c r="AJ509" s="2">
        <f t="shared" si="207"/>
        <v>0</v>
      </c>
      <c r="AK509" s="2">
        <f t="shared" si="208"/>
        <v>0</v>
      </c>
      <c r="AL509" s="2">
        <f t="shared" si="210"/>
        <v>21</v>
      </c>
      <c r="AM509" s="2">
        <f t="shared" si="209"/>
        <v>11</v>
      </c>
    </row>
    <row r="510" spans="1:40" outlineLevel="1" x14ac:dyDescent="0.25">
      <c r="A510" t="s">
        <v>65</v>
      </c>
      <c r="B510" t="str">
        <f t="shared" si="193"/>
        <v xml:space="preserve"> (x)</v>
      </c>
      <c r="C510" s="3">
        <v>5124</v>
      </c>
      <c r="I510" s="45" t="str">
        <f t="shared" si="188"/>
        <v/>
      </c>
      <c r="J510" s="46" t="str">
        <f t="shared" si="189"/>
        <v/>
      </c>
      <c r="K510" s="62">
        <f t="shared" si="202"/>
        <v>0</v>
      </c>
      <c r="L510" s="28" t="s">
        <v>63</v>
      </c>
      <c r="M510" s="12" t="str">
        <f t="shared" si="203"/>
        <v>-</v>
      </c>
      <c r="N510" s="12" t="str">
        <f t="shared" si="185"/>
        <v>-</v>
      </c>
      <c r="O510" s="12"/>
      <c r="Q510" s="62">
        <f t="shared" si="190"/>
        <v>0</v>
      </c>
      <c r="R510" s="28" t="s">
        <v>63</v>
      </c>
      <c r="S510" s="12" t="str">
        <f t="shared" si="204"/>
        <v>-</v>
      </c>
      <c r="T510" s="12" t="str">
        <f t="shared" si="196"/>
        <v>-</v>
      </c>
      <c r="U510" s="12"/>
      <c r="V510" s="12"/>
      <c r="W510" s="62">
        <f t="shared" si="191"/>
        <v>10</v>
      </c>
      <c r="X510" s="28">
        <v>0</v>
      </c>
      <c r="Y510" s="12" t="str">
        <f t="shared" si="205"/>
        <v>-</v>
      </c>
      <c r="Z510" s="12">
        <f t="shared" si="186"/>
        <v>10</v>
      </c>
      <c r="AA510" s="12"/>
      <c r="AB510" s="64"/>
      <c r="AC510" s="62">
        <f t="shared" si="192"/>
        <v>19</v>
      </c>
      <c r="AD510" s="28" t="s">
        <v>63</v>
      </c>
      <c r="AE510" s="12" t="str">
        <f t="shared" si="206"/>
        <v>-</v>
      </c>
      <c r="AF510" s="12" t="str">
        <f t="shared" si="187"/>
        <v>-</v>
      </c>
      <c r="AG510" s="12"/>
      <c r="AH510" s="17"/>
      <c r="AI510" s="17"/>
      <c r="AJ510" s="2">
        <f t="shared" si="207"/>
        <v>0</v>
      </c>
      <c r="AK510" s="2">
        <f t="shared" si="208"/>
        <v>0</v>
      </c>
      <c r="AL510" s="2">
        <f t="shared" si="210"/>
        <v>21</v>
      </c>
      <c r="AM510" s="2">
        <f t="shared" si="209"/>
        <v>11</v>
      </c>
    </row>
    <row r="511" spans="1:40" outlineLevel="1" x14ac:dyDescent="0.25">
      <c r="A511" t="s">
        <v>65</v>
      </c>
      <c r="B511" t="str">
        <f t="shared" si="193"/>
        <v xml:space="preserve"> (x)</v>
      </c>
      <c r="C511" s="3">
        <v>5125</v>
      </c>
      <c r="I511" s="45" t="str">
        <f t="shared" si="188"/>
        <v/>
      </c>
      <c r="J511" s="46" t="str">
        <f t="shared" si="189"/>
        <v/>
      </c>
      <c r="K511" s="62">
        <f t="shared" si="202"/>
        <v>0</v>
      </c>
      <c r="L511" s="28" t="s">
        <v>63</v>
      </c>
      <c r="M511" s="12" t="str">
        <f t="shared" si="203"/>
        <v>-</v>
      </c>
      <c r="N511" s="12" t="str">
        <f t="shared" si="185"/>
        <v>-</v>
      </c>
      <c r="O511" s="12"/>
      <c r="Q511" s="62">
        <f t="shared" si="190"/>
        <v>0</v>
      </c>
      <c r="R511" s="28" t="s">
        <v>63</v>
      </c>
      <c r="S511" s="12" t="str">
        <f t="shared" si="204"/>
        <v>-</v>
      </c>
      <c r="T511" s="12" t="str">
        <f t="shared" si="196"/>
        <v>-</v>
      </c>
      <c r="U511" s="12"/>
      <c r="V511" s="12"/>
      <c r="W511" s="62">
        <f t="shared" si="191"/>
        <v>10</v>
      </c>
      <c r="X511" s="28">
        <v>0</v>
      </c>
      <c r="Y511" s="12" t="str">
        <f t="shared" si="205"/>
        <v>-</v>
      </c>
      <c r="Z511" s="12">
        <f t="shared" si="186"/>
        <v>10</v>
      </c>
      <c r="AA511" s="12"/>
      <c r="AB511" s="64"/>
      <c r="AC511" s="62">
        <f t="shared" si="192"/>
        <v>19</v>
      </c>
      <c r="AD511" s="28" t="s">
        <v>63</v>
      </c>
      <c r="AE511" s="12" t="str">
        <f t="shared" si="206"/>
        <v>-</v>
      </c>
      <c r="AF511" s="12" t="str">
        <f t="shared" si="187"/>
        <v>-</v>
      </c>
      <c r="AG511" s="12"/>
      <c r="AH511" s="17"/>
      <c r="AI511" s="17"/>
      <c r="AJ511" s="2">
        <f t="shared" si="207"/>
        <v>0</v>
      </c>
      <c r="AK511" s="2">
        <f t="shared" si="208"/>
        <v>0</v>
      </c>
      <c r="AL511" s="2">
        <f t="shared" si="210"/>
        <v>21</v>
      </c>
      <c r="AM511" s="2">
        <f t="shared" si="209"/>
        <v>11</v>
      </c>
    </row>
    <row r="512" spans="1:40" s="14" customFormat="1" x14ac:dyDescent="0.25">
      <c r="A512" s="32"/>
      <c r="B512" s="5" t="s">
        <v>0</v>
      </c>
      <c r="C512" s="5"/>
      <c r="D512" s="5"/>
      <c r="E512" s="5"/>
      <c r="F512" s="5"/>
      <c r="G512" s="5"/>
      <c r="H512" s="5"/>
      <c r="I512" s="44" t="str">
        <f t="shared" si="188"/>
        <v/>
      </c>
      <c r="J512" s="44" t="str">
        <f t="shared" si="189"/>
        <v/>
      </c>
      <c r="K512" s="62">
        <f t="shared" si="202"/>
        <v>0</v>
      </c>
      <c r="L512" s="44" t="str">
        <f t="shared" si="189"/>
        <v/>
      </c>
      <c r="M512" s="44" t="str">
        <f t="shared" si="189"/>
        <v/>
      </c>
      <c r="N512" s="44" t="str">
        <f t="shared" si="189"/>
        <v/>
      </c>
      <c r="O512" s="44" t="str">
        <f t="shared" si="189"/>
        <v/>
      </c>
      <c r="P512" s="44" t="str">
        <f t="shared" si="189"/>
        <v/>
      </c>
      <c r="Q512" s="44">
        <f t="shared" si="190"/>
        <v>0</v>
      </c>
      <c r="R512" s="44" t="str">
        <f t="shared" si="189"/>
        <v/>
      </c>
      <c r="S512" s="44" t="str">
        <f t="shared" si="189"/>
        <v/>
      </c>
      <c r="T512" s="44" t="str">
        <f t="shared" si="189"/>
        <v/>
      </c>
      <c r="U512" s="44" t="str">
        <f t="shared" si="189"/>
        <v/>
      </c>
      <c r="V512" s="44" t="str">
        <f t="shared" ref="V512:AN512" si="211">IF($F512="","",2*MAX($E512,360)/1000+2*MAX($F512,360)/1000)</f>
        <v/>
      </c>
      <c r="W512" s="44">
        <f t="shared" si="191"/>
        <v>0</v>
      </c>
      <c r="X512" s="44" t="str">
        <f t="shared" si="211"/>
        <v/>
      </c>
      <c r="Y512" s="44" t="str">
        <f t="shared" si="211"/>
        <v/>
      </c>
      <c r="Z512" s="44" t="str">
        <f t="shared" si="211"/>
        <v/>
      </c>
      <c r="AA512" s="44" t="str">
        <f t="shared" si="211"/>
        <v/>
      </c>
      <c r="AB512" s="44" t="str">
        <f t="shared" si="211"/>
        <v/>
      </c>
      <c r="AC512" s="44">
        <f t="shared" si="192"/>
        <v>0</v>
      </c>
      <c r="AD512" s="44" t="str">
        <f t="shared" si="211"/>
        <v/>
      </c>
      <c r="AE512" s="44" t="str">
        <f t="shared" si="211"/>
        <v/>
      </c>
      <c r="AF512" s="44" t="str">
        <f t="shared" si="211"/>
        <v/>
      </c>
      <c r="AG512" s="44" t="str">
        <f t="shared" si="211"/>
        <v/>
      </c>
      <c r="AH512" s="44"/>
      <c r="AI512" s="44" t="str">
        <f t="shared" si="211"/>
        <v/>
      </c>
      <c r="AJ512" s="44" t="str">
        <f t="shared" si="211"/>
        <v/>
      </c>
      <c r="AK512" s="44" t="str">
        <f t="shared" si="211"/>
        <v/>
      </c>
      <c r="AL512" s="44" t="str">
        <f t="shared" si="211"/>
        <v/>
      </c>
      <c r="AM512" s="44" t="str">
        <f t="shared" si="211"/>
        <v/>
      </c>
      <c r="AN512" s="44" t="str">
        <f t="shared" si="211"/>
        <v/>
      </c>
    </row>
    <row r="513" spans="1:39" outlineLevel="1" x14ac:dyDescent="0.25">
      <c r="A513" t="s">
        <v>66</v>
      </c>
      <c r="B513" t="str">
        <f t="shared" si="193"/>
        <v>Doppeltür (780x360)</v>
      </c>
      <c r="C513">
        <v>5200</v>
      </c>
      <c r="D513" t="s">
        <v>0</v>
      </c>
      <c r="E513">
        <v>780</v>
      </c>
      <c r="F513">
        <v>360</v>
      </c>
      <c r="I513" s="45">
        <f t="shared" si="188"/>
        <v>0.28079999999999999</v>
      </c>
      <c r="J513" s="46">
        <f t="shared" si="189"/>
        <v>2.2800000000000002</v>
      </c>
      <c r="K513" s="62">
        <f t="shared" si="202"/>
        <v>255</v>
      </c>
      <c r="L513" s="28">
        <v>190</v>
      </c>
      <c r="M513" s="13">
        <f t="shared" ref="M513:M535" si="212">IFERROR(K513/L513-1,"-")</f>
        <v>0.34210526315789469</v>
      </c>
      <c r="N513" s="12">
        <f t="shared" si="185"/>
        <v>65</v>
      </c>
      <c r="O513" s="30"/>
      <c r="Q513" s="62">
        <f t="shared" si="190"/>
        <v>367</v>
      </c>
      <c r="R513" s="28">
        <v>258</v>
      </c>
      <c r="S513" s="13">
        <f t="shared" ref="S513:S535" si="213">IFERROR(Q513/R513-1,"-")</f>
        <v>0.42248062015503884</v>
      </c>
      <c r="T513" s="12">
        <f t="shared" ref="T513:T544" si="214">IFERROR(Q513-R513,"-")</f>
        <v>109</v>
      </c>
      <c r="U513" s="30" t="s">
        <v>72</v>
      </c>
      <c r="V513" s="30"/>
      <c r="W513" s="62">
        <f t="shared" si="191"/>
        <v>334</v>
      </c>
      <c r="X513" s="28">
        <v>241</v>
      </c>
      <c r="Y513" s="13">
        <f t="shared" ref="Y513:Y535" si="215">IFERROR(W513/X513-1,"-")</f>
        <v>0.38589211618257258</v>
      </c>
      <c r="Z513" s="12">
        <f t="shared" si="186"/>
        <v>93</v>
      </c>
      <c r="AA513" s="12"/>
      <c r="AB513" s="64"/>
      <c r="AC513" s="62">
        <f t="shared" si="192"/>
        <v>867</v>
      </c>
      <c r="AD513" s="28">
        <v>638</v>
      </c>
      <c r="AE513" s="13">
        <f t="shared" ref="AE513:AE535" si="216">IFERROR(AC513/AD513-1,"-")</f>
        <v>0.35893416927899691</v>
      </c>
      <c r="AF513" s="12">
        <f t="shared" si="187"/>
        <v>229</v>
      </c>
      <c r="AG513" s="12"/>
      <c r="AH513" s="17"/>
      <c r="AI513" s="16"/>
      <c r="AJ513" s="2">
        <f t="shared" ref="AJ513:AJ535" si="217">+IFERROR(ROUND(K513*(1+AJ$2),0),"-")</f>
        <v>281</v>
      </c>
      <c r="AK513" s="2">
        <f t="shared" ref="AK513:AK535" si="218">+IFERROR(ROUND(Q513*(1+AK$2),0),"-")</f>
        <v>404</v>
      </c>
      <c r="AL513" s="2">
        <f t="shared" si="210"/>
        <v>954</v>
      </c>
      <c r="AM513" s="2">
        <f t="shared" ref="AM513:AM535" si="219">+IFERROR(ROUND(W513*(1+AM$2),0),"-")</f>
        <v>367</v>
      </c>
    </row>
    <row r="514" spans="1:39" outlineLevel="1" x14ac:dyDescent="0.25">
      <c r="A514" t="s">
        <v>66</v>
      </c>
      <c r="B514" t="str">
        <f t="shared" si="193"/>
        <v>Doppeltür (780x660)</v>
      </c>
      <c r="C514">
        <v>5210</v>
      </c>
      <c r="D514" t="s">
        <v>0</v>
      </c>
      <c r="E514">
        <v>780</v>
      </c>
      <c r="F514">
        <v>660</v>
      </c>
      <c r="G514">
        <v>780</v>
      </c>
      <c r="H514">
        <v>720</v>
      </c>
      <c r="I514" s="45">
        <f t="shared" si="188"/>
        <v>0.51480000000000004</v>
      </c>
      <c r="J514" s="46">
        <f t="shared" si="189"/>
        <v>2.88</v>
      </c>
      <c r="K514" s="62">
        <f t="shared" si="202"/>
        <v>314</v>
      </c>
      <c r="L514" s="28">
        <v>234</v>
      </c>
      <c r="M514" s="13">
        <f t="shared" si="212"/>
        <v>0.34188034188034178</v>
      </c>
      <c r="N514" s="50">
        <f t="shared" si="185"/>
        <v>80</v>
      </c>
      <c r="O514" s="30"/>
      <c r="Q514" s="62">
        <f t="shared" si="190"/>
        <v>618</v>
      </c>
      <c r="R514" s="28" t="s">
        <v>63</v>
      </c>
      <c r="S514" s="13" t="str">
        <f t="shared" si="213"/>
        <v>-</v>
      </c>
      <c r="T514" s="12" t="str">
        <f t="shared" si="214"/>
        <v>-</v>
      </c>
      <c r="U514" s="30" t="s">
        <v>72</v>
      </c>
      <c r="V514" s="30"/>
      <c r="W514" s="62">
        <f t="shared" si="191"/>
        <v>423</v>
      </c>
      <c r="X514" s="28">
        <v>307</v>
      </c>
      <c r="Y514" s="13">
        <f t="shared" si="215"/>
        <v>0.37785016286644946</v>
      </c>
      <c r="Z514" s="12">
        <f t="shared" si="186"/>
        <v>116</v>
      </c>
      <c r="AA514" s="12"/>
      <c r="AB514" s="64"/>
      <c r="AC514" s="62">
        <f t="shared" si="192"/>
        <v>796</v>
      </c>
      <c r="AD514" s="28" t="s">
        <v>63</v>
      </c>
      <c r="AE514" s="13" t="str">
        <f t="shared" si="216"/>
        <v>-</v>
      </c>
      <c r="AF514" s="12" t="str">
        <f t="shared" si="187"/>
        <v>-</v>
      </c>
      <c r="AG514" s="12"/>
      <c r="AH514" s="17"/>
      <c r="AI514" s="16"/>
      <c r="AJ514" s="2">
        <f t="shared" si="217"/>
        <v>345</v>
      </c>
      <c r="AK514" s="2">
        <f t="shared" si="218"/>
        <v>680</v>
      </c>
      <c r="AL514" s="2">
        <f t="shared" si="210"/>
        <v>876</v>
      </c>
      <c r="AM514" s="2">
        <f t="shared" si="219"/>
        <v>465</v>
      </c>
    </row>
    <row r="515" spans="1:39" outlineLevel="1" x14ac:dyDescent="0.25">
      <c r="A515" t="s">
        <v>66</v>
      </c>
      <c r="B515" t="str">
        <f t="shared" si="193"/>
        <v>Doppeltür (780x720)</v>
      </c>
      <c r="C515">
        <v>5201</v>
      </c>
      <c r="D515" t="s">
        <v>0</v>
      </c>
      <c r="E515">
        <v>780</v>
      </c>
      <c r="F515">
        <v>720</v>
      </c>
      <c r="I515" s="45">
        <f t="shared" si="188"/>
        <v>0.56159999999999999</v>
      </c>
      <c r="J515" s="46">
        <f t="shared" si="189"/>
        <v>3</v>
      </c>
      <c r="K515" s="62">
        <f t="shared" si="202"/>
        <v>314</v>
      </c>
      <c r="L515" s="28">
        <v>234</v>
      </c>
      <c r="M515" s="13">
        <f t="shared" si="212"/>
        <v>0.34188034188034178</v>
      </c>
      <c r="N515" s="12">
        <f t="shared" si="185"/>
        <v>80</v>
      </c>
      <c r="O515" s="30"/>
      <c r="Q515" s="62">
        <f t="shared" si="190"/>
        <v>484</v>
      </c>
      <c r="R515" s="28">
        <v>345</v>
      </c>
      <c r="S515" s="13">
        <f t="shared" si="213"/>
        <v>0.40289855072463765</v>
      </c>
      <c r="T515" s="12">
        <f t="shared" si="214"/>
        <v>139</v>
      </c>
      <c r="U515" s="30" t="s">
        <v>72</v>
      </c>
      <c r="V515" s="30"/>
      <c r="W515" s="62">
        <f t="shared" si="191"/>
        <v>423</v>
      </c>
      <c r="X515" s="28">
        <v>307</v>
      </c>
      <c r="Y515" s="13">
        <f t="shared" si="215"/>
        <v>0.37785016286644946</v>
      </c>
      <c r="Z515" s="12">
        <f t="shared" si="186"/>
        <v>116</v>
      </c>
      <c r="AA515" s="12"/>
      <c r="AB515" s="64"/>
      <c r="AC515" s="62">
        <f t="shared" si="192"/>
        <v>902</v>
      </c>
      <c r="AD515" s="28">
        <v>664</v>
      </c>
      <c r="AE515" s="13">
        <f t="shared" si="216"/>
        <v>0.35843373493975905</v>
      </c>
      <c r="AF515" s="12">
        <f t="shared" si="187"/>
        <v>238</v>
      </c>
      <c r="AG515" s="12"/>
      <c r="AH515" s="17"/>
      <c r="AI515" s="16"/>
      <c r="AJ515" s="2">
        <f t="shared" si="217"/>
        <v>345</v>
      </c>
      <c r="AK515" s="2">
        <f t="shared" si="218"/>
        <v>532</v>
      </c>
      <c r="AL515" s="2">
        <f t="shared" si="210"/>
        <v>992</v>
      </c>
      <c r="AM515" s="2">
        <f t="shared" si="219"/>
        <v>465</v>
      </c>
    </row>
    <row r="516" spans="1:39" outlineLevel="1" x14ac:dyDescent="0.25">
      <c r="A516" t="s">
        <v>66</v>
      </c>
      <c r="B516" t="str">
        <f t="shared" si="193"/>
        <v>Doppeltür (780x1080)</v>
      </c>
      <c r="C516">
        <v>5202</v>
      </c>
      <c r="D516" t="s">
        <v>0</v>
      </c>
      <c r="E516">
        <v>780</v>
      </c>
      <c r="F516">
        <v>1080</v>
      </c>
      <c r="I516" s="45">
        <f t="shared" si="188"/>
        <v>0.84239999999999993</v>
      </c>
      <c r="J516" s="46">
        <f t="shared" si="189"/>
        <v>3.72</v>
      </c>
      <c r="K516" s="62">
        <f t="shared" si="202"/>
        <v>464</v>
      </c>
      <c r="L516" s="28">
        <v>345</v>
      </c>
      <c r="M516" s="13">
        <f t="shared" si="212"/>
        <v>0.34492753623188399</v>
      </c>
      <c r="N516" s="12">
        <f t="shared" si="185"/>
        <v>119</v>
      </c>
      <c r="O516" s="30"/>
      <c r="Q516" s="62">
        <f t="shared" si="190"/>
        <v>716</v>
      </c>
      <c r="R516" s="28">
        <v>518</v>
      </c>
      <c r="S516" s="13">
        <f t="shared" si="213"/>
        <v>0.38223938223938214</v>
      </c>
      <c r="T516" s="12">
        <f t="shared" si="214"/>
        <v>198</v>
      </c>
      <c r="U516" s="30" t="s">
        <v>72</v>
      </c>
      <c r="V516" s="30"/>
      <c r="W516" s="62">
        <f t="shared" si="191"/>
        <v>624</v>
      </c>
      <c r="X516" s="28">
        <v>457</v>
      </c>
      <c r="Y516" s="13">
        <f t="shared" si="215"/>
        <v>0.3654266958424508</v>
      </c>
      <c r="Z516" s="12">
        <f t="shared" si="186"/>
        <v>167</v>
      </c>
      <c r="AA516" s="12"/>
      <c r="AB516" s="64"/>
      <c r="AC516" s="62">
        <f t="shared" si="192"/>
        <v>1139</v>
      </c>
      <c r="AD516" s="28">
        <v>840</v>
      </c>
      <c r="AE516" s="13">
        <f t="shared" si="216"/>
        <v>0.35595238095238102</v>
      </c>
      <c r="AF516" s="12">
        <f t="shared" si="187"/>
        <v>299</v>
      </c>
      <c r="AG516" s="12"/>
      <c r="AH516" s="17"/>
      <c r="AI516" s="16"/>
      <c r="AJ516" s="2">
        <f t="shared" si="217"/>
        <v>510</v>
      </c>
      <c r="AK516" s="2">
        <f t="shared" si="218"/>
        <v>788</v>
      </c>
      <c r="AL516" s="2">
        <f t="shared" si="210"/>
        <v>1253</v>
      </c>
      <c r="AM516" s="2">
        <f t="shared" si="219"/>
        <v>686</v>
      </c>
    </row>
    <row r="517" spans="1:39" outlineLevel="1" x14ac:dyDescent="0.25">
      <c r="A517" t="s">
        <v>66</v>
      </c>
      <c r="B517" t="str">
        <f t="shared" si="193"/>
        <v>Doppeltür (780x1440)</v>
      </c>
      <c r="C517">
        <v>5203</v>
      </c>
      <c r="D517" t="s">
        <v>0</v>
      </c>
      <c r="E517">
        <v>780</v>
      </c>
      <c r="F517">
        <v>1440</v>
      </c>
      <c r="I517" s="45">
        <f t="shared" si="188"/>
        <v>1.1232</v>
      </c>
      <c r="J517" s="46">
        <f t="shared" si="189"/>
        <v>4.4399999999999995</v>
      </c>
      <c r="K517" s="62">
        <f t="shared" si="202"/>
        <v>542</v>
      </c>
      <c r="L517" s="28">
        <v>403</v>
      </c>
      <c r="M517" s="13">
        <f t="shared" si="212"/>
        <v>0.3449131513647643</v>
      </c>
      <c r="N517" s="12">
        <f t="shared" si="185"/>
        <v>139</v>
      </c>
      <c r="O517" s="30"/>
      <c r="Q517" s="62">
        <f t="shared" si="190"/>
        <v>863</v>
      </c>
      <c r="R517" s="28">
        <v>627</v>
      </c>
      <c r="S517" s="13">
        <f t="shared" si="213"/>
        <v>0.37639553429027117</v>
      </c>
      <c r="T517" s="12">
        <f t="shared" si="214"/>
        <v>236</v>
      </c>
      <c r="U517" s="30" t="s">
        <v>72</v>
      </c>
      <c r="V517" s="30"/>
      <c r="W517" s="62">
        <f t="shared" si="191"/>
        <v>746</v>
      </c>
      <c r="X517" s="28">
        <v>548</v>
      </c>
      <c r="Y517" s="13">
        <f t="shared" si="215"/>
        <v>0.36131386861313874</v>
      </c>
      <c r="Z517" s="12">
        <f t="shared" si="186"/>
        <v>198</v>
      </c>
      <c r="AA517" s="12"/>
      <c r="AB517" s="64"/>
      <c r="AC517" s="62">
        <f t="shared" si="192"/>
        <v>1265</v>
      </c>
      <c r="AD517" s="28">
        <v>934</v>
      </c>
      <c r="AE517" s="13">
        <f t="shared" si="216"/>
        <v>0.354389721627409</v>
      </c>
      <c r="AF517" s="12">
        <f t="shared" si="187"/>
        <v>331</v>
      </c>
      <c r="AG517" s="12"/>
      <c r="AH517" s="17"/>
      <c r="AI517" s="16"/>
      <c r="AJ517" s="2">
        <f t="shared" si="217"/>
        <v>596</v>
      </c>
      <c r="AK517" s="2">
        <f t="shared" si="218"/>
        <v>949</v>
      </c>
      <c r="AL517" s="2">
        <f t="shared" si="210"/>
        <v>1392</v>
      </c>
      <c r="AM517" s="2">
        <f t="shared" si="219"/>
        <v>821</v>
      </c>
    </row>
    <row r="518" spans="1:39" outlineLevel="1" x14ac:dyDescent="0.25">
      <c r="A518" t="s">
        <v>66</v>
      </c>
      <c r="B518" t="str">
        <f t="shared" si="193"/>
        <v>Doppeltür (780x1800)</v>
      </c>
      <c r="C518">
        <v>5204</v>
      </c>
      <c r="D518" t="s">
        <v>0</v>
      </c>
      <c r="E518">
        <v>780</v>
      </c>
      <c r="F518">
        <v>1800</v>
      </c>
      <c r="I518" s="45">
        <f t="shared" si="188"/>
        <v>1.4039999999999999</v>
      </c>
      <c r="J518" s="46">
        <f t="shared" si="189"/>
        <v>5.16</v>
      </c>
      <c r="K518" s="62">
        <f t="shared" si="202"/>
        <v>668</v>
      </c>
      <c r="L518" s="28">
        <v>497</v>
      </c>
      <c r="M518" s="13">
        <f t="shared" si="212"/>
        <v>0.34406438631790737</v>
      </c>
      <c r="N518" s="12">
        <f t="shared" ref="N518:N566" si="220">IFERROR(K518-L518,"-")</f>
        <v>171</v>
      </c>
      <c r="O518" s="30"/>
      <c r="Q518" s="62">
        <f t="shared" si="190"/>
        <v>1315</v>
      </c>
      <c r="R518" s="50" t="s">
        <v>63</v>
      </c>
      <c r="S518" s="47"/>
      <c r="T518" s="50"/>
      <c r="U518" s="30" t="s">
        <v>72</v>
      </c>
      <c r="V518" s="30"/>
      <c r="W518" s="62">
        <f t="shared" si="191"/>
        <v>917</v>
      </c>
      <c r="X518" s="28">
        <v>675</v>
      </c>
      <c r="Y518" s="13">
        <f t="shared" si="215"/>
        <v>0.35851851851851846</v>
      </c>
      <c r="Z518" s="12">
        <f t="shared" ref="Z518:Z580" si="221">IFERROR(W518-X518,"-")</f>
        <v>242</v>
      </c>
      <c r="AA518" s="12"/>
      <c r="AB518" s="64"/>
      <c r="AC518" s="62">
        <f t="shared" si="192"/>
        <v>1496</v>
      </c>
      <c r="AD518" s="28">
        <v>1106</v>
      </c>
      <c r="AE518" s="13">
        <f t="shared" si="216"/>
        <v>0.35262206148282105</v>
      </c>
      <c r="AF518" s="12">
        <f t="shared" ref="AF518:AF580" si="222">IFERROR(AC518-AD518,"-")</f>
        <v>390</v>
      </c>
      <c r="AG518" s="12"/>
      <c r="AH518" s="17"/>
      <c r="AI518" s="16"/>
      <c r="AJ518" s="2">
        <f t="shared" si="217"/>
        <v>735</v>
      </c>
      <c r="AK518" s="2">
        <f t="shared" si="218"/>
        <v>1447</v>
      </c>
      <c r="AL518" s="2">
        <f t="shared" si="210"/>
        <v>1646</v>
      </c>
      <c r="AM518" s="2">
        <f t="shared" si="219"/>
        <v>1009</v>
      </c>
    </row>
    <row r="519" spans="1:39" outlineLevel="1" x14ac:dyDescent="0.25">
      <c r="A519" t="s">
        <v>66</v>
      </c>
      <c r="B519" t="str">
        <f t="shared" si="193"/>
        <v>Doppeltür (980x360)</v>
      </c>
      <c r="C519">
        <v>5205</v>
      </c>
      <c r="D519" t="s">
        <v>0</v>
      </c>
      <c r="E519">
        <v>980</v>
      </c>
      <c r="F519">
        <v>360</v>
      </c>
      <c r="I519" s="45">
        <f t="shared" ref="I519:I536" si="223">+IF($E519="","",MAX($E519,360)/1000*MAX($F519,360)/1000)</f>
        <v>0.3528</v>
      </c>
      <c r="J519" s="46">
        <f t="shared" ref="J519:U581" si="224">IF($F519="","",2*MAX($E519,360)/1000+2*MAX($F519,360)/1000)</f>
        <v>2.6799999999999997</v>
      </c>
      <c r="K519" s="62">
        <f t="shared" si="202"/>
        <v>269</v>
      </c>
      <c r="L519" s="28">
        <v>200</v>
      </c>
      <c r="M519" s="13">
        <f t="shared" si="212"/>
        <v>0.34499999999999997</v>
      </c>
      <c r="N519" s="12">
        <f t="shared" si="220"/>
        <v>69</v>
      </c>
      <c r="O519" s="30"/>
      <c r="Q519" s="62">
        <f t="shared" ref="Q519:Q583" si="225">+IFERROR(IF(AND(R519="-",K519&gt;0),ROUND(V$4*K519,0),ROUND(R519*(1+S$2)^U$2+Q$2,0)),0)</f>
        <v>406</v>
      </c>
      <c r="R519" s="28">
        <v>287</v>
      </c>
      <c r="S519" s="13">
        <f t="shared" si="213"/>
        <v>0.41463414634146334</v>
      </c>
      <c r="T519" s="12">
        <f t="shared" si="214"/>
        <v>119</v>
      </c>
      <c r="U519" s="30" t="s">
        <v>72</v>
      </c>
      <c r="V519" s="30"/>
      <c r="W519" s="62">
        <f t="shared" ref="W519:W583" si="226">+IFERROR(IF(AND(X519="-",Q519&gt;0),ROUND(AB$4*Q519,0),ROUND(X519*(1+Y$2)^AA$2+W$2,0)),0)</f>
        <v>363</v>
      </c>
      <c r="X519" s="28">
        <v>263</v>
      </c>
      <c r="Y519" s="13">
        <f t="shared" si="215"/>
        <v>0.3802281368821292</v>
      </c>
      <c r="Z519" s="12">
        <f t="shared" si="221"/>
        <v>100</v>
      </c>
      <c r="AA519" s="12"/>
      <c r="AB519" s="64"/>
      <c r="AC519" s="62">
        <f t="shared" ref="AC519:AC583" si="227">+IFERROR(IF(AND(AD519="-",W519&gt;0),ROUND(AH$4*W519,0),ROUND(AD519*(1+AE$2)^AG$2+AC$2,0)),0)</f>
        <v>888</v>
      </c>
      <c r="AD519" s="28">
        <v>653</v>
      </c>
      <c r="AE519" s="13">
        <f t="shared" si="216"/>
        <v>0.35987748851454815</v>
      </c>
      <c r="AF519" s="12">
        <f t="shared" si="222"/>
        <v>235</v>
      </c>
      <c r="AG519" s="12"/>
      <c r="AH519" s="17"/>
      <c r="AI519" s="16"/>
      <c r="AJ519" s="2">
        <f t="shared" si="217"/>
        <v>296</v>
      </c>
      <c r="AK519" s="2">
        <f t="shared" si="218"/>
        <v>447</v>
      </c>
      <c r="AL519" s="2">
        <f t="shared" si="210"/>
        <v>977</v>
      </c>
      <c r="AM519" s="2">
        <f t="shared" si="219"/>
        <v>399</v>
      </c>
    </row>
    <row r="520" spans="1:39" outlineLevel="1" x14ac:dyDescent="0.25">
      <c r="A520" t="s">
        <v>66</v>
      </c>
      <c r="B520" t="str">
        <f t="shared" si="193"/>
        <v>Doppeltür (980x720)</v>
      </c>
      <c r="C520">
        <v>5206</v>
      </c>
      <c r="D520" t="s">
        <v>0</v>
      </c>
      <c r="E520">
        <v>980</v>
      </c>
      <c r="F520">
        <v>720</v>
      </c>
      <c r="I520" s="45">
        <f t="shared" si="223"/>
        <v>0.7056</v>
      </c>
      <c r="J520" s="46">
        <f t="shared" si="224"/>
        <v>3.4</v>
      </c>
      <c r="K520" s="62">
        <f t="shared" si="202"/>
        <v>375</v>
      </c>
      <c r="L520" s="28">
        <v>279</v>
      </c>
      <c r="M520" s="13">
        <f t="shared" si="212"/>
        <v>0.34408602150537626</v>
      </c>
      <c r="N520" s="12">
        <f t="shared" si="220"/>
        <v>96</v>
      </c>
      <c r="O520" s="30"/>
      <c r="Q520" s="62">
        <f t="shared" si="225"/>
        <v>587</v>
      </c>
      <c r="R520" s="28">
        <v>422</v>
      </c>
      <c r="S520" s="13">
        <f t="shared" si="213"/>
        <v>0.3909952606635072</v>
      </c>
      <c r="T520" s="12">
        <f t="shared" si="214"/>
        <v>165</v>
      </c>
      <c r="U520" s="30" t="s">
        <v>72</v>
      </c>
      <c r="V520" s="30"/>
      <c r="W520" s="62">
        <f t="shared" si="226"/>
        <v>517</v>
      </c>
      <c r="X520" s="28">
        <v>377</v>
      </c>
      <c r="Y520" s="13">
        <f t="shared" si="215"/>
        <v>0.37135278514588865</v>
      </c>
      <c r="Z520" s="12">
        <f t="shared" si="221"/>
        <v>140</v>
      </c>
      <c r="AA520" s="12"/>
      <c r="AB520" s="64"/>
      <c r="AC520" s="62">
        <f t="shared" si="227"/>
        <v>944</v>
      </c>
      <c r="AD520" s="28">
        <v>695</v>
      </c>
      <c r="AE520" s="13">
        <f t="shared" si="216"/>
        <v>0.35827338129496411</v>
      </c>
      <c r="AF520" s="12">
        <f t="shared" si="222"/>
        <v>249</v>
      </c>
      <c r="AG520" s="12"/>
      <c r="AH520" s="17"/>
      <c r="AI520" s="16"/>
      <c r="AJ520" s="2">
        <f t="shared" si="217"/>
        <v>413</v>
      </c>
      <c r="AK520" s="2">
        <f t="shared" si="218"/>
        <v>646</v>
      </c>
      <c r="AL520" s="2">
        <f t="shared" si="210"/>
        <v>1038</v>
      </c>
      <c r="AM520" s="2">
        <f t="shared" si="219"/>
        <v>569</v>
      </c>
    </row>
    <row r="521" spans="1:39" outlineLevel="1" x14ac:dyDescent="0.25">
      <c r="A521" t="s">
        <v>66</v>
      </c>
      <c r="B521" t="str">
        <f t="shared" ref="B521:B595" si="228">IF(OR(E521="-",F521="-"),"-",D521&amp;" ("&amp;E521&amp;"x"&amp;F521&amp;")")</f>
        <v>Doppeltür (980x1080)</v>
      </c>
      <c r="C521">
        <v>5207</v>
      </c>
      <c r="D521" t="s">
        <v>0</v>
      </c>
      <c r="E521">
        <v>980</v>
      </c>
      <c r="F521">
        <v>1080</v>
      </c>
      <c r="I521" s="45">
        <f t="shared" si="223"/>
        <v>1.0584</v>
      </c>
      <c r="J521" s="46">
        <f t="shared" si="224"/>
        <v>4.12</v>
      </c>
      <c r="K521" s="62">
        <f t="shared" si="202"/>
        <v>523</v>
      </c>
      <c r="L521" s="28">
        <v>389</v>
      </c>
      <c r="M521" s="13">
        <f t="shared" si="212"/>
        <v>0.34447300771208234</v>
      </c>
      <c r="N521" s="12">
        <f t="shared" si="220"/>
        <v>134</v>
      </c>
      <c r="O521" s="30"/>
      <c r="Q521" s="62">
        <f t="shared" si="225"/>
        <v>817</v>
      </c>
      <c r="R521" s="28">
        <v>593</v>
      </c>
      <c r="S521" s="13">
        <f t="shared" si="213"/>
        <v>0.37774030354131538</v>
      </c>
      <c r="T521" s="12">
        <f t="shared" si="214"/>
        <v>224</v>
      </c>
      <c r="U521" s="30" t="s">
        <v>72</v>
      </c>
      <c r="V521" s="30"/>
      <c r="W521" s="62">
        <f t="shared" si="226"/>
        <v>717</v>
      </c>
      <c r="X521" s="28">
        <v>526</v>
      </c>
      <c r="Y521" s="13">
        <f t="shared" si="215"/>
        <v>0.3631178707224334</v>
      </c>
      <c r="Z521" s="12">
        <f t="shared" si="221"/>
        <v>191</v>
      </c>
      <c r="AA521" s="12"/>
      <c r="AB521" s="64"/>
      <c r="AC521" s="62">
        <f t="shared" si="227"/>
        <v>1349</v>
      </c>
      <c r="AD521" s="28" t="s">
        <v>63</v>
      </c>
      <c r="AE521" s="13" t="str">
        <f t="shared" si="216"/>
        <v>-</v>
      </c>
      <c r="AF521" s="12" t="str">
        <f t="shared" si="222"/>
        <v>-</v>
      </c>
      <c r="AG521" s="12"/>
      <c r="AH521" s="17"/>
      <c r="AI521" s="16"/>
      <c r="AJ521" s="2">
        <f t="shared" si="217"/>
        <v>575</v>
      </c>
      <c r="AK521" s="2">
        <f t="shared" si="218"/>
        <v>899</v>
      </c>
      <c r="AL521" s="2">
        <f t="shared" si="210"/>
        <v>1484</v>
      </c>
      <c r="AM521" s="2">
        <f t="shared" si="219"/>
        <v>789</v>
      </c>
    </row>
    <row r="522" spans="1:39" outlineLevel="1" x14ac:dyDescent="0.25">
      <c r="A522" t="s">
        <v>66</v>
      </c>
      <c r="B522" t="str">
        <f t="shared" si="228"/>
        <v>Doppeltür (980x1440)</v>
      </c>
      <c r="C522">
        <v>5208</v>
      </c>
      <c r="D522" t="s">
        <v>0</v>
      </c>
      <c r="E522">
        <v>980</v>
      </c>
      <c r="F522">
        <v>1440</v>
      </c>
      <c r="I522" s="45">
        <f t="shared" si="223"/>
        <v>1.4112</v>
      </c>
      <c r="J522" s="46">
        <f t="shared" si="224"/>
        <v>4.84</v>
      </c>
      <c r="K522" s="62">
        <f t="shared" si="202"/>
        <v>625</v>
      </c>
      <c r="L522" s="28">
        <v>465</v>
      </c>
      <c r="M522" s="13">
        <f t="shared" si="212"/>
        <v>0.34408602150537626</v>
      </c>
      <c r="N522" s="12">
        <f t="shared" si="220"/>
        <v>160</v>
      </c>
      <c r="O522" s="30"/>
      <c r="Q522" s="62">
        <f t="shared" si="225"/>
        <v>998</v>
      </c>
      <c r="R522" s="28">
        <v>728</v>
      </c>
      <c r="S522" s="13">
        <f t="shared" si="213"/>
        <v>0.37087912087912089</v>
      </c>
      <c r="T522" s="12">
        <f t="shared" si="214"/>
        <v>270</v>
      </c>
      <c r="U522" s="30" t="s">
        <v>72</v>
      </c>
      <c r="V522" s="30"/>
      <c r="W522" s="62">
        <f t="shared" si="226"/>
        <v>869</v>
      </c>
      <c r="X522" s="28">
        <v>639</v>
      </c>
      <c r="Y522" s="13">
        <f t="shared" si="215"/>
        <v>0.35993740219092341</v>
      </c>
      <c r="Z522" s="12">
        <f t="shared" si="221"/>
        <v>230</v>
      </c>
      <c r="AA522" s="12"/>
      <c r="AB522" s="64"/>
      <c r="AC522" s="62">
        <f t="shared" si="227"/>
        <v>1635</v>
      </c>
      <c r="AD522" s="28" t="s">
        <v>63</v>
      </c>
      <c r="AE522" s="13" t="str">
        <f t="shared" si="216"/>
        <v>-</v>
      </c>
      <c r="AF522" s="12" t="str">
        <f t="shared" si="222"/>
        <v>-</v>
      </c>
      <c r="AG522" s="12"/>
      <c r="AH522" s="17"/>
      <c r="AI522" s="16"/>
      <c r="AJ522" s="2">
        <f t="shared" si="217"/>
        <v>688</v>
      </c>
      <c r="AK522" s="2">
        <f t="shared" si="218"/>
        <v>1098</v>
      </c>
      <c r="AL522" s="2">
        <f t="shared" si="210"/>
        <v>1799</v>
      </c>
      <c r="AM522" s="2">
        <f t="shared" si="219"/>
        <v>956</v>
      </c>
    </row>
    <row r="523" spans="1:39" outlineLevel="1" x14ac:dyDescent="0.25">
      <c r="A523" t="s">
        <v>66</v>
      </c>
      <c r="B523" t="str">
        <f t="shared" si="228"/>
        <v>Doppeltür (980x1800)</v>
      </c>
      <c r="C523">
        <v>5209</v>
      </c>
      <c r="D523" t="s">
        <v>0</v>
      </c>
      <c r="E523">
        <v>980</v>
      </c>
      <c r="F523">
        <v>1800</v>
      </c>
      <c r="I523" s="45">
        <f t="shared" si="223"/>
        <v>1.764</v>
      </c>
      <c r="J523" s="46">
        <f t="shared" si="224"/>
        <v>5.5600000000000005</v>
      </c>
      <c r="K523" s="62">
        <f t="shared" si="202"/>
        <v>769</v>
      </c>
      <c r="L523" s="28">
        <v>572</v>
      </c>
      <c r="M523" s="13">
        <f t="shared" si="212"/>
        <v>0.34440559440559437</v>
      </c>
      <c r="N523" s="12">
        <f t="shared" si="220"/>
        <v>197</v>
      </c>
      <c r="O523" s="30"/>
      <c r="Q523" s="62">
        <f t="shared" si="225"/>
        <v>1514</v>
      </c>
      <c r="R523" s="50" t="s">
        <v>63</v>
      </c>
      <c r="S523" s="47"/>
      <c r="T523" s="50"/>
      <c r="U523" s="30" t="s">
        <v>72</v>
      </c>
      <c r="V523" s="30"/>
      <c r="W523" s="62">
        <f t="shared" si="226"/>
        <v>1072</v>
      </c>
      <c r="X523" s="28">
        <v>790</v>
      </c>
      <c r="Y523" s="13">
        <f t="shared" si="215"/>
        <v>0.3569620253164556</v>
      </c>
      <c r="Z523" s="12">
        <f t="shared" si="221"/>
        <v>282</v>
      </c>
      <c r="AA523" s="12"/>
      <c r="AB523" s="64"/>
      <c r="AC523" s="62">
        <f t="shared" si="227"/>
        <v>2017</v>
      </c>
      <c r="AD523" s="28" t="s">
        <v>63</v>
      </c>
      <c r="AE523" s="13" t="str">
        <f t="shared" si="216"/>
        <v>-</v>
      </c>
      <c r="AF523" s="12" t="str">
        <f t="shared" si="222"/>
        <v>-</v>
      </c>
      <c r="AG523" s="12"/>
      <c r="AH523" s="17"/>
      <c r="AI523" s="16"/>
      <c r="AJ523" s="2">
        <f t="shared" si="217"/>
        <v>846</v>
      </c>
      <c r="AK523" s="2">
        <f t="shared" si="218"/>
        <v>1665</v>
      </c>
      <c r="AL523" s="2">
        <f t="shared" si="210"/>
        <v>2219</v>
      </c>
      <c r="AM523" s="2">
        <f t="shared" si="219"/>
        <v>1179</v>
      </c>
    </row>
    <row r="524" spans="1:39" outlineLevel="1" x14ac:dyDescent="0.25">
      <c r="A524" t="s">
        <v>66</v>
      </c>
      <c r="B524" t="str">
        <f t="shared" si="228"/>
        <v xml:space="preserve"> (x)</v>
      </c>
      <c r="C524" s="3">
        <v>5210</v>
      </c>
      <c r="I524" s="45" t="str">
        <f t="shared" si="223"/>
        <v/>
      </c>
      <c r="J524" s="46" t="str">
        <f t="shared" si="224"/>
        <v/>
      </c>
      <c r="K524" s="62">
        <f t="shared" si="202"/>
        <v>0</v>
      </c>
      <c r="L524" s="28" t="s">
        <v>63</v>
      </c>
      <c r="M524" s="12" t="str">
        <f t="shared" si="212"/>
        <v>-</v>
      </c>
      <c r="N524" s="12" t="str">
        <f t="shared" si="220"/>
        <v>-</v>
      </c>
      <c r="O524" s="12"/>
      <c r="Q524" s="62">
        <f t="shared" si="225"/>
        <v>0</v>
      </c>
      <c r="R524" s="28" t="s">
        <v>63</v>
      </c>
      <c r="S524" s="12" t="str">
        <f t="shared" si="213"/>
        <v>-</v>
      </c>
      <c r="T524" s="12" t="str">
        <f t="shared" si="214"/>
        <v>-</v>
      </c>
      <c r="U524" s="12"/>
      <c r="V524" s="12"/>
      <c r="W524" s="62">
        <f t="shared" si="226"/>
        <v>10</v>
      </c>
      <c r="X524" s="28">
        <v>0</v>
      </c>
      <c r="Y524" s="12" t="str">
        <f t="shared" si="215"/>
        <v>-</v>
      </c>
      <c r="Z524" s="12">
        <f t="shared" si="221"/>
        <v>10</v>
      </c>
      <c r="AA524" s="12"/>
      <c r="AB524" s="64"/>
      <c r="AC524" s="62">
        <f t="shared" si="227"/>
        <v>19</v>
      </c>
      <c r="AD524" s="28" t="s">
        <v>63</v>
      </c>
      <c r="AE524" s="12" t="str">
        <f t="shared" si="216"/>
        <v>-</v>
      </c>
      <c r="AF524" s="12" t="str">
        <f t="shared" si="222"/>
        <v>-</v>
      </c>
      <c r="AG524" s="12"/>
      <c r="AH524" s="17"/>
      <c r="AI524" s="17"/>
      <c r="AJ524" s="2">
        <f t="shared" si="217"/>
        <v>0</v>
      </c>
      <c r="AK524" s="2">
        <f t="shared" si="218"/>
        <v>0</v>
      </c>
      <c r="AL524" s="2">
        <f t="shared" si="210"/>
        <v>21</v>
      </c>
      <c r="AM524" s="2">
        <f t="shared" si="219"/>
        <v>11</v>
      </c>
    </row>
    <row r="525" spans="1:39" outlineLevel="1" x14ac:dyDescent="0.25">
      <c r="A525" t="s">
        <v>66</v>
      </c>
      <c r="B525" t="str">
        <f t="shared" si="228"/>
        <v xml:space="preserve"> (x)</v>
      </c>
      <c r="C525" s="3">
        <v>5211</v>
      </c>
      <c r="I525" s="45" t="str">
        <f t="shared" si="223"/>
        <v/>
      </c>
      <c r="J525" s="46" t="str">
        <f t="shared" si="224"/>
        <v/>
      </c>
      <c r="K525" s="62">
        <f t="shared" si="202"/>
        <v>0</v>
      </c>
      <c r="L525" s="28" t="s">
        <v>63</v>
      </c>
      <c r="M525" s="12" t="str">
        <f t="shared" si="212"/>
        <v>-</v>
      </c>
      <c r="N525" s="12" t="str">
        <f t="shared" si="220"/>
        <v>-</v>
      </c>
      <c r="O525" s="12"/>
      <c r="Q525" s="62">
        <f t="shared" si="225"/>
        <v>0</v>
      </c>
      <c r="R525" s="28" t="s">
        <v>63</v>
      </c>
      <c r="S525" s="12" t="str">
        <f t="shared" si="213"/>
        <v>-</v>
      </c>
      <c r="T525" s="12" t="str">
        <f t="shared" si="214"/>
        <v>-</v>
      </c>
      <c r="U525" s="12"/>
      <c r="V525" s="12"/>
      <c r="W525" s="62">
        <f t="shared" si="226"/>
        <v>10</v>
      </c>
      <c r="X525" s="28">
        <v>0</v>
      </c>
      <c r="Y525" s="12" t="str">
        <f t="shared" si="215"/>
        <v>-</v>
      </c>
      <c r="Z525" s="12">
        <f t="shared" si="221"/>
        <v>10</v>
      </c>
      <c r="AA525" s="12"/>
      <c r="AB525" s="64"/>
      <c r="AC525" s="62">
        <f t="shared" si="227"/>
        <v>19</v>
      </c>
      <c r="AD525" s="28" t="s">
        <v>63</v>
      </c>
      <c r="AE525" s="12" t="str">
        <f t="shared" si="216"/>
        <v>-</v>
      </c>
      <c r="AF525" s="12" t="str">
        <f t="shared" si="222"/>
        <v>-</v>
      </c>
      <c r="AG525" s="12"/>
      <c r="AH525" s="17"/>
      <c r="AI525" s="17"/>
      <c r="AJ525" s="2">
        <f t="shared" si="217"/>
        <v>0</v>
      </c>
      <c r="AK525" s="2">
        <f t="shared" si="218"/>
        <v>0</v>
      </c>
      <c r="AL525" s="2">
        <f t="shared" si="210"/>
        <v>21</v>
      </c>
      <c r="AM525" s="2">
        <f t="shared" si="219"/>
        <v>11</v>
      </c>
    </row>
    <row r="526" spans="1:39" outlineLevel="1" x14ac:dyDescent="0.25">
      <c r="A526" t="s">
        <v>66</v>
      </c>
      <c r="B526" t="str">
        <f t="shared" si="228"/>
        <v xml:space="preserve"> (x)</v>
      </c>
      <c r="C526" s="3">
        <v>5212</v>
      </c>
      <c r="I526" s="45" t="str">
        <f t="shared" si="223"/>
        <v/>
      </c>
      <c r="J526" s="46" t="str">
        <f t="shared" si="224"/>
        <v/>
      </c>
      <c r="K526" s="62">
        <f t="shared" si="202"/>
        <v>0</v>
      </c>
      <c r="L526" s="28" t="s">
        <v>63</v>
      </c>
      <c r="M526" s="12" t="str">
        <f t="shared" si="212"/>
        <v>-</v>
      </c>
      <c r="N526" s="12" t="str">
        <f t="shared" si="220"/>
        <v>-</v>
      </c>
      <c r="O526" s="12"/>
      <c r="Q526" s="62">
        <f t="shared" si="225"/>
        <v>0</v>
      </c>
      <c r="R526" s="28" t="s">
        <v>63</v>
      </c>
      <c r="S526" s="12" t="str">
        <f t="shared" si="213"/>
        <v>-</v>
      </c>
      <c r="T526" s="12" t="str">
        <f t="shared" si="214"/>
        <v>-</v>
      </c>
      <c r="U526" s="12"/>
      <c r="V526" s="12"/>
      <c r="W526" s="62">
        <f t="shared" si="226"/>
        <v>10</v>
      </c>
      <c r="X526" s="28">
        <v>0</v>
      </c>
      <c r="Y526" s="12" t="str">
        <f t="shared" si="215"/>
        <v>-</v>
      </c>
      <c r="Z526" s="12">
        <f t="shared" si="221"/>
        <v>10</v>
      </c>
      <c r="AA526" s="12"/>
      <c r="AB526" s="64"/>
      <c r="AC526" s="62">
        <f t="shared" si="227"/>
        <v>19</v>
      </c>
      <c r="AD526" s="28" t="s">
        <v>63</v>
      </c>
      <c r="AE526" s="12" t="str">
        <f t="shared" si="216"/>
        <v>-</v>
      </c>
      <c r="AF526" s="12" t="str">
        <f t="shared" si="222"/>
        <v>-</v>
      </c>
      <c r="AG526" s="12"/>
      <c r="AH526" s="17"/>
      <c r="AI526" s="17"/>
      <c r="AJ526" s="2">
        <f t="shared" si="217"/>
        <v>0</v>
      </c>
      <c r="AK526" s="2">
        <f t="shared" si="218"/>
        <v>0</v>
      </c>
      <c r="AL526" s="2">
        <f t="shared" si="210"/>
        <v>21</v>
      </c>
      <c r="AM526" s="2">
        <f t="shared" si="219"/>
        <v>11</v>
      </c>
    </row>
    <row r="527" spans="1:39" outlineLevel="1" x14ac:dyDescent="0.25">
      <c r="A527" t="s">
        <v>66</v>
      </c>
      <c r="B527" t="str">
        <f t="shared" si="228"/>
        <v xml:space="preserve"> (x)</v>
      </c>
      <c r="C527" s="3">
        <v>5213</v>
      </c>
      <c r="I527" s="45" t="str">
        <f t="shared" si="223"/>
        <v/>
      </c>
      <c r="J527" s="46" t="str">
        <f t="shared" si="224"/>
        <v/>
      </c>
      <c r="K527" s="62">
        <f t="shared" si="202"/>
        <v>0</v>
      </c>
      <c r="L527" s="28" t="s">
        <v>63</v>
      </c>
      <c r="M527" s="12" t="str">
        <f t="shared" si="212"/>
        <v>-</v>
      </c>
      <c r="N527" s="12" t="str">
        <f t="shared" si="220"/>
        <v>-</v>
      </c>
      <c r="O527" s="12"/>
      <c r="Q527" s="62">
        <f t="shared" si="225"/>
        <v>0</v>
      </c>
      <c r="R527" s="28" t="s">
        <v>63</v>
      </c>
      <c r="S527" s="12" t="str">
        <f t="shared" si="213"/>
        <v>-</v>
      </c>
      <c r="T527" s="12" t="str">
        <f t="shared" si="214"/>
        <v>-</v>
      </c>
      <c r="U527" s="12"/>
      <c r="V527" s="12"/>
      <c r="W527" s="62">
        <f t="shared" si="226"/>
        <v>10</v>
      </c>
      <c r="X527" s="28">
        <v>0</v>
      </c>
      <c r="Y527" s="12" t="str">
        <f t="shared" si="215"/>
        <v>-</v>
      </c>
      <c r="Z527" s="12">
        <f t="shared" si="221"/>
        <v>10</v>
      </c>
      <c r="AA527" s="12"/>
      <c r="AB527" s="64"/>
      <c r="AC527" s="62">
        <f t="shared" si="227"/>
        <v>19</v>
      </c>
      <c r="AD527" s="28" t="s">
        <v>63</v>
      </c>
      <c r="AE527" s="12" t="str">
        <f t="shared" si="216"/>
        <v>-</v>
      </c>
      <c r="AF527" s="12" t="str">
        <f t="shared" si="222"/>
        <v>-</v>
      </c>
      <c r="AG527" s="12"/>
      <c r="AH527" s="17"/>
      <c r="AI527" s="17"/>
      <c r="AJ527" s="2">
        <f t="shared" si="217"/>
        <v>0</v>
      </c>
      <c r="AK527" s="2">
        <f t="shared" si="218"/>
        <v>0</v>
      </c>
      <c r="AL527" s="2">
        <f t="shared" si="210"/>
        <v>21</v>
      </c>
      <c r="AM527" s="2">
        <f t="shared" si="219"/>
        <v>11</v>
      </c>
    </row>
    <row r="528" spans="1:39" outlineLevel="1" x14ac:dyDescent="0.25">
      <c r="A528" t="s">
        <v>66</v>
      </c>
      <c r="B528" t="str">
        <f t="shared" si="228"/>
        <v xml:space="preserve"> (x)</v>
      </c>
      <c r="C528" s="3">
        <v>5214</v>
      </c>
      <c r="I528" s="45" t="str">
        <f t="shared" si="223"/>
        <v/>
      </c>
      <c r="J528" s="46" t="str">
        <f t="shared" si="224"/>
        <v/>
      </c>
      <c r="K528" s="62">
        <f t="shared" si="202"/>
        <v>0</v>
      </c>
      <c r="L528" s="28" t="s">
        <v>63</v>
      </c>
      <c r="M528" s="12" t="str">
        <f t="shared" si="212"/>
        <v>-</v>
      </c>
      <c r="N528" s="12" t="str">
        <f t="shared" si="220"/>
        <v>-</v>
      </c>
      <c r="O528" s="12"/>
      <c r="Q528" s="62">
        <f t="shared" si="225"/>
        <v>0</v>
      </c>
      <c r="R528" s="28" t="s">
        <v>63</v>
      </c>
      <c r="S528" s="12" t="str">
        <f t="shared" si="213"/>
        <v>-</v>
      </c>
      <c r="T528" s="12" t="str">
        <f t="shared" si="214"/>
        <v>-</v>
      </c>
      <c r="U528" s="12"/>
      <c r="V528" s="12"/>
      <c r="W528" s="62">
        <f t="shared" si="226"/>
        <v>10</v>
      </c>
      <c r="X528" s="28">
        <v>0</v>
      </c>
      <c r="Y528" s="12" t="str">
        <f t="shared" si="215"/>
        <v>-</v>
      </c>
      <c r="Z528" s="12">
        <f t="shared" si="221"/>
        <v>10</v>
      </c>
      <c r="AA528" s="12"/>
      <c r="AB528" s="64"/>
      <c r="AC528" s="62">
        <f t="shared" si="227"/>
        <v>19</v>
      </c>
      <c r="AD528" s="28" t="s">
        <v>63</v>
      </c>
      <c r="AE528" s="12" t="str">
        <f t="shared" si="216"/>
        <v>-</v>
      </c>
      <c r="AF528" s="12" t="str">
        <f t="shared" si="222"/>
        <v>-</v>
      </c>
      <c r="AG528" s="12"/>
      <c r="AH528" s="17"/>
      <c r="AI528" s="17"/>
      <c r="AJ528" s="2">
        <f t="shared" si="217"/>
        <v>0</v>
      </c>
      <c r="AK528" s="2">
        <f t="shared" si="218"/>
        <v>0</v>
      </c>
      <c r="AL528" s="2">
        <f t="shared" si="210"/>
        <v>21</v>
      </c>
      <c r="AM528" s="2">
        <f t="shared" si="219"/>
        <v>11</v>
      </c>
    </row>
    <row r="529" spans="1:40" outlineLevel="1" x14ac:dyDescent="0.25">
      <c r="A529" t="s">
        <v>66</v>
      </c>
      <c r="B529" t="str">
        <f t="shared" si="228"/>
        <v xml:space="preserve"> (x)</v>
      </c>
      <c r="C529" s="3">
        <v>5215</v>
      </c>
      <c r="I529" s="45" t="str">
        <f t="shared" si="223"/>
        <v/>
      </c>
      <c r="J529" s="46" t="str">
        <f t="shared" si="224"/>
        <v/>
      </c>
      <c r="K529" s="62">
        <f t="shared" ref="K529:K593" si="229">+IFERROR(ROUND(L529*(1+L$2)^N$2+J$463,0),0)</f>
        <v>0</v>
      </c>
      <c r="L529" s="28" t="s">
        <v>63</v>
      </c>
      <c r="M529" s="12" t="str">
        <f t="shared" si="212"/>
        <v>-</v>
      </c>
      <c r="N529" s="12" t="str">
        <f t="shared" si="220"/>
        <v>-</v>
      </c>
      <c r="O529" s="12"/>
      <c r="Q529" s="62">
        <f t="shared" si="225"/>
        <v>0</v>
      </c>
      <c r="R529" s="28" t="s">
        <v>63</v>
      </c>
      <c r="S529" s="12" t="str">
        <f t="shared" si="213"/>
        <v>-</v>
      </c>
      <c r="T529" s="12" t="str">
        <f t="shared" si="214"/>
        <v>-</v>
      </c>
      <c r="U529" s="12"/>
      <c r="V529" s="12"/>
      <c r="W529" s="62">
        <f t="shared" si="226"/>
        <v>10</v>
      </c>
      <c r="X529" s="28">
        <v>0</v>
      </c>
      <c r="Y529" s="12" t="str">
        <f t="shared" si="215"/>
        <v>-</v>
      </c>
      <c r="Z529" s="12">
        <f t="shared" si="221"/>
        <v>10</v>
      </c>
      <c r="AA529" s="12"/>
      <c r="AB529" s="64"/>
      <c r="AC529" s="62">
        <f t="shared" si="227"/>
        <v>19</v>
      </c>
      <c r="AD529" s="28" t="s">
        <v>63</v>
      </c>
      <c r="AE529" s="12" t="str">
        <f t="shared" si="216"/>
        <v>-</v>
      </c>
      <c r="AF529" s="12" t="str">
        <f t="shared" si="222"/>
        <v>-</v>
      </c>
      <c r="AG529" s="12"/>
      <c r="AH529" s="17"/>
      <c r="AI529" s="17"/>
      <c r="AJ529" s="2">
        <f t="shared" si="217"/>
        <v>0</v>
      </c>
      <c r="AK529" s="2">
        <f t="shared" si="218"/>
        <v>0</v>
      </c>
      <c r="AL529" s="2">
        <f t="shared" si="210"/>
        <v>21</v>
      </c>
      <c r="AM529" s="2">
        <f t="shared" si="219"/>
        <v>11</v>
      </c>
    </row>
    <row r="530" spans="1:40" outlineLevel="1" x14ac:dyDescent="0.25">
      <c r="A530" t="s">
        <v>66</v>
      </c>
      <c r="B530" t="str">
        <f t="shared" si="228"/>
        <v xml:space="preserve"> (x)</v>
      </c>
      <c r="C530" s="3">
        <v>5216</v>
      </c>
      <c r="I530" s="45" t="str">
        <f t="shared" si="223"/>
        <v/>
      </c>
      <c r="J530" s="46" t="str">
        <f t="shared" si="224"/>
        <v/>
      </c>
      <c r="K530" s="62">
        <f t="shared" si="229"/>
        <v>0</v>
      </c>
      <c r="L530" s="28" t="s">
        <v>63</v>
      </c>
      <c r="M530" s="12" t="str">
        <f t="shared" si="212"/>
        <v>-</v>
      </c>
      <c r="N530" s="12" t="str">
        <f t="shared" si="220"/>
        <v>-</v>
      </c>
      <c r="O530" s="12"/>
      <c r="Q530" s="62">
        <f t="shared" si="225"/>
        <v>0</v>
      </c>
      <c r="R530" s="28" t="s">
        <v>63</v>
      </c>
      <c r="S530" s="12" t="str">
        <f t="shared" si="213"/>
        <v>-</v>
      </c>
      <c r="T530" s="12" t="str">
        <f t="shared" si="214"/>
        <v>-</v>
      </c>
      <c r="U530" s="12"/>
      <c r="V530" s="12"/>
      <c r="W530" s="62">
        <f t="shared" si="226"/>
        <v>10</v>
      </c>
      <c r="X530" s="28">
        <v>0</v>
      </c>
      <c r="Y530" s="12" t="str">
        <f t="shared" si="215"/>
        <v>-</v>
      </c>
      <c r="Z530" s="12">
        <f t="shared" si="221"/>
        <v>10</v>
      </c>
      <c r="AA530" s="12"/>
      <c r="AB530" s="64"/>
      <c r="AC530" s="62">
        <f t="shared" si="227"/>
        <v>19</v>
      </c>
      <c r="AD530" s="28" t="s">
        <v>63</v>
      </c>
      <c r="AE530" s="12" t="str">
        <f t="shared" si="216"/>
        <v>-</v>
      </c>
      <c r="AF530" s="12" t="str">
        <f t="shared" si="222"/>
        <v>-</v>
      </c>
      <c r="AG530" s="12"/>
      <c r="AH530" s="17"/>
      <c r="AI530" s="17"/>
      <c r="AJ530" s="2">
        <f t="shared" si="217"/>
        <v>0</v>
      </c>
      <c r="AK530" s="2">
        <f t="shared" si="218"/>
        <v>0</v>
      </c>
      <c r="AL530" s="2">
        <f t="shared" si="210"/>
        <v>21</v>
      </c>
      <c r="AM530" s="2">
        <f t="shared" si="219"/>
        <v>11</v>
      </c>
    </row>
    <row r="531" spans="1:40" outlineLevel="1" x14ac:dyDescent="0.25">
      <c r="A531" t="s">
        <v>66</v>
      </c>
      <c r="B531" t="str">
        <f t="shared" si="228"/>
        <v xml:space="preserve"> (x)</v>
      </c>
      <c r="C531" s="3">
        <v>5217</v>
      </c>
      <c r="I531" s="45" t="str">
        <f t="shared" si="223"/>
        <v/>
      </c>
      <c r="J531" s="46" t="str">
        <f t="shared" si="224"/>
        <v/>
      </c>
      <c r="K531" s="62">
        <f t="shared" si="229"/>
        <v>0</v>
      </c>
      <c r="L531" s="28" t="s">
        <v>63</v>
      </c>
      <c r="M531" s="12" t="str">
        <f t="shared" si="212"/>
        <v>-</v>
      </c>
      <c r="N531" s="12" t="str">
        <f t="shared" si="220"/>
        <v>-</v>
      </c>
      <c r="O531" s="12"/>
      <c r="Q531" s="62">
        <f t="shared" si="225"/>
        <v>0</v>
      </c>
      <c r="R531" s="28" t="s">
        <v>63</v>
      </c>
      <c r="S531" s="12" t="str">
        <f t="shared" si="213"/>
        <v>-</v>
      </c>
      <c r="T531" s="12" t="str">
        <f t="shared" si="214"/>
        <v>-</v>
      </c>
      <c r="U531" s="12"/>
      <c r="V531" s="12"/>
      <c r="W531" s="62">
        <f t="shared" si="226"/>
        <v>10</v>
      </c>
      <c r="X531" s="28">
        <v>0</v>
      </c>
      <c r="Y531" s="12" t="str">
        <f t="shared" si="215"/>
        <v>-</v>
      </c>
      <c r="Z531" s="12">
        <f t="shared" si="221"/>
        <v>10</v>
      </c>
      <c r="AA531" s="12"/>
      <c r="AB531" s="64"/>
      <c r="AC531" s="62">
        <f t="shared" si="227"/>
        <v>19</v>
      </c>
      <c r="AD531" s="28" t="s">
        <v>63</v>
      </c>
      <c r="AE531" s="12" t="str">
        <f t="shared" si="216"/>
        <v>-</v>
      </c>
      <c r="AF531" s="12" t="str">
        <f t="shared" si="222"/>
        <v>-</v>
      </c>
      <c r="AG531" s="12"/>
      <c r="AH531" s="17"/>
      <c r="AI531" s="17"/>
      <c r="AJ531" s="2">
        <f t="shared" si="217"/>
        <v>0</v>
      </c>
      <c r="AK531" s="2">
        <f t="shared" si="218"/>
        <v>0</v>
      </c>
      <c r="AL531" s="2">
        <f t="shared" si="210"/>
        <v>21</v>
      </c>
      <c r="AM531" s="2">
        <f t="shared" si="219"/>
        <v>11</v>
      </c>
    </row>
    <row r="532" spans="1:40" outlineLevel="1" x14ac:dyDescent="0.25">
      <c r="A532" t="s">
        <v>66</v>
      </c>
      <c r="B532" t="str">
        <f t="shared" si="228"/>
        <v xml:space="preserve"> (x)</v>
      </c>
      <c r="C532" s="3">
        <v>5218</v>
      </c>
      <c r="I532" s="45" t="str">
        <f t="shared" si="223"/>
        <v/>
      </c>
      <c r="J532" s="46" t="str">
        <f t="shared" si="224"/>
        <v/>
      </c>
      <c r="K532" s="62">
        <f t="shared" si="229"/>
        <v>0</v>
      </c>
      <c r="L532" s="28" t="s">
        <v>63</v>
      </c>
      <c r="M532" s="12" t="str">
        <f t="shared" si="212"/>
        <v>-</v>
      </c>
      <c r="N532" s="12" t="str">
        <f t="shared" si="220"/>
        <v>-</v>
      </c>
      <c r="O532" s="12"/>
      <c r="Q532" s="62">
        <f t="shared" si="225"/>
        <v>0</v>
      </c>
      <c r="R532" s="28" t="s">
        <v>63</v>
      </c>
      <c r="S532" s="12" t="str">
        <f t="shared" si="213"/>
        <v>-</v>
      </c>
      <c r="T532" s="12" t="str">
        <f t="shared" si="214"/>
        <v>-</v>
      </c>
      <c r="U532" s="12"/>
      <c r="V532" s="12"/>
      <c r="W532" s="62">
        <f t="shared" si="226"/>
        <v>10</v>
      </c>
      <c r="X532" s="28">
        <v>0</v>
      </c>
      <c r="Y532" s="12" t="str">
        <f t="shared" si="215"/>
        <v>-</v>
      </c>
      <c r="Z532" s="12">
        <f t="shared" si="221"/>
        <v>10</v>
      </c>
      <c r="AA532" s="12"/>
      <c r="AB532" s="64"/>
      <c r="AC532" s="62">
        <f t="shared" si="227"/>
        <v>19</v>
      </c>
      <c r="AD532" s="28" t="s">
        <v>63</v>
      </c>
      <c r="AE532" s="12" t="str">
        <f t="shared" si="216"/>
        <v>-</v>
      </c>
      <c r="AF532" s="12" t="str">
        <f t="shared" si="222"/>
        <v>-</v>
      </c>
      <c r="AG532" s="12"/>
      <c r="AH532" s="17"/>
      <c r="AI532" s="17"/>
      <c r="AJ532" s="2">
        <f t="shared" si="217"/>
        <v>0</v>
      </c>
      <c r="AK532" s="2">
        <f t="shared" si="218"/>
        <v>0</v>
      </c>
      <c r="AL532" s="2">
        <f t="shared" si="210"/>
        <v>21</v>
      </c>
      <c r="AM532" s="2">
        <f t="shared" si="219"/>
        <v>11</v>
      </c>
    </row>
    <row r="533" spans="1:40" outlineLevel="1" x14ac:dyDescent="0.25">
      <c r="A533" t="s">
        <v>66</v>
      </c>
      <c r="B533" t="str">
        <f t="shared" si="228"/>
        <v xml:space="preserve"> (x)</v>
      </c>
      <c r="C533" s="3">
        <v>5219</v>
      </c>
      <c r="I533" s="45" t="str">
        <f t="shared" si="223"/>
        <v/>
      </c>
      <c r="J533" s="46" t="str">
        <f t="shared" si="224"/>
        <v/>
      </c>
      <c r="K533" s="62">
        <f t="shared" si="229"/>
        <v>0</v>
      </c>
      <c r="L533" s="28" t="s">
        <v>63</v>
      </c>
      <c r="M533" s="12" t="str">
        <f t="shared" si="212"/>
        <v>-</v>
      </c>
      <c r="N533" s="12" t="str">
        <f t="shared" si="220"/>
        <v>-</v>
      </c>
      <c r="O533" s="12"/>
      <c r="Q533" s="62">
        <f t="shared" si="225"/>
        <v>0</v>
      </c>
      <c r="R533" s="28" t="s">
        <v>63</v>
      </c>
      <c r="S533" s="12" t="str">
        <f t="shared" si="213"/>
        <v>-</v>
      </c>
      <c r="T533" s="12" t="str">
        <f t="shared" si="214"/>
        <v>-</v>
      </c>
      <c r="U533" s="12"/>
      <c r="V533" s="12"/>
      <c r="W533" s="62">
        <f t="shared" si="226"/>
        <v>10</v>
      </c>
      <c r="X533" s="28">
        <v>0</v>
      </c>
      <c r="Y533" s="12" t="str">
        <f t="shared" si="215"/>
        <v>-</v>
      </c>
      <c r="Z533" s="12">
        <f t="shared" si="221"/>
        <v>10</v>
      </c>
      <c r="AA533" s="12"/>
      <c r="AB533" s="64"/>
      <c r="AC533" s="62">
        <f t="shared" si="227"/>
        <v>19</v>
      </c>
      <c r="AD533" s="28" t="s">
        <v>63</v>
      </c>
      <c r="AE533" s="12" t="str">
        <f t="shared" si="216"/>
        <v>-</v>
      </c>
      <c r="AF533" s="12" t="str">
        <f t="shared" si="222"/>
        <v>-</v>
      </c>
      <c r="AG533" s="12"/>
      <c r="AH533" s="17"/>
      <c r="AI533" s="17"/>
      <c r="AJ533" s="2">
        <f t="shared" si="217"/>
        <v>0</v>
      </c>
      <c r="AK533" s="2">
        <f t="shared" si="218"/>
        <v>0</v>
      </c>
      <c r="AL533" s="2">
        <f t="shared" si="210"/>
        <v>21</v>
      </c>
      <c r="AM533" s="2">
        <f t="shared" si="219"/>
        <v>11</v>
      </c>
    </row>
    <row r="534" spans="1:40" outlineLevel="1" x14ac:dyDescent="0.25">
      <c r="A534" t="s">
        <v>66</v>
      </c>
      <c r="B534" t="str">
        <f t="shared" si="228"/>
        <v xml:space="preserve"> (x)</v>
      </c>
      <c r="C534" s="3">
        <v>5220</v>
      </c>
      <c r="I534" s="45" t="str">
        <f t="shared" si="223"/>
        <v/>
      </c>
      <c r="J534" s="46" t="str">
        <f t="shared" si="224"/>
        <v/>
      </c>
      <c r="K534" s="62">
        <f t="shared" si="229"/>
        <v>0</v>
      </c>
      <c r="L534" s="28" t="s">
        <v>63</v>
      </c>
      <c r="M534" s="12" t="str">
        <f t="shared" si="212"/>
        <v>-</v>
      </c>
      <c r="N534" s="12" t="str">
        <f t="shared" si="220"/>
        <v>-</v>
      </c>
      <c r="O534" s="12"/>
      <c r="Q534" s="62">
        <f t="shared" si="225"/>
        <v>0</v>
      </c>
      <c r="R534" s="28" t="s">
        <v>63</v>
      </c>
      <c r="S534" s="12" t="str">
        <f t="shared" si="213"/>
        <v>-</v>
      </c>
      <c r="T534" s="12" t="str">
        <f t="shared" si="214"/>
        <v>-</v>
      </c>
      <c r="U534" s="12"/>
      <c r="V534" s="12"/>
      <c r="W534" s="62">
        <f t="shared" si="226"/>
        <v>10</v>
      </c>
      <c r="X534" s="28">
        <v>0</v>
      </c>
      <c r="Y534" s="12" t="str">
        <f t="shared" si="215"/>
        <v>-</v>
      </c>
      <c r="Z534" s="12">
        <f t="shared" si="221"/>
        <v>10</v>
      </c>
      <c r="AA534" s="12"/>
      <c r="AB534" s="64"/>
      <c r="AC534" s="62">
        <f t="shared" si="227"/>
        <v>19</v>
      </c>
      <c r="AD534" s="28" t="s">
        <v>63</v>
      </c>
      <c r="AE534" s="12" t="str">
        <f t="shared" si="216"/>
        <v>-</v>
      </c>
      <c r="AF534" s="12" t="str">
        <f t="shared" si="222"/>
        <v>-</v>
      </c>
      <c r="AG534" s="12"/>
      <c r="AH534" s="17"/>
      <c r="AI534" s="17"/>
      <c r="AJ534" s="2">
        <f t="shared" si="217"/>
        <v>0</v>
      </c>
      <c r="AK534" s="2">
        <f t="shared" si="218"/>
        <v>0</v>
      </c>
      <c r="AL534" s="2">
        <f t="shared" si="210"/>
        <v>21</v>
      </c>
      <c r="AM534" s="2">
        <f t="shared" si="219"/>
        <v>11</v>
      </c>
    </row>
    <row r="535" spans="1:40" outlineLevel="1" x14ac:dyDescent="0.25">
      <c r="A535" t="s">
        <v>66</v>
      </c>
      <c r="B535" s="6" t="str">
        <f>IF(OR(E535="-",F535="-"),"-",D535&amp;" ("&amp;E535&amp;"x"&amp;F535&amp;")")</f>
        <v>Doppeltür (652x384)</v>
      </c>
      <c r="C535" s="3" t="s">
        <v>14</v>
      </c>
      <c r="D535" s="6" t="s">
        <v>0</v>
      </c>
      <c r="E535">
        <v>652</v>
      </c>
      <c r="F535">
        <v>384</v>
      </c>
      <c r="G535">
        <v>720</v>
      </c>
      <c r="H535">
        <v>420</v>
      </c>
      <c r="I535" s="45">
        <f t="shared" si="223"/>
        <v>0.25036799999999998</v>
      </c>
      <c r="J535" s="46">
        <f t="shared" si="224"/>
        <v>2.0720000000000001</v>
      </c>
      <c r="K535" s="62">
        <f t="shared" si="229"/>
        <v>0</v>
      </c>
      <c r="L535" s="28" t="s">
        <v>63</v>
      </c>
      <c r="M535" s="12" t="str">
        <f t="shared" si="212"/>
        <v>-</v>
      </c>
      <c r="N535" s="12" t="str">
        <f t="shared" si="220"/>
        <v>-</v>
      </c>
      <c r="O535" s="30"/>
      <c r="Q535" s="62">
        <f t="shared" si="225"/>
        <v>0</v>
      </c>
      <c r="R535" s="28" t="s">
        <v>63</v>
      </c>
      <c r="S535" s="12" t="str">
        <f t="shared" si="213"/>
        <v>-</v>
      </c>
      <c r="T535" s="12" t="str">
        <f t="shared" si="214"/>
        <v>-</v>
      </c>
      <c r="U535" s="30" t="s">
        <v>72</v>
      </c>
      <c r="V535" s="30"/>
      <c r="W535" s="62">
        <f t="shared" si="226"/>
        <v>10</v>
      </c>
      <c r="X535" s="28">
        <v>0</v>
      </c>
      <c r="Y535" s="12" t="str">
        <f t="shared" si="215"/>
        <v>-</v>
      </c>
      <c r="Z535" s="12">
        <f t="shared" si="221"/>
        <v>10</v>
      </c>
      <c r="AA535" s="30" t="s">
        <v>73</v>
      </c>
      <c r="AB535" s="64"/>
      <c r="AC535" s="62">
        <f t="shared" si="227"/>
        <v>19</v>
      </c>
      <c r="AD535" s="28" t="s">
        <v>63</v>
      </c>
      <c r="AE535" s="12" t="str">
        <f t="shared" si="216"/>
        <v>-</v>
      </c>
      <c r="AF535" s="12" t="str">
        <f t="shared" si="222"/>
        <v>-</v>
      </c>
      <c r="AG535" s="30" t="s">
        <v>73</v>
      </c>
      <c r="AH535" s="17"/>
      <c r="AI535" s="17"/>
      <c r="AJ535" s="2">
        <f t="shared" si="217"/>
        <v>0</v>
      </c>
      <c r="AK535" s="2">
        <f t="shared" si="218"/>
        <v>0</v>
      </c>
      <c r="AL535" s="2">
        <f t="shared" si="210"/>
        <v>21</v>
      </c>
      <c r="AM535" s="2">
        <f t="shared" si="219"/>
        <v>11</v>
      </c>
    </row>
    <row r="536" spans="1:40" s="14" customFormat="1" x14ac:dyDescent="0.25">
      <c r="A536" s="32"/>
      <c r="B536" s="5" t="s">
        <v>61</v>
      </c>
      <c r="C536" s="5"/>
      <c r="D536" s="5"/>
      <c r="E536" s="5"/>
      <c r="F536" s="5"/>
      <c r="G536" s="5"/>
      <c r="H536" s="5"/>
      <c r="I536" s="44" t="str">
        <f t="shared" si="223"/>
        <v/>
      </c>
      <c r="J536" s="44" t="str">
        <f t="shared" si="224"/>
        <v/>
      </c>
      <c r="K536" s="62">
        <f t="shared" si="229"/>
        <v>0</v>
      </c>
      <c r="L536" s="44" t="str">
        <f t="shared" si="224"/>
        <v/>
      </c>
      <c r="M536" s="44" t="str">
        <f t="shared" si="224"/>
        <v/>
      </c>
      <c r="N536" s="44" t="str">
        <f t="shared" si="224"/>
        <v/>
      </c>
      <c r="O536" s="44" t="str">
        <f t="shared" si="224"/>
        <v/>
      </c>
      <c r="P536" s="44" t="str">
        <f t="shared" si="224"/>
        <v/>
      </c>
      <c r="Q536" s="44">
        <f t="shared" si="225"/>
        <v>0</v>
      </c>
      <c r="R536" s="44" t="str">
        <f t="shared" si="224"/>
        <v/>
      </c>
      <c r="S536" s="44" t="str">
        <f t="shared" si="224"/>
        <v/>
      </c>
      <c r="T536" s="44" t="str">
        <f t="shared" si="224"/>
        <v/>
      </c>
      <c r="U536" s="44" t="str">
        <f t="shared" si="224"/>
        <v/>
      </c>
      <c r="V536" s="44" t="str">
        <f t="shared" ref="V536:AN536" si="230">IF($F536="","",2*MAX($E536,360)/1000+2*MAX($F536,360)/1000)</f>
        <v/>
      </c>
      <c r="W536" s="44">
        <f t="shared" si="226"/>
        <v>0</v>
      </c>
      <c r="X536" s="44" t="str">
        <f t="shared" si="230"/>
        <v/>
      </c>
      <c r="Y536" s="44" t="str">
        <f t="shared" si="230"/>
        <v/>
      </c>
      <c r="Z536" s="44" t="str">
        <f t="shared" si="230"/>
        <v/>
      </c>
      <c r="AA536" s="44" t="str">
        <f t="shared" si="230"/>
        <v/>
      </c>
      <c r="AB536" s="44" t="str">
        <f t="shared" si="230"/>
        <v/>
      </c>
      <c r="AC536" s="44">
        <f t="shared" si="227"/>
        <v>0</v>
      </c>
      <c r="AD536" s="44" t="str">
        <f t="shared" si="230"/>
        <v/>
      </c>
      <c r="AE536" s="44" t="str">
        <f t="shared" si="230"/>
        <v/>
      </c>
      <c r="AF536" s="44" t="str">
        <f t="shared" si="230"/>
        <v/>
      </c>
      <c r="AG536" s="44" t="str">
        <f t="shared" si="230"/>
        <v/>
      </c>
      <c r="AH536" s="44"/>
      <c r="AI536" s="44" t="str">
        <f t="shared" si="230"/>
        <v/>
      </c>
      <c r="AJ536" s="44" t="str">
        <f t="shared" si="230"/>
        <v/>
      </c>
      <c r="AK536" s="44" t="str">
        <f t="shared" si="230"/>
        <v/>
      </c>
      <c r="AL536" s="44" t="str">
        <f t="shared" si="230"/>
        <v/>
      </c>
      <c r="AM536" s="44" t="str">
        <f t="shared" si="230"/>
        <v/>
      </c>
      <c r="AN536" s="44" t="str">
        <f t="shared" si="230"/>
        <v/>
      </c>
    </row>
    <row r="537" spans="1:40" outlineLevel="1" x14ac:dyDescent="0.25">
      <c r="A537" t="s">
        <v>67</v>
      </c>
      <c r="B537" t="str">
        <f t="shared" si="228"/>
        <v>Schublade (420x180)</v>
      </c>
      <c r="C537">
        <v>5300</v>
      </c>
      <c r="D537" t="s">
        <v>61</v>
      </c>
      <c r="E537">
        <v>420</v>
      </c>
      <c r="F537">
        <v>180</v>
      </c>
      <c r="I537" s="45">
        <f>+IF($E537="","",MAX($E537,180)/1000*MAX($F537,180)/1000)</f>
        <v>7.5600000000000001E-2</v>
      </c>
      <c r="J537" s="46">
        <f t="shared" si="224"/>
        <v>1.56</v>
      </c>
      <c r="K537" s="62">
        <f t="shared" si="229"/>
        <v>285</v>
      </c>
      <c r="L537" s="28">
        <v>212</v>
      </c>
      <c r="M537" s="13">
        <f t="shared" ref="M537:M566" si="231">IFERROR(K537/L537-1,"-")</f>
        <v>0.34433962264150941</v>
      </c>
      <c r="N537" s="12">
        <f t="shared" si="220"/>
        <v>73</v>
      </c>
      <c r="O537" s="30" t="s">
        <v>72</v>
      </c>
      <c r="Q537" s="62">
        <f t="shared" si="225"/>
        <v>345</v>
      </c>
      <c r="R537" s="28">
        <v>242</v>
      </c>
      <c r="S537" s="13">
        <f t="shared" ref="S537:S566" si="232">IFERROR(Q537/R537-1,"-")</f>
        <v>0.42561983471074383</v>
      </c>
      <c r="T537" s="12">
        <f t="shared" si="214"/>
        <v>103</v>
      </c>
      <c r="U537" s="30" t="s">
        <v>72</v>
      </c>
      <c r="V537" s="30"/>
      <c r="W537" s="62">
        <f t="shared" si="226"/>
        <v>329</v>
      </c>
      <c r="X537" s="28">
        <v>237</v>
      </c>
      <c r="Y537" s="13">
        <f t="shared" ref="Y537:Y566" si="233">IFERROR(W537/X537-1,"-")</f>
        <v>0.38818565400843874</v>
      </c>
      <c r="Z537" s="12">
        <f t="shared" si="221"/>
        <v>92</v>
      </c>
      <c r="AA537" s="12"/>
      <c r="AB537" s="64"/>
      <c r="AC537" s="62">
        <f t="shared" si="227"/>
        <v>619</v>
      </c>
      <c r="AD537" s="28" t="s">
        <v>63</v>
      </c>
      <c r="AE537" s="13" t="str">
        <f t="shared" ref="AE537:AE566" si="234">IFERROR(AC537/AD537-1,"-")</f>
        <v>-</v>
      </c>
      <c r="AF537" s="12" t="str">
        <f t="shared" si="222"/>
        <v>-</v>
      </c>
      <c r="AG537" s="30" t="s">
        <v>72</v>
      </c>
      <c r="AH537" s="17"/>
      <c r="AI537" s="16"/>
      <c r="AJ537" s="2">
        <f t="shared" ref="AJ537:AJ566" si="235">+IFERROR(ROUND(K537*(1+AJ$2),0),"-")</f>
        <v>314</v>
      </c>
      <c r="AK537" s="2">
        <f t="shared" ref="AK537:AK566" si="236">+IFERROR(ROUND(Q537*(1+AK$2),0),"-")</f>
        <v>380</v>
      </c>
      <c r="AL537" s="2">
        <f t="shared" si="210"/>
        <v>681</v>
      </c>
      <c r="AM537" s="2">
        <f t="shared" ref="AM537:AM569" si="237">+IFERROR(ROUND(W537*(1+AM$2),0),"-")</f>
        <v>362</v>
      </c>
    </row>
    <row r="538" spans="1:40" outlineLevel="1" x14ac:dyDescent="0.25">
      <c r="A538" t="s">
        <v>67</v>
      </c>
      <c r="B538" t="str">
        <f t="shared" si="228"/>
        <v>Schublade (420x360)</v>
      </c>
      <c r="C538">
        <v>5301</v>
      </c>
      <c r="D538" t="s">
        <v>61</v>
      </c>
      <c r="E538">
        <v>420</v>
      </c>
      <c r="F538">
        <v>360</v>
      </c>
      <c r="I538" s="45">
        <f t="shared" ref="I538:T600" si="238">+IF($E538="","",MAX($E538,180)/1000*MAX($F538,180)/1000)</f>
        <v>0.1512</v>
      </c>
      <c r="J538" s="46">
        <f t="shared" si="224"/>
        <v>1.56</v>
      </c>
      <c r="K538" s="62">
        <f t="shared" si="229"/>
        <v>352</v>
      </c>
      <c r="L538" s="28">
        <v>262</v>
      </c>
      <c r="M538" s="13">
        <f t="shared" si="231"/>
        <v>0.34351145038167941</v>
      </c>
      <c r="N538" s="12">
        <f t="shared" si="220"/>
        <v>90</v>
      </c>
      <c r="O538" s="30" t="s">
        <v>72</v>
      </c>
      <c r="Q538" s="62">
        <f t="shared" si="225"/>
        <v>439</v>
      </c>
      <c r="R538" s="28">
        <v>312</v>
      </c>
      <c r="S538" s="13">
        <f t="shared" si="232"/>
        <v>0.40705128205128216</v>
      </c>
      <c r="T538" s="12">
        <f t="shared" si="214"/>
        <v>127</v>
      </c>
      <c r="U538" s="30" t="s">
        <v>72</v>
      </c>
      <c r="V538" s="30"/>
      <c r="W538" s="62">
        <f t="shared" si="226"/>
        <v>420</v>
      </c>
      <c r="X538" s="28">
        <v>305</v>
      </c>
      <c r="Y538" s="13">
        <f t="shared" si="233"/>
        <v>0.37704918032786883</v>
      </c>
      <c r="Z538" s="12">
        <f t="shared" si="221"/>
        <v>115</v>
      </c>
      <c r="AA538" s="12"/>
      <c r="AB538" s="64"/>
      <c r="AC538" s="62">
        <f t="shared" si="227"/>
        <v>429</v>
      </c>
      <c r="AD538" s="28">
        <v>312</v>
      </c>
      <c r="AE538" s="13">
        <f t="shared" si="234"/>
        <v>0.375</v>
      </c>
      <c r="AF538" s="12">
        <f t="shared" si="222"/>
        <v>117</v>
      </c>
      <c r="AG538" s="30" t="s">
        <v>72</v>
      </c>
      <c r="AH538" s="17"/>
      <c r="AI538" s="16"/>
      <c r="AJ538" s="2">
        <f t="shared" si="235"/>
        <v>387</v>
      </c>
      <c r="AK538" s="2">
        <f t="shared" si="236"/>
        <v>483</v>
      </c>
      <c r="AL538" s="2">
        <f t="shared" si="210"/>
        <v>472</v>
      </c>
      <c r="AM538" s="2">
        <f t="shared" si="237"/>
        <v>462</v>
      </c>
    </row>
    <row r="539" spans="1:40" outlineLevel="1" x14ac:dyDescent="0.25">
      <c r="A539" t="s">
        <v>67</v>
      </c>
      <c r="B539" t="str">
        <f t="shared" si="228"/>
        <v>Schublade (580x180)</v>
      </c>
      <c r="C539">
        <v>5302</v>
      </c>
      <c r="D539" t="s">
        <v>61</v>
      </c>
      <c r="E539">
        <v>580</v>
      </c>
      <c r="F539">
        <v>180</v>
      </c>
      <c r="I539" s="45">
        <f t="shared" si="238"/>
        <v>0.10439999999999999</v>
      </c>
      <c r="J539" s="46">
        <f t="shared" si="224"/>
        <v>1.88</v>
      </c>
      <c r="K539" s="62">
        <f t="shared" si="229"/>
        <v>298</v>
      </c>
      <c r="L539" s="28">
        <v>222</v>
      </c>
      <c r="M539" s="13">
        <f t="shared" si="231"/>
        <v>0.3423423423423424</v>
      </c>
      <c r="N539" s="12">
        <f t="shared" si="220"/>
        <v>76</v>
      </c>
      <c r="O539" s="30" t="s">
        <v>72</v>
      </c>
      <c r="Q539" s="62">
        <f t="shared" si="225"/>
        <v>368</v>
      </c>
      <c r="R539" s="28">
        <v>259</v>
      </c>
      <c r="S539" s="13">
        <f t="shared" si="232"/>
        <v>0.4208494208494209</v>
      </c>
      <c r="T539" s="12">
        <f t="shared" si="214"/>
        <v>109</v>
      </c>
      <c r="U539" s="30" t="s">
        <v>72</v>
      </c>
      <c r="V539" s="30"/>
      <c r="W539" s="62">
        <f t="shared" si="226"/>
        <v>351</v>
      </c>
      <c r="X539" s="28">
        <v>254</v>
      </c>
      <c r="Y539" s="13">
        <f t="shared" si="233"/>
        <v>0.38188976377952755</v>
      </c>
      <c r="Z539" s="12">
        <f t="shared" si="221"/>
        <v>97</v>
      </c>
      <c r="AA539" s="12"/>
      <c r="AB539" s="64"/>
      <c r="AC539" s="62">
        <f t="shared" si="227"/>
        <v>358</v>
      </c>
      <c r="AD539" s="28">
        <v>259</v>
      </c>
      <c r="AE539" s="13">
        <f t="shared" si="234"/>
        <v>0.38223938223938214</v>
      </c>
      <c r="AF539" s="12">
        <f t="shared" si="222"/>
        <v>99</v>
      </c>
      <c r="AG539" s="30" t="s">
        <v>72</v>
      </c>
      <c r="AH539" s="17"/>
      <c r="AI539" s="16"/>
      <c r="AJ539" s="2">
        <f t="shared" si="235"/>
        <v>328</v>
      </c>
      <c r="AK539" s="2">
        <f t="shared" si="236"/>
        <v>405</v>
      </c>
      <c r="AL539" s="2">
        <f t="shared" si="210"/>
        <v>394</v>
      </c>
      <c r="AM539" s="2">
        <f t="shared" si="237"/>
        <v>386</v>
      </c>
    </row>
    <row r="540" spans="1:40" outlineLevel="1" x14ac:dyDescent="0.25">
      <c r="A540" t="s">
        <v>67</v>
      </c>
      <c r="B540" t="str">
        <f t="shared" si="228"/>
        <v>Schublade (580x360)</v>
      </c>
      <c r="C540">
        <v>5303</v>
      </c>
      <c r="D540" t="s">
        <v>61</v>
      </c>
      <c r="E540">
        <v>580</v>
      </c>
      <c r="F540">
        <v>360</v>
      </c>
      <c r="I540" s="45">
        <f t="shared" si="238"/>
        <v>0.20879999999999999</v>
      </c>
      <c r="J540" s="46">
        <f t="shared" si="224"/>
        <v>1.88</v>
      </c>
      <c r="K540" s="62">
        <f t="shared" si="229"/>
        <v>353</v>
      </c>
      <c r="L540" s="28">
        <v>263</v>
      </c>
      <c r="M540" s="13">
        <f t="shared" si="231"/>
        <v>0.34220532319391639</v>
      </c>
      <c r="N540" s="12">
        <f t="shared" si="220"/>
        <v>90</v>
      </c>
      <c r="O540" s="30" t="s">
        <v>72</v>
      </c>
      <c r="Q540" s="62">
        <f t="shared" si="225"/>
        <v>470</v>
      </c>
      <c r="R540" s="28">
        <v>335</v>
      </c>
      <c r="S540" s="13">
        <f t="shared" si="232"/>
        <v>0.40298507462686572</v>
      </c>
      <c r="T540" s="12">
        <f t="shared" si="214"/>
        <v>135</v>
      </c>
      <c r="U540" s="30" t="s">
        <v>72</v>
      </c>
      <c r="V540" s="30"/>
      <c r="W540" s="62">
        <f t="shared" si="226"/>
        <v>445</v>
      </c>
      <c r="X540" s="28">
        <v>324</v>
      </c>
      <c r="Y540" s="13">
        <f t="shared" si="233"/>
        <v>0.37345679012345689</v>
      </c>
      <c r="Z540" s="12">
        <f t="shared" si="221"/>
        <v>121</v>
      </c>
      <c r="AA540" s="12"/>
      <c r="AB540" s="64"/>
      <c r="AC540" s="62">
        <f t="shared" si="227"/>
        <v>460</v>
      </c>
      <c r="AD540" s="28">
        <v>335</v>
      </c>
      <c r="AE540" s="13">
        <f t="shared" si="234"/>
        <v>0.37313432835820892</v>
      </c>
      <c r="AF540" s="12">
        <f t="shared" si="222"/>
        <v>125</v>
      </c>
      <c r="AG540" s="30" t="s">
        <v>72</v>
      </c>
      <c r="AH540" s="17"/>
      <c r="AI540" s="16"/>
      <c r="AJ540" s="2">
        <f t="shared" si="235"/>
        <v>388</v>
      </c>
      <c r="AK540" s="2">
        <f t="shared" si="236"/>
        <v>517</v>
      </c>
      <c r="AL540" s="2">
        <f t="shared" si="210"/>
        <v>506</v>
      </c>
      <c r="AM540" s="2">
        <f t="shared" si="237"/>
        <v>490</v>
      </c>
    </row>
    <row r="541" spans="1:40" outlineLevel="1" x14ac:dyDescent="0.25">
      <c r="A541" t="s">
        <v>67</v>
      </c>
      <c r="B541" t="str">
        <f t="shared" si="228"/>
        <v>Schublade (780x180)</v>
      </c>
      <c r="C541">
        <v>5304</v>
      </c>
      <c r="D541" t="s">
        <v>61</v>
      </c>
      <c r="E541">
        <v>780</v>
      </c>
      <c r="F541">
        <v>180</v>
      </c>
      <c r="I541" s="45">
        <f t="shared" si="238"/>
        <v>0.1404</v>
      </c>
      <c r="J541" s="46">
        <f t="shared" si="224"/>
        <v>2.2800000000000002</v>
      </c>
      <c r="K541" s="62">
        <f t="shared" si="229"/>
        <v>309</v>
      </c>
      <c r="L541" s="28">
        <v>230</v>
      </c>
      <c r="M541" s="13">
        <f t="shared" si="231"/>
        <v>0.34347826086956523</v>
      </c>
      <c r="N541" s="12">
        <f t="shared" si="220"/>
        <v>79</v>
      </c>
      <c r="O541" s="30" t="s">
        <v>72</v>
      </c>
      <c r="Q541" s="62">
        <f t="shared" si="225"/>
        <v>391</v>
      </c>
      <c r="R541" s="28">
        <v>276</v>
      </c>
      <c r="S541" s="13">
        <f t="shared" si="232"/>
        <v>0.41666666666666674</v>
      </c>
      <c r="T541" s="12">
        <f t="shared" si="214"/>
        <v>115</v>
      </c>
      <c r="U541" s="30" t="s">
        <v>72</v>
      </c>
      <c r="V541" s="30"/>
      <c r="W541" s="62">
        <f t="shared" si="226"/>
        <v>372</v>
      </c>
      <c r="X541" s="28">
        <v>269</v>
      </c>
      <c r="Y541" s="13">
        <f t="shared" si="233"/>
        <v>0.38289962825278812</v>
      </c>
      <c r="Z541" s="12">
        <f t="shared" si="221"/>
        <v>103</v>
      </c>
      <c r="AA541" s="12"/>
      <c r="AB541" s="64"/>
      <c r="AC541" s="62">
        <f t="shared" si="227"/>
        <v>381</v>
      </c>
      <c r="AD541" s="28">
        <v>276</v>
      </c>
      <c r="AE541" s="13">
        <f t="shared" si="234"/>
        <v>0.38043478260869557</v>
      </c>
      <c r="AF541" s="12">
        <f t="shared" si="222"/>
        <v>105</v>
      </c>
      <c r="AG541" s="30" t="s">
        <v>72</v>
      </c>
      <c r="AH541" s="17"/>
      <c r="AI541" s="16"/>
      <c r="AJ541" s="2">
        <f t="shared" si="235"/>
        <v>340</v>
      </c>
      <c r="AK541" s="2">
        <f t="shared" si="236"/>
        <v>430</v>
      </c>
      <c r="AL541" s="2">
        <f t="shared" si="210"/>
        <v>419</v>
      </c>
      <c r="AM541" s="2">
        <f t="shared" si="237"/>
        <v>409</v>
      </c>
    </row>
    <row r="542" spans="1:40" outlineLevel="1" x14ac:dyDescent="0.25">
      <c r="A542" t="s">
        <v>67</v>
      </c>
      <c r="B542" t="str">
        <f t="shared" si="228"/>
        <v>Schublade (780x360)</v>
      </c>
      <c r="C542">
        <v>5305</v>
      </c>
      <c r="D542" t="s">
        <v>61</v>
      </c>
      <c r="E542">
        <v>780</v>
      </c>
      <c r="F542">
        <v>360</v>
      </c>
      <c r="I542" s="45">
        <f t="shared" si="238"/>
        <v>0.28079999999999999</v>
      </c>
      <c r="J542" s="46">
        <f t="shared" si="224"/>
        <v>2.2800000000000002</v>
      </c>
      <c r="K542" s="62">
        <f t="shared" si="229"/>
        <v>356</v>
      </c>
      <c r="L542" s="28">
        <v>265</v>
      </c>
      <c r="M542" s="13">
        <f t="shared" si="231"/>
        <v>0.34339622641509426</v>
      </c>
      <c r="N542" s="12">
        <f t="shared" si="220"/>
        <v>91</v>
      </c>
      <c r="O542" s="30" t="s">
        <v>72</v>
      </c>
      <c r="Q542" s="62">
        <f t="shared" si="225"/>
        <v>501</v>
      </c>
      <c r="R542" s="28">
        <v>358</v>
      </c>
      <c r="S542" s="13">
        <f t="shared" si="232"/>
        <v>0.3994413407821229</v>
      </c>
      <c r="T542" s="12">
        <f t="shared" si="214"/>
        <v>143</v>
      </c>
      <c r="U542" s="30" t="s">
        <v>72</v>
      </c>
      <c r="V542" s="30"/>
      <c r="W542" s="62">
        <f t="shared" si="226"/>
        <v>471</v>
      </c>
      <c r="X542" s="28">
        <v>343</v>
      </c>
      <c r="Y542" s="13">
        <f t="shared" si="233"/>
        <v>0.37317784256559761</v>
      </c>
      <c r="Z542" s="12">
        <f t="shared" si="221"/>
        <v>128</v>
      </c>
      <c r="AA542" s="12"/>
      <c r="AB542" s="64"/>
      <c r="AC542" s="62">
        <f t="shared" si="227"/>
        <v>491</v>
      </c>
      <c r="AD542" s="28">
        <v>358</v>
      </c>
      <c r="AE542" s="13">
        <f t="shared" si="234"/>
        <v>0.37150837988826813</v>
      </c>
      <c r="AF542" s="12">
        <f t="shared" si="222"/>
        <v>133</v>
      </c>
      <c r="AG542" s="30" t="s">
        <v>72</v>
      </c>
      <c r="AH542" s="17"/>
      <c r="AI542" s="16"/>
      <c r="AJ542" s="2">
        <f t="shared" si="235"/>
        <v>392</v>
      </c>
      <c r="AK542" s="2">
        <f t="shared" si="236"/>
        <v>551</v>
      </c>
      <c r="AL542" s="2">
        <f t="shared" si="210"/>
        <v>540</v>
      </c>
      <c r="AM542" s="2">
        <f t="shared" si="237"/>
        <v>518</v>
      </c>
    </row>
    <row r="543" spans="1:40" outlineLevel="1" x14ac:dyDescent="0.25">
      <c r="A543" t="s">
        <v>67</v>
      </c>
      <c r="B543" t="str">
        <f t="shared" si="228"/>
        <v>Schublade (980x180)</v>
      </c>
      <c r="C543">
        <v>5306</v>
      </c>
      <c r="D543" t="s">
        <v>61</v>
      </c>
      <c r="E543">
        <v>980</v>
      </c>
      <c r="F543">
        <v>180</v>
      </c>
      <c r="I543" s="45">
        <f t="shared" si="238"/>
        <v>0.1764</v>
      </c>
      <c r="J543" s="46">
        <f t="shared" si="224"/>
        <v>2.6799999999999997</v>
      </c>
      <c r="K543" s="62">
        <f t="shared" si="229"/>
        <v>348</v>
      </c>
      <c r="L543" s="28">
        <v>259</v>
      </c>
      <c r="M543" s="13">
        <f t="shared" si="231"/>
        <v>0.34362934362934361</v>
      </c>
      <c r="N543" s="12">
        <f t="shared" si="220"/>
        <v>89</v>
      </c>
      <c r="O543" s="30" t="s">
        <v>72</v>
      </c>
      <c r="Q543" s="62">
        <f t="shared" si="225"/>
        <v>474</v>
      </c>
      <c r="R543" s="28">
        <v>338</v>
      </c>
      <c r="S543" s="13">
        <f t="shared" si="232"/>
        <v>0.4023668639053255</v>
      </c>
      <c r="T543" s="12">
        <f t="shared" si="214"/>
        <v>136</v>
      </c>
      <c r="U543" s="30" t="s">
        <v>72</v>
      </c>
      <c r="V543" s="30"/>
      <c r="W543" s="62">
        <f t="shared" si="226"/>
        <v>417</v>
      </c>
      <c r="X543" s="28">
        <v>303</v>
      </c>
      <c r="Y543" s="13">
        <f t="shared" si="233"/>
        <v>0.37623762376237613</v>
      </c>
      <c r="Z543" s="12">
        <f t="shared" si="221"/>
        <v>114</v>
      </c>
      <c r="AA543" s="12"/>
      <c r="AB543" s="64"/>
      <c r="AC543" s="62">
        <f t="shared" si="227"/>
        <v>464</v>
      </c>
      <c r="AD543" s="28">
        <v>338</v>
      </c>
      <c r="AE543" s="13">
        <f t="shared" si="234"/>
        <v>0.3727810650887573</v>
      </c>
      <c r="AF543" s="12">
        <f t="shared" si="222"/>
        <v>126</v>
      </c>
      <c r="AG543" s="30" t="s">
        <v>72</v>
      </c>
      <c r="AH543" s="17"/>
      <c r="AI543" s="16"/>
      <c r="AJ543" s="2">
        <f t="shared" si="235"/>
        <v>383</v>
      </c>
      <c r="AK543" s="2">
        <f t="shared" si="236"/>
        <v>521</v>
      </c>
      <c r="AL543" s="2">
        <f t="shared" si="210"/>
        <v>510</v>
      </c>
      <c r="AM543" s="2">
        <f t="shared" si="237"/>
        <v>459</v>
      </c>
    </row>
    <row r="544" spans="1:40" outlineLevel="1" x14ac:dyDescent="0.25">
      <c r="A544" t="s">
        <v>67</v>
      </c>
      <c r="B544" t="str">
        <f t="shared" si="228"/>
        <v>Schublade (980x360)</v>
      </c>
      <c r="C544">
        <v>5307</v>
      </c>
      <c r="D544" t="s">
        <v>61</v>
      </c>
      <c r="E544">
        <v>980</v>
      </c>
      <c r="F544">
        <v>360</v>
      </c>
      <c r="I544" s="45">
        <f t="shared" si="238"/>
        <v>0.3528</v>
      </c>
      <c r="J544" s="46">
        <f t="shared" si="224"/>
        <v>2.6799999999999997</v>
      </c>
      <c r="K544" s="62">
        <f t="shared" si="229"/>
        <v>429</v>
      </c>
      <c r="L544" s="28">
        <v>319</v>
      </c>
      <c r="M544" s="13">
        <f t="shared" si="231"/>
        <v>0.34482758620689657</v>
      </c>
      <c r="N544" s="12">
        <f t="shared" si="220"/>
        <v>110</v>
      </c>
      <c r="O544" s="30" t="s">
        <v>72</v>
      </c>
      <c r="Q544" s="62">
        <f t="shared" si="225"/>
        <v>610</v>
      </c>
      <c r="R544" s="28">
        <v>439</v>
      </c>
      <c r="S544" s="13">
        <f t="shared" si="232"/>
        <v>0.38952164009111612</v>
      </c>
      <c r="T544" s="12">
        <f t="shared" si="214"/>
        <v>171</v>
      </c>
      <c r="U544" s="30" t="s">
        <v>72</v>
      </c>
      <c r="V544" s="30"/>
      <c r="W544" s="62">
        <f t="shared" si="226"/>
        <v>553</v>
      </c>
      <c r="X544" s="28">
        <v>404</v>
      </c>
      <c r="Y544" s="13">
        <f t="shared" si="233"/>
        <v>0.36881188118811892</v>
      </c>
      <c r="Z544" s="12">
        <f t="shared" si="221"/>
        <v>149</v>
      </c>
      <c r="AA544" s="12"/>
      <c r="AB544" s="64"/>
      <c r="AC544" s="62">
        <f t="shared" si="227"/>
        <v>600</v>
      </c>
      <c r="AD544" s="28">
        <v>439</v>
      </c>
      <c r="AE544" s="13">
        <f t="shared" si="234"/>
        <v>0.36674259681093391</v>
      </c>
      <c r="AF544" s="12">
        <f t="shared" si="222"/>
        <v>161</v>
      </c>
      <c r="AG544" s="30" t="s">
        <v>72</v>
      </c>
      <c r="AH544" s="17"/>
      <c r="AI544" s="16"/>
      <c r="AJ544" s="2">
        <f t="shared" si="235"/>
        <v>472</v>
      </c>
      <c r="AK544" s="2">
        <f t="shared" si="236"/>
        <v>671</v>
      </c>
      <c r="AL544" s="2">
        <f t="shared" si="210"/>
        <v>660</v>
      </c>
      <c r="AM544" s="2">
        <f t="shared" si="237"/>
        <v>608</v>
      </c>
    </row>
    <row r="545" spans="1:39" outlineLevel="1" x14ac:dyDescent="0.25">
      <c r="A545" t="s">
        <v>67</v>
      </c>
      <c r="B545" t="str">
        <f t="shared" si="228"/>
        <v xml:space="preserve"> (780x180)</v>
      </c>
      <c r="C545" s="3" t="s">
        <v>187</v>
      </c>
      <c r="E545">
        <v>780</v>
      </c>
      <c r="F545">
        <v>180</v>
      </c>
      <c r="G545">
        <v>772</v>
      </c>
      <c r="H545">
        <v>176</v>
      </c>
      <c r="I545" s="45">
        <f t="shared" si="238"/>
        <v>0.1404</v>
      </c>
      <c r="J545" s="46">
        <f t="shared" si="224"/>
        <v>2.2800000000000002</v>
      </c>
      <c r="K545" s="62">
        <f t="shared" si="229"/>
        <v>309</v>
      </c>
      <c r="L545" s="28">
        <v>230</v>
      </c>
      <c r="M545" s="12">
        <f t="shared" si="231"/>
        <v>0.34347826086956523</v>
      </c>
      <c r="N545" s="12">
        <f t="shared" si="220"/>
        <v>79</v>
      </c>
      <c r="O545" s="12"/>
      <c r="Q545" s="62">
        <f t="shared" si="225"/>
        <v>608</v>
      </c>
      <c r="R545" s="28" t="s">
        <v>63</v>
      </c>
      <c r="S545" s="12" t="str">
        <f t="shared" si="232"/>
        <v>-</v>
      </c>
      <c r="T545" s="12" t="str">
        <f t="shared" ref="T545:T575" si="239">IFERROR(Q545-R545,"-")</f>
        <v>-</v>
      </c>
      <c r="U545" s="12"/>
      <c r="V545" s="12"/>
      <c r="W545" s="62">
        <f t="shared" si="226"/>
        <v>372</v>
      </c>
      <c r="X545" s="28">
        <v>269</v>
      </c>
      <c r="Y545" s="12">
        <f t="shared" si="233"/>
        <v>0.38289962825278812</v>
      </c>
      <c r="Z545" s="12">
        <f t="shared" si="221"/>
        <v>103</v>
      </c>
      <c r="AA545" s="12"/>
      <c r="AB545" s="64"/>
      <c r="AC545" s="62">
        <f t="shared" si="227"/>
        <v>0</v>
      </c>
      <c r="AD545" s="28" t="s">
        <v>94</v>
      </c>
      <c r="AE545" s="12" t="str">
        <f t="shared" si="234"/>
        <v>-</v>
      </c>
      <c r="AF545" s="12" t="str">
        <f t="shared" si="222"/>
        <v>-</v>
      </c>
      <c r="AG545" s="12"/>
      <c r="AH545" s="17"/>
      <c r="AI545" s="17"/>
      <c r="AJ545" s="2">
        <f t="shared" si="235"/>
        <v>340</v>
      </c>
      <c r="AK545" s="2">
        <f t="shared" si="236"/>
        <v>669</v>
      </c>
      <c r="AL545" s="2">
        <f t="shared" si="210"/>
        <v>0</v>
      </c>
      <c r="AM545" s="2">
        <f t="shared" si="237"/>
        <v>409</v>
      </c>
    </row>
    <row r="546" spans="1:39" outlineLevel="1" x14ac:dyDescent="0.25">
      <c r="A546" t="s">
        <v>67</v>
      </c>
      <c r="B546" t="str">
        <f t="shared" si="228"/>
        <v xml:space="preserve"> (x)</v>
      </c>
      <c r="C546" s="3">
        <v>5309</v>
      </c>
      <c r="I546" s="45" t="str">
        <f t="shared" si="238"/>
        <v/>
      </c>
      <c r="J546" s="46" t="str">
        <f t="shared" si="224"/>
        <v/>
      </c>
      <c r="K546" s="62">
        <f t="shared" si="229"/>
        <v>0</v>
      </c>
      <c r="L546" s="28" t="s">
        <v>63</v>
      </c>
      <c r="M546" s="12" t="str">
        <f t="shared" si="231"/>
        <v>-</v>
      </c>
      <c r="N546" s="12" t="str">
        <f t="shared" si="220"/>
        <v>-</v>
      </c>
      <c r="O546" s="12"/>
      <c r="Q546" s="62">
        <f t="shared" si="225"/>
        <v>0</v>
      </c>
      <c r="R546" s="28" t="s">
        <v>63</v>
      </c>
      <c r="S546" s="12" t="str">
        <f t="shared" si="232"/>
        <v>-</v>
      </c>
      <c r="T546" s="12" t="str">
        <f t="shared" si="239"/>
        <v>-</v>
      </c>
      <c r="U546" s="12"/>
      <c r="V546" s="12"/>
      <c r="W546" s="62">
        <f t="shared" si="226"/>
        <v>10</v>
      </c>
      <c r="X546" s="28">
        <v>0</v>
      </c>
      <c r="Y546" s="12" t="str">
        <f t="shared" si="233"/>
        <v>-</v>
      </c>
      <c r="Z546" s="12">
        <f t="shared" si="221"/>
        <v>10</v>
      </c>
      <c r="AA546" s="12"/>
      <c r="AB546" s="64"/>
      <c r="AC546" s="62">
        <f t="shared" si="227"/>
        <v>0</v>
      </c>
      <c r="AD546" s="28" t="s">
        <v>94</v>
      </c>
      <c r="AE546" s="12" t="str">
        <f t="shared" si="234"/>
        <v>-</v>
      </c>
      <c r="AF546" s="12" t="str">
        <f t="shared" si="222"/>
        <v>-</v>
      </c>
      <c r="AG546" s="12"/>
      <c r="AH546" s="17"/>
      <c r="AI546" s="17"/>
      <c r="AJ546" s="2">
        <f t="shared" si="235"/>
        <v>0</v>
      </c>
      <c r="AK546" s="2">
        <f t="shared" si="236"/>
        <v>0</v>
      </c>
      <c r="AL546" s="2">
        <f t="shared" si="210"/>
        <v>0</v>
      </c>
      <c r="AM546" s="2">
        <f t="shared" si="237"/>
        <v>11</v>
      </c>
    </row>
    <row r="547" spans="1:39" outlineLevel="1" x14ac:dyDescent="0.25">
      <c r="A547" t="s">
        <v>67</v>
      </c>
      <c r="B547" t="str">
        <f t="shared" si="228"/>
        <v xml:space="preserve"> (x)</v>
      </c>
      <c r="C547" s="3">
        <v>5310</v>
      </c>
      <c r="I547" s="45" t="str">
        <f t="shared" si="238"/>
        <v/>
      </c>
      <c r="J547" s="46" t="str">
        <f t="shared" si="224"/>
        <v/>
      </c>
      <c r="K547" s="62">
        <f t="shared" si="229"/>
        <v>0</v>
      </c>
      <c r="L547" s="28" t="s">
        <v>63</v>
      </c>
      <c r="M547" s="12" t="str">
        <f t="shared" si="231"/>
        <v>-</v>
      </c>
      <c r="N547" s="12" t="str">
        <f t="shared" si="220"/>
        <v>-</v>
      </c>
      <c r="O547" s="12"/>
      <c r="Q547" s="62">
        <f t="shared" si="225"/>
        <v>0</v>
      </c>
      <c r="R547" s="28" t="s">
        <v>63</v>
      </c>
      <c r="S547" s="12" t="str">
        <f t="shared" si="232"/>
        <v>-</v>
      </c>
      <c r="T547" s="12" t="str">
        <f t="shared" si="239"/>
        <v>-</v>
      </c>
      <c r="U547" s="12"/>
      <c r="V547" s="12"/>
      <c r="W547" s="62">
        <f t="shared" si="226"/>
        <v>10</v>
      </c>
      <c r="X547" s="28">
        <v>0</v>
      </c>
      <c r="Y547" s="12" t="str">
        <f t="shared" si="233"/>
        <v>-</v>
      </c>
      <c r="Z547" s="12">
        <f t="shared" si="221"/>
        <v>10</v>
      </c>
      <c r="AA547" s="12"/>
      <c r="AB547" s="64"/>
      <c r="AC547" s="62">
        <f t="shared" si="227"/>
        <v>0</v>
      </c>
      <c r="AD547" s="28" t="s">
        <v>94</v>
      </c>
      <c r="AE547" s="12" t="str">
        <f t="shared" si="234"/>
        <v>-</v>
      </c>
      <c r="AF547" s="12" t="str">
        <f t="shared" si="222"/>
        <v>-</v>
      </c>
      <c r="AG547" s="12"/>
      <c r="AH547" s="17"/>
      <c r="AI547" s="17"/>
      <c r="AJ547" s="2">
        <f t="shared" si="235"/>
        <v>0</v>
      </c>
      <c r="AK547" s="2">
        <f t="shared" si="236"/>
        <v>0</v>
      </c>
      <c r="AL547" s="2">
        <f t="shared" si="210"/>
        <v>0</v>
      </c>
      <c r="AM547" s="2">
        <f t="shared" si="237"/>
        <v>11</v>
      </c>
    </row>
    <row r="548" spans="1:39" outlineLevel="1" x14ac:dyDescent="0.25">
      <c r="A548" t="s">
        <v>67</v>
      </c>
      <c r="B548" t="str">
        <f t="shared" si="228"/>
        <v xml:space="preserve"> (x)</v>
      </c>
      <c r="C548" s="3">
        <v>5311</v>
      </c>
      <c r="I548" s="45" t="str">
        <f t="shared" si="238"/>
        <v/>
      </c>
      <c r="J548" s="46" t="str">
        <f t="shared" si="224"/>
        <v/>
      </c>
      <c r="K548" s="62">
        <f t="shared" si="229"/>
        <v>0</v>
      </c>
      <c r="L548" s="28" t="s">
        <v>63</v>
      </c>
      <c r="M548" s="12" t="str">
        <f t="shared" si="231"/>
        <v>-</v>
      </c>
      <c r="N548" s="12" t="str">
        <f t="shared" si="220"/>
        <v>-</v>
      </c>
      <c r="O548" s="12"/>
      <c r="Q548" s="62">
        <f t="shared" si="225"/>
        <v>0</v>
      </c>
      <c r="R548" s="28" t="s">
        <v>63</v>
      </c>
      <c r="S548" s="12" t="str">
        <f t="shared" si="232"/>
        <v>-</v>
      </c>
      <c r="T548" s="12" t="str">
        <f t="shared" si="239"/>
        <v>-</v>
      </c>
      <c r="U548" s="12"/>
      <c r="V548" s="12"/>
      <c r="W548" s="62">
        <f t="shared" si="226"/>
        <v>10</v>
      </c>
      <c r="X548" s="28">
        <v>0</v>
      </c>
      <c r="Y548" s="12" t="str">
        <f t="shared" si="233"/>
        <v>-</v>
      </c>
      <c r="Z548" s="12">
        <f t="shared" si="221"/>
        <v>10</v>
      </c>
      <c r="AA548" s="12"/>
      <c r="AB548" s="64"/>
      <c r="AC548" s="62">
        <f t="shared" si="227"/>
        <v>0</v>
      </c>
      <c r="AD548" s="28" t="s">
        <v>94</v>
      </c>
      <c r="AE548" s="12" t="str">
        <f t="shared" si="234"/>
        <v>-</v>
      </c>
      <c r="AF548" s="12" t="str">
        <f t="shared" si="222"/>
        <v>-</v>
      </c>
      <c r="AG548" s="12"/>
      <c r="AH548" s="17"/>
      <c r="AI548" s="17"/>
      <c r="AJ548" s="2">
        <f t="shared" si="235"/>
        <v>0</v>
      </c>
      <c r="AK548" s="2">
        <f t="shared" si="236"/>
        <v>0</v>
      </c>
      <c r="AL548" s="2">
        <f t="shared" si="210"/>
        <v>0</v>
      </c>
      <c r="AM548" s="2">
        <f t="shared" si="237"/>
        <v>11</v>
      </c>
    </row>
    <row r="549" spans="1:39" outlineLevel="1" x14ac:dyDescent="0.25">
      <c r="A549" t="s">
        <v>67</v>
      </c>
      <c r="B549" t="str">
        <f t="shared" si="228"/>
        <v xml:space="preserve"> (x)</v>
      </c>
      <c r="C549" s="3">
        <v>5312</v>
      </c>
      <c r="I549" s="45" t="str">
        <f t="shared" si="238"/>
        <v/>
      </c>
      <c r="J549" s="46" t="str">
        <f t="shared" si="224"/>
        <v/>
      </c>
      <c r="K549" s="62">
        <f t="shared" si="229"/>
        <v>0</v>
      </c>
      <c r="L549" s="28" t="s">
        <v>63</v>
      </c>
      <c r="M549" s="12" t="str">
        <f t="shared" si="231"/>
        <v>-</v>
      </c>
      <c r="N549" s="12" t="str">
        <f t="shared" si="220"/>
        <v>-</v>
      </c>
      <c r="O549" s="12"/>
      <c r="Q549" s="62">
        <f t="shared" si="225"/>
        <v>0</v>
      </c>
      <c r="R549" s="28" t="s">
        <v>63</v>
      </c>
      <c r="S549" s="12" t="str">
        <f t="shared" si="232"/>
        <v>-</v>
      </c>
      <c r="T549" s="12" t="str">
        <f t="shared" si="239"/>
        <v>-</v>
      </c>
      <c r="U549" s="12"/>
      <c r="V549" s="12"/>
      <c r="W549" s="62">
        <f t="shared" si="226"/>
        <v>10</v>
      </c>
      <c r="X549" s="28">
        <v>0</v>
      </c>
      <c r="Y549" s="12" t="str">
        <f t="shared" si="233"/>
        <v>-</v>
      </c>
      <c r="Z549" s="12">
        <f t="shared" si="221"/>
        <v>10</v>
      </c>
      <c r="AA549" s="12"/>
      <c r="AB549" s="64"/>
      <c r="AC549" s="62">
        <f t="shared" si="227"/>
        <v>0</v>
      </c>
      <c r="AD549" s="28" t="s">
        <v>94</v>
      </c>
      <c r="AE549" s="12" t="str">
        <f t="shared" si="234"/>
        <v>-</v>
      </c>
      <c r="AF549" s="12" t="str">
        <f t="shared" si="222"/>
        <v>-</v>
      </c>
      <c r="AG549" s="12"/>
      <c r="AH549" s="17"/>
      <c r="AI549" s="17"/>
      <c r="AJ549" s="2">
        <f t="shared" si="235"/>
        <v>0</v>
      </c>
      <c r="AK549" s="2">
        <f t="shared" si="236"/>
        <v>0</v>
      </c>
      <c r="AL549" s="2">
        <f t="shared" si="210"/>
        <v>0</v>
      </c>
      <c r="AM549" s="2">
        <f t="shared" si="237"/>
        <v>11</v>
      </c>
    </row>
    <row r="550" spans="1:39" outlineLevel="1" x14ac:dyDescent="0.25">
      <c r="A550" t="s">
        <v>67</v>
      </c>
      <c r="B550" t="str">
        <f t="shared" si="228"/>
        <v xml:space="preserve"> (x)</v>
      </c>
      <c r="C550" s="3">
        <v>5313</v>
      </c>
      <c r="I550" s="45" t="str">
        <f t="shared" si="238"/>
        <v/>
      </c>
      <c r="J550" s="46" t="str">
        <f t="shared" si="224"/>
        <v/>
      </c>
      <c r="K550" s="62">
        <f t="shared" si="229"/>
        <v>0</v>
      </c>
      <c r="L550" s="28" t="s">
        <v>63</v>
      </c>
      <c r="M550" s="12" t="str">
        <f t="shared" si="231"/>
        <v>-</v>
      </c>
      <c r="N550" s="12" t="str">
        <f t="shared" si="220"/>
        <v>-</v>
      </c>
      <c r="O550" s="12"/>
      <c r="Q550" s="62">
        <f t="shared" si="225"/>
        <v>0</v>
      </c>
      <c r="R550" s="28" t="s">
        <v>63</v>
      </c>
      <c r="S550" s="12" t="str">
        <f t="shared" si="232"/>
        <v>-</v>
      </c>
      <c r="T550" s="12" t="str">
        <f t="shared" si="239"/>
        <v>-</v>
      </c>
      <c r="U550" s="12"/>
      <c r="V550" s="12"/>
      <c r="W550" s="62">
        <f t="shared" si="226"/>
        <v>10</v>
      </c>
      <c r="X550" s="28">
        <v>0</v>
      </c>
      <c r="Y550" s="12" t="str">
        <f t="shared" si="233"/>
        <v>-</v>
      </c>
      <c r="Z550" s="12">
        <f t="shared" si="221"/>
        <v>10</v>
      </c>
      <c r="AA550" s="12"/>
      <c r="AB550" s="64"/>
      <c r="AC550" s="62">
        <f t="shared" si="227"/>
        <v>0</v>
      </c>
      <c r="AD550" s="28" t="s">
        <v>94</v>
      </c>
      <c r="AE550" s="12" t="str">
        <f t="shared" si="234"/>
        <v>-</v>
      </c>
      <c r="AF550" s="12" t="str">
        <f t="shared" si="222"/>
        <v>-</v>
      </c>
      <c r="AG550" s="12"/>
      <c r="AH550" s="17"/>
      <c r="AI550" s="17"/>
      <c r="AJ550" s="2">
        <f t="shared" si="235"/>
        <v>0</v>
      </c>
      <c r="AK550" s="2">
        <f t="shared" si="236"/>
        <v>0</v>
      </c>
      <c r="AL550" s="2">
        <f t="shared" si="210"/>
        <v>0</v>
      </c>
      <c r="AM550" s="2">
        <f t="shared" si="237"/>
        <v>11</v>
      </c>
    </row>
    <row r="551" spans="1:39" outlineLevel="1" x14ac:dyDescent="0.25">
      <c r="A551" t="s">
        <v>67</v>
      </c>
      <c r="B551" t="str">
        <f t="shared" si="228"/>
        <v xml:space="preserve"> (x)</v>
      </c>
      <c r="C551" s="3">
        <v>5314</v>
      </c>
      <c r="I551" s="45" t="str">
        <f t="shared" si="238"/>
        <v/>
      </c>
      <c r="J551" s="46" t="str">
        <f t="shared" si="224"/>
        <v/>
      </c>
      <c r="K551" s="62">
        <f t="shared" si="229"/>
        <v>0</v>
      </c>
      <c r="L551" s="28" t="s">
        <v>63</v>
      </c>
      <c r="M551" s="13" t="str">
        <f t="shared" si="231"/>
        <v>-</v>
      </c>
      <c r="N551" s="12" t="str">
        <f t="shared" si="220"/>
        <v>-</v>
      </c>
      <c r="O551" s="12"/>
      <c r="Q551" s="62">
        <f t="shared" si="225"/>
        <v>0</v>
      </c>
      <c r="R551" s="28" t="s">
        <v>63</v>
      </c>
      <c r="S551" s="12" t="str">
        <f t="shared" si="232"/>
        <v>-</v>
      </c>
      <c r="T551" s="12" t="str">
        <f t="shared" si="239"/>
        <v>-</v>
      </c>
      <c r="U551" s="12"/>
      <c r="V551" s="12"/>
      <c r="W551" s="62">
        <f t="shared" si="226"/>
        <v>10</v>
      </c>
      <c r="X551" s="28">
        <v>0</v>
      </c>
      <c r="Y551" s="12" t="str">
        <f t="shared" si="233"/>
        <v>-</v>
      </c>
      <c r="Z551" s="12">
        <f t="shared" si="221"/>
        <v>10</v>
      </c>
      <c r="AA551" s="12"/>
      <c r="AB551" s="64"/>
      <c r="AC551" s="62">
        <f t="shared" si="227"/>
        <v>0</v>
      </c>
      <c r="AD551" s="28" t="s">
        <v>94</v>
      </c>
      <c r="AE551" s="12" t="str">
        <f t="shared" si="234"/>
        <v>-</v>
      </c>
      <c r="AF551" s="12" t="str">
        <f t="shared" si="222"/>
        <v>-</v>
      </c>
      <c r="AG551" s="12"/>
      <c r="AH551" s="17"/>
      <c r="AI551" s="17"/>
      <c r="AJ551" s="2">
        <f t="shared" si="235"/>
        <v>0</v>
      </c>
      <c r="AK551" s="2">
        <f t="shared" si="236"/>
        <v>0</v>
      </c>
      <c r="AL551" s="2">
        <f t="shared" si="210"/>
        <v>0</v>
      </c>
      <c r="AM551" s="2">
        <f t="shared" si="237"/>
        <v>11</v>
      </c>
    </row>
    <row r="552" spans="1:39" outlineLevel="1" x14ac:dyDescent="0.25">
      <c r="A552" t="s">
        <v>67</v>
      </c>
      <c r="B552" t="str">
        <f t="shared" si="228"/>
        <v xml:space="preserve"> (x)</v>
      </c>
      <c r="C552" s="3">
        <v>5315</v>
      </c>
      <c r="I552" s="45" t="str">
        <f t="shared" si="238"/>
        <v/>
      </c>
      <c r="J552" s="46" t="str">
        <f t="shared" si="224"/>
        <v/>
      </c>
      <c r="K552" s="62">
        <f t="shared" si="229"/>
        <v>0</v>
      </c>
      <c r="L552" s="28" t="s">
        <v>63</v>
      </c>
      <c r="M552" s="13" t="str">
        <f t="shared" si="231"/>
        <v>-</v>
      </c>
      <c r="N552" s="12" t="str">
        <f t="shared" si="220"/>
        <v>-</v>
      </c>
      <c r="O552" s="12"/>
      <c r="Q552" s="62">
        <f t="shared" si="225"/>
        <v>0</v>
      </c>
      <c r="R552" s="28" t="s">
        <v>63</v>
      </c>
      <c r="S552" s="12" t="str">
        <f t="shared" si="232"/>
        <v>-</v>
      </c>
      <c r="T552" s="12" t="str">
        <f t="shared" si="239"/>
        <v>-</v>
      </c>
      <c r="U552" s="12"/>
      <c r="V552" s="12"/>
      <c r="W552" s="62">
        <f t="shared" si="226"/>
        <v>10</v>
      </c>
      <c r="X552" s="28">
        <v>0</v>
      </c>
      <c r="Y552" s="12" t="str">
        <f t="shared" si="233"/>
        <v>-</v>
      </c>
      <c r="Z552" s="12">
        <f t="shared" si="221"/>
        <v>10</v>
      </c>
      <c r="AA552" s="12"/>
      <c r="AB552" s="64"/>
      <c r="AC552" s="62">
        <f t="shared" si="227"/>
        <v>0</v>
      </c>
      <c r="AD552" s="28" t="s">
        <v>94</v>
      </c>
      <c r="AE552" s="12" t="str">
        <f t="shared" si="234"/>
        <v>-</v>
      </c>
      <c r="AF552" s="12" t="str">
        <f t="shared" si="222"/>
        <v>-</v>
      </c>
      <c r="AG552" s="12"/>
      <c r="AH552" s="17"/>
      <c r="AI552" s="17"/>
      <c r="AJ552" s="2">
        <f t="shared" si="235"/>
        <v>0</v>
      </c>
      <c r="AK552" s="2">
        <f t="shared" si="236"/>
        <v>0</v>
      </c>
      <c r="AL552" s="2">
        <f t="shared" si="210"/>
        <v>0</v>
      </c>
      <c r="AM552" s="2">
        <f t="shared" si="237"/>
        <v>11</v>
      </c>
    </row>
    <row r="553" spans="1:39" outlineLevel="1" x14ac:dyDescent="0.25">
      <c r="A553" t="s">
        <v>67</v>
      </c>
      <c r="B553" t="str">
        <f t="shared" si="228"/>
        <v xml:space="preserve"> (x)</v>
      </c>
      <c r="C553" s="3">
        <v>5316</v>
      </c>
      <c r="I553" s="45" t="str">
        <f t="shared" si="238"/>
        <v/>
      </c>
      <c r="J553" s="46" t="str">
        <f t="shared" si="224"/>
        <v/>
      </c>
      <c r="K553" s="62">
        <f t="shared" si="229"/>
        <v>0</v>
      </c>
      <c r="L553" s="28" t="s">
        <v>63</v>
      </c>
      <c r="M553" s="13" t="str">
        <f t="shared" si="231"/>
        <v>-</v>
      </c>
      <c r="N553" s="12" t="str">
        <f t="shared" si="220"/>
        <v>-</v>
      </c>
      <c r="O553" s="12"/>
      <c r="Q553" s="62">
        <f t="shared" si="225"/>
        <v>0</v>
      </c>
      <c r="R553" s="28" t="s">
        <v>63</v>
      </c>
      <c r="S553" s="12" t="str">
        <f t="shared" si="232"/>
        <v>-</v>
      </c>
      <c r="T553" s="12" t="str">
        <f t="shared" si="239"/>
        <v>-</v>
      </c>
      <c r="U553" s="12"/>
      <c r="V553" s="12"/>
      <c r="W553" s="62">
        <f t="shared" si="226"/>
        <v>10</v>
      </c>
      <c r="X553" s="28">
        <v>0</v>
      </c>
      <c r="Y553" s="12" t="str">
        <f t="shared" si="233"/>
        <v>-</v>
      </c>
      <c r="Z553" s="12">
        <f t="shared" si="221"/>
        <v>10</v>
      </c>
      <c r="AA553" s="12"/>
      <c r="AB553" s="64"/>
      <c r="AC553" s="62">
        <f t="shared" si="227"/>
        <v>0</v>
      </c>
      <c r="AD553" s="28" t="s">
        <v>94</v>
      </c>
      <c r="AE553" s="12" t="str">
        <f t="shared" si="234"/>
        <v>-</v>
      </c>
      <c r="AF553" s="12" t="str">
        <f t="shared" si="222"/>
        <v>-</v>
      </c>
      <c r="AG553" s="12"/>
      <c r="AH553" s="17"/>
      <c r="AI553" s="17"/>
      <c r="AJ553" s="2">
        <f t="shared" si="235"/>
        <v>0</v>
      </c>
      <c r="AK553" s="2">
        <f t="shared" si="236"/>
        <v>0</v>
      </c>
      <c r="AL553" s="2">
        <f t="shared" si="210"/>
        <v>0</v>
      </c>
      <c r="AM553" s="2">
        <f t="shared" si="237"/>
        <v>11</v>
      </c>
    </row>
    <row r="554" spans="1:39" outlineLevel="1" x14ac:dyDescent="0.25">
      <c r="A554" t="s">
        <v>67</v>
      </c>
      <c r="B554" t="str">
        <f t="shared" si="228"/>
        <v xml:space="preserve"> (x)</v>
      </c>
      <c r="C554" s="3">
        <v>5317</v>
      </c>
      <c r="I554" s="45" t="str">
        <f t="shared" si="238"/>
        <v/>
      </c>
      <c r="J554" s="46" t="str">
        <f t="shared" si="224"/>
        <v/>
      </c>
      <c r="K554" s="62">
        <f t="shared" si="229"/>
        <v>0</v>
      </c>
      <c r="L554" s="28" t="s">
        <v>63</v>
      </c>
      <c r="M554" s="13" t="str">
        <f t="shared" si="231"/>
        <v>-</v>
      </c>
      <c r="N554" s="12" t="str">
        <f t="shared" si="220"/>
        <v>-</v>
      </c>
      <c r="O554" s="12"/>
      <c r="Q554" s="62">
        <f t="shared" si="225"/>
        <v>0</v>
      </c>
      <c r="R554" s="28" t="s">
        <v>63</v>
      </c>
      <c r="S554" s="12" t="str">
        <f t="shared" si="232"/>
        <v>-</v>
      </c>
      <c r="T554" s="12" t="str">
        <f t="shared" si="239"/>
        <v>-</v>
      </c>
      <c r="U554" s="12"/>
      <c r="V554" s="12"/>
      <c r="W554" s="62">
        <f t="shared" si="226"/>
        <v>10</v>
      </c>
      <c r="X554" s="28">
        <v>0</v>
      </c>
      <c r="Y554" s="12" t="str">
        <f t="shared" si="233"/>
        <v>-</v>
      </c>
      <c r="Z554" s="12">
        <f t="shared" si="221"/>
        <v>10</v>
      </c>
      <c r="AA554" s="12"/>
      <c r="AB554" s="64"/>
      <c r="AC554" s="62">
        <f t="shared" si="227"/>
        <v>0</v>
      </c>
      <c r="AD554" s="28" t="s">
        <v>94</v>
      </c>
      <c r="AE554" s="12" t="str">
        <f t="shared" si="234"/>
        <v>-</v>
      </c>
      <c r="AF554" s="12" t="str">
        <f t="shared" si="222"/>
        <v>-</v>
      </c>
      <c r="AG554" s="12"/>
      <c r="AH554" s="17"/>
      <c r="AI554" s="17"/>
      <c r="AJ554" s="2">
        <f t="shared" si="235"/>
        <v>0</v>
      </c>
      <c r="AK554" s="2">
        <f t="shared" si="236"/>
        <v>0</v>
      </c>
      <c r="AL554" s="2">
        <f t="shared" si="210"/>
        <v>0</v>
      </c>
      <c r="AM554" s="2">
        <f t="shared" si="237"/>
        <v>11</v>
      </c>
    </row>
    <row r="555" spans="1:39" outlineLevel="1" x14ac:dyDescent="0.25">
      <c r="A555" t="s">
        <v>67</v>
      </c>
      <c r="B555" t="str">
        <f t="shared" si="228"/>
        <v xml:space="preserve"> (x)</v>
      </c>
      <c r="C555" s="3">
        <v>5318</v>
      </c>
      <c r="I555" s="45" t="str">
        <f t="shared" si="238"/>
        <v/>
      </c>
      <c r="J555" s="46" t="str">
        <f t="shared" si="224"/>
        <v/>
      </c>
      <c r="K555" s="62">
        <f t="shared" si="229"/>
        <v>0</v>
      </c>
      <c r="L555" s="28" t="s">
        <v>63</v>
      </c>
      <c r="M555" s="13" t="str">
        <f t="shared" si="231"/>
        <v>-</v>
      </c>
      <c r="N555" s="12" t="str">
        <f t="shared" si="220"/>
        <v>-</v>
      </c>
      <c r="O555" s="12"/>
      <c r="Q555" s="62">
        <f t="shared" si="225"/>
        <v>0</v>
      </c>
      <c r="R555" s="28" t="s">
        <v>63</v>
      </c>
      <c r="S555" s="12" t="str">
        <f t="shared" si="232"/>
        <v>-</v>
      </c>
      <c r="T555" s="12" t="str">
        <f t="shared" si="239"/>
        <v>-</v>
      </c>
      <c r="U555" s="12"/>
      <c r="V555" s="12"/>
      <c r="W555" s="62">
        <f t="shared" si="226"/>
        <v>10</v>
      </c>
      <c r="X555" s="28">
        <v>0</v>
      </c>
      <c r="Y555" s="12" t="str">
        <f t="shared" si="233"/>
        <v>-</v>
      </c>
      <c r="Z555" s="12">
        <f t="shared" si="221"/>
        <v>10</v>
      </c>
      <c r="AA555" s="12"/>
      <c r="AB555" s="64"/>
      <c r="AC555" s="62">
        <f t="shared" si="227"/>
        <v>0</v>
      </c>
      <c r="AD555" s="28" t="s">
        <v>94</v>
      </c>
      <c r="AE555" s="12" t="str">
        <f t="shared" si="234"/>
        <v>-</v>
      </c>
      <c r="AF555" s="12" t="str">
        <f t="shared" si="222"/>
        <v>-</v>
      </c>
      <c r="AG555" s="12"/>
      <c r="AH555" s="17"/>
      <c r="AI555" s="17"/>
      <c r="AJ555" s="2">
        <f t="shared" si="235"/>
        <v>0</v>
      </c>
      <c r="AK555" s="2">
        <f t="shared" si="236"/>
        <v>0</v>
      </c>
      <c r="AL555" s="2">
        <f t="shared" si="210"/>
        <v>0</v>
      </c>
      <c r="AM555" s="2">
        <f t="shared" si="237"/>
        <v>11</v>
      </c>
    </row>
    <row r="556" spans="1:39" outlineLevel="1" x14ac:dyDescent="0.25">
      <c r="A556" t="s">
        <v>67</v>
      </c>
      <c r="B556" t="str">
        <f t="shared" si="228"/>
        <v xml:space="preserve"> (x)</v>
      </c>
      <c r="C556" s="3">
        <v>5319</v>
      </c>
      <c r="I556" s="45" t="str">
        <f t="shared" si="238"/>
        <v/>
      </c>
      <c r="J556" s="46" t="str">
        <f t="shared" si="224"/>
        <v/>
      </c>
      <c r="K556" s="62">
        <f t="shared" si="229"/>
        <v>0</v>
      </c>
      <c r="L556" s="28" t="s">
        <v>63</v>
      </c>
      <c r="M556" s="13" t="str">
        <f t="shared" si="231"/>
        <v>-</v>
      </c>
      <c r="N556" s="12" t="str">
        <f t="shared" si="220"/>
        <v>-</v>
      </c>
      <c r="O556" s="12"/>
      <c r="Q556" s="62">
        <f t="shared" si="225"/>
        <v>0</v>
      </c>
      <c r="R556" s="28" t="s">
        <v>63</v>
      </c>
      <c r="S556" s="12" t="str">
        <f t="shared" si="232"/>
        <v>-</v>
      </c>
      <c r="T556" s="12" t="str">
        <f t="shared" si="239"/>
        <v>-</v>
      </c>
      <c r="U556" s="12"/>
      <c r="V556" s="12"/>
      <c r="W556" s="62">
        <f t="shared" si="226"/>
        <v>10</v>
      </c>
      <c r="X556" s="28">
        <v>0</v>
      </c>
      <c r="Y556" s="12" t="str">
        <f t="shared" si="233"/>
        <v>-</v>
      </c>
      <c r="Z556" s="12">
        <f t="shared" si="221"/>
        <v>10</v>
      </c>
      <c r="AA556" s="12"/>
      <c r="AB556" s="64"/>
      <c r="AC556" s="62">
        <f t="shared" si="227"/>
        <v>0</v>
      </c>
      <c r="AD556" s="28" t="s">
        <v>94</v>
      </c>
      <c r="AE556" s="12" t="str">
        <f t="shared" si="234"/>
        <v>-</v>
      </c>
      <c r="AF556" s="12" t="str">
        <f t="shared" si="222"/>
        <v>-</v>
      </c>
      <c r="AG556" s="12"/>
      <c r="AH556" s="17"/>
      <c r="AI556" s="17"/>
      <c r="AJ556" s="2">
        <f t="shared" si="235"/>
        <v>0</v>
      </c>
      <c r="AK556" s="2">
        <f t="shared" si="236"/>
        <v>0</v>
      </c>
      <c r="AL556" s="2">
        <f t="shared" si="210"/>
        <v>0</v>
      </c>
      <c r="AM556" s="2">
        <f t="shared" si="237"/>
        <v>11</v>
      </c>
    </row>
    <row r="557" spans="1:39" outlineLevel="1" x14ac:dyDescent="0.25">
      <c r="A557" t="s">
        <v>67</v>
      </c>
      <c r="B557" t="str">
        <f t="shared" si="228"/>
        <v xml:space="preserve"> (x)</v>
      </c>
      <c r="C557" s="3">
        <v>5320</v>
      </c>
      <c r="I557" s="45" t="str">
        <f t="shared" si="238"/>
        <v/>
      </c>
      <c r="J557" s="46" t="str">
        <f t="shared" si="224"/>
        <v/>
      </c>
      <c r="K557" s="62">
        <f t="shared" si="229"/>
        <v>0</v>
      </c>
      <c r="L557" s="28" t="s">
        <v>63</v>
      </c>
      <c r="M557" s="13" t="str">
        <f t="shared" si="231"/>
        <v>-</v>
      </c>
      <c r="N557" s="12" t="str">
        <f t="shared" si="220"/>
        <v>-</v>
      </c>
      <c r="O557" s="12"/>
      <c r="Q557" s="62">
        <f t="shared" si="225"/>
        <v>0</v>
      </c>
      <c r="R557" s="28" t="s">
        <v>63</v>
      </c>
      <c r="S557" s="12" t="str">
        <f t="shared" si="232"/>
        <v>-</v>
      </c>
      <c r="T557" s="12" t="str">
        <f t="shared" si="239"/>
        <v>-</v>
      </c>
      <c r="U557" s="30" t="s">
        <v>72</v>
      </c>
      <c r="V557" s="30"/>
      <c r="W557" s="62">
        <f t="shared" si="226"/>
        <v>10</v>
      </c>
      <c r="X557" s="28">
        <v>0</v>
      </c>
      <c r="Y557" s="12" t="str">
        <f t="shared" si="233"/>
        <v>-</v>
      </c>
      <c r="Z557" s="12">
        <f t="shared" si="221"/>
        <v>10</v>
      </c>
      <c r="AA557" s="12"/>
      <c r="AB557" s="64"/>
      <c r="AC557" s="62">
        <f t="shared" si="227"/>
        <v>0</v>
      </c>
      <c r="AD557" s="28" t="s">
        <v>94</v>
      </c>
      <c r="AE557" s="12" t="str">
        <f t="shared" si="234"/>
        <v>-</v>
      </c>
      <c r="AF557" s="12" t="str">
        <f t="shared" si="222"/>
        <v>-</v>
      </c>
      <c r="AG557" s="12"/>
      <c r="AH557" s="17"/>
      <c r="AI557" s="17"/>
      <c r="AJ557" s="2">
        <f t="shared" si="235"/>
        <v>0</v>
      </c>
      <c r="AK557" s="2">
        <f t="shared" si="236"/>
        <v>0</v>
      </c>
      <c r="AL557" s="2">
        <f t="shared" si="210"/>
        <v>0</v>
      </c>
      <c r="AM557" s="2">
        <f t="shared" si="237"/>
        <v>11</v>
      </c>
    </row>
    <row r="558" spans="1:39" outlineLevel="1" x14ac:dyDescent="0.25">
      <c r="A558" t="s">
        <v>67</v>
      </c>
      <c r="B558" s="6" t="str">
        <f t="shared" ref="B558:B566" si="240">IF(OR(E558="-",F558="-"),"-",D558&amp;" ("&amp;E558&amp;"x"&amp;F558&amp;")")</f>
        <v>Schublade (420x134)</v>
      </c>
      <c r="C558" s="3" t="s">
        <v>41</v>
      </c>
      <c r="D558" s="93" t="s">
        <v>61</v>
      </c>
      <c r="E558">
        <v>420</v>
      </c>
      <c r="F558">
        <v>134</v>
      </c>
      <c r="G558">
        <v>420</v>
      </c>
      <c r="H558">
        <v>180</v>
      </c>
      <c r="I558" s="45">
        <f t="shared" ref="I558:I567" si="241">+IF($G558="","",MAX($G558,180)/1000*MAX($H558,180)/1000)</f>
        <v>7.5600000000000001E-2</v>
      </c>
      <c r="J558" s="46">
        <f t="shared" ref="J558:J567" si="242">IF($H558="","",2*MAX($G558,360)/1000+2*MAX($H558,360)/1000)</f>
        <v>1.56</v>
      </c>
      <c r="K558" s="62">
        <f t="shared" si="229"/>
        <v>285</v>
      </c>
      <c r="L558" s="28">
        <v>212</v>
      </c>
      <c r="M558" s="13">
        <f t="shared" si="231"/>
        <v>0.34433962264150941</v>
      </c>
      <c r="N558" s="12">
        <f t="shared" si="220"/>
        <v>73</v>
      </c>
      <c r="O558" s="30" t="s">
        <v>72</v>
      </c>
      <c r="Q558" s="62">
        <f t="shared" si="225"/>
        <v>561</v>
      </c>
      <c r="R558" s="28" t="s">
        <v>63</v>
      </c>
      <c r="S558" s="12" t="str">
        <f t="shared" si="232"/>
        <v>-</v>
      </c>
      <c r="T558" s="12" t="str">
        <f t="shared" si="239"/>
        <v>-</v>
      </c>
      <c r="U558" s="30" t="s">
        <v>72</v>
      </c>
      <c r="V558" s="30"/>
      <c r="W558" s="62">
        <f t="shared" si="226"/>
        <v>10</v>
      </c>
      <c r="X558" s="28">
        <v>0</v>
      </c>
      <c r="Y558" s="12" t="str">
        <f t="shared" si="233"/>
        <v>-</v>
      </c>
      <c r="Z558" s="12">
        <f t="shared" si="221"/>
        <v>10</v>
      </c>
      <c r="AA558" s="30" t="s">
        <v>73</v>
      </c>
      <c r="AB558" s="64"/>
      <c r="AC558" s="62">
        <f t="shared" si="227"/>
        <v>19</v>
      </c>
      <c r="AD558" s="28" t="s">
        <v>63</v>
      </c>
      <c r="AE558" s="12" t="str">
        <f t="shared" si="234"/>
        <v>-</v>
      </c>
      <c r="AF558" s="12" t="str">
        <f t="shared" si="222"/>
        <v>-</v>
      </c>
      <c r="AG558" s="30" t="s">
        <v>73</v>
      </c>
      <c r="AH558" s="17"/>
      <c r="AI558" s="17"/>
      <c r="AJ558" s="2">
        <f t="shared" si="235"/>
        <v>314</v>
      </c>
      <c r="AK558" s="2">
        <f t="shared" si="236"/>
        <v>617</v>
      </c>
      <c r="AL558" s="2">
        <f t="shared" si="210"/>
        <v>21</v>
      </c>
      <c r="AM558" s="2">
        <f t="shared" si="237"/>
        <v>11</v>
      </c>
    </row>
    <row r="559" spans="1:39" outlineLevel="1" x14ac:dyDescent="0.25">
      <c r="A559" t="s">
        <v>67</v>
      </c>
      <c r="B559" s="6" t="str">
        <f t="shared" si="240"/>
        <v>Schublade (420x220)</v>
      </c>
      <c r="C559" s="3" t="s">
        <v>40</v>
      </c>
      <c r="D559" s="93" t="s">
        <v>61</v>
      </c>
      <c r="E559">
        <v>420</v>
      </c>
      <c r="F559">
        <v>220</v>
      </c>
      <c r="G559">
        <v>420</v>
      </c>
      <c r="H559">
        <v>360</v>
      </c>
      <c r="I559" s="45">
        <f t="shared" si="241"/>
        <v>0.1512</v>
      </c>
      <c r="J559" s="46">
        <f t="shared" si="242"/>
        <v>1.56</v>
      </c>
      <c r="K559" s="62">
        <f t="shared" si="229"/>
        <v>285</v>
      </c>
      <c r="L559" s="28">
        <v>212</v>
      </c>
      <c r="M559" s="13">
        <f t="shared" si="231"/>
        <v>0.34433962264150941</v>
      </c>
      <c r="N559" s="12">
        <f t="shared" si="220"/>
        <v>73</v>
      </c>
      <c r="O559" s="30" t="s">
        <v>72</v>
      </c>
      <c r="Q559" s="62">
        <f t="shared" si="225"/>
        <v>561</v>
      </c>
      <c r="R559" s="28" t="s">
        <v>63</v>
      </c>
      <c r="S559" s="12" t="str">
        <f t="shared" si="232"/>
        <v>-</v>
      </c>
      <c r="T559" s="12" t="str">
        <f t="shared" si="239"/>
        <v>-</v>
      </c>
      <c r="U559" s="30" t="s">
        <v>72</v>
      </c>
      <c r="V559" s="30"/>
      <c r="W559" s="62">
        <f t="shared" si="226"/>
        <v>10</v>
      </c>
      <c r="X559" s="28">
        <v>0</v>
      </c>
      <c r="Y559" s="12" t="str">
        <f t="shared" si="233"/>
        <v>-</v>
      </c>
      <c r="Z559" s="12">
        <f t="shared" si="221"/>
        <v>10</v>
      </c>
      <c r="AA559" s="30" t="s">
        <v>73</v>
      </c>
      <c r="AB559" s="64"/>
      <c r="AC559" s="62">
        <f t="shared" si="227"/>
        <v>19</v>
      </c>
      <c r="AD559" s="28" t="s">
        <v>63</v>
      </c>
      <c r="AE559" s="12" t="str">
        <f t="shared" si="234"/>
        <v>-</v>
      </c>
      <c r="AF559" s="12" t="str">
        <f t="shared" si="222"/>
        <v>-</v>
      </c>
      <c r="AG559" s="30" t="s">
        <v>73</v>
      </c>
      <c r="AH559" s="17"/>
      <c r="AI559" s="17"/>
      <c r="AJ559" s="2">
        <f t="shared" si="235"/>
        <v>314</v>
      </c>
      <c r="AK559" s="2">
        <f t="shared" si="236"/>
        <v>617</v>
      </c>
      <c r="AL559" s="2">
        <f t="shared" si="210"/>
        <v>21</v>
      </c>
      <c r="AM559" s="2">
        <f t="shared" si="237"/>
        <v>11</v>
      </c>
    </row>
    <row r="560" spans="1:39" outlineLevel="1" x14ac:dyDescent="0.25">
      <c r="A560" t="s">
        <v>67</v>
      </c>
      <c r="B560" s="6" t="str">
        <f t="shared" si="240"/>
        <v>Schublade (412x121)</v>
      </c>
      <c r="C560" s="3" t="s">
        <v>29</v>
      </c>
      <c r="D560" s="93" t="s">
        <v>61</v>
      </c>
      <c r="E560">
        <v>412</v>
      </c>
      <c r="F560">
        <v>121</v>
      </c>
      <c r="G560">
        <v>420</v>
      </c>
      <c r="H560">
        <v>180</v>
      </c>
      <c r="I560" s="45">
        <f t="shared" si="241"/>
        <v>7.5600000000000001E-2</v>
      </c>
      <c r="J560" s="46">
        <f t="shared" si="242"/>
        <v>1.56</v>
      </c>
      <c r="K560" s="62">
        <f t="shared" si="229"/>
        <v>285</v>
      </c>
      <c r="L560" s="28">
        <v>212</v>
      </c>
      <c r="M560" s="13">
        <f>IFERROR(K560/L560-1,"-")</f>
        <v>0.34433962264150941</v>
      </c>
      <c r="N560" s="12">
        <f>IFERROR(K560-L560,"-")</f>
        <v>73</v>
      </c>
      <c r="O560" s="30" t="s">
        <v>72</v>
      </c>
      <c r="Q560" s="62">
        <f t="shared" si="225"/>
        <v>561</v>
      </c>
      <c r="R560" s="28" t="s">
        <v>63</v>
      </c>
      <c r="S560" s="12" t="str">
        <f>IFERROR(Q560/R560-1,"-")</f>
        <v>-</v>
      </c>
      <c r="T560" s="12" t="str">
        <f>IFERROR(Q560-R560,"-")</f>
        <v>-</v>
      </c>
      <c r="U560" s="30" t="s">
        <v>72</v>
      </c>
      <c r="V560" s="30"/>
      <c r="W560" s="62">
        <f t="shared" si="226"/>
        <v>10</v>
      </c>
      <c r="X560" s="28">
        <v>0</v>
      </c>
      <c r="Y560" s="12" t="str">
        <f>IFERROR(W560/X560-1,"-")</f>
        <v>-</v>
      </c>
      <c r="Z560" s="12">
        <f>IFERROR(W560-X560,"-")</f>
        <v>10</v>
      </c>
      <c r="AA560" s="30" t="s">
        <v>73</v>
      </c>
      <c r="AB560" s="64"/>
      <c r="AC560" s="62">
        <f t="shared" si="227"/>
        <v>19</v>
      </c>
      <c r="AD560" s="28" t="s">
        <v>63</v>
      </c>
      <c r="AE560" s="12" t="str">
        <f>IFERROR(AC560/AD560-1,"-")</f>
        <v>-</v>
      </c>
      <c r="AF560" s="12" t="str">
        <f>IFERROR(AC560-AD560,"-")</f>
        <v>-</v>
      </c>
      <c r="AG560" s="30" t="s">
        <v>73</v>
      </c>
      <c r="AH560" s="17"/>
      <c r="AI560" s="17"/>
      <c r="AJ560" s="2">
        <f t="shared" si="235"/>
        <v>314</v>
      </c>
      <c r="AK560" s="2">
        <f t="shared" si="236"/>
        <v>617</v>
      </c>
      <c r="AL560" s="2">
        <f t="shared" si="210"/>
        <v>21</v>
      </c>
      <c r="AM560" s="2">
        <f t="shared" si="237"/>
        <v>11</v>
      </c>
    </row>
    <row r="561" spans="1:40" outlineLevel="1" x14ac:dyDescent="0.25">
      <c r="A561" t="s">
        <v>67</v>
      </c>
      <c r="B561" s="6" t="str">
        <f t="shared" si="240"/>
        <v>Schublade (412x400)</v>
      </c>
      <c r="C561" s="3" t="s">
        <v>28</v>
      </c>
      <c r="D561" s="93" t="s">
        <v>61</v>
      </c>
      <c r="E561">
        <v>412</v>
      </c>
      <c r="F561">
        <v>400</v>
      </c>
      <c r="G561">
        <v>420</v>
      </c>
      <c r="H561">
        <v>580</v>
      </c>
      <c r="I561" s="45">
        <f t="shared" si="241"/>
        <v>0.24359999999999998</v>
      </c>
      <c r="J561" s="46">
        <f t="shared" si="242"/>
        <v>2</v>
      </c>
      <c r="K561" s="62">
        <f t="shared" si="229"/>
        <v>352</v>
      </c>
      <c r="L561" s="28">
        <v>262</v>
      </c>
      <c r="M561" s="13">
        <f>IFERROR(K561/L561-1,"-")</f>
        <v>0.34351145038167941</v>
      </c>
      <c r="N561" s="12">
        <f>IFERROR(K561-L561,"-")</f>
        <v>90</v>
      </c>
      <c r="O561" s="30" t="s">
        <v>72</v>
      </c>
      <c r="Q561" s="62">
        <f t="shared" si="225"/>
        <v>693</v>
      </c>
      <c r="R561" s="28" t="s">
        <v>63</v>
      </c>
      <c r="S561" s="12" t="str">
        <f>IFERROR(Q561/R561-1,"-")</f>
        <v>-</v>
      </c>
      <c r="T561" s="12" t="str">
        <f>IFERROR(Q561-R561,"-")</f>
        <v>-</v>
      </c>
      <c r="U561" s="30" t="s">
        <v>72</v>
      </c>
      <c r="V561" s="30"/>
      <c r="W561" s="62">
        <f t="shared" si="226"/>
        <v>10</v>
      </c>
      <c r="X561" s="28">
        <v>0</v>
      </c>
      <c r="Y561" s="12" t="str">
        <f>IFERROR(W561/X561-1,"-")</f>
        <v>-</v>
      </c>
      <c r="Z561" s="12">
        <f>IFERROR(W561-X561,"-")</f>
        <v>10</v>
      </c>
      <c r="AA561" s="30" t="s">
        <v>73</v>
      </c>
      <c r="AB561" s="64"/>
      <c r="AC561" s="62">
        <f t="shared" si="227"/>
        <v>19</v>
      </c>
      <c r="AD561" s="28" t="s">
        <v>63</v>
      </c>
      <c r="AE561" s="12" t="str">
        <f>IFERROR(AC561/AD561-1,"-")</f>
        <v>-</v>
      </c>
      <c r="AF561" s="12" t="str">
        <f>IFERROR(AC561-AD561,"-")</f>
        <v>-</v>
      </c>
      <c r="AG561" s="30" t="s">
        <v>73</v>
      </c>
      <c r="AH561" s="17"/>
      <c r="AI561" s="17"/>
      <c r="AJ561" s="2">
        <f t="shared" si="235"/>
        <v>387</v>
      </c>
      <c r="AK561" s="2">
        <f t="shared" si="236"/>
        <v>762</v>
      </c>
      <c r="AL561" s="2">
        <f t="shared" si="210"/>
        <v>21</v>
      </c>
      <c r="AM561" s="2">
        <f t="shared" si="237"/>
        <v>11</v>
      </c>
    </row>
    <row r="562" spans="1:40" outlineLevel="1" x14ac:dyDescent="0.25">
      <c r="A562" t="s">
        <v>67</v>
      </c>
      <c r="B562" s="6" t="str">
        <f t="shared" si="240"/>
        <v>Schublade (420x145)</v>
      </c>
      <c r="C562" s="3" t="s">
        <v>19</v>
      </c>
      <c r="D562" s="93" t="s">
        <v>61</v>
      </c>
      <c r="E562">
        <v>420</v>
      </c>
      <c r="F562">
        <v>145</v>
      </c>
      <c r="G562">
        <v>420</v>
      </c>
      <c r="H562">
        <v>180</v>
      </c>
      <c r="I562" s="45">
        <f t="shared" si="241"/>
        <v>7.5600000000000001E-2</v>
      </c>
      <c r="J562" s="46">
        <f t="shared" si="242"/>
        <v>1.56</v>
      </c>
      <c r="K562" s="62">
        <f t="shared" si="229"/>
        <v>285</v>
      </c>
      <c r="L562" s="28">
        <v>212</v>
      </c>
      <c r="M562" s="13">
        <f>IFERROR(K562/L562-1,"-")</f>
        <v>0.34433962264150941</v>
      </c>
      <c r="N562" s="12">
        <f>IFERROR(K562-L562,"-")</f>
        <v>73</v>
      </c>
      <c r="O562" s="30" t="s">
        <v>72</v>
      </c>
      <c r="Q562" s="62">
        <f t="shared" si="225"/>
        <v>561</v>
      </c>
      <c r="R562" s="28" t="s">
        <v>63</v>
      </c>
      <c r="S562" s="12" t="str">
        <f>IFERROR(Q562/R562-1,"-")</f>
        <v>-</v>
      </c>
      <c r="T562" s="12" t="str">
        <f>IFERROR(Q562-R562,"-")</f>
        <v>-</v>
      </c>
      <c r="U562" s="30" t="s">
        <v>72</v>
      </c>
      <c r="V562" s="30"/>
      <c r="W562" s="62">
        <f t="shared" si="226"/>
        <v>10</v>
      </c>
      <c r="X562" s="28">
        <v>0</v>
      </c>
      <c r="Y562" s="12" t="str">
        <f>IFERROR(W562/X562-1,"-")</f>
        <v>-</v>
      </c>
      <c r="Z562" s="12">
        <f>IFERROR(W562-X562,"-")</f>
        <v>10</v>
      </c>
      <c r="AA562" s="30" t="s">
        <v>73</v>
      </c>
      <c r="AB562" s="64"/>
      <c r="AC562" s="62">
        <f t="shared" si="227"/>
        <v>19</v>
      </c>
      <c r="AD562" s="28" t="s">
        <v>63</v>
      </c>
      <c r="AE562" s="12" t="str">
        <f>IFERROR(AC562/AD562-1,"-")</f>
        <v>-</v>
      </c>
      <c r="AF562" s="12" t="str">
        <f>IFERROR(AC562-AD562,"-")</f>
        <v>-</v>
      </c>
      <c r="AG562" s="30" t="s">
        <v>73</v>
      </c>
      <c r="AH562" s="17"/>
      <c r="AI562" s="17"/>
      <c r="AJ562" s="2">
        <f t="shared" si="235"/>
        <v>314</v>
      </c>
      <c r="AK562" s="2">
        <f t="shared" si="236"/>
        <v>617</v>
      </c>
      <c r="AL562" s="2">
        <f t="shared" si="210"/>
        <v>21</v>
      </c>
      <c r="AM562" s="2">
        <f t="shared" si="237"/>
        <v>11</v>
      </c>
    </row>
    <row r="563" spans="1:40" outlineLevel="1" x14ac:dyDescent="0.25">
      <c r="A563" t="s">
        <v>67</v>
      </c>
      <c r="B563" s="6" t="str">
        <f t="shared" si="240"/>
        <v>Schublade (420x293)</v>
      </c>
      <c r="C563" s="3" t="s">
        <v>18</v>
      </c>
      <c r="D563" s="93" t="s">
        <v>61</v>
      </c>
      <c r="E563">
        <v>420</v>
      </c>
      <c r="F563">
        <v>293</v>
      </c>
      <c r="G563">
        <v>420</v>
      </c>
      <c r="H563">
        <v>360</v>
      </c>
      <c r="I563" s="45">
        <f t="shared" si="241"/>
        <v>0.1512</v>
      </c>
      <c r="J563" s="46">
        <f t="shared" si="242"/>
        <v>1.56</v>
      </c>
      <c r="K563" s="62">
        <f t="shared" si="229"/>
        <v>352</v>
      </c>
      <c r="L563" s="28">
        <v>262</v>
      </c>
      <c r="M563" s="13">
        <f>IFERROR(K563/L563-1,"-")</f>
        <v>0.34351145038167941</v>
      </c>
      <c r="N563" s="12">
        <f>IFERROR(K563-L563,"-")</f>
        <v>90</v>
      </c>
      <c r="O563" s="30" t="s">
        <v>72</v>
      </c>
      <c r="Q563" s="62">
        <f t="shared" si="225"/>
        <v>693</v>
      </c>
      <c r="R563" s="28" t="s">
        <v>63</v>
      </c>
      <c r="S563" s="12" t="str">
        <f>IFERROR(Q563/R563-1,"-")</f>
        <v>-</v>
      </c>
      <c r="T563" s="12" t="str">
        <f>IFERROR(Q563-R563,"-")</f>
        <v>-</v>
      </c>
      <c r="U563" s="30" t="s">
        <v>72</v>
      </c>
      <c r="V563" s="30"/>
      <c r="W563" s="62">
        <f t="shared" si="226"/>
        <v>10</v>
      </c>
      <c r="X563" s="28">
        <v>0</v>
      </c>
      <c r="Y563" s="12" t="str">
        <f>IFERROR(W563/X563-1,"-")</f>
        <v>-</v>
      </c>
      <c r="Z563" s="12">
        <f>IFERROR(W563-X563,"-")</f>
        <v>10</v>
      </c>
      <c r="AA563" s="30" t="s">
        <v>73</v>
      </c>
      <c r="AB563" s="64"/>
      <c r="AC563" s="62">
        <f t="shared" si="227"/>
        <v>19</v>
      </c>
      <c r="AD563" s="28" t="s">
        <v>63</v>
      </c>
      <c r="AE563" s="12" t="str">
        <f>IFERROR(AC563/AD563-1,"-")</f>
        <v>-</v>
      </c>
      <c r="AF563" s="12" t="str">
        <f>IFERROR(AC563-AD563,"-")</f>
        <v>-</v>
      </c>
      <c r="AG563" s="30" t="s">
        <v>73</v>
      </c>
      <c r="AH563" s="17"/>
      <c r="AI563" s="17"/>
      <c r="AJ563" s="2">
        <f t="shared" si="235"/>
        <v>387</v>
      </c>
      <c r="AK563" s="2">
        <f t="shared" si="236"/>
        <v>762</v>
      </c>
      <c r="AL563" s="2">
        <f t="shared" si="210"/>
        <v>21</v>
      </c>
      <c r="AM563" s="2">
        <f t="shared" si="237"/>
        <v>11</v>
      </c>
    </row>
    <row r="564" spans="1:40" outlineLevel="1" x14ac:dyDescent="0.25">
      <c r="A564" t="s">
        <v>67</v>
      </c>
      <c r="B564" s="6" t="str">
        <f t="shared" si="240"/>
        <v>Schublade (420x67)</v>
      </c>
      <c r="C564" s="3" t="s">
        <v>4</v>
      </c>
      <c r="D564" s="93" t="s">
        <v>61</v>
      </c>
      <c r="E564">
        <v>420</v>
      </c>
      <c r="F564">
        <v>67</v>
      </c>
      <c r="G564">
        <v>420</v>
      </c>
      <c r="H564">
        <v>180</v>
      </c>
      <c r="I564" s="45">
        <f t="shared" si="241"/>
        <v>7.5600000000000001E-2</v>
      </c>
      <c r="J564" s="46">
        <f t="shared" si="242"/>
        <v>1.56</v>
      </c>
      <c r="K564" s="62">
        <f t="shared" si="229"/>
        <v>285</v>
      </c>
      <c r="L564" s="28">
        <v>212</v>
      </c>
      <c r="M564" s="13">
        <f t="shared" si="231"/>
        <v>0.34433962264150941</v>
      </c>
      <c r="N564" s="12">
        <f t="shared" si="220"/>
        <v>73</v>
      </c>
      <c r="O564" s="30" t="s">
        <v>72</v>
      </c>
      <c r="Q564" s="62">
        <f t="shared" si="225"/>
        <v>561</v>
      </c>
      <c r="R564" s="28" t="s">
        <v>63</v>
      </c>
      <c r="S564" s="12" t="str">
        <f t="shared" si="232"/>
        <v>-</v>
      </c>
      <c r="T564" s="12" t="str">
        <f t="shared" si="239"/>
        <v>-</v>
      </c>
      <c r="U564" s="30" t="s">
        <v>72</v>
      </c>
      <c r="V564" s="30"/>
      <c r="W564" s="62">
        <f t="shared" si="226"/>
        <v>10</v>
      </c>
      <c r="X564" s="28">
        <v>0</v>
      </c>
      <c r="Y564" s="12" t="str">
        <f t="shared" si="233"/>
        <v>-</v>
      </c>
      <c r="Z564" s="12">
        <f t="shared" si="221"/>
        <v>10</v>
      </c>
      <c r="AA564" s="30" t="s">
        <v>73</v>
      </c>
      <c r="AB564" s="64"/>
      <c r="AC564" s="62">
        <f t="shared" si="227"/>
        <v>19</v>
      </c>
      <c r="AD564" s="28" t="s">
        <v>63</v>
      </c>
      <c r="AE564" s="12" t="str">
        <f t="shared" si="234"/>
        <v>-</v>
      </c>
      <c r="AF564" s="12" t="str">
        <f t="shared" si="222"/>
        <v>-</v>
      </c>
      <c r="AG564" s="30" t="s">
        <v>73</v>
      </c>
      <c r="AH564" s="17"/>
      <c r="AI564" s="17"/>
      <c r="AJ564" s="2">
        <f t="shared" si="235"/>
        <v>314</v>
      </c>
      <c r="AK564" s="2">
        <f t="shared" si="236"/>
        <v>617</v>
      </c>
      <c r="AL564" s="2">
        <f t="shared" si="210"/>
        <v>21</v>
      </c>
      <c r="AM564" s="2">
        <f t="shared" si="237"/>
        <v>11</v>
      </c>
    </row>
    <row r="565" spans="1:40" outlineLevel="1" x14ac:dyDescent="0.25">
      <c r="A565" t="s">
        <v>67</v>
      </c>
      <c r="B565" s="6" t="str">
        <f t="shared" si="240"/>
        <v>Schublade (420x142)</v>
      </c>
      <c r="C565" s="3" t="s">
        <v>183</v>
      </c>
      <c r="D565" s="93" t="s">
        <v>61</v>
      </c>
      <c r="E565">
        <v>420</v>
      </c>
      <c r="F565">
        <v>142</v>
      </c>
      <c r="G565">
        <v>420</v>
      </c>
      <c r="H565">
        <v>180</v>
      </c>
      <c r="I565" s="45">
        <f t="shared" si="241"/>
        <v>7.5600000000000001E-2</v>
      </c>
      <c r="J565" s="46">
        <f t="shared" si="242"/>
        <v>1.56</v>
      </c>
      <c r="K565" s="62">
        <f t="shared" si="229"/>
        <v>285</v>
      </c>
      <c r="L565" s="28">
        <v>212</v>
      </c>
      <c r="M565" s="13">
        <f>IFERROR(K565/L565-1,"-")</f>
        <v>0.34433962264150941</v>
      </c>
      <c r="N565" s="12">
        <f>IFERROR(K565-L565,"-")</f>
        <v>73</v>
      </c>
      <c r="O565" s="30" t="s">
        <v>72</v>
      </c>
      <c r="Q565" s="62">
        <f t="shared" si="225"/>
        <v>561</v>
      </c>
      <c r="R565" s="28" t="s">
        <v>63</v>
      </c>
      <c r="S565" s="12" t="str">
        <f>IFERROR(Q565/R565-1,"-")</f>
        <v>-</v>
      </c>
      <c r="T565" s="12" t="str">
        <f>IFERROR(Q565-R565,"-")</f>
        <v>-</v>
      </c>
      <c r="U565" s="30" t="s">
        <v>72</v>
      </c>
      <c r="V565" s="30"/>
      <c r="W565" s="62">
        <f t="shared" si="226"/>
        <v>10</v>
      </c>
      <c r="X565" s="28">
        <v>0</v>
      </c>
      <c r="Y565" s="12" t="str">
        <f>IFERROR(W565/X565-1,"-")</f>
        <v>-</v>
      </c>
      <c r="Z565" s="12">
        <f>IFERROR(W565-X565,"-")</f>
        <v>10</v>
      </c>
      <c r="AA565" s="30" t="s">
        <v>73</v>
      </c>
      <c r="AB565" s="64"/>
      <c r="AC565" s="62">
        <f t="shared" si="227"/>
        <v>19</v>
      </c>
      <c r="AD565" s="28" t="s">
        <v>63</v>
      </c>
      <c r="AE565" s="12" t="str">
        <f>IFERROR(AC565/AD565-1,"-")</f>
        <v>-</v>
      </c>
      <c r="AF565" s="12" t="str">
        <f>IFERROR(AC565-AD565,"-")</f>
        <v>-</v>
      </c>
      <c r="AG565" s="30" t="s">
        <v>73</v>
      </c>
      <c r="AH565" s="17"/>
      <c r="AI565" s="17"/>
      <c r="AJ565" s="2">
        <f t="shared" si="235"/>
        <v>314</v>
      </c>
      <c r="AK565" s="2">
        <f t="shared" si="236"/>
        <v>617</v>
      </c>
      <c r="AL565" s="2">
        <f t="shared" si="210"/>
        <v>21</v>
      </c>
      <c r="AM565" s="2">
        <f t="shared" si="237"/>
        <v>11</v>
      </c>
    </row>
    <row r="566" spans="1:40" outlineLevel="1" x14ac:dyDescent="0.25">
      <c r="A566" t="s">
        <v>67</v>
      </c>
      <c r="B566" s="6" t="str">
        <f t="shared" si="240"/>
        <v>Schublade (420x280)</v>
      </c>
      <c r="C566" s="3" t="s">
        <v>184</v>
      </c>
      <c r="D566" s="93" t="s">
        <v>61</v>
      </c>
      <c r="E566">
        <v>420</v>
      </c>
      <c r="F566">
        <v>280</v>
      </c>
      <c r="G566">
        <v>420</v>
      </c>
      <c r="H566">
        <v>180</v>
      </c>
      <c r="I566" s="45">
        <f t="shared" si="241"/>
        <v>7.5600000000000001E-2</v>
      </c>
      <c r="J566" s="46">
        <f t="shared" si="242"/>
        <v>1.56</v>
      </c>
      <c r="K566" s="62">
        <f t="shared" si="229"/>
        <v>285</v>
      </c>
      <c r="L566" s="28">
        <v>212</v>
      </c>
      <c r="M566" s="13">
        <f t="shared" si="231"/>
        <v>0.34433962264150941</v>
      </c>
      <c r="N566" s="12">
        <f t="shared" si="220"/>
        <v>73</v>
      </c>
      <c r="O566" s="30" t="s">
        <v>72</v>
      </c>
      <c r="Q566" s="62">
        <f t="shared" si="225"/>
        <v>561</v>
      </c>
      <c r="R566" s="28" t="s">
        <v>63</v>
      </c>
      <c r="S566" s="12" t="str">
        <f t="shared" si="232"/>
        <v>-</v>
      </c>
      <c r="T566" s="12" t="str">
        <f t="shared" si="239"/>
        <v>-</v>
      </c>
      <c r="U566" s="30" t="s">
        <v>72</v>
      </c>
      <c r="V566" s="30"/>
      <c r="W566" s="62">
        <f t="shared" si="226"/>
        <v>10</v>
      </c>
      <c r="X566" s="28">
        <v>0</v>
      </c>
      <c r="Y566" s="12" t="str">
        <f t="shared" si="233"/>
        <v>-</v>
      </c>
      <c r="Z566" s="12">
        <f t="shared" si="221"/>
        <v>10</v>
      </c>
      <c r="AA566" s="30" t="s">
        <v>73</v>
      </c>
      <c r="AB566" s="64"/>
      <c r="AC566" s="62">
        <f t="shared" si="227"/>
        <v>19</v>
      </c>
      <c r="AD566" s="28" t="s">
        <v>63</v>
      </c>
      <c r="AE566" s="12" t="str">
        <f t="shared" si="234"/>
        <v>-</v>
      </c>
      <c r="AF566" s="12" t="str">
        <f t="shared" si="222"/>
        <v>-</v>
      </c>
      <c r="AG566" s="30" t="s">
        <v>73</v>
      </c>
      <c r="AH566" s="17"/>
      <c r="AI566" s="17"/>
      <c r="AJ566" s="2">
        <f t="shared" si="235"/>
        <v>314</v>
      </c>
      <c r="AK566" s="2">
        <f t="shared" si="236"/>
        <v>617</v>
      </c>
      <c r="AL566" s="2">
        <f t="shared" si="210"/>
        <v>21</v>
      </c>
      <c r="AM566" s="2">
        <f t="shared" si="237"/>
        <v>11</v>
      </c>
    </row>
    <row r="567" spans="1:40" s="14" customFormat="1" x14ac:dyDescent="0.25">
      <c r="A567" t="s">
        <v>67</v>
      </c>
      <c r="B567" s="6" t="str">
        <f t="shared" ref="B567" si="243">IF(OR(E567="-",F567="-"),"-",D567&amp;" ("&amp;E567&amp;"x"&amp;F567&amp;")")</f>
        <v>Schublade (420x141)</v>
      </c>
      <c r="C567" s="3" t="s">
        <v>3</v>
      </c>
      <c r="D567" s="93" t="s">
        <v>61</v>
      </c>
      <c r="E567">
        <v>420</v>
      </c>
      <c r="F567">
        <v>141</v>
      </c>
      <c r="G567">
        <v>420</v>
      </c>
      <c r="H567">
        <v>180</v>
      </c>
      <c r="I567" s="45">
        <f t="shared" si="241"/>
        <v>7.5600000000000001E-2</v>
      </c>
      <c r="J567" s="46">
        <f t="shared" si="242"/>
        <v>1.56</v>
      </c>
      <c r="K567" s="62">
        <f t="shared" ref="K567" si="244">+IFERROR(ROUND(L567*(1+L$2)^N$2+J$463,0),0)</f>
        <v>285</v>
      </c>
      <c r="L567" s="28">
        <v>212</v>
      </c>
      <c r="M567" s="13">
        <f t="shared" ref="M567" si="245">IFERROR(K567/L567-1,"-")</f>
        <v>0.34433962264150941</v>
      </c>
      <c r="N567" s="12">
        <f t="shared" ref="N567" si="246">IFERROR(K567-L567,"-")</f>
        <v>73</v>
      </c>
      <c r="O567" s="30" t="s">
        <v>72</v>
      </c>
      <c r="P567" s="17"/>
      <c r="Q567" s="62">
        <f t="shared" ref="Q567" si="247">+IFERROR(IF(AND(R567="-",K567&gt;0),ROUND(V$4*K567,0),ROUND(R567*(1+S$2)^U$2+Q$2,0)),0)</f>
        <v>561</v>
      </c>
      <c r="R567" s="28" t="s">
        <v>63</v>
      </c>
      <c r="S567" s="12" t="str">
        <f t="shared" ref="S567" si="248">IFERROR(Q567/R567-1,"-")</f>
        <v>-</v>
      </c>
      <c r="T567" s="12" t="str">
        <f t="shared" ref="T567" si="249">IFERROR(Q567-R567,"-")</f>
        <v>-</v>
      </c>
      <c r="U567" s="30" t="s">
        <v>72</v>
      </c>
      <c r="V567" s="30"/>
      <c r="W567" s="62">
        <f t="shared" ref="W567" si="250">+IFERROR(IF(AND(X567="-",Q567&gt;0),ROUND(AB$4*Q567,0),ROUND(X567*(1+Y$2)^AA$2+W$2,0)),0)</f>
        <v>10</v>
      </c>
      <c r="X567" s="28">
        <v>0</v>
      </c>
      <c r="Y567" s="12" t="str">
        <f t="shared" ref="Y567" si="251">IFERROR(W567/X567-1,"-")</f>
        <v>-</v>
      </c>
      <c r="Z567" s="12">
        <f t="shared" ref="Z567" si="252">IFERROR(W567-X567,"-")</f>
        <v>10</v>
      </c>
      <c r="AA567" s="30" t="s">
        <v>73</v>
      </c>
      <c r="AB567" s="64"/>
      <c r="AC567" s="62">
        <f t="shared" ref="AC567" si="253">+IFERROR(IF(AND(AD567="-",W567&gt;0),ROUND(AH$4*W567,0),ROUND(AD567*(1+AE$2)^AG$2+AC$2,0)),0)</f>
        <v>19</v>
      </c>
      <c r="AD567" s="28" t="s">
        <v>63</v>
      </c>
      <c r="AE567" s="12" t="str">
        <f t="shared" ref="AE567" si="254">IFERROR(AC567/AD567-1,"-")</f>
        <v>-</v>
      </c>
      <c r="AF567" s="12" t="str">
        <f t="shared" ref="AF567" si="255">IFERROR(AC567-AD567,"-")</f>
        <v>-</v>
      </c>
      <c r="AG567" s="30" t="s">
        <v>73</v>
      </c>
      <c r="AH567" s="17"/>
      <c r="AI567" s="17"/>
      <c r="AJ567" s="2">
        <f t="shared" ref="AJ567" si="256">+IFERROR(ROUND(K567*(1+AJ$2),0),"-")</f>
        <v>314</v>
      </c>
      <c r="AK567" s="2">
        <f t="shared" ref="AK567" si="257">+IFERROR(ROUND(Q567*(1+AK$2),0),"-")</f>
        <v>617</v>
      </c>
      <c r="AL567" s="2">
        <f t="shared" ref="AL567" si="258">+IFERROR(ROUND(AC567*(1+AL$2),0),"-")</f>
        <v>21</v>
      </c>
      <c r="AM567" s="2">
        <f t="shared" ref="AM567" si="259">+IFERROR(ROUND(W567*(1+AM$2),0),"-")</f>
        <v>11</v>
      </c>
      <c r="AN567" s="44" t="str">
        <f>+IF($E568="","",MAX($E568,180)/1000*MAX($F568,180)/1000)</f>
        <v/>
      </c>
    </row>
    <row r="568" spans="1:40" outlineLevel="1" x14ac:dyDescent="0.25">
      <c r="A568" s="32"/>
      <c r="B568" s="5" t="s">
        <v>79</v>
      </c>
      <c r="C568" s="5"/>
      <c r="D568" s="5"/>
      <c r="E568" s="5"/>
      <c r="F568" s="5"/>
      <c r="G568" s="5"/>
      <c r="H568" s="5"/>
      <c r="I568" s="44" t="str">
        <f t="shared" si="238"/>
        <v/>
      </c>
      <c r="J568" s="44" t="str">
        <f t="shared" si="238"/>
        <v/>
      </c>
      <c r="K568" s="62">
        <f t="shared" si="229"/>
        <v>0</v>
      </c>
      <c r="L568" s="44" t="str">
        <f t="shared" si="238"/>
        <v/>
      </c>
      <c r="M568" s="44" t="str">
        <f t="shared" si="238"/>
        <v/>
      </c>
      <c r="N568" s="44" t="str">
        <f t="shared" si="238"/>
        <v/>
      </c>
      <c r="O568" s="44" t="str">
        <f t="shared" si="238"/>
        <v/>
      </c>
      <c r="P568" s="44" t="str">
        <f t="shared" si="238"/>
        <v/>
      </c>
      <c r="Q568" s="44">
        <f t="shared" si="225"/>
        <v>0</v>
      </c>
      <c r="R568" s="44" t="str">
        <f t="shared" si="238"/>
        <v/>
      </c>
      <c r="S568" s="44" t="str">
        <f t="shared" si="238"/>
        <v/>
      </c>
      <c r="T568" s="44" t="str">
        <f t="shared" si="238"/>
        <v/>
      </c>
      <c r="U568" s="44" t="str">
        <f t="shared" ref="U568:AM568" si="260">+IF($E568="","",MAX($E568,180)/1000*MAX($F568,180)/1000)</f>
        <v/>
      </c>
      <c r="V568" s="44" t="str">
        <f t="shared" si="260"/>
        <v/>
      </c>
      <c r="W568" s="44">
        <f t="shared" si="226"/>
        <v>0</v>
      </c>
      <c r="X568" s="44" t="str">
        <f t="shared" si="260"/>
        <v/>
      </c>
      <c r="Y568" s="44" t="str">
        <f t="shared" si="260"/>
        <v/>
      </c>
      <c r="Z568" s="44" t="str">
        <f t="shared" si="260"/>
        <v/>
      </c>
      <c r="AA568" s="44" t="str">
        <f t="shared" si="260"/>
        <v/>
      </c>
      <c r="AB568" s="44" t="str">
        <f t="shared" si="260"/>
        <v/>
      </c>
      <c r="AC568" s="44">
        <f t="shared" si="227"/>
        <v>0</v>
      </c>
      <c r="AD568" s="44" t="str">
        <f t="shared" si="260"/>
        <v/>
      </c>
      <c r="AE568" s="44" t="str">
        <f t="shared" si="260"/>
        <v/>
      </c>
      <c r="AF568" s="44" t="str">
        <f t="shared" si="260"/>
        <v/>
      </c>
      <c r="AG568" s="44" t="str">
        <f t="shared" si="260"/>
        <v/>
      </c>
      <c r="AH568" s="44"/>
      <c r="AI568" s="44" t="str">
        <f t="shared" si="260"/>
        <v/>
      </c>
      <c r="AJ568" s="44" t="str">
        <f t="shared" si="260"/>
        <v/>
      </c>
      <c r="AK568" s="44" t="str">
        <f t="shared" si="260"/>
        <v/>
      </c>
      <c r="AL568" s="44" t="str">
        <f t="shared" si="260"/>
        <v/>
      </c>
      <c r="AM568" s="44" t="str">
        <f t="shared" si="260"/>
        <v/>
      </c>
    </row>
    <row r="569" spans="1:40" outlineLevel="1" x14ac:dyDescent="0.25">
      <c r="A569" t="s">
        <v>67</v>
      </c>
      <c r="B569" t="str">
        <f t="shared" si="228"/>
        <v>Schublade LB 1 (420x180)</v>
      </c>
      <c r="C569">
        <v>5400</v>
      </c>
      <c r="D569" t="s">
        <v>79</v>
      </c>
      <c r="E569">
        <v>420</v>
      </c>
      <c r="F569">
        <v>180</v>
      </c>
      <c r="I569" s="45">
        <f>+IF($E569="","",MAX($E569,180)/1000*MAX($F569,180)/1000)</f>
        <v>7.5600000000000001E-2</v>
      </c>
      <c r="J569" s="46">
        <f t="shared" si="224"/>
        <v>1.56</v>
      </c>
      <c r="K569" s="62">
        <f t="shared" si="229"/>
        <v>285</v>
      </c>
      <c r="L569" s="28">
        <v>212</v>
      </c>
      <c r="M569" s="13">
        <f t="shared" ref="M569:M589" si="261">IFERROR(K569/L569-1,"-")</f>
        <v>0.34433962264150941</v>
      </c>
      <c r="N569" s="12">
        <f t="shared" ref="N569:N611" si="262">IFERROR(K569-L569,"-")</f>
        <v>73</v>
      </c>
      <c r="O569" s="30" t="s">
        <v>72</v>
      </c>
      <c r="Q569" s="62">
        <f t="shared" si="225"/>
        <v>345</v>
      </c>
      <c r="R569" s="28">
        <v>242</v>
      </c>
      <c r="S569" s="13">
        <f t="shared" ref="S569:S589" si="263">IFERROR(Q569/R569-1,"-")</f>
        <v>0.42561983471074383</v>
      </c>
      <c r="T569" s="12">
        <f t="shared" si="239"/>
        <v>103</v>
      </c>
      <c r="U569" s="30" t="s">
        <v>72</v>
      </c>
      <c r="V569" s="30"/>
      <c r="W569" s="62">
        <f t="shared" si="226"/>
        <v>329</v>
      </c>
      <c r="X569" s="28">
        <v>237</v>
      </c>
      <c r="Y569" s="13">
        <f t="shared" ref="Y569:Y589" si="264">IFERROR(W569/X569-1,"-")</f>
        <v>0.38818565400843874</v>
      </c>
      <c r="Z569" s="12">
        <f t="shared" si="221"/>
        <v>92</v>
      </c>
      <c r="AA569" s="12"/>
      <c r="AB569" s="64"/>
      <c r="AC569" s="62">
        <f t="shared" si="227"/>
        <v>335</v>
      </c>
      <c r="AD569" s="28">
        <v>242</v>
      </c>
      <c r="AE569" s="13">
        <f t="shared" ref="AE569:AE589" si="265">IFERROR(AC569/AD569-1,"-")</f>
        <v>0.38429752066115697</v>
      </c>
      <c r="AF569" s="12">
        <f t="shared" si="222"/>
        <v>93</v>
      </c>
      <c r="AG569" s="30" t="s">
        <v>72</v>
      </c>
      <c r="AH569" s="17"/>
      <c r="AI569" s="16"/>
      <c r="AJ569" s="2">
        <f t="shared" ref="AJ569:AJ589" si="266">+IFERROR(ROUND(K569*(1+AJ$2),0),"-")</f>
        <v>314</v>
      </c>
      <c r="AK569" s="2">
        <f t="shared" ref="AK569:AK589" si="267">+IFERROR(ROUND(Q569*(1+AK$2),0),"-")</f>
        <v>380</v>
      </c>
      <c r="AL569" s="2">
        <f t="shared" si="210"/>
        <v>369</v>
      </c>
      <c r="AM569" s="2">
        <f t="shared" si="237"/>
        <v>362</v>
      </c>
    </row>
    <row r="570" spans="1:40" outlineLevel="1" x14ac:dyDescent="0.25">
      <c r="A570" t="s">
        <v>67</v>
      </c>
      <c r="B570" t="str">
        <f t="shared" si="228"/>
        <v>Schublade LB 1 (420x360)</v>
      </c>
      <c r="C570">
        <v>5401</v>
      </c>
      <c r="D570" t="s">
        <v>79</v>
      </c>
      <c r="E570">
        <v>420</v>
      </c>
      <c r="F570">
        <v>360</v>
      </c>
      <c r="I570" s="45">
        <f t="shared" si="238"/>
        <v>0.1512</v>
      </c>
      <c r="J570" s="46">
        <f t="shared" si="224"/>
        <v>1.56</v>
      </c>
      <c r="K570" s="62">
        <f t="shared" si="229"/>
        <v>352</v>
      </c>
      <c r="L570" s="28">
        <v>262</v>
      </c>
      <c r="M570" s="13">
        <f t="shared" si="261"/>
        <v>0.34351145038167941</v>
      </c>
      <c r="N570" s="12">
        <f t="shared" si="262"/>
        <v>90</v>
      </c>
      <c r="O570" s="30" t="s">
        <v>72</v>
      </c>
      <c r="Q570" s="62">
        <f t="shared" si="225"/>
        <v>439</v>
      </c>
      <c r="R570" s="28">
        <v>312</v>
      </c>
      <c r="S570" s="13">
        <f t="shared" si="263"/>
        <v>0.40705128205128216</v>
      </c>
      <c r="T570" s="12">
        <f t="shared" si="239"/>
        <v>127</v>
      </c>
      <c r="U570" s="30" t="s">
        <v>72</v>
      </c>
      <c r="V570" s="30"/>
      <c r="W570" s="62">
        <f t="shared" si="226"/>
        <v>420</v>
      </c>
      <c r="X570" s="28">
        <v>305</v>
      </c>
      <c r="Y570" s="13">
        <f t="shared" si="264"/>
        <v>0.37704918032786883</v>
      </c>
      <c r="Z570" s="12">
        <f t="shared" si="221"/>
        <v>115</v>
      </c>
      <c r="AA570" s="12"/>
      <c r="AB570" s="64"/>
      <c r="AC570" s="62">
        <f t="shared" si="227"/>
        <v>429</v>
      </c>
      <c r="AD570" s="28">
        <v>312</v>
      </c>
      <c r="AE570" s="13">
        <f t="shared" si="265"/>
        <v>0.375</v>
      </c>
      <c r="AF570" s="12">
        <f t="shared" si="222"/>
        <v>117</v>
      </c>
      <c r="AG570" s="30" t="s">
        <v>72</v>
      </c>
      <c r="AH570" s="17"/>
      <c r="AI570" s="16"/>
      <c r="AJ570" s="2">
        <f t="shared" si="266"/>
        <v>387</v>
      </c>
      <c r="AK570" s="2">
        <f t="shared" si="267"/>
        <v>483</v>
      </c>
      <c r="AL570" s="2">
        <f t="shared" ref="AL570:AL598" si="268">+IFERROR(ROUND(AC570*(1+AL$2),0),"-")</f>
        <v>472</v>
      </c>
      <c r="AM570" s="2">
        <f t="shared" ref="AM570:AM598" si="269">+IFERROR(ROUND(W570*(1+AM$2),0),"-")</f>
        <v>462</v>
      </c>
    </row>
    <row r="571" spans="1:40" outlineLevel="1" x14ac:dyDescent="0.25">
      <c r="A571" t="s">
        <v>67</v>
      </c>
      <c r="B571" t="str">
        <f t="shared" si="228"/>
        <v>Schublade LB 1 (580x180)</v>
      </c>
      <c r="C571">
        <v>5402</v>
      </c>
      <c r="D571" t="s">
        <v>79</v>
      </c>
      <c r="E571">
        <v>580</v>
      </c>
      <c r="F571">
        <v>180</v>
      </c>
      <c r="I571" s="45">
        <f t="shared" si="238"/>
        <v>0.10439999999999999</v>
      </c>
      <c r="J571" s="46">
        <f t="shared" si="224"/>
        <v>1.88</v>
      </c>
      <c r="K571" s="62">
        <f t="shared" si="229"/>
        <v>298</v>
      </c>
      <c r="L571" s="28">
        <v>222</v>
      </c>
      <c r="M571" s="13">
        <f t="shared" si="261"/>
        <v>0.3423423423423424</v>
      </c>
      <c r="N571" s="12">
        <f t="shared" si="262"/>
        <v>76</v>
      </c>
      <c r="O571" s="30" t="s">
        <v>72</v>
      </c>
      <c r="Q571" s="62">
        <f t="shared" si="225"/>
        <v>368</v>
      </c>
      <c r="R571" s="28">
        <v>259</v>
      </c>
      <c r="S571" s="13">
        <f t="shared" si="263"/>
        <v>0.4208494208494209</v>
      </c>
      <c r="T571" s="12">
        <f t="shared" si="239"/>
        <v>109</v>
      </c>
      <c r="U571" s="30" t="s">
        <v>72</v>
      </c>
      <c r="V571" s="30"/>
      <c r="W571" s="62">
        <f t="shared" si="226"/>
        <v>351</v>
      </c>
      <c r="X571" s="28">
        <v>254</v>
      </c>
      <c r="Y571" s="13">
        <f t="shared" si="264"/>
        <v>0.38188976377952755</v>
      </c>
      <c r="Z571" s="12">
        <f t="shared" si="221"/>
        <v>97</v>
      </c>
      <c r="AA571" s="12"/>
      <c r="AB571" s="64"/>
      <c r="AC571" s="62">
        <f t="shared" si="227"/>
        <v>358</v>
      </c>
      <c r="AD571" s="28">
        <v>259</v>
      </c>
      <c r="AE571" s="13">
        <f t="shared" si="265"/>
        <v>0.38223938223938214</v>
      </c>
      <c r="AF571" s="12">
        <f t="shared" si="222"/>
        <v>99</v>
      </c>
      <c r="AG571" s="30" t="s">
        <v>72</v>
      </c>
      <c r="AH571" s="17"/>
      <c r="AI571" s="16"/>
      <c r="AJ571" s="2">
        <f t="shared" si="266"/>
        <v>328</v>
      </c>
      <c r="AK571" s="2">
        <f t="shared" si="267"/>
        <v>405</v>
      </c>
      <c r="AL571" s="2">
        <f t="shared" si="268"/>
        <v>394</v>
      </c>
      <c r="AM571" s="2">
        <f t="shared" si="269"/>
        <v>386</v>
      </c>
    </row>
    <row r="572" spans="1:40" outlineLevel="1" x14ac:dyDescent="0.25">
      <c r="A572" t="s">
        <v>67</v>
      </c>
      <c r="B572" t="str">
        <f t="shared" si="228"/>
        <v>Schublade LB 1 (580x360)</v>
      </c>
      <c r="C572">
        <v>5403</v>
      </c>
      <c r="D572" t="s">
        <v>79</v>
      </c>
      <c r="E572">
        <v>580</v>
      </c>
      <c r="F572">
        <v>360</v>
      </c>
      <c r="I572" s="45">
        <f t="shared" si="238"/>
        <v>0.20879999999999999</v>
      </c>
      <c r="J572" s="46">
        <f t="shared" si="224"/>
        <v>1.88</v>
      </c>
      <c r="K572" s="62">
        <f t="shared" si="229"/>
        <v>353</v>
      </c>
      <c r="L572" s="28">
        <v>263</v>
      </c>
      <c r="M572" s="13">
        <f t="shared" si="261"/>
        <v>0.34220532319391639</v>
      </c>
      <c r="N572" s="12">
        <f t="shared" si="262"/>
        <v>90</v>
      </c>
      <c r="O572" s="30" t="s">
        <v>72</v>
      </c>
      <c r="Q572" s="62">
        <f t="shared" si="225"/>
        <v>470</v>
      </c>
      <c r="R572" s="28">
        <v>335</v>
      </c>
      <c r="S572" s="13">
        <f t="shared" si="263"/>
        <v>0.40298507462686572</v>
      </c>
      <c r="T572" s="12">
        <f t="shared" si="239"/>
        <v>135</v>
      </c>
      <c r="U572" s="30" t="s">
        <v>72</v>
      </c>
      <c r="V572" s="30"/>
      <c r="W572" s="62">
        <f t="shared" si="226"/>
        <v>445</v>
      </c>
      <c r="X572" s="28">
        <v>324</v>
      </c>
      <c r="Y572" s="13">
        <f t="shared" si="264"/>
        <v>0.37345679012345689</v>
      </c>
      <c r="Z572" s="12">
        <f t="shared" si="221"/>
        <v>121</v>
      </c>
      <c r="AA572" s="12"/>
      <c r="AB572" s="64"/>
      <c r="AC572" s="62">
        <f t="shared" si="227"/>
        <v>460</v>
      </c>
      <c r="AD572" s="28">
        <v>335</v>
      </c>
      <c r="AE572" s="13">
        <f t="shared" si="265"/>
        <v>0.37313432835820892</v>
      </c>
      <c r="AF572" s="12">
        <f t="shared" si="222"/>
        <v>125</v>
      </c>
      <c r="AG572" s="30" t="s">
        <v>72</v>
      </c>
      <c r="AH572" s="17"/>
      <c r="AI572" s="16"/>
      <c r="AJ572" s="2">
        <f t="shared" si="266"/>
        <v>388</v>
      </c>
      <c r="AK572" s="2">
        <f t="shared" si="267"/>
        <v>517</v>
      </c>
      <c r="AL572" s="2">
        <f t="shared" si="268"/>
        <v>506</v>
      </c>
      <c r="AM572" s="2">
        <f t="shared" si="269"/>
        <v>490</v>
      </c>
    </row>
    <row r="573" spans="1:40" outlineLevel="1" x14ac:dyDescent="0.25">
      <c r="A573" t="s">
        <v>67</v>
      </c>
      <c r="B573" t="str">
        <f t="shared" si="228"/>
        <v>Schublade LB 1 (780x180)</v>
      </c>
      <c r="C573">
        <v>5404</v>
      </c>
      <c r="D573" t="s">
        <v>79</v>
      </c>
      <c r="E573">
        <v>780</v>
      </c>
      <c r="F573">
        <v>180</v>
      </c>
      <c r="I573" s="45">
        <f t="shared" si="238"/>
        <v>0.1404</v>
      </c>
      <c r="J573" s="46">
        <f t="shared" si="224"/>
        <v>2.2800000000000002</v>
      </c>
      <c r="K573" s="62">
        <f t="shared" si="229"/>
        <v>309</v>
      </c>
      <c r="L573" s="28">
        <v>230</v>
      </c>
      <c r="M573" s="13">
        <f t="shared" si="261"/>
        <v>0.34347826086956523</v>
      </c>
      <c r="N573" s="12">
        <f t="shared" si="262"/>
        <v>79</v>
      </c>
      <c r="O573" s="30" t="s">
        <v>72</v>
      </c>
      <c r="Q573" s="62">
        <f t="shared" si="225"/>
        <v>391</v>
      </c>
      <c r="R573" s="28">
        <v>276</v>
      </c>
      <c r="S573" s="13">
        <f t="shared" si="263"/>
        <v>0.41666666666666674</v>
      </c>
      <c r="T573" s="12">
        <f t="shared" si="239"/>
        <v>115</v>
      </c>
      <c r="U573" s="30" t="s">
        <v>72</v>
      </c>
      <c r="V573" s="30"/>
      <c r="W573" s="62">
        <f t="shared" si="226"/>
        <v>372</v>
      </c>
      <c r="X573" s="28">
        <v>269</v>
      </c>
      <c r="Y573" s="13">
        <f t="shared" si="264"/>
        <v>0.38289962825278812</v>
      </c>
      <c r="Z573" s="12">
        <f t="shared" si="221"/>
        <v>103</v>
      </c>
      <c r="AA573" s="12"/>
      <c r="AB573" s="64"/>
      <c r="AC573" s="62">
        <f t="shared" si="227"/>
        <v>381</v>
      </c>
      <c r="AD573" s="28">
        <v>276</v>
      </c>
      <c r="AE573" s="13">
        <f t="shared" si="265"/>
        <v>0.38043478260869557</v>
      </c>
      <c r="AF573" s="12">
        <f t="shared" si="222"/>
        <v>105</v>
      </c>
      <c r="AG573" s="30" t="s">
        <v>72</v>
      </c>
      <c r="AH573" s="17"/>
      <c r="AI573" s="16"/>
      <c r="AJ573" s="2">
        <f t="shared" si="266"/>
        <v>340</v>
      </c>
      <c r="AK573" s="2">
        <f t="shared" si="267"/>
        <v>430</v>
      </c>
      <c r="AL573" s="2">
        <f t="shared" si="268"/>
        <v>419</v>
      </c>
      <c r="AM573" s="2">
        <f t="shared" si="269"/>
        <v>409</v>
      </c>
    </row>
    <row r="574" spans="1:40" outlineLevel="1" x14ac:dyDescent="0.25">
      <c r="A574" t="s">
        <v>67</v>
      </c>
      <c r="B574" t="str">
        <f t="shared" si="228"/>
        <v>Schublade LB 1 (780x360)</v>
      </c>
      <c r="C574">
        <v>5405</v>
      </c>
      <c r="D574" t="s">
        <v>79</v>
      </c>
      <c r="E574">
        <v>780</v>
      </c>
      <c r="F574">
        <v>360</v>
      </c>
      <c r="I574" s="45">
        <f t="shared" si="238"/>
        <v>0.28079999999999999</v>
      </c>
      <c r="J574" s="46">
        <f t="shared" si="224"/>
        <v>2.2800000000000002</v>
      </c>
      <c r="K574" s="62">
        <f t="shared" si="229"/>
        <v>356</v>
      </c>
      <c r="L574" s="28">
        <v>265</v>
      </c>
      <c r="M574" s="13">
        <f t="shared" si="261"/>
        <v>0.34339622641509426</v>
      </c>
      <c r="N574" s="12">
        <f t="shared" si="262"/>
        <v>91</v>
      </c>
      <c r="O574" s="30" t="s">
        <v>72</v>
      </c>
      <c r="Q574" s="62">
        <f t="shared" si="225"/>
        <v>501</v>
      </c>
      <c r="R574" s="28">
        <v>358</v>
      </c>
      <c r="S574" s="13">
        <f t="shared" si="263"/>
        <v>0.3994413407821229</v>
      </c>
      <c r="T574" s="12">
        <f t="shared" si="239"/>
        <v>143</v>
      </c>
      <c r="U574" s="30" t="s">
        <v>72</v>
      </c>
      <c r="V574" s="30"/>
      <c r="W574" s="62">
        <f t="shared" si="226"/>
        <v>471</v>
      </c>
      <c r="X574" s="28">
        <v>343</v>
      </c>
      <c r="Y574" s="13">
        <f t="shared" si="264"/>
        <v>0.37317784256559761</v>
      </c>
      <c r="Z574" s="12">
        <f t="shared" si="221"/>
        <v>128</v>
      </c>
      <c r="AA574" s="12"/>
      <c r="AB574" s="64"/>
      <c r="AC574" s="62">
        <f t="shared" si="227"/>
        <v>491</v>
      </c>
      <c r="AD574" s="28">
        <v>358</v>
      </c>
      <c r="AE574" s="13">
        <f t="shared" si="265"/>
        <v>0.37150837988826813</v>
      </c>
      <c r="AF574" s="12">
        <f t="shared" si="222"/>
        <v>133</v>
      </c>
      <c r="AG574" s="30" t="s">
        <v>72</v>
      </c>
      <c r="AH574" s="17"/>
      <c r="AI574" s="16"/>
      <c r="AJ574" s="2">
        <f t="shared" si="266"/>
        <v>392</v>
      </c>
      <c r="AK574" s="2">
        <f t="shared" si="267"/>
        <v>551</v>
      </c>
      <c r="AL574" s="2">
        <f t="shared" si="268"/>
        <v>540</v>
      </c>
      <c r="AM574" s="2">
        <f t="shared" si="269"/>
        <v>518</v>
      </c>
    </row>
    <row r="575" spans="1:40" outlineLevel="1" x14ac:dyDescent="0.25">
      <c r="A575" t="s">
        <v>67</v>
      </c>
      <c r="B575" t="str">
        <f t="shared" si="228"/>
        <v>Schublade LB 1 (980x180)</v>
      </c>
      <c r="C575">
        <v>5406</v>
      </c>
      <c r="D575" t="s">
        <v>79</v>
      </c>
      <c r="E575">
        <v>980</v>
      </c>
      <c r="F575">
        <v>180</v>
      </c>
      <c r="I575" s="45">
        <f t="shared" si="238"/>
        <v>0.1764</v>
      </c>
      <c r="J575" s="46">
        <f t="shared" si="224"/>
        <v>2.6799999999999997</v>
      </c>
      <c r="K575" s="62">
        <f t="shared" si="229"/>
        <v>348</v>
      </c>
      <c r="L575" s="28">
        <v>259</v>
      </c>
      <c r="M575" s="13">
        <f t="shared" si="261"/>
        <v>0.34362934362934361</v>
      </c>
      <c r="N575" s="12">
        <f t="shared" si="262"/>
        <v>89</v>
      </c>
      <c r="O575" s="30" t="s">
        <v>72</v>
      </c>
      <c r="Q575" s="62">
        <f t="shared" si="225"/>
        <v>474</v>
      </c>
      <c r="R575" s="28">
        <v>338</v>
      </c>
      <c r="S575" s="13">
        <f t="shared" si="263"/>
        <v>0.4023668639053255</v>
      </c>
      <c r="T575" s="12">
        <f t="shared" si="239"/>
        <v>136</v>
      </c>
      <c r="U575" s="30" t="s">
        <v>72</v>
      </c>
      <c r="V575" s="30"/>
      <c r="W575" s="62">
        <f t="shared" si="226"/>
        <v>417</v>
      </c>
      <c r="X575" s="28">
        <v>303</v>
      </c>
      <c r="Y575" s="13">
        <f t="shared" si="264"/>
        <v>0.37623762376237613</v>
      </c>
      <c r="Z575" s="12">
        <f t="shared" si="221"/>
        <v>114</v>
      </c>
      <c r="AA575" s="12"/>
      <c r="AB575" s="64"/>
      <c r="AC575" s="62">
        <f t="shared" si="227"/>
        <v>464</v>
      </c>
      <c r="AD575" s="28">
        <v>338</v>
      </c>
      <c r="AE575" s="13">
        <f t="shared" si="265"/>
        <v>0.3727810650887573</v>
      </c>
      <c r="AF575" s="12">
        <f t="shared" si="222"/>
        <v>126</v>
      </c>
      <c r="AG575" s="30" t="s">
        <v>72</v>
      </c>
      <c r="AH575" s="17"/>
      <c r="AI575" s="16"/>
      <c r="AJ575" s="2">
        <f t="shared" si="266"/>
        <v>383</v>
      </c>
      <c r="AK575" s="2">
        <f t="shared" si="267"/>
        <v>521</v>
      </c>
      <c r="AL575" s="2">
        <f t="shared" si="268"/>
        <v>510</v>
      </c>
      <c r="AM575" s="2">
        <f t="shared" si="269"/>
        <v>459</v>
      </c>
    </row>
    <row r="576" spans="1:40" outlineLevel="1" x14ac:dyDescent="0.25">
      <c r="A576" t="s">
        <v>67</v>
      </c>
      <c r="B576" t="str">
        <f t="shared" si="228"/>
        <v>Schublade LB 1 (980x360)</v>
      </c>
      <c r="C576">
        <v>5407</v>
      </c>
      <c r="D576" t="s">
        <v>79</v>
      </c>
      <c r="E576">
        <v>980</v>
      </c>
      <c r="F576">
        <v>360</v>
      </c>
      <c r="I576" s="45">
        <f t="shared" si="238"/>
        <v>0.3528</v>
      </c>
      <c r="J576" s="46">
        <f t="shared" si="224"/>
        <v>2.6799999999999997</v>
      </c>
      <c r="K576" s="62">
        <f t="shared" si="229"/>
        <v>429</v>
      </c>
      <c r="L576" s="28">
        <v>319</v>
      </c>
      <c r="M576" s="13">
        <f t="shared" si="261"/>
        <v>0.34482758620689657</v>
      </c>
      <c r="N576" s="12">
        <f t="shared" si="262"/>
        <v>110</v>
      </c>
      <c r="O576" s="30" t="s">
        <v>72</v>
      </c>
      <c r="Q576" s="62">
        <f t="shared" si="225"/>
        <v>610</v>
      </c>
      <c r="R576" s="28">
        <v>439</v>
      </c>
      <c r="S576" s="13">
        <f t="shared" si="263"/>
        <v>0.38952164009111612</v>
      </c>
      <c r="T576" s="12">
        <f t="shared" ref="T576:T611" si="270">IFERROR(Q576-R576,"-")</f>
        <v>171</v>
      </c>
      <c r="U576" s="30" t="s">
        <v>72</v>
      </c>
      <c r="V576" s="30"/>
      <c r="W576" s="62">
        <f t="shared" si="226"/>
        <v>553</v>
      </c>
      <c r="X576" s="28">
        <v>404</v>
      </c>
      <c r="Y576" s="13">
        <f t="shared" si="264"/>
        <v>0.36881188118811892</v>
      </c>
      <c r="Z576" s="12">
        <f t="shared" si="221"/>
        <v>149</v>
      </c>
      <c r="AA576" s="12"/>
      <c r="AB576" s="64"/>
      <c r="AC576" s="62">
        <f t="shared" si="227"/>
        <v>600</v>
      </c>
      <c r="AD576" s="28">
        <v>439</v>
      </c>
      <c r="AE576" s="13">
        <f t="shared" si="265"/>
        <v>0.36674259681093391</v>
      </c>
      <c r="AF576" s="12">
        <f t="shared" si="222"/>
        <v>161</v>
      </c>
      <c r="AG576" s="30" t="s">
        <v>72</v>
      </c>
      <c r="AH576" s="17"/>
      <c r="AI576" s="16"/>
      <c r="AJ576" s="2">
        <f t="shared" si="266"/>
        <v>472</v>
      </c>
      <c r="AK576" s="2">
        <f t="shared" si="267"/>
        <v>671</v>
      </c>
      <c r="AL576" s="2">
        <f t="shared" si="268"/>
        <v>660</v>
      </c>
      <c r="AM576" s="2">
        <f t="shared" si="269"/>
        <v>608</v>
      </c>
    </row>
    <row r="577" spans="1:40" outlineLevel="1" x14ac:dyDescent="0.25">
      <c r="A577" t="s">
        <v>67</v>
      </c>
      <c r="B577" t="str">
        <f t="shared" si="228"/>
        <v xml:space="preserve"> (x)</v>
      </c>
      <c r="C577" s="3">
        <v>5408</v>
      </c>
      <c r="I577" s="45" t="str">
        <f t="shared" si="238"/>
        <v/>
      </c>
      <c r="J577" s="46" t="str">
        <f t="shared" si="224"/>
        <v/>
      </c>
      <c r="K577" s="62">
        <f t="shared" si="229"/>
        <v>0</v>
      </c>
      <c r="L577" s="28" t="s">
        <v>63</v>
      </c>
      <c r="M577" s="12" t="str">
        <f t="shared" si="261"/>
        <v>-</v>
      </c>
      <c r="N577" s="12" t="str">
        <f t="shared" si="262"/>
        <v>-</v>
      </c>
      <c r="O577" s="12"/>
      <c r="Q577" s="62">
        <f t="shared" si="225"/>
        <v>0</v>
      </c>
      <c r="R577" s="28" t="s">
        <v>63</v>
      </c>
      <c r="S577" s="12" t="str">
        <f t="shared" si="263"/>
        <v>-</v>
      </c>
      <c r="T577" s="12" t="str">
        <f t="shared" si="270"/>
        <v>-</v>
      </c>
      <c r="U577" s="12"/>
      <c r="V577" s="12"/>
      <c r="W577" s="62">
        <f t="shared" si="226"/>
        <v>10</v>
      </c>
      <c r="X577" s="28">
        <v>0</v>
      </c>
      <c r="Y577" s="12" t="str">
        <f t="shared" si="264"/>
        <v>-</v>
      </c>
      <c r="Z577" s="12">
        <f t="shared" si="221"/>
        <v>10</v>
      </c>
      <c r="AA577" s="12"/>
      <c r="AB577" s="64"/>
      <c r="AC577" s="62">
        <f t="shared" si="227"/>
        <v>0</v>
      </c>
      <c r="AD577" s="28" t="s">
        <v>94</v>
      </c>
      <c r="AE577" s="12" t="str">
        <f t="shared" si="265"/>
        <v>-</v>
      </c>
      <c r="AF577" s="12" t="str">
        <f t="shared" si="222"/>
        <v>-</v>
      </c>
      <c r="AG577" s="12"/>
      <c r="AH577" s="17"/>
      <c r="AI577" s="17"/>
      <c r="AJ577" s="2">
        <f t="shared" si="266"/>
        <v>0</v>
      </c>
      <c r="AK577" s="2">
        <f t="shared" si="267"/>
        <v>0</v>
      </c>
      <c r="AL577" s="2">
        <f t="shared" si="268"/>
        <v>0</v>
      </c>
      <c r="AM577" s="2">
        <f t="shared" si="269"/>
        <v>11</v>
      </c>
    </row>
    <row r="578" spans="1:40" outlineLevel="1" x14ac:dyDescent="0.25">
      <c r="A578" t="s">
        <v>67</v>
      </c>
      <c r="B578" t="str">
        <f t="shared" si="228"/>
        <v xml:space="preserve"> (x)</v>
      </c>
      <c r="C578" s="3">
        <v>5409</v>
      </c>
      <c r="I578" s="45" t="str">
        <f t="shared" si="238"/>
        <v/>
      </c>
      <c r="J578" s="46" t="str">
        <f t="shared" si="224"/>
        <v/>
      </c>
      <c r="K578" s="62">
        <f t="shared" si="229"/>
        <v>0</v>
      </c>
      <c r="L578" s="28" t="s">
        <v>63</v>
      </c>
      <c r="M578" s="12" t="str">
        <f t="shared" si="261"/>
        <v>-</v>
      </c>
      <c r="N578" s="12" t="str">
        <f t="shared" si="262"/>
        <v>-</v>
      </c>
      <c r="O578" s="12"/>
      <c r="Q578" s="62">
        <f t="shared" si="225"/>
        <v>0</v>
      </c>
      <c r="R578" s="28" t="s">
        <v>63</v>
      </c>
      <c r="S578" s="12" t="str">
        <f t="shared" si="263"/>
        <v>-</v>
      </c>
      <c r="T578" s="12" t="str">
        <f t="shared" si="270"/>
        <v>-</v>
      </c>
      <c r="U578" s="12"/>
      <c r="V578" s="12"/>
      <c r="W578" s="62">
        <f t="shared" si="226"/>
        <v>10</v>
      </c>
      <c r="X578" s="28">
        <v>0</v>
      </c>
      <c r="Y578" s="12" t="str">
        <f t="shared" si="264"/>
        <v>-</v>
      </c>
      <c r="Z578" s="12">
        <f t="shared" si="221"/>
        <v>10</v>
      </c>
      <c r="AA578" s="12"/>
      <c r="AB578" s="64"/>
      <c r="AC578" s="62">
        <f t="shared" si="227"/>
        <v>0</v>
      </c>
      <c r="AD578" s="28" t="s">
        <v>94</v>
      </c>
      <c r="AE578" s="12" t="str">
        <f t="shared" si="265"/>
        <v>-</v>
      </c>
      <c r="AF578" s="12" t="str">
        <f t="shared" si="222"/>
        <v>-</v>
      </c>
      <c r="AG578" s="12"/>
      <c r="AH578" s="17"/>
      <c r="AI578" s="17"/>
      <c r="AJ578" s="2">
        <f t="shared" si="266"/>
        <v>0</v>
      </c>
      <c r="AK578" s="2">
        <f t="shared" si="267"/>
        <v>0</v>
      </c>
      <c r="AL578" s="2">
        <f t="shared" si="268"/>
        <v>0</v>
      </c>
      <c r="AM578" s="2">
        <f t="shared" si="269"/>
        <v>11</v>
      </c>
    </row>
    <row r="579" spans="1:40" outlineLevel="1" x14ac:dyDescent="0.25">
      <c r="A579" t="s">
        <v>67</v>
      </c>
      <c r="B579" t="str">
        <f t="shared" si="228"/>
        <v xml:space="preserve"> (x)</v>
      </c>
      <c r="C579" s="3">
        <v>5410</v>
      </c>
      <c r="I579" s="45" t="str">
        <f t="shared" si="238"/>
        <v/>
      </c>
      <c r="J579" s="46" t="str">
        <f t="shared" si="224"/>
        <v/>
      </c>
      <c r="K579" s="62">
        <f t="shared" si="229"/>
        <v>0</v>
      </c>
      <c r="L579" s="28" t="s">
        <v>63</v>
      </c>
      <c r="M579" s="12" t="str">
        <f t="shared" si="261"/>
        <v>-</v>
      </c>
      <c r="N579" s="12" t="str">
        <f t="shared" si="262"/>
        <v>-</v>
      </c>
      <c r="O579" s="12"/>
      <c r="Q579" s="62">
        <f t="shared" si="225"/>
        <v>0</v>
      </c>
      <c r="R579" s="28" t="s">
        <v>63</v>
      </c>
      <c r="S579" s="12" t="str">
        <f t="shared" si="263"/>
        <v>-</v>
      </c>
      <c r="T579" s="12" t="str">
        <f t="shared" si="270"/>
        <v>-</v>
      </c>
      <c r="U579" s="12"/>
      <c r="V579" s="12"/>
      <c r="W579" s="62">
        <f t="shared" si="226"/>
        <v>10</v>
      </c>
      <c r="X579" s="28">
        <v>0</v>
      </c>
      <c r="Y579" s="12" t="str">
        <f t="shared" si="264"/>
        <v>-</v>
      </c>
      <c r="Z579" s="12">
        <f t="shared" si="221"/>
        <v>10</v>
      </c>
      <c r="AA579" s="12"/>
      <c r="AB579" s="64"/>
      <c r="AC579" s="62">
        <f t="shared" si="227"/>
        <v>0</v>
      </c>
      <c r="AD579" s="28" t="s">
        <v>94</v>
      </c>
      <c r="AE579" s="12" t="str">
        <f t="shared" si="265"/>
        <v>-</v>
      </c>
      <c r="AF579" s="12" t="str">
        <f t="shared" si="222"/>
        <v>-</v>
      </c>
      <c r="AG579" s="12"/>
      <c r="AH579" s="17"/>
      <c r="AI579" s="17"/>
      <c r="AJ579" s="2">
        <f t="shared" si="266"/>
        <v>0</v>
      </c>
      <c r="AK579" s="2">
        <f t="shared" si="267"/>
        <v>0</v>
      </c>
      <c r="AL579" s="2">
        <f t="shared" si="268"/>
        <v>0</v>
      </c>
      <c r="AM579" s="2">
        <f t="shared" si="269"/>
        <v>11</v>
      </c>
    </row>
    <row r="580" spans="1:40" outlineLevel="1" x14ac:dyDescent="0.25">
      <c r="A580" t="s">
        <v>67</v>
      </c>
      <c r="B580" t="str">
        <f t="shared" si="228"/>
        <v xml:space="preserve"> (x)</v>
      </c>
      <c r="C580" s="3">
        <v>5411</v>
      </c>
      <c r="I580" s="45" t="str">
        <f t="shared" si="238"/>
        <v/>
      </c>
      <c r="J580" s="46" t="str">
        <f t="shared" si="224"/>
        <v/>
      </c>
      <c r="K580" s="62">
        <f t="shared" si="229"/>
        <v>0</v>
      </c>
      <c r="L580" s="28" t="s">
        <v>63</v>
      </c>
      <c r="M580" s="12" t="str">
        <f t="shared" si="261"/>
        <v>-</v>
      </c>
      <c r="N580" s="12" t="str">
        <f t="shared" si="262"/>
        <v>-</v>
      </c>
      <c r="O580" s="12"/>
      <c r="Q580" s="62">
        <f t="shared" si="225"/>
        <v>0</v>
      </c>
      <c r="R580" s="28" t="s">
        <v>63</v>
      </c>
      <c r="S580" s="12" t="str">
        <f t="shared" si="263"/>
        <v>-</v>
      </c>
      <c r="T580" s="12" t="str">
        <f t="shared" si="270"/>
        <v>-</v>
      </c>
      <c r="U580" s="12"/>
      <c r="V580" s="12"/>
      <c r="W580" s="62">
        <f t="shared" si="226"/>
        <v>10</v>
      </c>
      <c r="X580" s="28">
        <v>0</v>
      </c>
      <c r="Y580" s="12" t="str">
        <f t="shared" si="264"/>
        <v>-</v>
      </c>
      <c r="Z580" s="12">
        <f t="shared" si="221"/>
        <v>10</v>
      </c>
      <c r="AA580" s="12"/>
      <c r="AB580" s="64"/>
      <c r="AC580" s="62">
        <f t="shared" si="227"/>
        <v>0</v>
      </c>
      <c r="AD580" s="28" t="s">
        <v>94</v>
      </c>
      <c r="AE580" s="12" t="str">
        <f t="shared" si="265"/>
        <v>-</v>
      </c>
      <c r="AF580" s="12" t="str">
        <f t="shared" si="222"/>
        <v>-</v>
      </c>
      <c r="AG580" s="12"/>
      <c r="AH580" s="17"/>
      <c r="AI580" s="17"/>
      <c r="AJ580" s="2">
        <f t="shared" si="266"/>
        <v>0</v>
      </c>
      <c r="AK580" s="2">
        <f t="shared" si="267"/>
        <v>0</v>
      </c>
      <c r="AL580" s="2">
        <f t="shared" si="268"/>
        <v>0</v>
      </c>
      <c r="AM580" s="2">
        <f t="shared" si="269"/>
        <v>11</v>
      </c>
    </row>
    <row r="581" spans="1:40" outlineLevel="1" x14ac:dyDescent="0.25">
      <c r="A581" t="s">
        <v>67</v>
      </c>
      <c r="B581" t="str">
        <f t="shared" si="228"/>
        <v xml:space="preserve"> (x)</v>
      </c>
      <c r="C581" s="3">
        <v>5412</v>
      </c>
      <c r="I581" s="45" t="str">
        <f t="shared" si="238"/>
        <v/>
      </c>
      <c r="J581" s="46" t="str">
        <f t="shared" si="224"/>
        <v/>
      </c>
      <c r="K581" s="62">
        <f t="shared" si="229"/>
        <v>0</v>
      </c>
      <c r="L581" s="28" t="s">
        <v>63</v>
      </c>
      <c r="M581" s="12" t="str">
        <f t="shared" si="261"/>
        <v>-</v>
      </c>
      <c r="N581" s="12" t="str">
        <f t="shared" si="262"/>
        <v>-</v>
      </c>
      <c r="O581" s="12"/>
      <c r="Q581" s="62">
        <f t="shared" si="225"/>
        <v>0</v>
      </c>
      <c r="R581" s="28" t="s">
        <v>63</v>
      </c>
      <c r="S581" s="12" t="str">
        <f t="shared" si="263"/>
        <v>-</v>
      </c>
      <c r="T581" s="12" t="str">
        <f t="shared" si="270"/>
        <v>-</v>
      </c>
      <c r="U581" s="12"/>
      <c r="V581" s="12"/>
      <c r="W581" s="62">
        <f t="shared" si="226"/>
        <v>10</v>
      </c>
      <c r="X581" s="28">
        <v>0</v>
      </c>
      <c r="Y581" s="12" t="str">
        <f t="shared" si="264"/>
        <v>-</v>
      </c>
      <c r="Z581" s="12">
        <f t="shared" ref="Z581:Z611" si="271">IFERROR(W581-X581,"-")</f>
        <v>10</v>
      </c>
      <c r="AA581" s="12"/>
      <c r="AB581" s="64"/>
      <c r="AC581" s="62">
        <f t="shared" si="227"/>
        <v>0</v>
      </c>
      <c r="AD581" s="28" t="s">
        <v>94</v>
      </c>
      <c r="AE581" s="12" t="str">
        <f t="shared" si="265"/>
        <v>-</v>
      </c>
      <c r="AF581" s="12" t="str">
        <f t="shared" ref="AF581:AF611" si="272">IFERROR(AC581-AD581,"-")</f>
        <v>-</v>
      </c>
      <c r="AG581" s="12"/>
      <c r="AH581" s="17"/>
      <c r="AI581" s="17"/>
      <c r="AJ581" s="2">
        <f t="shared" si="266"/>
        <v>0</v>
      </c>
      <c r="AK581" s="2">
        <f t="shared" si="267"/>
        <v>0</v>
      </c>
      <c r="AL581" s="2">
        <f t="shared" si="268"/>
        <v>0</v>
      </c>
      <c r="AM581" s="2">
        <f t="shared" si="269"/>
        <v>11</v>
      </c>
    </row>
    <row r="582" spans="1:40" outlineLevel="1" x14ac:dyDescent="0.25">
      <c r="A582" t="s">
        <v>67</v>
      </c>
      <c r="B582" t="str">
        <f t="shared" si="228"/>
        <v xml:space="preserve"> (x)</v>
      </c>
      <c r="C582" s="3">
        <v>5413</v>
      </c>
      <c r="I582" s="45" t="str">
        <f t="shared" si="238"/>
        <v/>
      </c>
      <c r="J582" s="46" t="str">
        <f t="shared" ref="J582:J589" si="273">IF($F582="","",2*MAX($E582,360)/1000+2*MAX($F582,360)/1000)</f>
        <v/>
      </c>
      <c r="K582" s="62">
        <f t="shared" si="229"/>
        <v>0</v>
      </c>
      <c r="L582" s="28" t="s">
        <v>63</v>
      </c>
      <c r="M582" s="12" t="str">
        <f t="shared" si="261"/>
        <v>-</v>
      </c>
      <c r="N582" s="12" t="str">
        <f t="shared" si="262"/>
        <v>-</v>
      </c>
      <c r="O582" s="12"/>
      <c r="Q582" s="62">
        <f t="shared" si="225"/>
        <v>0</v>
      </c>
      <c r="R582" s="28" t="s">
        <v>63</v>
      </c>
      <c r="S582" s="12" t="str">
        <f t="shared" si="263"/>
        <v>-</v>
      </c>
      <c r="T582" s="12" t="str">
        <f t="shared" si="270"/>
        <v>-</v>
      </c>
      <c r="U582" s="12"/>
      <c r="V582" s="12"/>
      <c r="W582" s="62">
        <f t="shared" si="226"/>
        <v>10</v>
      </c>
      <c r="X582" s="28">
        <v>0</v>
      </c>
      <c r="Y582" s="12" t="str">
        <f t="shared" si="264"/>
        <v>-</v>
      </c>
      <c r="Z582" s="12">
        <f t="shared" si="271"/>
        <v>10</v>
      </c>
      <c r="AA582" s="12"/>
      <c r="AB582" s="64"/>
      <c r="AC582" s="62">
        <f t="shared" si="227"/>
        <v>0</v>
      </c>
      <c r="AD582" s="28" t="s">
        <v>94</v>
      </c>
      <c r="AE582" s="12" t="str">
        <f t="shared" si="265"/>
        <v>-</v>
      </c>
      <c r="AF582" s="12" t="str">
        <f t="shared" si="272"/>
        <v>-</v>
      </c>
      <c r="AG582" s="12"/>
      <c r="AH582" s="17"/>
      <c r="AI582" s="17"/>
      <c r="AJ582" s="2">
        <f t="shared" si="266"/>
        <v>0</v>
      </c>
      <c r="AK582" s="2">
        <f t="shared" si="267"/>
        <v>0</v>
      </c>
      <c r="AL582" s="2">
        <f t="shared" si="268"/>
        <v>0</v>
      </c>
      <c r="AM582" s="2">
        <f t="shared" si="269"/>
        <v>11</v>
      </c>
    </row>
    <row r="583" spans="1:40" outlineLevel="1" x14ac:dyDescent="0.25">
      <c r="A583" t="s">
        <v>67</v>
      </c>
      <c r="B583" t="str">
        <f t="shared" si="228"/>
        <v xml:space="preserve"> (x)</v>
      </c>
      <c r="C583" s="3">
        <v>5414</v>
      </c>
      <c r="I583" s="45" t="str">
        <f t="shared" si="238"/>
        <v/>
      </c>
      <c r="J583" s="46" t="str">
        <f t="shared" si="273"/>
        <v/>
      </c>
      <c r="K583" s="62">
        <f t="shared" si="229"/>
        <v>0</v>
      </c>
      <c r="L583" s="28" t="s">
        <v>63</v>
      </c>
      <c r="M583" s="12" t="str">
        <f t="shared" si="261"/>
        <v>-</v>
      </c>
      <c r="N583" s="12" t="str">
        <f t="shared" si="262"/>
        <v>-</v>
      </c>
      <c r="O583" s="12"/>
      <c r="Q583" s="62">
        <f t="shared" si="225"/>
        <v>0</v>
      </c>
      <c r="R583" s="28" t="s">
        <v>63</v>
      </c>
      <c r="S583" s="12" t="str">
        <f t="shared" si="263"/>
        <v>-</v>
      </c>
      <c r="T583" s="12" t="str">
        <f t="shared" si="270"/>
        <v>-</v>
      </c>
      <c r="U583" s="12"/>
      <c r="V583" s="12"/>
      <c r="W583" s="62">
        <f t="shared" si="226"/>
        <v>10</v>
      </c>
      <c r="X583" s="28">
        <v>0</v>
      </c>
      <c r="Y583" s="12" t="str">
        <f t="shared" si="264"/>
        <v>-</v>
      </c>
      <c r="Z583" s="12">
        <f t="shared" si="271"/>
        <v>10</v>
      </c>
      <c r="AA583" s="12"/>
      <c r="AB583" s="64"/>
      <c r="AC583" s="62">
        <f t="shared" si="227"/>
        <v>0</v>
      </c>
      <c r="AD583" s="28" t="s">
        <v>94</v>
      </c>
      <c r="AE583" s="12" t="str">
        <f t="shared" si="265"/>
        <v>-</v>
      </c>
      <c r="AF583" s="12" t="str">
        <f t="shared" si="272"/>
        <v>-</v>
      </c>
      <c r="AG583" s="12"/>
      <c r="AH583" s="17"/>
      <c r="AI583" s="17"/>
      <c r="AJ583" s="2">
        <f t="shared" si="266"/>
        <v>0</v>
      </c>
      <c r="AK583" s="2">
        <f t="shared" si="267"/>
        <v>0</v>
      </c>
      <c r="AL583" s="2">
        <f t="shared" si="268"/>
        <v>0</v>
      </c>
      <c r="AM583" s="2">
        <f t="shared" si="269"/>
        <v>11</v>
      </c>
    </row>
    <row r="584" spans="1:40" outlineLevel="1" x14ac:dyDescent="0.25">
      <c r="A584" t="s">
        <v>67</v>
      </c>
      <c r="B584" t="str">
        <f t="shared" si="228"/>
        <v xml:space="preserve"> (x)</v>
      </c>
      <c r="C584" s="3">
        <v>5415</v>
      </c>
      <c r="I584" s="45" t="str">
        <f t="shared" si="238"/>
        <v/>
      </c>
      <c r="J584" s="46" t="str">
        <f t="shared" si="273"/>
        <v/>
      </c>
      <c r="K584" s="62">
        <f t="shared" si="229"/>
        <v>0</v>
      </c>
      <c r="L584" s="28" t="s">
        <v>63</v>
      </c>
      <c r="M584" s="12" t="str">
        <f t="shared" si="261"/>
        <v>-</v>
      </c>
      <c r="N584" s="12" t="str">
        <f t="shared" si="262"/>
        <v>-</v>
      </c>
      <c r="O584" s="12"/>
      <c r="Q584" s="62">
        <f t="shared" ref="Q584:Q611" si="274">+IFERROR(IF(AND(R584="-",K584&gt;0),ROUND(V$4*K584,0),ROUND(R584*(1+S$2)^U$2+Q$2,0)),0)</f>
        <v>0</v>
      </c>
      <c r="R584" s="28" t="s">
        <v>63</v>
      </c>
      <c r="S584" s="12" t="str">
        <f t="shared" si="263"/>
        <v>-</v>
      </c>
      <c r="T584" s="12" t="str">
        <f t="shared" si="270"/>
        <v>-</v>
      </c>
      <c r="U584" s="12"/>
      <c r="V584" s="12"/>
      <c r="W584" s="62">
        <f t="shared" ref="W584:W611" si="275">+IFERROR(IF(AND(X584="-",Q584&gt;0),ROUND(AB$4*Q584,0),ROUND(X584*(1+Y$2)^AA$2+W$2,0)),0)</f>
        <v>10</v>
      </c>
      <c r="X584" s="28">
        <v>0</v>
      </c>
      <c r="Y584" s="12" t="str">
        <f t="shared" si="264"/>
        <v>-</v>
      </c>
      <c r="Z584" s="12">
        <f t="shared" si="271"/>
        <v>10</v>
      </c>
      <c r="AA584" s="12"/>
      <c r="AB584" s="64"/>
      <c r="AC584" s="62">
        <f t="shared" ref="AC584:AC611" si="276">+IFERROR(IF(AND(AD584="-",W584&gt;0),ROUND(AH$4*W584,0),ROUND(AD584*(1+AE$2)^AG$2+AC$2,0)),0)</f>
        <v>0</v>
      </c>
      <c r="AD584" s="28" t="s">
        <v>94</v>
      </c>
      <c r="AE584" s="12" t="str">
        <f t="shared" si="265"/>
        <v>-</v>
      </c>
      <c r="AF584" s="12" t="str">
        <f t="shared" si="272"/>
        <v>-</v>
      </c>
      <c r="AG584" s="12"/>
      <c r="AH584" s="17"/>
      <c r="AI584" s="17"/>
      <c r="AJ584" s="2">
        <f t="shared" si="266"/>
        <v>0</v>
      </c>
      <c r="AK584" s="2">
        <f t="shared" si="267"/>
        <v>0</v>
      </c>
      <c r="AL584" s="2">
        <f t="shared" si="268"/>
        <v>0</v>
      </c>
      <c r="AM584" s="2">
        <f t="shared" si="269"/>
        <v>11</v>
      </c>
    </row>
    <row r="585" spans="1:40" outlineLevel="1" x14ac:dyDescent="0.25">
      <c r="A585" t="s">
        <v>67</v>
      </c>
      <c r="B585" t="str">
        <f t="shared" si="228"/>
        <v xml:space="preserve"> (x)</v>
      </c>
      <c r="C585" s="3">
        <v>5416</v>
      </c>
      <c r="I585" s="45" t="str">
        <f t="shared" si="238"/>
        <v/>
      </c>
      <c r="J585" s="46" t="str">
        <f t="shared" si="273"/>
        <v/>
      </c>
      <c r="K585" s="62">
        <f t="shared" si="229"/>
        <v>0</v>
      </c>
      <c r="L585" s="28" t="s">
        <v>63</v>
      </c>
      <c r="M585" s="12" t="str">
        <f t="shared" si="261"/>
        <v>-</v>
      </c>
      <c r="N585" s="12" t="str">
        <f t="shared" si="262"/>
        <v>-</v>
      </c>
      <c r="O585" s="12"/>
      <c r="Q585" s="62">
        <f t="shared" si="274"/>
        <v>0</v>
      </c>
      <c r="R585" s="28" t="s">
        <v>63</v>
      </c>
      <c r="S585" s="12" t="str">
        <f t="shared" si="263"/>
        <v>-</v>
      </c>
      <c r="T585" s="12" t="str">
        <f t="shared" si="270"/>
        <v>-</v>
      </c>
      <c r="U585" s="12"/>
      <c r="V585" s="12"/>
      <c r="W585" s="62">
        <f t="shared" si="275"/>
        <v>10</v>
      </c>
      <c r="X585" s="28">
        <v>0</v>
      </c>
      <c r="Y585" s="12" t="str">
        <f t="shared" si="264"/>
        <v>-</v>
      </c>
      <c r="Z585" s="12">
        <f t="shared" si="271"/>
        <v>10</v>
      </c>
      <c r="AA585" s="12"/>
      <c r="AB585" s="64"/>
      <c r="AC585" s="62">
        <f t="shared" si="276"/>
        <v>0</v>
      </c>
      <c r="AD585" s="28" t="s">
        <v>94</v>
      </c>
      <c r="AE585" s="12" t="str">
        <f t="shared" si="265"/>
        <v>-</v>
      </c>
      <c r="AF585" s="12" t="str">
        <f t="shared" si="272"/>
        <v>-</v>
      </c>
      <c r="AG585" s="12"/>
      <c r="AH585" s="17"/>
      <c r="AI585" s="17"/>
      <c r="AJ585" s="2">
        <f t="shared" si="266"/>
        <v>0</v>
      </c>
      <c r="AK585" s="2">
        <f t="shared" si="267"/>
        <v>0</v>
      </c>
      <c r="AL585" s="2">
        <f t="shared" si="268"/>
        <v>0</v>
      </c>
      <c r="AM585" s="2">
        <f t="shared" si="269"/>
        <v>11</v>
      </c>
    </row>
    <row r="586" spans="1:40" outlineLevel="1" x14ac:dyDescent="0.25">
      <c r="A586" t="s">
        <v>67</v>
      </c>
      <c r="B586" t="str">
        <f t="shared" si="228"/>
        <v xml:space="preserve"> (x)</v>
      </c>
      <c r="C586" s="3">
        <v>5417</v>
      </c>
      <c r="I586" s="45" t="str">
        <f t="shared" si="238"/>
        <v/>
      </c>
      <c r="J586" s="46" t="str">
        <f t="shared" si="273"/>
        <v/>
      </c>
      <c r="K586" s="62">
        <f t="shared" si="229"/>
        <v>0</v>
      </c>
      <c r="L586" s="28" t="s">
        <v>63</v>
      </c>
      <c r="M586" s="12" t="str">
        <f t="shared" si="261"/>
        <v>-</v>
      </c>
      <c r="N586" s="12" t="str">
        <f t="shared" si="262"/>
        <v>-</v>
      </c>
      <c r="O586" s="12"/>
      <c r="Q586" s="62">
        <f t="shared" si="274"/>
        <v>0</v>
      </c>
      <c r="R586" s="28" t="s">
        <v>63</v>
      </c>
      <c r="S586" s="12" t="str">
        <f t="shared" si="263"/>
        <v>-</v>
      </c>
      <c r="T586" s="12" t="str">
        <f t="shared" si="270"/>
        <v>-</v>
      </c>
      <c r="U586" s="12"/>
      <c r="V586" s="12"/>
      <c r="W586" s="62">
        <f t="shared" si="275"/>
        <v>10</v>
      </c>
      <c r="X586" s="28">
        <v>0</v>
      </c>
      <c r="Y586" s="12" t="str">
        <f t="shared" si="264"/>
        <v>-</v>
      </c>
      <c r="Z586" s="12">
        <f t="shared" si="271"/>
        <v>10</v>
      </c>
      <c r="AA586" s="12"/>
      <c r="AB586" s="64"/>
      <c r="AC586" s="62">
        <f t="shared" si="276"/>
        <v>0</v>
      </c>
      <c r="AD586" s="28" t="s">
        <v>94</v>
      </c>
      <c r="AE586" s="12" t="str">
        <f t="shared" si="265"/>
        <v>-</v>
      </c>
      <c r="AF586" s="12" t="str">
        <f t="shared" si="272"/>
        <v>-</v>
      </c>
      <c r="AG586" s="12"/>
      <c r="AH586" s="17"/>
      <c r="AI586" s="17"/>
      <c r="AJ586" s="2">
        <f t="shared" si="266"/>
        <v>0</v>
      </c>
      <c r="AK586" s="2">
        <f t="shared" si="267"/>
        <v>0</v>
      </c>
      <c r="AL586" s="2">
        <f t="shared" si="268"/>
        <v>0</v>
      </c>
      <c r="AM586" s="2">
        <f t="shared" si="269"/>
        <v>11</v>
      </c>
    </row>
    <row r="587" spans="1:40" outlineLevel="1" x14ac:dyDescent="0.25">
      <c r="A587" t="s">
        <v>67</v>
      </c>
      <c r="B587" t="str">
        <f t="shared" si="228"/>
        <v xml:space="preserve"> (x)</v>
      </c>
      <c r="C587" s="3">
        <v>5418</v>
      </c>
      <c r="I587" s="45" t="str">
        <f t="shared" si="238"/>
        <v/>
      </c>
      <c r="J587" s="46" t="str">
        <f t="shared" si="273"/>
        <v/>
      </c>
      <c r="K587" s="62">
        <f t="shared" si="229"/>
        <v>0</v>
      </c>
      <c r="L587" s="28" t="s">
        <v>63</v>
      </c>
      <c r="M587" s="12" t="str">
        <f t="shared" si="261"/>
        <v>-</v>
      </c>
      <c r="N587" s="12" t="str">
        <f t="shared" si="262"/>
        <v>-</v>
      </c>
      <c r="O587" s="12"/>
      <c r="Q587" s="62">
        <f t="shared" si="274"/>
        <v>0</v>
      </c>
      <c r="R587" s="28" t="s">
        <v>63</v>
      </c>
      <c r="S587" s="12" t="str">
        <f t="shared" si="263"/>
        <v>-</v>
      </c>
      <c r="T587" s="12" t="str">
        <f t="shared" si="270"/>
        <v>-</v>
      </c>
      <c r="U587" s="12"/>
      <c r="V587" s="12"/>
      <c r="W587" s="62">
        <f t="shared" si="275"/>
        <v>10</v>
      </c>
      <c r="X587" s="28">
        <v>0</v>
      </c>
      <c r="Y587" s="12" t="str">
        <f t="shared" si="264"/>
        <v>-</v>
      </c>
      <c r="Z587" s="12">
        <f t="shared" si="271"/>
        <v>10</v>
      </c>
      <c r="AA587" s="12"/>
      <c r="AB587" s="64"/>
      <c r="AC587" s="62">
        <f t="shared" si="276"/>
        <v>0</v>
      </c>
      <c r="AD587" s="28" t="s">
        <v>94</v>
      </c>
      <c r="AE587" s="12" t="str">
        <f t="shared" si="265"/>
        <v>-</v>
      </c>
      <c r="AF587" s="12" t="str">
        <f t="shared" si="272"/>
        <v>-</v>
      </c>
      <c r="AG587" s="12"/>
      <c r="AH587" s="17"/>
      <c r="AI587" s="17"/>
      <c r="AJ587" s="2">
        <f t="shared" si="266"/>
        <v>0</v>
      </c>
      <c r="AK587" s="2">
        <f t="shared" si="267"/>
        <v>0</v>
      </c>
      <c r="AL587" s="2">
        <f t="shared" si="268"/>
        <v>0</v>
      </c>
      <c r="AM587" s="2">
        <f t="shared" si="269"/>
        <v>11</v>
      </c>
    </row>
    <row r="588" spans="1:40" outlineLevel="1" x14ac:dyDescent="0.25">
      <c r="A588" t="s">
        <v>67</v>
      </c>
      <c r="B588" t="str">
        <f t="shared" si="228"/>
        <v xml:space="preserve"> (x)</v>
      </c>
      <c r="C588" s="3">
        <v>5419</v>
      </c>
      <c r="I588" s="45" t="str">
        <f t="shared" si="238"/>
        <v/>
      </c>
      <c r="J588" s="46" t="str">
        <f t="shared" si="273"/>
        <v/>
      </c>
      <c r="K588" s="62">
        <f t="shared" si="229"/>
        <v>0</v>
      </c>
      <c r="L588" s="28" t="s">
        <v>63</v>
      </c>
      <c r="M588" s="12" t="str">
        <f t="shared" si="261"/>
        <v>-</v>
      </c>
      <c r="N588" s="12" t="str">
        <f t="shared" si="262"/>
        <v>-</v>
      </c>
      <c r="O588" s="12"/>
      <c r="Q588" s="62">
        <f t="shared" si="274"/>
        <v>0</v>
      </c>
      <c r="R588" s="28" t="s">
        <v>63</v>
      </c>
      <c r="S588" s="12" t="str">
        <f t="shared" si="263"/>
        <v>-</v>
      </c>
      <c r="T588" s="12" t="str">
        <f t="shared" si="270"/>
        <v>-</v>
      </c>
      <c r="U588" s="12"/>
      <c r="V588" s="12"/>
      <c r="W588" s="62">
        <f t="shared" si="275"/>
        <v>10</v>
      </c>
      <c r="X588" s="28">
        <v>0</v>
      </c>
      <c r="Y588" s="12" t="str">
        <f t="shared" si="264"/>
        <v>-</v>
      </c>
      <c r="Z588" s="12">
        <f t="shared" si="271"/>
        <v>10</v>
      </c>
      <c r="AA588" s="12"/>
      <c r="AB588" s="64"/>
      <c r="AC588" s="62">
        <f t="shared" si="276"/>
        <v>0</v>
      </c>
      <c r="AD588" s="28" t="s">
        <v>94</v>
      </c>
      <c r="AE588" s="12" t="str">
        <f t="shared" si="265"/>
        <v>-</v>
      </c>
      <c r="AF588" s="12" t="str">
        <f t="shared" si="272"/>
        <v>-</v>
      </c>
      <c r="AG588" s="12"/>
      <c r="AH588" s="17"/>
      <c r="AI588" s="17"/>
      <c r="AJ588" s="2">
        <f t="shared" si="266"/>
        <v>0</v>
      </c>
      <c r="AK588" s="2">
        <f t="shared" si="267"/>
        <v>0</v>
      </c>
      <c r="AL588" s="2">
        <f t="shared" si="268"/>
        <v>0</v>
      </c>
      <c r="AM588" s="2">
        <f t="shared" si="269"/>
        <v>11</v>
      </c>
    </row>
    <row r="589" spans="1:40" s="14" customFormat="1" x14ac:dyDescent="0.25">
      <c r="A589" t="s">
        <v>67</v>
      </c>
      <c r="B589" t="str">
        <f t="shared" si="228"/>
        <v xml:space="preserve"> (x)</v>
      </c>
      <c r="C589" s="3">
        <v>5420</v>
      </c>
      <c r="D589"/>
      <c r="E589"/>
      <c r="F589"/>
      <c r="G589"/>
      <c r="H589"/>
      <c r="I589" s="45" t="str">
        <f t="shared" si="238"/>
        <v/>
      </c>
      <c r="J589" s="46" t="str">
        <f t="shared" si="273"/>
        <v/>
      </c>
      <c r="K589" s="62">
        <f t="shared" si="229"/>
        <v>0</v>
      </c>
      <c r="L589" s="28" t="s">
        <v>63</v>
      </c>
      <c r="M589" s="12" t="str">
        <f t="shared" si="261"/>
        <v>-</v>
      </c>
      <c r="N589" s="12" t="str">
        <f t="shared" si="262"/>
        <v>-</v>
      </c>
      <c r="O589" s="12"/>
      <c r="P589" s="17"/>
      <c r="Q589" s="62">
        <f t="shared" si="274"/>
        <v>0</v>
      </c>
      <c r="R589" s="28" t="s">
        <v>63</v>
      </c>
      <c r="S589" s="12" t="str">
        <f t="shared" si="263"/>
        <v>-</v>
      </c>
      <c r="T589" s="12" t="str">
        <f t="shared" si="270"/>
        <v>-</v>
      </c>
      <c r="U589" s="12"/>
      <c r="V589" s="12"/>
      <c r="W589" s="62">
        <f t="shared" si="275"/>
        <v>10</v>
      </c>
      <c r="X589" s="28">
        <v>0</v>
      </c>
      <c r="Y589" s="12" t="str">
        <f t="shared" si="264"/>
        <v>-</v>
      </c>
      <c r="Z589" s="12">
        <f t="shared" si="271"/>
        <v>10</v>
      </c>
      <c r="AA589" s="12"/>
      <c r="AB589" s="64"/>
      <c r="AC589" s="62">
        <f t="shared" si="276"/>
        <v>0</v>
      </c>
      <c r="AD589" s="28" t="s">
        <v>94</v>
      </c>
      <c r="AE589" s="12" t="str">
        <f t="shared" si="265"/>
        <v>-</v>
      </c>
      <c r="AF589" s="12" t="str">
        <f t="shared" si="272"/>
        <v>-</v>
      </c>
      <c r="AG589" s="12"/>
      <c r="AH589" s="17"/>
      <c r="AI589" s="17"/>
      <c r="AJ589" s="2">
        <f t="shared" si="266"/>
        <v>0</v>
      </c>
      <c r="AK589" s="2">
        <f t="shared" si="267"/>
        <v>0</v>
      </c>
      <c r="AL589" s="2">
        <f t="shared" si="268"/>
        <v>0</v>
      </c>
      <c r="AM589" s="2">
        <f t="shared" si="269"/>
        <v>11</v>
      </c>
      <c r="AN589" s="44" t="str">
        <f>+IF($E590="","",MAX($E590,180)/1000*MAX($F590,180)/1000)</f>
        <v/>
      </c>
    </row>
    <row r="590" spans="1:40" outlineLevel="1" x14ac:dyDescent="0.25">
      <c r="A590" s="32"/>
      <c r="B590" s="5" t="s">
        <v>80</v>
      </c>
      <c r="C590" s="5"/>
      <c r="D590" s="5"/>
      <c r="E590" s="5"/>
      <c r="F590" s="5"/>
      <c r="G590" s="5"/>
      <c r="H590" s="5"/>
      <c r="I590" s="44" t="str">
        <f t="shared" si="238"/>
        <v/>
      </c>
      <c r="J590" s="44" t="str">
        <f t="shared" si="238"/>
        <v/>
      </c>
      <c r="K590" s="62">
        <f t="shared" si="229"/>
        <v>0</v>
      </c>
      <c r="L590" s="44" t="str">
        <f t="shared" si="238"/>
        <v/>
      </c>
      <c r="M590" s="44" t="str">
        <f t="shared" si="238"/>
        <v/>
      </c>
      <c r="N590" s="44" t="str">
        <f t="shared" si="238"/>
        <v/>
      </c>
      <c r="O590" s="44" t="str">
        <f t="shared" si="238"/>
        <v/>
      </c>
      <c r="P590" s="44" t="str">
        <f t="shared" si="238"/>
        <v/>
      </c>
      <c r="Q590" s="44">
        <f t="shared" si="274"/>
        <v>0</v>
      </c>
      <c r="R590" s="44" t="str">
        <f t="shared" si="238"/>
        <v/>
      </c>
      <c r="S590" s="44" t="str">
        <f t="shared" si="238"/>
        <v/>
      </c>
      <c r="T590" s="44" t="str">
        <f t="shared" si="238"/>
        <v/>
      </c>
      <c r="U590" s="44" t="str">
        <f t="shared" ref="U590:AM590" si="277">+IF($E590="","",MAX($E590,180)/1000*MAX($F590,180)/1000)</f>
        <v/>
      </c>
      <c r="V590" s="44" t="str">
        <f t="shared" si="277"/>
        <v/>
      </c>
      <c r="W590" s="44">
        <f t="shared" si="275"/>
        <v>0</v>
      </c>
      <c r="X590" s="44" t="str">
        <f t="shared" si="277"/>
        <v/>
      </c>
      <c r="Y590" s="44" t="str">
        <f t="shared" si="277"/>
        <v/>
      </c>
      <c r="Z590" s="44" t="str">
        <f t="shared" si="277"/>
        <v/>
      </c>
      <c r="AA590" s="44" t="str">
        <f t="shared" si="277"/>
        <v/>
      </c>
      <c r="AB590" s="44" t="str">
        <f t="shared" si="277"/>
        <v/>
      </c>
      <c r="AC590" s="44">
        <f t="shared" si="276"/>
        <v>0</v>
      </c>
      <c r="AD590" s="44" t="str">
        <f t="shared" si="277"/>
        <v/>
      </c>
      <c r="AE590" s="44" t="str">
        <f t="shared" si="277"/>
        <v/>
      </c>
      <c r="AF590" s="44" t="str">
        <f t="shared" si="277"/>
        <v/>
      </c>
      <c r="AG590" s="44" t="str">
        <f t="shared" si="277"/>
        <v/>
      </c>
      <c r="AH590" s="44"/>
      <c r="AI590" s="44" t="str">
        <f t="shared" si="277"/>
        <v/>
      </c>
      <c r="AJ590" s="44" t="str">
        <f t="shared" si="277"/>
        <v/>
      </c>
      <c r="AK590" s="44" t="str">
        <f t="shared" si="277"/>
        <v/>
      </c>
      <c r="AL590" s="44" t="str">
        <f t="shared" si="277"/>
        <v/>
      </c>
      <c r="AM590" s="44" t="str">
        <f t="shared" si="277"/>
        <v/>
      </c>
    </row>
    <row r="591" spans="1:40" outlineLevel="1" x14ac:dyDescent="0.25">
      <c r="A591" t="s">
        <v>67</v>
      </c>
      <c r="B591" t="str">
        <f t="shared" si="228"/>
        <v>Schublade LB 2 (420x180)</v>
      </c>
      <c r="C591">
        <v>5500</v>
      </c>
      <c r="D591" t="s">
        <v>80</v>
      </c>
      <c r="E591">
        <v>420</v>
      </c>
      <c r="F591">
        <v>180</v>
      </c>
      <c r="I591" s="45">
        <f>+IF($E591="","",MAX($E591,180)/1000*MAX($F591,180)/1000)</f>
        <v>7.5600000000000001E-2</v>
      </c>
      <c r="J591" s="46">
        <f t="shared" ref="J591:J611" si="278">IF($F591="","",2*MAX($E591,360)/1000+2*MAX($F591,360)/1000)</f>
        <v>1.56</v>
      </c>
      <c r="K591" s="62">
        <f t="shared" si="229"/>
        <v>285</v>
      </c>
      <c r="L591" s="28">
        <v>212</v>
      </c>
      <c r="M591" s="13">
        <f t="shared" ref="M591:M611" si="279">IFERROR(K591/L591-1,"-")</f>
        <v>0.34433962264150941</v>
      </c>
      <c r="N591" s="12">
        <f t="shared" si="262"/>
        <v>73</v>
      </c>
      <c r="O591" s="30" t="s">
        <v>72</v>
      </c>
      <c r="Q591" s="62">
        <f t="shared" si="274"/>
        <v>345</v>
      </c>
      <c r="R591" s="28">
        <v>242</v>
      </c>
      <c r="S591" s="13">
        <f t="shared" ref="S591:S611" si="280">IFERROR(Q591/R591-1,"-")</f>
        <v>0.42561983471074383</v>
      </c>
      <c r="T591" s="12">
        <f t="shared" si="270"/>
        <v>103</v>
      </c>
      <c r="U591" s="30" t="s">
        <v>72</v>
      </c>
      <c r="V591" s="30"/>
      <c r="W591" s="62">
        <f t="shared" si="275"/>
        <v>329</v>
      </c>
      <c r="X591" s="28">
        <v>237</v>
      </c>
      <c r="Y591" s="13">
        <f t="shared" ref="Y591:Y611" si="281">IFERROR(W591/X591-1,"-")</f>
        <v>0.38818565400843874</v>
      </c>
      <c r="Z591" s="12">
        <f t="shared" si="271"/>
        <v>92</v>
      </c>
      <c r="AA591" s="12"/>
      <c r="AB591" s="64"/>
      <c r="AC591" s="62">
        <f t="shared" si="276"/>
        <v>335</v>
      </c>
      <c r="AD591" s="28">
        <v>242</v>
      </c>
      <c r="AE591" s="13">
        <f t="shared" ref="AE591:AE611" si="282">IFERROR(AC591/AD591-1,"-")</f>
        <v>0.38429752066115697</v>
      </c>
      <c r="AF591" s="12">
        <f t="shared" si="272"/>
        <v>93</v>
      </c>
      <c r="AG591" s="30" t="s">
        <v>72</v>
      </c>
      <c r="AH591" s="17"/>
      <c r="AI591" s="16"/>
      <c r="AJ591" s="2">
        <f t="shared" ref="AJ591:AJ598" si="283">+IFERROR(ROUND(K591*(1+AJ$2),0),"-")</f>
        <v>314</v>
      </c>
      <c r="AK591" s="2">
        <f t="shared" ref="AK591:AK598" si="284">+IFERROR(ROUND(Q591*(1+AK$2),0),"-")</f>
        <v>380</v>
      </c>
      <c r="AL591" s="2">
        <f t="shared" si="268"/>
        <v>369</v>
      </c>
      <c r="AM591" s="2">
        <f t="shared" si="269"/>
        <v>362</v>
      </c>
    </row>
    <row r="592" spans="1:40" outlineLevel="1" x14ac:dyDescent="0.25">
      <c r="A592" t="s">
        <v>67</v>
      </c>
      <c r="B592" t="str">
        <f t="shared" si="228"/>
        <v>Schublade LB 2 (420x360)</v>
      </c>
      <c r="C592">
        <v>5501</v>
      </c>
      <c r="D592" t="s">
        <v>80</v>
      </c>
      <c r="E592">
        <v>420</v>
      </c>
      <c r="F592">
        <v>360</v>
      </c>
      <c r="I592" s="45">
        <f t="shared" si="238"/>
        <v>0.1512</v>
      </c>
      <c r="J592" s="46">
        <f t="shared" si="278"/>
        <v>1.56</v>
      </c>
      <c r="K592" s="62">
        <f t="shared" si="229"/>
        <v>352</v>
      </c>
      <c r="L592" s="28">
        <v>262</v>
      </c>
      <c r="M592" s="13">
        <f t="shared" si="279"/>
        <v>0.34351145038167941</v>
      </c>
      <c r="N592" s="12">
        <f t="shared" si="262"/>
        <v>90</v>
      </c>
      <c r="O592" s="30" t="s">
        <v>72</v>
      </c>
      <c r="Q592" s="62">
        <f t="shared" si="274"/>
        <v>439</v>
      </c>
      <c r="R592" s="28">
        <v>312</v>
      </c>
      <c r="S592" s="13">
        <f t="shared" si="280"/>
        <v>0.40705128205128216</v>
      </c>
      <c r="T592" s="12">
        <f t="shared" si="270"/>
        <v>127</v>
      </c>
      <c r="U592" s="30" t="s">
        <v>72</v>
      </c>
      <c r="V592" s="30"/>
      <c r="W592" s="62">
        <f t="shared" si="275"/>
        <v>420</v>
      </c>
      <c r="X592" s="28">
        <v>305</v>
      </c>
      <c r="Y592" s="13">
        <f t="shared" si="281"/>
        <v>0.37704918032786883</v>
      </c>
      <c r="Z592" s="12">
        <f t="shared" si="271"/>
        <v>115</v>
      </c>
      <c r="AA592" s="12"/>
      <c r="AB592" s="64"/>
      <c r="AC592" s="62">
        <f t="shared" si="276"/>
        <v>429</v>
      </c>
      <c r="AD592" s="28">
        <v>312</v>
      </c>
      <c r="AE592" s="13">
        <f t="shared" si="282"/>
        <v>0.375</v>
      </c>
      <c r="AF592" s="12">
        <f t="shared" si="272"/>
        <v>117</v>
      </c>
      <c r="AG592" s="30" t="s">
        <v>72</v>
      </c>
      <c r="AH592" s="17"/>
      <c r="AI592" s="16"/>
      <c r="AJ592" s="2">
        <f t="shared" si="283"/>
        <v>387</v>
      </c>
      <c r="AK592" s="2">
        <f t="shared" si="284"/>
        <v>483</v>
      </c>
      <c r="AL592" s="2">
        <f t="shared" si="268"/>
        <v>472</v>
      </c>
      <c r="AM592" s="2">
        <f t="shared" si="269"/>
        <v>462</v>
      </c>
    </row>
    <row r="593" spans="1:39" outlineLevel="1" x14ac:dyDescent="0.25">
      <c r="A593" t="s">
        <v>67</v>
      </c>
      <c r="B593" t="str">
        <f t="shared" si="228"/>
        <v>Schublade LB 2 (580x180)</v>
      </c>
      <c r="C593">
        <v>5502</v>
      </c>
      <c r="D593" t="s">
        <v>80</v>
      </c>
      <c r="E593">
        <v>580</v>
      </c>
      <c r="F593">
        <v>180</v>
      </c>
      <c r="I593" s="45">
        <f t="shared" si="238"/>
        <v>0.10439999999999999</v>
      </c>
      <c r="J593" s="46">
        <f t="shared" si="278"/>
        <v>1.88</v>
      </c>
      <c r="K593" s="62">
        <f t="shared" si="229"/>
        <v>298</v>
      </c>
      <c r="L593" s="28">
        <v>222</v>
      </c>
      <c r="M593" s="13">
        <f t="shared" si="279"/>
        <v>0.3423423423423424</v>
      </c>
      <c r="N593" s="12">
        <f t="shared" si="262"/>
        <v>76</v>
      </c>
      <c r="O593" s="30" t="s">
        <v>72</v>
      </c>
      <c r="Q593" s="62">
        <f t="shared" si="274"/>
        <v>368</v>
      </c>
      <c r="R593" s="28">
        <v>259</v>
      </c>
      <c r="S593" s="13">
        <f t="shared" si="280"/>
        <v>0.4208494208494209</v>
      </c>
      <c r="T593" s="12">
        <f t="shared" si="270"/>
        <v>109</v>
      </c>
      <c r="U593" s="30" t="s">
        <v>72</v>
      </c>
      <c r="V593" s="30"/>
      <c r="W593" s="62">
        <f t="shared" si="275"/>
        <v>351</v>
      </c>
      <c r="X593" s="28">
        <v>254</v>
      </c>
      <c r="Y593" s="13">
        <f t="shared" si="281"/>
        <v>0.38188976377952755</v>
      </c>
      <c r="Z593" s="12">
        <f t="shared" si="271"/>
        <v>97</v>
      </c>
      <c r="AA593" s="12"/>
      <c r="AB593" s="64"/>
      <c r="AC593" s="62">
        <f t="shared" si="276"/>
        <v>358</v>
      </c>
      <c r="AD593" s="28">
        <v>259</v>
      </c>
      <c r="AE593" s="13">
        <f t="shared" si="282"/>
        <v>0.38223938223938214</v>
      </c>
      <c r="AF593" s="12">
        <f t="shared" si="272"/>
        <v>99</v>
      </c>
      <c r="AG593" s="30" t="s">
        <v>72</v>
      </c>
      <c r="AH593" s="17"/>
      <c r="AI593" s="16"/>
      <c r="AJ593" s="2">
        <f t="shared" si="283"/>
        <v>328</v>
      </c>
      <c r="AK593" s="2">
        <f t="shared" si="284"/>
        <v>405</v>
      </c>
      <c r="AL593" s="2">
        <f t="shared" si="268"/>
        <v>394</v>
      </c>
      <c r="AM593" s="2">
        <f t="shared" si="269"/>
        <v>386</v>
      </c>
    </row>
    <row r="594" spans="1:39" outlineLevel="1" x14ac:dyDescent="0.25">
      <c r="A594" t="s">
        <v>67</v>
      </c>
      <c r="B594" t="str">
        <f t="shared" si="228"/>
        <v>Schublade LB 2 (580x360)</v>
      </c>
      <c r="C594">
        <v>5503</v>
      </c>
      <c r="D594" t="s">
        <v>80</v>
      </c>
      <c r="E594">
        <v>580</v>
      </c>
      <c r="F594">
        <v>360</v>
      </c>
      <c r="I594" s="45">
        <f t="shared" si="238"/>
        <v>0.20879999999999999</v>
      </c>
      <c r="J594" s="46">
        <f t="shared" si="278"/>
        <v>1.88</v>
      </c>
      <c r="K594" s="62">
        <f t="shared" ref="K594:K611" si="285">+IFERROR(ROUND(L594*(1+L$2)^N$2+J$463,0),0)</f>
        <v>353</v>
      </c>
      <c r="L594" s="28">
        <v>263</v>
      </c>
      <c r="M594" s="13">
        <f t="shared" si="279"/>
        <v>0.34220532319391639</v>
      </c>
      <c r="N594" s="12">
        <f t="shared" si="262"/>
        <v>90</v>
      </c>
      <c r="O594" s="30" t="s">
        <v>72</v>
      </c>
      <c r="Q594" s="62">
        <f t="shared" si="274"/>
        <v>470</v>
      </c>
      <c r="R594" s="28">
        <v>335</v>
      </c>
      <c r="S594" s="13">
        <f t="shared" si="280"/>
        <v>0.40298507462686572</v>
      </c>
      <c r="T594" s="12">
        <f t="shared" si="270"/>
        <v>135</v>
      </c>
      <c r="U594" s="30" t="s">
        <v>72</v>
      </c>
      <c r="V594" s="30"/>
      <c r="W594" s="62">
        <f t="shared" si="275"/>
        <v>445</v>
      </c>
      <c r="X594" s="28">
        <v>324</v>
      </c>
      <c r="Y594" s="13">
        <f t="shared" si="281"/>
        <v>0.37345679012345689</v>
      </c>
      <c r="Z594" s="12">
        <f t="shared" si="271"/>
        <v>121</v>
      </c>
      <c r="AA594" s="12"/>
      <c r="AB594" s="64"/>
      <c r="AC594" s="62">
        <f t="shared" si="276"/>
        <v>460</v>
      </c>
      <c r="AD594" s="28">
        <v>335</v>
      </c>
      <c r="AE594" s="13">
        <f t="shared" si="282"/>
        <v>0.37313432835820892</v>
      </c>
      <c r="AF594" s="12">
        <f t="shared" si="272"/>
        <v>125</v>
      </c>
      <c r="AG594" s="30" t="s">
        <v>72</v>
      </c>
      <c r="AH594" s="17"/>
      <c r="AI594" s="16"/>
      <c r="AJ594" s="2">
        <f t="shared" si="283"/>
        <v>388</v>
      </c>
      <c r="AK594" s="2">
        <f t="shared" si="284"/>
        <v>517</v>
      </c>
      <c r="AL594" s="2">
        <f t="shared" si="268"/>
        <v>506</v>
      </c>
      <c r="AM594" s="2">
        <f t="shared" si="269"/>
        <v>490</v>
      </c>
    </row>
    <row r="595" spans="1:39" outlineLevel="1" x14ac:dyDescent="0.25">
      <c r="A595" t="s">
        <v>67</v>
      </c>
      <c r="B595" t="str">
        <f t="shared" si="228"/>
        <v>Schublade LB 2 (780x180)</v>
      </c>
      <c r="C595">
        <v>5504</v>
      </c>
      <c r="D595" t="s">
        <v>80</v>
      </c>
      <c r="E595">
        <v>780</v>
      </c>
      <c r="F595">
        <v>180</v>
      </c>
      <c r="I595" s="45">
        <f t="shared" si="238"/>
        <v>0.1404</v>
      </c>
      <c r="J595" s="46">
        <f t="shared" si="278"/>
        <v>2.2800000000000002</v>
      </c>
      <c r="K595" s="62">
        <f t="shared" si="285"/>
        <v>309</v>
      </c>
      <c r="L595" s="28">
        <v>230</v>
      </c>
      <c r="M595" s="13">
        <f t="shared" si="279"/>
        <v>0.34347826086956523</v>
      </c>
      <c r="N595" s="12">
        <f t="shared" si="262"/>
        <v>79</v>
      </c>
      <c r="O595" s="30" t="s">
        <v>72</v>
      </c>
      <c r="Q595" s="62">
        <f t="shared" si="274"/>
        <v>391</v>
      </c>
      <c r="R595" s="28">
        <v>276</v>
      </c>
      <c r="S595" s="13">
        <f t="shared" si="280"/>
        <v>0.41666666666666674</v>
      </c>
      <c r="T595" s="12">
        <f t="shared" si="270"/>
        <v>115</v>
      </c>
      <c r="U595" s="30" t="s">
        <v>72</v>
      </c>
      <c r="V595" s="30"/>
      <c r="W595" s="62">
        <f t="shared" si="275"/>
        <v>372</v>
      </c>
      <c r="X595" s="28">
        <v>269</v>
      </c>
      <c r="Y595" s="13">
        <f t="shared" si="281"/>
        <v>0.38289962825278812</v>
      </c>
      <c r="Z595" s="12">
        <f t="shared" si="271"/>
        <v>103</v>
      </c>
      <c r="AA595" s="12"/>
      <c r="AB595" s="64"/>
      <c r="AC595" s="62">
        <f t="shared" si="276"/>
        <v>381</v>
      </c>
      <c r="AD595" s="28">
        <v>276</v>
      </c>
      <c r="AE595" s="13">
        <f t="shared" si="282"/>
        <v>0.38043478260869557</v>
      </c>
      <c r="AF595" s="12">
        <f t="shared" si="272"/>
        <v>105</v>
      </c>
      <c r="AG595" s="30" t="s">
        <v>72</v>
      </c>
      <c r="AH595" s="17"/>
      <c r="AI595" s="16"/>
      <c r="AJ595" s="2">
        <f t="shared" si="283"/>
        <v>340</v>
      </c>
      <c r="AK595" s="2">
        <f t="shared" si="284"/>
        <v>430</v>
      </c>
      <c r="AL595" s="2">
        <f t="shared" si="268"/>
        <v>419</v>
      </c>
      <c r="AM595" s="2">
        <f t="shared" si="269"/>
        <v>409</v>
      </c>
    </row>
    <row r="596" spans="1:39" outlineLevel="1" x14ac:dyDescent="0.25">
      <c r="A596" t="s">
        <v>67</v>
      </c>
      <c r="B596" t="str">
        <f t="shared" ref="B596:B611" si="286">IF(OR(E596="-",F596="-"),"-",D596&amp;" ("&amp;E596&amp;"x"&amp;F596&amp;")")</f>
        <v>Schublade LB 2 (780x360)</v>
      </c>
      <c r="C596">
        <v>5505</v>
      </c>
      <c r="D596" t="s">
        <v>80</v>
      </c>
      <c r="E596">
        <v>780</v>
      </c>
      <c r="F596">
        <v>360</v>
      </c>
      <c r="I596" s="45">
        <f t="shared" si="238"/>
        <v>0.28079999999999999</v>
      </c>
      <c r="J596" s="46">
        <f t="shared" si="278"/>
        <v>2.2800000000000002</v>
      </c>
      <c r="K596" s="62">
        <f t="shared" si="285"/>
        <v>356</v>
      </c>
      <c r="L596" s="28">
        <v>265</v>
      </c>
      <c r="M596" s="13">
        <f t="shared" si="279"/>
        <v>0.34339622641509426</v>
      </c>
      <c r="N596" s="12">
        <f t="shared" si="262"/>
        <v>91</v>
      </c>
      <c r="O596" s="30" t="s">
        <v>72</v>
      </c>
      <c r="Q596" s="62">
        <f t="shared" si="274"/>
        <v>501</v>
      </c>
      <c r="R596" s="28">
        <v>358</v>
      </c>
      <c r="S596" s="13">
        <f t="shared" si="280"/>
        <v>0.3994413407821229</v>
      </c>
      <c r="T596" s="12">
        <f t="shared" si="270"/>
        <v>143</v>
      </c>
      <c r="U596" s="30" t="s">
        <v>72</v>
      </c>
      <c r="V596" s="30"/>
      <c r="W596" s="62">
        <f t="shared" si="275"/>
        <v>471</v>
      </c>
      <c r="X596" s="28">
        <v>343</v>
      </c>
      <c r="Y596" s="13">
        <f t="shared" si="281"/>
        <v>0.37317784256559761</v>
      </c>
      <c r="Z596" s="12">
        <f t="shared" si="271"/>
        <v>128</v>
      </c>
      <c r="AA596" s="12"/>
      <c r="AB596" s="64"/>
      <c r="AC596" s="62">
        <f t="shared" si="276"/>
        <v>491</v>
      </c>
      <c r="AD596" s="28">
        <v>358</v>
      </c>
      <c r="AE596" s="13">
        <f t="shared" si="282"/>
        <v>0.37150837988826813</v>
      </c>
      <c r="AF596" s="12">
        <f t="shared" si="272"/>
        <v>133</v>
      </c>
      <c r="AG596" s="30" t="s">
        <v>72</v>
      </c>
      <c r="AH596" s="17"/>
      <c r="AI596" s="16"/>
      <c r="AJ596" s="2">
        <f t="shared" si="283"/>
        <v>392</v>
      </c>
      <c r="AK596" s="2">
        <f t="shared" si="284"/>
        <v>551</v>
      </c>
      <c r="AL596" s="2">
        <f t="shared" si="268"/>
        <v>540</v>
      </c>
      <c r="AM596" s="2">
        <f t="shared" si="269"/>
        <v>518</v>
      </c>
    </row>
    <row r="597" spans="1:39" outlineLevel="1" x14ac:dyDescent="0.25">
      <c r="A597" t="s">
        <v>67</v>
      </c>
      <c r="B597" t="str">
        <f t="shared" si="286"/>
        <v>Schublade LB 2 (980x180)</v>
      </c>
      <c r="C597">
        <v>5506</v>
      </c>
      <c r="D597" t="s">
        <v>80</v>
      </c>
      <c r="E597">
        <v>980</v>
      </c>
      <c r="F597">
        <v>180</v>
      </c>
      <c r="I597" s="45">
        <f t="shared" si="238"/>
        <v>0.1764</v>
      </c>
      <c r="J597" s="46">
        <f t="shared" si="278"/>
        <v>2.6799999999999997</v>
      </c>
      <c r="K597" s="62">
        <f t="shared" si="285"/>
        <v>348</v>
      </c>
      <c r="L597" s="28">
        <v>259</v>
      </c>
      <c r="M597" s="13">
        <f t="shared" si="279"/>
        <v>0.34362934362934361</v>
      </c>
      <c r="N597" s="12">
        <f t="shared" si="262"/>
        <v>89</v>
      </c>
      <c r="O597" s="30" t="s">
        <v>72</v>
      </c>
      <c r="Q597" s="62">
        <f t="shared" si="274"/>
        <v>474</v>
      </c>
      <c r="R597" s="28">
        <v>338</v>
      </c>
      <c r="S597" s="13">
        <f t="shared" si="280"/>
        <v>0.4023668639053255</v>
      </c>
      <c r="T597" s="12">
        <f t="shared" si="270"/>
        <v>136</v>
      </c>
      <c r="U597" s="30" t="s">
        <v>72</v>
      </c>
      <c r="V597" s="30"/>
      <c r="W597" s="62">
        <f t="shared" si="275"/>
        <v>417</v>
      </c>
      <c r="X597" s="28">
        <v>303</v>
      </c>
      <c r="Y597" s="13">
        <f t="shared" si="281"/>
        <v>0.37623762376237613</v>
      </c>
      <c r="Z597" s="12">
        <f t="shared" si="271"/>
        <v>114</v>
      </c>
      <c r="AA597" s="12"/>
      <c r="AB597" s="64"/>
      <c r="AC597" s="62">
        <f t="shared" si="276"/>
        <v>464</v>
      </c>
      <c r="AD597" s="28">
        <v>338</v>
      </c>
      <c r="AE597" s="13">
        <f t="shared" si="282"/>
        <v>0.3727810650887573</v>
      </c>
      <c r="AF597" s="12">
        <f t="shared" si="272"/>
        <v>126</v>
      </c>
      <c r="AG597" s="30" t="s">
        <v>72</v>
      </c>
      <c r="AH597" s="17"/>
      <c r="AI597" s="16"/>
      <c r="AJ597" s="2">
        <f t="shared" si="283"/>
        <v>383</v>
      </c>
      <c r="AK597" s="2">
        <f t="shared" si="284"/>
        <v>521</v>
      </c>
      <c r="AL597" s="2">
        <f t="shared" si="268"/>
        <v>510</v>
      </c>
      <c r="AM597" s="2">
        <f t="shared" si="269"/>
        <v>459</v>
      </c>
    </row>
    <row r="598" spans="1:39" outlineLevel="1" x14ac:dyDescent="0.25">
      <c r="A598" t="s">
        <v>67</v>
      </c>
      <c r="B598" t="str">
        <f t="shared" si="286"/>
        <v>Schublade LB 2 (980x360)</v>
      </c>
      <c r="C598">
        <v>5507</v>
      </c>
      <c r="D598" t="s">
        <v>80</v>
      </c>
      <c r="E598">
        <v>980</v>
      </c>
      <c r="F598">
        <v>360</v>
      </c>
      <c r="I598" s="45">
        <f t="shared" si="238"/>
        <v>0.3528</v>
      </c>
      <c r="J598" s="46">
        <f t="shared" si="278"/>
        <v>2.6799999999999997</v>
      </c>
      <c r="K598" s="62">
        <f t="shared" si="285"/>
        <v>429</v>
      </c>
      <c r="L598" s="28">
        <v>319</v>
      </c>
      <c r="M598" s="13">
        <f t="shared" si="279"/>
        <v>0.34482758620689657</v>
      </c>
      <c r="N598" s="12">
        <f t="shared" si="262"/>
        <v>110</v>
      </c>
      <c r="O598" s="30" t="s">
        <v>72</v>
      </c>
      <c r="Q598" s="62">
        <f t="shared" si="274"/>
        <v>610</v>
      </c>
      <c r="R598" s="28">
        <v>439</v>
      </c>
      <c r="S598" s="13">
        <f t="shared" si="280"/>
        <v>0.38952164009111612</v>
      </c>
      <c r="T598" s="12">
        <f t="shared" si="270"/>
        <v>171</v>
      </c>
      <c r="U598" s="30" t="s">
        <v>72</v>
      </c>
      <c r="V598" s="30"/>
      <c r="W598" s="62">
        <f t="shared" si="275"/>
        <v>553</v>
      </c>
      <c r="X598" s="28">
        <v>404</v>
      </c>
      <c r="Y598" s="13">
        <f t="shared" si="281"/>
        <v>0.36881188118811892</v>
      </c>
      <c r="Z598" s="12">
        <f t="shared" si="271"/>
        <v>149</v>
      </c>
      <c r="AA598" s="12"/>
      <c r="AB598" s="64"/>
      <c r="AC598" s="62">
        <f t="shared" si="276"/>
        <v>600</v>
      </c>
      <c r="AD598" s="28">
        <v>439</v>
      </c>
      <c r="AE598" s="13">
        <f t="shared" si="282"/>
        <v>0.36674259681093391</v>
      </c>
      <c r="AF598" s="12">
        <f t="shared" si="272"/>
        <v>161</v>
      </c>
      <c r="AG598" s="30" t="s">
        <v>72</v>
      </c>
      <c r="AH598" s="17"/>
      <c r="AI598" s="16"/>
      <c r="AJ598" s="2">
        <f t="shared" si="283"/>
        <v>472</v>
      </c>
      <c r="AK598" s="2">
        <f t="shared" si="284"/>
        <v>671</v>
      </c>
      <c r="AL598" s="2">
        <f t="shared" si="268"/>
        <v>660</v>
      </c>
      <c r="AM598" s="2">
        <f t="shared" si="269"/>
        <v>608</v>
      </c>
    </row>
    <row r="599" spans="1:39" outlineLevel="1" x14ac:dyDescent="0.25">
      <c r="B599" t="str">
        <f t="shared" si="286"/>
        <v xml:space="preserve"> (x)</v>
      </c>
      <c r="C599" s="3">
        <v>5508</v>
      </c>
      <c r="I599" s="45" t="str">
        <f t="shared" si="238"/>
        <v/>
      </c>
      <c r="J599" s="46" t="str">
        <f t="shared" si="278"/>
        <v/>
      </c>
      <c r="K599" s="62">
        <f t="shared" si="285"/>
        <v>0</v>
      </c>
      <c r="L599" s="29" t="s">
        <v>63</v>
      </c>
      <c r="M599" s="2" t="str">
        <f t="shared" si="279"/>
        <v>-</v>
      </c>
      <c r="N599" s="12" t="str">
        <f t="shared" si="262"/>
        <v>-</v>
      </c>
      <c r="O599" s="12"/>
      <c r="Q599" s="62">
        <f t="shared" si="274"/>
        <v>0</v>
      </c>
      <c r="R599" s="29" t="s">
        <v>63</v>
      </c>
      <c r="S599" s="2" t="str">
        <f t="shared" si="280"/>
        <v>-</v>
      </c>
      <c r="T599" s="12" t="str">
        <f t="shared" si="270"/>
        <v>-</v>
      </c>
      <c r="U599" s="12"/>
      <c r="V599" s="12"/>
      <c r="W599" s="62">
        <f t="shared" si="275"/>
        <v>0</v>
      </c>
      <c r="X599" s="28" t="s">
        <v>63</v>
      </c>
      <c r="Y599" s="2" t="str">
        <f t="shared" si="281"/>
        <v>-</v>
      </c>
      <c r="Z599" s="12" t="str">
        <f t="shared" si="271"/>
        <v>-</v>
      </c>
      <c r="AA599" s="12"/>
      <c r="AB599" s="64"/>
      <c r="AC599" s="62">
        <f t="shared" si="276"/>
        <v>0</v>
      </c>
      <c r="AD599" s="29" t="s">
        <v>63</v>
      </c>
      <c r="AE599" s="2" t="str">
        <f t="shared" si="282"/>
        <v>-</v>
      </c>
      <c r="AF599" s="12" t="str">
        <f t="shared" si="272"/>
        <v>-</v>
      </c>
      <c r="AG599" s="12"/>
      <c r="AH599" s="17"/>
      <c r="AI599" s="18"/>
      <c r="AJ599" s="2"/>
      <c r="AK599" s="2"/>
      <c r="AL599" s="2"/>
      <c r="AM599" s="2"/>
    </row>
    <row r="600" spans="1:39" outlineLevel="1" x14ac:dyDescent="0.25">
      <c r="B600" t="str">
        <f t="shared" si="286"/>
        <v xml:space="preserve"> (x)</v>
      </c>
      <c r="C600" s="3">
        <v>5509</v>
      </c>
      <c r="I600" s="45" t="str">
        <f t="shared" si="238"/>
        <v/>
      </c>
      <c r="J600" s="46" t="str">
        <f t="shared" si="278"/>
        <v/>
      </c>
      <c r="K600" s="62">
        <f t="shared" si="285"/>
        <v>0</v>
      </c>
      <c r="L600" s="29" t="s">
        <v>63</v>
      </c>
      <c r="M600" s="2" t="str">
        <f t="shared" si="279"/>
        <v>-</v>
      </c>
      <c r="N600" s="12" t="str">
        <f t="shared" si="262"/>
        <v>-</v>
      </c>
      <c r="O600" s="12"/>
      <c r="Q600" s="62">
        <f t="shared" si="274"/>
        <v>0</v>
      </c>
      <c r="R600" s="29" t="s">
        <v>63</v>
      </c>
      <c r="S600" s="2" t="str">
        <f t="shared" si="280"/>
        <v>-</v>
      </c>
      <c r="T600" s="12" t="str">
        <f t="shared" si="270"/>
        <v>-</v>
      </c>
      <c r="U600" s="12"/>
      <c r="V600" s="12"/>
      <c r="W600" s="62">
        <f t="shared" si="275"/>
        <v>0</v>
      </c>
      <c r="X600" s="28" t="s">
        <v>63</v>
      </c>
      <c r="Y600" s="2" t="str">
        <f t="shared" si="281"/>
        <v>-</v>
      </c>
      <c r="Z600" s="12" t="str">
        <f t="shared" si="271"/>
        <v>-</v>
      </c>
      <c r="AA600" s="12"/>
      <c r="AB600" s="64"/>
      <c r="AC600" s="62">
        <f t="shared" si="276"/>
        <v>0</v>
      </c>
      <c r="AD600" s="29" t="s">
        <v>63</v>
      </c>
      <c r="AE600" s="2" t="str">
        <f t="shared" si="282"/>
        <v>-</v>
      </c>
      <c r="AF600" s="12" t="str">
        <f t="shared" si="272"/>
        <v>-</v>
      </c>
      <c r="AG600" s="12"/>
      <c r="AH600" s="17"/>
      <c r="AI600" s="18"/>
      <c r="AJ600" s="2"/>
      <c r="AK600" s="2"/>
      <c r="AL600" s="2"/>
      <c r="AM600" s="2"/>
    </row>
    <row r="601" spans="1:39" outlineLevel="1" x14ac:dyDescent="0.25">
      <c r="B601" t="str">
        <f t="shared" si="286"/>
        <v xml:space="preserve"> (x)</v>
      </c>
      <c r="C601" s="3">
        <v>5510</v>
      </c>
      <c r="I601" s="45" t="str">
        <f t="shared" ref="I601:I611" si="287">+IF($E601="","",MAX($E601,180)/1000*MAX($F601,180)/1000)</f>
        <v/>
      </c>
      <c r="J601" s="46" t="str">
        <f t="shared" si="278"/>
        <v/>
      </c>
      <c r="K601" s="62">
        <f t="shared" si="285"/>
        <v>0</v>
      </c>
      <c r="L601" s="29" t="s">
        <v>63</v>
      </c>
      <c r="M601" s="2" t="str">
        <f t="shared" si="279"/>
        <v>-</v>
      </c>
      <c r="N601" s="12" t="str">
        <f t="shared" si="262"/>
        <v>-</v>
      </c>
      <c r="O601" s="12"/>
      <c r="Q601" s="62">
        <f t="shared" si="274"/>
        <v>0</v>
      </c>
      <c r="R601" s="29" t="s">
        <v>63</v>
      </c>
      <c r="S601" s="2" t="str">
        <f t="shared" si="280"/>
        <v>-</v>
      </c>
      <c r="T601" s="12" t="str">
        <f t="shared" si="270"/>
        <v>-</v>
      </c>
      <c r="U601" s="12"/>
      <c r="V601" s="12"/>
      <c r="W601" s="62">
        <f t="shared" si="275"/>
        <v>0</v>
      </c>
      <c r="X601" s="28" t="s">
        <v>63</v>
      </c>
      <c r="Y601" s="2" t="str">
        <f t="shared" si="281"/>
        <v>-</v>
      </c>
      <c r="Z601" s="12" t="str">
        <f t="shared" si="271"/>
        <v>-</v>
      </c>
      <c r="AA601" s="12"/>
      <c r="AB601" s="64"/>
      <c r="AC601" s="62">
        <f t="shared" si="276"/>
        <v>0</v>
      </c>
      <c r="AD601" s="101" t="s">
        <v>63</v>
      </c>
      <c r="AE601" s="2" t="str">
        <f t="shared" si="282"/>
        <v>-</v>
      </c>
      <c r="AF601" s="12" t="str">
        <f t="shared" si="272"/>
        <v>-</v>
      </c>
      <c r="AG601" s="12"/>
      <c r="AH601" s="17"/>
      <c r="AI601" s="18"/>
      <c r="AJ601" s="2"/>
      <c r="AK601" s="2"/>
      <c r="AL601" s="2"/>
      <c r="AM601" s="2"/>
    </row>
    <row r="602" spans="1:39" outlineLevel="1" x14ac:dyDescent="0.25">
      <c r="B602" t="str">
        <f t="shared" si="286"/>
        <v xml:space="preserve"> (x)</v>
      </c>
      <c r="C602" s="3">
        <v>5511</v>
      </c>
      <c r="I602" s="45" t="str">
        <f t="shared" si="287"/>
        <v/>
      </c>
      <c r="J602" s="46" t="str">
        <f t="shared" si="278"/>
        <v/>
      </c>
      <c r="K602" s="62">
        <f t="shared" si="285"/>
        <v>0</v>
      </c>
      <c r="L602" s="29" t="s">
        <v>63</v>
      </c>
      <c r="M602" s="2" t="str">
        <f t="shared" si="279"/>
        <v>-</v>
      </c>
      <c r="N602" s="12" t="str">
        <f t="shared" si="262"/>
        <v>-</v>
      </c>
      <c r="O602" s="12"/>
      <c r="Q602" s="62">
        <f t="shared" si="274"/>
        <v>0</v>
      </c>
      <c r="R602" s="29" t="s">
        <v>63</v>
      </c>
      <c r="S602" s="2" t="str">
        <f t="shared" si="280"/>
        <v>-</v>
      </c>
      <c r="T602" s="12" t="str">
        <f t="shared" si="270"/>
        <v>-</v>
      </c>
      <c r="U602" s="12"/>
      <c r="V602" s="12"/>
      <c r="W602" s="62">
        <f t="shared" si="275"/>
        <v>0</v>
      </c>
      <c r="X602" s="28" t="s">
        <v>63</v>
      </c>
      <c r="Y602" s="2" t="str">
        <f t="shared" si="281"/>
        <v>-</v>
      </c>
      <c r="Z602" s="12" t="str">
        <f t="shared" si="271"/>
        <v>-</v>
      </c>
      <c r="AA602" s="12"/>
      <c r="AB602" s="64"/>
      <c r="AC602" s="62">
        <f t="shared" si="276"/>
        <v>0</v>
      </c>
      <c r="AD602" s="29" t="s">
        <v>63</v>
      </c>
      <c r="AE602" s="2" t="str">
        <f t="shared" si="282"/>
        <v>-</v>
      </c>
      <c r="AF602" s="12" t="str">
        <f t="shared" si="272"/>
        <v>-</v>
      </c>
      <c r="AG602" s="12"/>
      <c r="AH602" s="17"/>
      <c r="AI602" s="18"/>
      <c r="AJ602" s="2"/>
      <c r="AK602" s="2"/>
      <c r="AL602" s="2"/>
      <c r="AM602" s="2"/>
    </row>
    <row r="603" spans="1:39" outlineLevel="1" x14ac:dyDescent="0.25">
      <c r="B603" t="str">
        <f t="shared" si="286"/>
        <v xml:space="preserve"> (x)</v>
      </c>
      <c r="C603" s="3">
        <v>5512</v>
      </c>
      <c r="I603" s="45" t="str">
        <f t="shared" si="287"/>
        <v/>
      </c>
      <c r="J603" s="46" t="str">
        <f t="shared" si="278"/>
        <v/>
      </c>
      <c r="K603" s="62">
        <f t="shared" si="285"/>
        <v>0</v>
      </c>
      <c r="L603" s="29" t="s">
        <v>63</v>
      </c>
      <c r="M603" s="2" t="str">
        <f t="shared" si="279"/>
        <v>-</v>
      </c>
      <c r="N603" s="12" t="str">
        <f t="shared" si="262"/>
        <v>-</v>
      </c>
      <c r="O603" s="12"/>
      <c r="Q603" s="62">
        <f t="shared" si="274"/>
        <v>0</v>
      </c>
      <c r="R603" s="29" t="s">
        <v>63</v>
      </c>
      <c r="S603" s="2" t="str">
        <f t="shared" si="280"/>
        <v>-</v>
      </c>
      <c r="T603" s="12" t="str">
        <f t="shared" si="270"/>
        <v>-</v>
      </c>
      <c r="U603" s="12"/>
      <c r="V603" s="12"/>
      <c r="W603" s="62">
        <f t="shared" si="275"/>
        <v>0</v>
      </c>
      <c r="X603" s="28" t="s">
        <v>63</v>
      </c>
      <c r="Y603" s="2" t="str">
        <f t="shared" si="281"/>
        <v>-</v>
      </c>
      <c r="Z603" s="12" t="str">
        <f t="shared" si="271"/>
        <v>-</v>
      </c>
      <c r="AA603" s="12"/>
      <c r="AB603" s="64"/>
      <c r="AC603" s="62">
        <f t="shared" si="276"/>
        <v>0</v>
      </c>
      <c r="AD603" s="29" t="s">
        <v>63</v>
      </c>
      <c r="AE603" s="2" t="str">
        <f t="shared" si="282"/>
        <v>-</v>
      </c>
      <c r="AF603" s="12" t="str">
        <f t="shared" si="272"/>
        <v>-</v>
      </c>
      <c r="AG603" s="12"/>
      <c r="AH603" s="17"/>
      <c r="AI603" s="18"/>
      <c r="AJ603" s="2"/>
      <c r="AK603" s="2"/>
      <c r="AL603" s="2"/>
      <c r="AM603" s="2"/>
    </row>
    <row r="604" spans="1:39" outlineLevel="1" x14ac:dyDescent="0.25">
      <c r="B604" t="str">
        <f t="shared" si="286"/>
        <v xml:space="preserve"> (x)</v>
      </c>
      <c r="C604" s="3">
        <v>5513</v>
      </c>
      <c r="I604" s="45" t="str">
        <f t="shared" si="287"/>
        <v/>
      </c>
      <c r="J604" s="46" t="str">
        <f t="shared" si="278"/>
        <v/>
      </c>
      <c r="K604" s="62">
        <f t="shared" si="285"/>
        <v>0</v>
      </c>
      <c r="L604" s="29" t="s">
        <v>63</v>
      </c>
      <c r="M604" s="2" t="str">
        <f t="shared" si="279"/>
        <v>-</v>
      </c>
      <c r="N604" s="12" t="str">
        <f t="shared" si="262"/>
        <v>-</v>
      </c>
      <c r="O604" s="12"/>
      <c r="Q604" s="62">
        <f t="shared" si="274"/>
        <v>0</v>
      </c>
      <c r="R604" s="29" t="s">
        <v>63</v>
      </c>
      <c r="S604" s="2" t="str">
        <f t="shared" si="280"/>
        <v>-</v>
      </c>
      <c r="T604" s="12" t="str">
        <f t="shared" si="270"/>
        <v>-</v>
      </c>
      <c r="U604" s="12"/>
      <c r="V604" s="12"/>
      <c r="W604" s="62">
        <f t="shared" si="275"/>
        <v>0</v>
      </c>
      <c r="X604" s="28" t="s">
        <v>63</v>
      </c>
      <c r="Y604" s="2" t="str">
        <f t="shared" si="281"/>
        <v>-</v>
      </c>
      <c r="Z604" s="12" t="str">
        <f t="shared" si="271"/>
        <v>-</v>
      </c>
      <c r="AA604" s="12"/>
      <c r="AB604" s="64"/>
      <c r="AC604" s="62">
        <f t="shared" si="276"/>
        <v>0</v>
      </c>
      <c r="AD604" s="29" t="s">
        <v>63</v>
      </c>
      <c r="AE604" s="2" t="str">
        <f t="shared" si="282"/>
        <v>-</v>
      </c>
      <c r="AF604" s="12" t="str">
        <f t="shared" si="272"/>
        <v>-</v>
      </c>
      <c r="AG604" s="12"/>
      <c r="AH604" s="17"/>
      <c r="AI604" s="18"/>
      <c r="AJ604" s="2"/>
      <c r="AK604" s="2"/>
      <c r="AL604" s="2"/>
      <c r="AM604" s="2"/>
    </row>
    <row r="605" spans="1:39" outlineLevel="1" x14ac:dyDescent="0.25">
      <c r="B605" t="str">
        <f t="shared" si="286"/>
        <v xml:space="preserve"> (x)</v>
      </c>
      <c r="C605" s="3">
        <v>5514</v>
      </c>
      <c r="I605" s="45" t="str">
        <f t="shared" si="287"/>
        <v/>
      </c>
      <c r="J605" s="46" t="str">
        <f t="shared" si="278"/>
        <v/>
      </c>
      <c r="K605" s="62">
        <f t="shared" si="285"/>
        <v>0</v>
      </c>
      <c r="L605" s="29" t="s">
        <v>63</v>
      </c>
      <c r="M605" s="2" t="str">
        <f t="shared" si="279"/>
        <v>-</v>
      </c>
      <c r="N605" s="12" t="str">
        <f t="shared" si="262"/>
        <v>-</v>
      </c>
      <c r="O605" s="12"/>
      <c r="Q605" s="62">
        <f t="shared" si="274"/>
        <v>0</v>
      </c>
      <c r="R605" s="29" t="s">
        <v>63</v>
      </c>
      <c r="S605" s="2" t="str">
        <f t="shared" si="280"/>
        <v>-</v>
      </c>
      <c r="T605" s="12" t="str">
        <f t="shared" si="270"/>
        <v>-</v>
      </c>
      <c r="U605" s="12"/>
      <c r="V605" s="12"/>
      <c r="W605" s="62">
        <f t="shared" si="275"/>
        <v>0</v>
      </c>
      <c r="X605" s="28" t="s">
        <v>63</v>
      </c>
      <c r="Y605" s="2" t="str">
        <f t="shared" si="281"/>
        <v>-</v>
      </c>
      <c r="Z605" s="12" t="str">
        <f t="shared" si="271"/>
        <v>-</v>
      </c>
      <c r="AA605" s="12"/>
      <c r="AB605" s="64"/>
      <c r="AC605" s="62">
        <f t="shared" si="276"/>
        <v>0</v>
      </c>
      <c r="AD605" s="29" t="s">
        <v>63</v>
      </c>
      <c r="AE605" s="2" t="str">
        <f t="shared" si="282"/>
        <v>-</v>
      </c>
      <c r="AF605" s="12" t="str">
        <f t="shared" si="272"/>
        <v>-</v>
      </c>
      <c r="AG605" s="12"/>
      <c r="AH605" s="17"/>
      <c r="AI605" s="18"/>
      <c r="AJ605" s="2"/>
      <c r="AK605" s="2"/>
      <c r="AL605" s="2"/>
      <c r="AM605" s="2"/>
    </row>
    <row r="606" spans="1:39" outlineLevel="1" x14ac:dyDescent="0.25">
      <c r="B606" t="str">
        <f t="shared" si="286"/>
        <v xml:space="preserve"> (x)</v>
      </c>
      <c r="C606" s="3">
        <v>5515</v>
      </c>
      <c r="I606" s="45" t="str">
        <f t="shared" si="287"/>
        <v/>
      </c>
      <c r="J606" s="46" t="str">
        <f t="shared" si="278"/>
        <v/>
      </c>
      <c r="K606" s="62">
        <f t="shared" si="285"/>
        <v>0</v>
      </c>
      <c r="L606" s="29" t="s">
        <v>63</v>
      </c>
      <c r="M606" s="2" t="str">
        <f t="shared" si="279"/>
        <v>-</v>
      </c>
      <c r="N606" s="12" t="str">
        <f t="shared" si="262"/>
        <v>-</v>
      </c>
      <c r="O606" s="12"/>
      <c r="Q606" s="62">
        <f t="shared" si="274"/>
        <v>0</v>
      </c>
      <c r="R606" s="29" t="s">
        <v>63</v>
      </c>
      <c r="S606" s="2" t="str">
        <f t="shared" si="280"/>
        <v>-</v>
      </c>
      <c r="T606" s="12" t="str">
        <f t="shared" si="270"/>
        <v>-</v>
      </c>
      <c r="U606" s="12"/>
      <c r="V606" s="12"/>
      <c r="W606" s="62">
        <f t="shared" si="275"/>
        <v>0</v>
      </c>
      <c r="X606" s="28" t="s">
        <v>63</v>
      </c>
      <c r="Y606" s="2" t="str">
        <f t="shared" si="281"/>
        <v>-</v>
      </c>
      <c r="Z606" s="12" t="str">
        <f t="shared" si="271"/>
        <v>-</v>
      </c>
      <c r="AA606" s="12"/>
      <c r="AB606" s="64"/>
      <c r="AC606" s="62">
        <f t="shared" si="276"/>
        <v>0</v>
      </c>
      <c r="AD606" s="101" t="s">
        <v>63</v>
      </c>
      <c r="AE606" s="2" t="str">
        <f t="shared" si="282"/>
        <v>-</v>
      </c>
      <c r="AF606" s="12" t="str">
        <f t="shared" si="272"/>
        <v>-</v>
      </c>
      <c r="AG606" s="12"/>
      <c r="AH606" s="17"/>
      <c r="AI606" s="18"/>
      <c r="AJ606" s="2"/>
      <c r="AK606" s="2"/>
      <c r="AL606" s="2"/>
      <c r="AM606" s="2"/>
    </row>
    <row r="607" spans="1:39" outlineLevel="1" x14ac:dyDescent="0.25">
      <c r="B607" t="str">
        <f t="shared" si="286"/>
        <v xml:space="preserve"> (x)</v>
      </c>
      <c r="C607" s="3">
        <v>5516</v>
      </c>
      <c r="I607" s="45" t="str">
        <f t="shared" si="287"/>
        <v/>
      </c>
      <c r="J607" s="46" t="str">
        <f t="shared" si="278"/>
        <v/>
      </c>
      <c r="K607" s="62">
        <f t="shared" si="285"/>
        <v>0</v>
      </c>
      <c r="L607" s="29" t="s">
        <v>63</v>
      </c>
      <c r="M607" s="2" t="str">
        <f t="shared" si="279"/>
        <v>-</v>
      </c>
      <c r="N607" s="12" t="str">
        <f t="shared" si="262"/>
        <v>-</v>
      </c>
      <c r="O607" s="12"/>
      <c r="Q607" s="62">
        <f t="shared" si="274"/>
        <v>0</v>
      </c>
      <c r="R607" s="29" t="s">
        <v>63</v>
      </c>
      <c r="S607" s="2" t="str">
        <f t="shared" si="280"/>
        <v>-</v>
      </c>
      <c r="T607" s="12" t="str">
        <f t="shared" si="270"/>
        <v>-</v>
      </c>
      <c r="U607" s="12"/>
      <c r="V607" s="12"/>
      <c r="W607" s="62">
        <f t="shared" si="275"/>
        <v>0</v>
      </c>
      <c r="X607" s="28" t="s">
        <v>63</v>
      </c>
      <c r="Y607" s="2" t="str">
        <f t="shared" si="281"/>
        <v>-</v>
      </c>
      <c r="Z607" s="12" t="str">
        <f t="shared" si="271"/>
        <v>-</v>
      </c>
      <c r="AA607" s="12"/>
      <c r="AB607" s="64"/>
      <c r="AC607" s="62">
        <f t="shared" si="276"/>
        <v>0</v>
      </c>
      <c r="AD607" s="29" t="s">
        <v>63</v>
      </c>
      <c r="AE607" s="2" t="str">
        <f t="shared" si="282"/>
        <v>-</v>
      </c>
      <c r="AF607" s="12" t="str">
        <f t="shared" si="272"/>
        <v>-</v>
      </c>
      <c r="AG607" s="12"/>
      <c r="AH607" s="17"/>
      <c r="AI607" s="18"/>
      <c r="AJ607" s="2"/>
      <c r="AK607" s="2"/>
      <c r="AL607" s="2"/>
      <c r="AM607" s="2"/>
    </row>
    <row r="608" spans="1:39" outlineLevel="1" x14ac:dyDescent="0.25">
      <c r="B608" t="str">
        <f t="shared" si="286"/>
        <v xml:space="preserve"> (x)</v>
      </c>
      <c r="C608" s="3">
        <v>5517</v>
      </c>
      <c r="I608" s="45" t="str">
        <f t="shared" si="287"/>
        <v/>
      </c>
      <c r="J608" s="46" t="str">
        <f t="shared" si="278"/>
        <v/>
      </c>
      <c r="K608" s="62">
        <f t="shared" si="285"/>
        <v>0</v>
      </c>
      <c r="L608" s="29" t="s">
        <v>63</v>
      </c>
      <c r="M608" s="2" t="str">
        <f t="shared" si="279"/>
        <v>-</v>
      </c>
      <c r="N608" s="12" t="str">
        <f t="shared" si="262"/>
        <v>-</v>
      </c>
      <c r="O608" s="12"/>
      <c r="Q608" s="62">
        <f t="shared" si="274"/>
        <v>0</v>
      </c>
      <c r="R608" s="29" t="s">
        <v>63</v>
      </c>
      <c r="S608" s="2" t="str">
        <f t="shared" si="280"/>
        <v>-</v>
      </c>
      <c r="T608" s="12" t="str">
        <f t="shared" si="270"/>
        <v>-</v>
      </c>
      <c r="U608" s="12"/>
      <c r="V608" s="12"/>
      <c r="W608" s="62">
        <f t="shared" si="275"/>
        <v>0</v>
      </c>
      <c r="X608" s="28" t="s">
        <v>63</v>
      </c>
      <c r="Y608" s="2" t="str">
        <f t="shared" si="281"/>
        <v>-</v>
      </c>
      <c r="Z608" s="12" t="str">
        <f t="shared" si="271"/>
        <v>-</v>
      </c>
      <c r="AA608" s="12"/>
      <c r="AB608" s="64"/>
      <c r="AC608" s="62">
        <f t="shared" si="276"/>
        <v>0</v>
      </c>
      <c r="AD608" s="29" t="s">
        <v>63</v>
      </c>
      <c r="AE608" s="2" t="str">
        <f t="shared" si="282"/>
        <v>-</v>
      </c>
      <c r="AF608" s="12" t="str">
        <f t="shared" si="272"/>
        <v>-</v>
      </c>
      <c r="AG608" s="12"/>
      <c r="AH608" s="17"/>
      <c r="AI608" s="18"/>
      <c r="AJ608" s="2"/>
      <c r="AK608" s="2"/>
      <c r="AL608" s="2"/>
      <c r="AM608" s="2"/>
    </row>
    <row r="609" spans="2:39" outlineLevel="1" x14ac:dyDescent="0.25">
      <c r="B609" t="str">
        <f t="shared" si="286"/>
        <v xml:space="preserve"> (x)</v>
      </c>
      <c r="C609" s="3">
        <v>5518</v>
      </c>
      <c r="I609" s="45" t="str">
        <f t="shared" si="287"/>
        <v/>
      </c>
      <c r="J609" s="46" t="str">
        <f t="shared" si="278"/>
        <v/>
      </c>
      <c r="K609" s="62">
        <f t="shared" si="285"/>
        <v>0</v>
      </c>
      <c r="L609" s="29" t="s">
        <v>63</v>
      </c>
      <c r="M609" s="2" t="str">
        <f t="shared" si="279"/>
        <v>-</v>
      </c>
      <c r="N609" s="12" t="str">
        <f t="shared" si="262"/>
        <v>-</v>
      </c>
      <c r="O609" s="12"/>
      <c r="Q609" s="62">
        <f t="shared" si="274"/>
        <v>0</v>
      </c>
      <c r="R609" s="29" t="s">
        <v>63</v>
      </c>
      <c r="S609" s="2" t="str">
        <f t="shared" si="280"/>
        <v>-</v>
      </c>
      <c r="T609" s="12" t="str">
        <f t="shared" si="270"/>
        <v>-</v>
      </c>
      <c r="U609" s="12"/>
      <c r="V609" s="12"/>
      <c r="W609" s="62">
        <f t="shared" si="275"/>
        <v>0</v>
      </c>
      <c r="X609" s="28" t="s">
        <v>63</v>
      </c>
      <c r="Y609" s="2" t="str">
        <f t="shared" si="281"/>
        <v>-</v>
      </c>
      <c r="Z609" s="12" t="str">
        <f t="shared" si="271"/>
        <v>-</v>
      </c>
      <c r="AA609" s="12"/>
      <c r="AB609" s="64"/>
      <c r="AC609" s="62">
        <f t="shared" si="276"/>
        <v>0</v>
      </c>
      <c r="AD609" s="29" t="s">
        <v>63</v>
      </c>
      <c r="AE609" s="2" t="str">
        <f t="shared" si="282"/>
        <v>-</v>
      </c>
      <c r="AF609" s="12" t="str">
        <f t="shared" si="272"/>
        <v>-</v>
      </c>
      <c r="AG609" s="12"/>
      <c r="AH609" s="17"/>
      <c r="AI609" s="18"/>
      <c r="AJ609" s="2"/>
      <c r="AK609" s="2"/>
      <c r="AL609" s="2"/>
      <c r="AM609" s="2"/>
    </row>
    <row r="610" spans="2:39" outlineLevel="1" x14ac:dyDescent="0.25">
      <c r="B610" t="str">
        <f t="shared" si="286"/>
        <v xml:space="preserve"> (x)</v>
      </c>
      <c r="C610" s="3">
        <v>5519</v>
      </c>
      <c r="I610" s="45" t="str">
        <f t="shared" si="287"/>
        <v/>
      </c>
      <c r="J610" s="46" t="str">
        <f t="shared" si="278"/>
        <v/>
      </c>
      <c r="K610" s="62">
        <f t="shared" si="285"/>
        <v>0</v>
      </c>
      <c r="L610" s="29" t="s">
        <v>63</v>
      </c>
      <c r="M610" s="2" t="str">
        <f t="shared" si="279"/>
        <v>-</v>
      </c>
      <c r="N610" s="12" t="str">
        <f t="shared" si="262"/>
        <v>-</v>
      </c>
      <c r="O610" s="12"/>
      <c r="Q610" s="62">
        <f t="shared" si="274"/>
        <v>0</v>
      </c>
      <c r="R610" s="29" t="s">
        <v>63</v>
      </c>
      <c r="S610" s="2" t="str">
        <f t="shared" si="280"/>
        <v>-</v>
      </c>
      <c r="T610" s="12" t="str">
        <f t="shared" si="270"/>
        <v>-</v>
      </c>
      <c r="U610" s="12"/>
      <c r="V610" s="12"/>
      <c r="W610" s="62">
        <f t="shared" si="275"/>
        <v>0</v>
      </c>
      <c r="X610" s="28" t="s">
        <v>63</v>
      </c>
      <c r="Y610" s="2" t="str">
        <f t="shared" si="281"/>
        <v>-</v>
      </c>
      <c r="Z610" s="12" t="str">
        <f t="shared" si="271"/>
        <v>-</v>
      </c>
      <c r="AA610" s="12"/>
      <c r="AB610" s="64"/>
      <c r="AC610" s="62">
        <f t="shared" si="276"/>
        <v>0</v>
      </c>
      <c r="AD610" s="29" t="s">
        <v>63</v>
      </c>
      <c r="AE610" s="2" t="str">
        <f t="shared" si="282"/>
        <v>-</v>
      </c>
      <c r="AF610" s="12" t="str">
        <f t="shared" si="272"/>
        <v>-</v>
      </c>
      <c r="AG610" s="12"/>
      <c r="AH610" s="17"/>
      <c r="AI610" s="18"/>
      <c r="AJ610" s="2"/>
      <c r="AK610" s="2"/>
      <c r="AL610" s="2"/>
      <c r="AM610" s="2"/>
    </row>
    <row r="611" spans="2:39" x14ac:dyDescent="0.25">
      <c r="B611" t="str">
        <f t="shared" si="286"/>
        <v xml:space="preserve"> (x)</v>
      </c>
      <c r="C611" s="3">
        <v>5520</v>
      </c>
      <c r="I611" s="45" t="str">
        <f t="shared" si="287"/>
        <v/>
      </c>
      <c r="J611" s="46" t="str">
        <f t="shared" si="278"/>
        <v/>
      </c>
      <c r="K611" s="62">
        <f t="shared" si="285"/>
        <v>0</v>
      </c>
      <c r="L611" s="29" t="s">
        <v>63</v>
      </c>
      <c r="M611" s="2" t="str">
        <f t="shared" si="279"/>
        <v>-</v>
      </c>
      <c r="N611" s="12" t="str">
        <f t="shared" si="262"/>
        <v>-</v>
      </c>
      <c r="O611" s="12"/>
      <c r="Q611" s="62">
        <f t="shared" si="274"/>
        <v>0</v>
      </c>
      <c r="R611" s="29" t="s">
        <v>63</v>
      </c>
      <c r="S611" s="2" t="str">
        <f t="shared" si="280"/>
        <v>-</v>
      </c>
      <c r="T611" s="12" t="str">
        <f t="shared" si="270"/>
        <v>-</v>
      </c>
      <c r="U611" s="12"/>
      <c r="V611" s="12"/>
      <c r="W611" s="62">
        <f t="shared" si="275"/>
        <v>0</v>
      </c>
      <c r="X611" s="28" t="s">
        <v>63</v>
      </c>
      <c r="Y611" s="2" t="str">
        <f t="shared" si="281"/>
        <v>-</v>
      </c>
      <c r="Z611" s="12" t="str">
        <f t="shared" si="271"/>
        <v>-</v>
      </c>
      <c r="AA611" s="12"/>
      <c r="AB611" s="64"/>
      <c r="AC611" s="62">
        <f t="shared" si="276"/>
        <v>0</v>
      </c>
      <c r="AD611" s="29" t="s">
        <v>63</v>
      </c>
      <c r="AE611" s="2" t="str">
        <f t="shared" si="282"/>
        <v>-</v>
      </c>
      <c r="AF611" s="12" t="str">
        <f t="shared" si="272"/>
        <v>-</v>
      </c>
      <c r="AG611" s="12"/>
      <c r="AH611" s="17"/>
      <c r="AI611" s="18"/>
      <c r="AJ611" s="2"/>
      <c r="AK611" s="2"/>
      <c r="AL611" s="2"/>
      <c r="AM611" s="2"/>
    </row>
  </sheetData>
  <autoFilter ref="A4:AN610" xr:uid="{00000000-0009-0000-0000-000001000000}"/>
  <mergeCells count="4">
    <mergeCell ref="L3:O3"/>
    <mergeCell ref="R3:U3"/>
    <mergeCell ref="X3:AA3"/>
    <mergeCell ref="AD3:AG3"/>
  </mergeCells>
  <conditionalFormatting sqref="I6:I21">
    <cfRule type="dataBar" priority="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{3BFBBF87-3E60-4B0A-9079-13308FB03438}</x14:id>
        </ext>
      </extLst>
    </cfRule>
  </conditionalFormatting>
  <conditionalFormatting sqref="J6:J21">
    <cfRule type="dataBar" priority="1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{C22AB333-9BB1-45E6-920C-7F3190E72ADF}</x14:id>
        </ext>
      </extLst>
    </cfRule>
  </conditionalFormatting>
  <conditionalFormatting sqref="K6:K462">
    <cfRule type="expression" dxfId="29" priority="1">
      <formula>AND($K6&lt;&gt;"",_xlfn.ISFORMULA($K6)=FALSE)</formula>
    </cfRule>
  </conditionalFormatting>
  <conditionalFormatting sqref="K464:K611">
    <cfRule type="expression" dxfId="28" priority="6">
      <formula>AND($K464&lt;&gt;"",_xlfn.ISFORMULA($K464)=FALSE)</formula>
    </cfRule>
  </conditionalFormatting>
  <conditionalFormatting sqref="M6:M20">
    <cfRule type="dataBar" priority="95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{512F9AC2-7335-4FDF-B896-8BEEF42F4D1F}</x14:id>
        </ext>
      </extLst>
    </cfRule>
  </conditionalFormatting>
  <conditionalFormatting sqref="M21">
    <cfRule type="dataBar" priority="6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{0CF474D3-294F-42B6-8D87-D9F9387C90AC}</x14:id>
        </ext>
      </extLst>
    </cfRule>
  </conditionalFormatting>
  <conditionalFormatting sqref="M58:M81">
    <cfRule type="dataBar" priority="95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{90F1E687-DFC9-4AD3-8A44-737F54F3977A}</x14:id>
        </ext>
      </extLst>
    </cfRule>
  </conditionalFormatting>
  <conditionalFormatting sqref="M82">
    <cfRule type="dataBar" priority="38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{8063C85C-6A5D-4322-A306-AC184A2269EB}</x14:id>
        </ext>
      </extLst>
    </cfRule>
  </conditionalFormatting>
  <conditionalFormatting sqref="M83:M84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{CD1CA1D8-5B54-4209-A8F2-23CCE33D8417}</x14:id>
        </ext>
      </extLst>
    </cfRule>
  </conditionalFormatting>
  <conditionalFormatting sqref="M85:M87">
    <cfRule type="dataBar" priority="9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{A892D560-7E4A-4AB8-A187-1E5876CE9F23}</x14:id>
        </ext>
      </extLst>
    </cfRule>
  </conditionalFormatting>
  <conditionalFormatting sqref="M115:M136">
    <cfRule type="dataBar" priority="95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{300E9CC1-8EAB-4FDD-BD81-CFEE561A15A8}</x14:id>
        </ext>
      </extLst>
    </cfRule>
  </conditionalFormatting>
  <conditionalFormatting sqref="M168:M197">
    <cfRule type="dataBar" priority="95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{BAB5B1AD-C95F-4856-B25D-A36AEF080B46}</x14:id>
        </ext>
      </extLst>
    </cfRule>
  </conditionalFormatting>
  <conditionalFormatting sqref="M199">
    <cfRule type="dataBar" priority="2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{177674DE-1967-40DF-905E-DBF6F52F66E4}</x14:id>
        </ext>
      </extLst>
    </cfRule>
  </conditionalFormatting>
  <conditionalFormatting sqref="M223:M246">
    <cfRule type="dataBar" priority="95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{DA29D50B-4922-4665-A36E-E6F4112F9C03}</x14:id>
        </ext>
      </extLst>
    </cfRule>
  </conditionalFormatting>
  <conditionalFormatting sqref="M247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{6EE5EC75-9B21-4E47-BD99-153CAEA38EFC}</x14:id>
        </ext>
      </extLst>
    </cfRule>
  </conditionalFormatting>
  <conditionalFormatting sqref="M248:M273">
    <cfRule type="dataBar" priority="9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{6E33193E-04B3-4372-BB8F-1CFEC6617C32}</x14:id>
        </ext>
      </extLst>
    </cfRule>
  </conditionalFormatting>
  <conditionalFormatting sqref="M274:M275 M443:M450 M535 M166 M219:M220 M109:M112 M414">
    <cfRule type="dataBar" priority="16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{A10CBB1D-3167-4C3A-BD56-9B08F95667B4}</x14:id>
        </ext>
      </extLst>
    </cfRule>
  </conditionalFormatting>
  <conditionalFormatting sqref="M277:M294">
    <cfRule type="dataBar" priority="96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{64EDD767-1D6C-4E5E-9305-9ECF142371F1}</x14:id>
        </ext>
      </extLst>
    </cfRule>
  </conditionalFormatting>
  <conditionalFormatting sqref="M329:M338">
    <cfRule type="dataBar" priority="96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{445F3249-D57D-413E-8D66-5CB2E7B32CC6}</x14:id>
        </ext>
      </extLst>
    </cfRule>
  </conditionalFormatting>
  <conditionalFormatting sqref="M361:M373">
    <cfRule type="dataBar" priority="96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{EBCBA817-1EA1-425C-B752-C143DF6CE270}</x14:id>
        </ext>
      </extLst>
    </cfRule>
  </conditionalFormatting>
  <conditionalFormatting sqref="M388:M400">
    <cfRule type="dataBar" priority="96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{98947A4F-4D61-4562-A596-1B48FE851367}</x14:id>
        </ext>
      </extLst>
    </cfRule>
  </conditionalFormatting>
  <conditionalFormatting sqref="M416:M431">
    <cfRule type="dataBar" priority="96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{227CBC59-4163-41BE-BC3B-BC79578F8F1A}</x14:id>
        </ext>
      </extLst>
    </cfRule>
  </conditionalFormatting>
  <conditionalFormatting sqref="M432:M441">
    <cfRule type="dataBar" priority="9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{8413E464-C51A-490C-9B25-8FC1B435D99D}</x14:id>
        </ext>
      </extLst>
    </cfRule>
  </conditionalFormatting>
  <conditionalFormatting sqref="M464:M473">
    <cfRule type="dataBar" priority="96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{E481A88F-453D-423E-BDD8-BCB7A2E8ED75}</x14:id>
        </ext>
      </extLst>
    </cfRule>
  </conditionalFormatting>
  <conditionalFormatting sqref="M474:M484">
    <cfRule type="dataBar" priority="9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{1B99CB07-C144-4EBD-80A3-75A8CD244F27}</x14:id>
        </ext>
      </extLst>
    </cfRule>
  </conditionalFormatting>
  <conditionalFormatting sqref="M486:M501">
    <cfRule type="dataBar" priority="96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{6D648200-E0DC-4BD1-BCF6-A83187F9D928}</x14:id>
        </ext>
      </extLst>
    </cfRule>
  </conditionalFormatting>
  <conditionalFormatting sqref="M513:M523">
    <cfRule type="dataBar" priority="96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{8043BCB2-6288-495D-AC61-ED268B321FE5}</x14:id>
        </ext>
      </extLst>
    </cfRule>
  </conditionalFormatting>
  <conditionalFormatting sqref="M537:M544">
    <cfRule type="dataBar" priority="96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{422AEE10-971E-4FBF-A363-A3E77D5475DA}</x14:id>
        </ext>
      </extLst>
    </cfRule>
  </conditionalFormatting>
  <conditionalFormatting sqref="M551:M566">
    <cfRule type="dataBar" priority="5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{ECBE506A-1A7C-415B-ABDB-53D29C0746BD}</x14:id>
        </ext>
      </extLst>
    </cfRule>
  </conditionalFormatting>
  <conditionalFormatting sqref="M567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{E5FC8D10-25AF-4450-AC3B-BCB266E8F9BE}</x14:id>
        </ext>
      </extLst>
    </cfRule>
  </conditionalFormatting>
  <conditionalFormatting sqref="M569:M576">
    <cfRule type="dataBar" priority="96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{9651309E-D1B5-4681-9767-57BAC0F08C19}</x14:id>
        </ext>
      </extLst>
    </cfRule>
  </conditionalFormatting>
  <conditionalFormatting sqref="M591:M598">
    <cfRule type="dataBar" priority="97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{D8D205D4-0920-4556-B8AE-C1151F38146C}</x14:id>
        </ext>
      </extLst>
    </cfRule>
  </conditionalFormatting>
  <conditionalFormatting sqref="N82">
    <cfRule type="dataBar" priority="3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{83EA3C92-9014-4FBA-9F11-F723DA96426F}</x14:id>
        </ext>
      </extLst>
    </cfRule>
  </conditionalFormatting>
  <conditionalFormatting sqref="N274:N275 N443:N462 N535 N166 N219:N221 N109:N113 N414 N21 N558:N566">
    <cfRule type="dataBar" priority="15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{3B1346AF-7B6A-451A-9344-CF113A899C03}</x14:id>
        </ext>
      </extLst>
    </cfRule>
  </conditionalFormatting>
  <conditionalFormatting sqref="N567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{FD7FA144-AAC2-4B93-BCF6-EE7314A5E91E}</x14:id>
        </ext>
      </extLst>
    </cfRule>
  </conditionalFormatting>
  <conditionalFormatting sqref="N6:O20">
    <cfRule type="dataBar" priority="6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{1FA96249-D6BE-4445-A67D-A9356709384F}</x14:id>
        </ext>
      </extLst>
    </cfRule>
  </conditionalFormatting>
  <conditionalFormatting sqref="N22:O56 N6:O20">
    <cfRule type="dataBar" priority="6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{F0D5F612-C3D0-4B20-9212-B91B5EFE0DA1}</x14:id>
        </ext>
      </extLst>
    </cfRule>
  </conditionalFormatting>
  <conditionalFormatting sqref="N83:O108 N58:N81">
    <cfRule type="dataBar" priority="6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{1554E3D4-F474-445D-937D-2A4311E85376}</x14:id>
        </ext>
      </extLst>
    </cfRule>
  </conditionalFormatting>
  <conditionalFormatting sqref="N137:O165 N115:N136">
    <cfRule type="dataBar" priority="6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{92AA8D22-D575-4CE6-A4FF-39763463DC9C}</x14:id>
        </ext>
      </extLst>
    </cfRule>
  </conditionalFormatting>
  <conditionalFormatting sqref="N168:O169 N198:O218 N170:N197">
    <cfRule type="dataBar" priority="6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{6EFE35CA-CF72-439D-A94D-6350A32C8ED2}</x14:id>
        </ext>
      </extLst>
    </cfRule>
  </conditionalFormatting>
  <conditionalFormatting sqref="N247:O273 N223:N246">
    <cfRule type="dataBar" priority="6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{0538A825-3D8A-4534-A174-771AFADA69CE}</x14:id>
        </ext>
      </extLst>
    </cfRule>
  </conditionalFormatting>
  <conditionalFormatting sqref="N295:O327 N277:N294">
    <cfRule type="dataBar" priority="6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{F8CAB0B8-9E90-4F5B-993E-D2AB315F632F}</x14:id>
        </ext>
      </extLst>
    </cfRule>
  </conditionalFormatting>
  <conditionalFormatting sqref="N339:O359 N329:N338">
    <cfRule type="dataBar" priority="6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{B3507F84-4733-4A7C-89B9-4658886E54A8}</x14:id>
        </ext>
      </extLst>
    </cfRule>
  </conditionalFormatting>
  <conditionalFormatting sqref="N374:O386 N361:N373">
    <cfRule type="dataBar" priority="6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{C3640F49-10D8-49EA-BFE3-26ADEB3498EA}</x14:id>
        </ext>
      </extLst>
    </cfRule>
  </conditionalFormatting>
  <conditionalFormatting sqref="N401:O413 N388:N400">
    <cfRule type="dataBar" priority="6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{A449A31A-B81E-45FD-9B97-9747CC410C2A}</x14:id>
        </ext>
      </extLst>
    </cfRule>
  </conditionalFormatting>
  <conditionalFormatting sqref="N432:O441 N416:N431">
    <cfRule type="dataBar" priority="6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{692E5D4B-CEF8-4419-99A6-B52873CCCD5D}</x14:id>
        </ext>
      </extLst>
    </cfRule>
  </conditionalFormatting>
  <conditionalFormatting sqref="N474:O484 N464:N473">
    <cfRule type="dataBar" priority="6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{B5305B79-4E76-40D9-85DB-85C12B284ED5}</x14:id>
        </ext>
      </extLst>
    </cfRule>
  </conditionalFormatting>
  <conditionalFormatting sqref="N502:O511 N486:N501">
    <cfRule type="dataBar" priority="6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{811D50EA-9507-402D-B404-A9AFCDF0BFF5}</x14:id>
        </ext>
      </extLst>
    </cfRule>
  </conditionalFormatting>
  <conditionalFormatting sqref="N524:O534 N513:N523">
    <cfRule type="dataBar" priority="6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{5746340E-1682-4125-A8EE-AE81BC57224E}</x14:id>
        </ext>
      </extLst>
    </cfRule>
  </conditionalFormatting>
  <conditionalFormatting sqref="N545:O557 N537:N544">
    <cfRule type="dataBar" priority="6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{56AEB991-A412-4D87-8F40-7422D680B3E5}</x14:id>
        </ext>
      </extLst>
    </cfRule>
  </conditionalFormatting>
  <conditionalFormatting sqref="N577:O589 N569:N576">
    <cfRule type="dataBar" priority="6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{0C302F96-8202-4739-9622-D264FA12D8D5}</x14:id>
        </ext>
      </extLst>
    </cfRule>
  </conditionalFormatting>
  <conditionalFormatting sqref="N599:O611 N591:N598">
    <cfRule type="dataBar" priority="9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{682B6FEB-9608-49AE-BD90-57618F7AEB67}</x14:id>
        </ext>
      </extLst>
    </cfRule>
  </conditionalFormatting>
  <conditionalFormatting sqref="O21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{EC60856C-1D2E-4F90-BF30-39D80D7F2EC7}</x14:id>
        </ext>
      </extLst>
    </cfRule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{77A0A4BD-2298-49F5-8A7A-E7FD955EE30A}</x14:id>
        </ext>
      </extLst>
    </cfRule>
  </conditionalFormatting>
  <conditionalFormatting sqref="O58:O81">
    <cfRule type="dataBar" priority="5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{91F77DEF-A7E6-4646-B79F-1213C3A1C52F}</x14:id>
        </ext>
      </extLst>
    </cfRule>
    <cfRule type="dataBar" priority="5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{43C8412D-D741-4088-9D7E-99824137117A}</x14:id>
        </ext>
      </extLst>
    </cfRule>
  </conditionalFormatting>
  <conditionalFormatting sqref="O82">
    <cfRule type="dataBar" priority="3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{859B7DA4-A595-4442-B256-49F5E0B08178}</x14:id>
        </ext>
      </extLst>
    </cfRule>
    <cfRule type="dataBar" priority="3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{7D7BB6BF-7B21-4206-9A53-8A32A373EBE5}</x14:id>
        </ext>
      </extLst>
    </cfRule>
  </conditionalFormatting>
  <conditionalFormatting sqref="O115:O136">
    <cfRule type="dataBar" priority="5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{C74DC625-44B7-406A-90DF-40309684081B}</x14:id>
        </ext>
      </extLst>
    </cfRule>
    <cfRule type="dataBar" priority="5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{EB1E3909-39EC-4344-918D-6824984A4513}</x14:id>
        </ext>
      </extLst>
    </cfRule>
  </conditionalFormatting>
  <conditionalFormatting sqref="O170:O197">
    <cfRule type="dataBar" priority="5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{4C8F22CE-BA53-4DAB-8B55-C89A9DBDEE48}</x14:id>
        </ext>
      </extLst>
    </cfRule>
    <cfRule type="dataBar" priority="5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{3526D58E-0AC9-40CA-A672-09072B2EFC7A}</x14:id>
        </ext>
      </extLst>
    </cfRule>
  </conditionalFormatting>
  <conditionalFormatting sqref="O223:O246">
    <cfRule type="dataBar" priority="5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{2FEBDE2B-6280-43BD-ACCD-D4F8E7A7DFAB}</x14:id>
        </ext>
      </extLst>
    </cfRule>
    <cfRule type="dataBar" priority="5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{40DE1EC6-3D33-46C7-9FD4-7E21AE0C3F8E}</x14:id>
        </ext>
      </extLst>
    </cfRule>
  </conditionalFormatting>
  <conditionalFormatting sqref="O274:O275 O443:O462 O535 O166 O219:O221 O109:O113 O414 O558:O566">
    <cfRule type="dataBar" priority="15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{E865A287-0173-4C03-897D-C09C50540BFF}</x14:id>
        </ext>
      </extLst>
    </cfRule>
  </conditionalFormatting>
  <conditionalFormatting sqref="O277:O294">
    <cfRule type="dataBar" priority="5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{B5E6296E-2AFE-436B-B8BB-D74C2B8BB3F5}</x14:id>
        </ext>
      </extLst>
    </cfRule>
    <cfRule type="dataBar" priority="5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{876332A8-CE84-4333-803A-DED1B3E2ECF6}</x14:id>
        </ext>
      </extLst>
    </cfRule>
  </conditionalFormatting>
  <conditionalFormatting sqref="O329:O338">
    <cfRule type="dataBar" priority="5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{42C91B00-D335-4D61-803D-62EA70373E24}</x14:id>
        </ext>
      </extLst>
    </cfRule>
    <cfRule type="dataBar" priority="5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{AAF012C0-415F-4FAF-8CE3-DE93F0FD5CC9}</x14:id>
        </ext>
      </extLst>
    </cfRule>
  </conditionalFormatting>
  <conditionalFormatting sqref="O361:O373">
    <cfRule type="dataBar" priority="5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{EBBD951A-151E-430F-ABE7-5FC1DFB8B6F0}</x14:id>
        </ext>
      </extLst>
    </cfRule>
    <cfRule type="dataBar" priority="5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{0AC658A1-72A2-49B4-A81C-B5878C8CC61B}</x14:id>
        </ext>
      </extLst>
    </cfRule>
  </conditionalFormatting>
  <conditionalFormatting sqref="O388:O400">
    <cfRule type="dataBar" priority="5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{57C9A927-FE73-441E-A738-33B55CA01204}</x14:id>
        </ext>
      </extLst>
    </cfRule>
    <cfRule type="dataBar" priority="5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{750ED00F-AE4C-4CB5-861D-FA357F3D22A6}</x14:id>
        </ext>
      </extLst>
    </cfRule>
  </conditionalFormatting>
  <conditionalFormatting sqref="O416:O431">
    <cfRule type="dataBar" priority="5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{018598CC-9AB6-498B-BAB4-78822C7FB22F}</x14:id>
        </ext>
      </extLst>
    </cfRule>
    <cfRule type="dataBar" priority="5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{3EA99A95-33F2-4DAF-B78A-263AAA82DA52}</x14:id>
        </ext>
      </extLst>
    </cfRule>
  </conditionalFormatting>
  <conditionalFormatting sqref="O464:O473">
    <cfRule type="dataBar" priority="5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{86AFD498-BB5D-44BC-9E7E-F0D8F765253B}</x14:id>
        </ext>
      </extLst>
    </cfRule>
    <cfRule type="dataBar" priority="5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{00F458DA-0B66-4546-9C31-CBA803BBAA52}</x14:id>
        </ext>
      </extLst>
    </cfRule>
  </conditionalFormatting>
  <conditionalFormatting sqref="O486:O501">
    <cfRule type="dataBar" priority="5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{46A4FC7E-F7A8-472D-B0DE-8A443022BFF8}</x14:id>
        </ext>
      </extLst>
    </cfRule>
    <cfRule type="dataBar" priority="5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{B4474866-F163-40BE-BE15-9A9934233AFE}</x14:id>
        </ext>
      </extLst>
    </cfRule>
  </conditionalFormatting>
  <conditionalFormatting sqref="O513:O523">
    <cfRule type="dataBar" priority="5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{8D283A06-CFCB-49DA-8CC5-21A9C1000F7E}</x14:id>
        </ext>
      </extLst>
    </cfRule>
    <cfRule type="dataBar" priority="5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{8EC9C255-7365-4B90-A6CE-E0D02F987FC7}</x14:id>
        </ext>
      </extLst>
    </cfRule>
  </conditionalFormatting>
  <conditionalFormatting sqref="O537:O544">
    <cfRule type="dataBar" priority="3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{F91C3A0C-23D7-4E2E-B603-74F484EBB7FC}</x14:id>
        </ext>
      </extLst>
    </cfRule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{3D995635-BC03-4716-A2A0-804D1FCA35DA}</x14:id>
        </ext>
      </extLst>
    </cfRule>
  </conditionalFormatting>
  <conditionalFormatting sqref="O567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{96B209E7-450B-4154-B175-D02F3E12D0F8}</x14:id>
        </ext>
      </extLst>
    </cfRule>
  </conditionalFormatting>
  <conditionalFormatting sqref="O569:O576">
    <cfRule type="dataBar" priority="3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{6657E5B9-A57E-4BC1-8A2F-4F911648AA9E}</x14:id>
        </ext>
      </extLst>
    </cfRule>
    <cfRule type="dataBar" priority="3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{286865EE-FFDA-420D-AB8D-3A5F5DB99BD3}</x14:id>
        </ext>
      </extLst>
    </cfRule>
  </conditionalFormatting>
  <conditionalFormatting sqref="O591:O598">
    <cfRule type="dataBar" priority="3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{0C88B3B3-E3C0-4DC9-8C7A-7556AFAC0265}</x14:id>
        </ext>
      </extLst>
    </cfRule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{7664C589-95F5-4896-9E7D-F4609FFF9A7A}</x14:id>
        </ext>
      </extLst>
    </cfRule>
  </conditionalFormatting>
  <conditionalFormatting sqref="P6:P56">
    <cfRule type="dataBar" priority="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{243BE232-AA09-4EE6-B2D8-EFA14334999A}</x14:id>
        </ext>
      </extLst>
    </cfRule>
  </conditionalFormatting>
  <conditionalFormatting sqref="P58:P81">
    <cfRule type="dataBar" priority="1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{E3243E15-58F9-46C1-ACAF-285E80E619DF}</x14:id>
        </ext>
      </extLst>
    </cfRule>
  </conditionalFormatting>
  <conditionalFormatting sqref="P58:P83">
    <cfRule type="dataBar" priority="1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{665DC233-E28A-40A0-A6FD-0EDB60FE38A2}</x14:id>
        </ext>
      </extLst>
    </cfRule>
    <cfRule type="dataBar" priority="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{2E2AF2DE-CEC8-49F1-9244-BBF22796F592}</x14:id>
        </ext>
      </extLst>
    </cfRule>
  </conditionalFormatting>
  <conditionalFormatting sqref="P58:P113">
    <cfRule type="dataBar" priority="1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{224CC227-BDCF-4B9C-892B-D527DDB13D60}</x14:id>
        </ext>
      </extLst>
    </cfRule>
  </conditionalFormatting>
  <conditionalFormatting sqref="P109:P113">
    <cfRule type="dataBar" priority="1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{123B74B2-D57C-415E-863F-0EA1EEAD2EAF}</x14:id>
        </ext>
      </extLst>
    </cfRule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{8BC99D1F-36FE-4B11-A072-7DEF5980A0CF}</x14:id>
        </ext>
      </extLst>
    </cfRule>
  </conditionalFormatting>
  <conditionalFormatting sqref="P115:P136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{1A81DBF9-9B65-48A3-B4D3-A55CC6299B1D}</x14:id>
        </ext>
      </extLst>
    </cfRule>
    <cfRule type="dataBar" priority="1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{E575AF1A-F65E-42D0-AC7E-4A42C7B16E0D}</x14:id>
        </ext>
      </extLst>
    </cfRule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{95FF0FC6-ABEF-4766-8F7D-A8F067C1209A}</x14:id>
        </ext>
      </extLst>
    </cfRule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{AB519A97-2C25-4615-8D13-0113F2B6594D}</x14:id>
        </ext>
      </extLst>
    </cfRule>
    <cfRule type="dataBar" priority="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{7D071324-8064-47AB-893C-A06CF59F2CAE}</x14:id>
        </ext>
      </extLst>
    </cfRule>
  </conditionalFormatting>
  <conditionalFormatting sqref="P168:P197"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{58FEDAF4-45D1-4783-8CE2-B93ADA3FB411}</x14:id>
        </ext>
      </extLst>
    </cfRule>
  </conditionalFormatting>
  <conditionalFormatting sqref="P223:P246">
    <cfRule type="dataBar" priority="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{DA9B0D87-0C90-4E8E-9448-B67D11E062EB}</x14:id>
        </ext>
      </extLst>
    </cfRule>
  </conditionalFormatting>
  <conditionalFormatting sqref="P277:P294">
    <cfRule type="dataBar" priority="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{DD45156C-6B15-47EC-91E9-590D0393DA1B}</x14:id>
        </ext>
      </extLst>
    </cfRule>
  </conditionalFormatting>
  <conditionalFormatting sqref="P329:P338">
    <cfRule type="dataBar" priority="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{248FD832-5A19-4889-B9BA-880F29C33241}</x14:id>
        </ext>
      </extLst>
    </cfRule>
  </conditionalFormatting>
  <conditionalFormatting sqref="P361:P373">
    <cfRule type="dataBar" priority="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{53C24F66-39FF-4F78-8E19-AC76EEEF7D44}</x14:id>
        </ext>
      </extLst>
    </cfRule>
  </conditionalFormatting>
  <conditionalFormatting sqref="P388:P400"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{F4D01540-3F0F-4FF6-BF8E-16FD51C2747F}</x14:id>
        </ext>
      </extLst>
    </cfRule>
  </conditionalFormatting>
  <conditionalFormatting sqref="P416:P432"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{60FB3B50-2332-4562-81E5-27794B90CFB3}</x14:id>
        </ext>
      </extLst>
    </cfRule>
  </conditionalFormatting>
  <conditionalFormatting sqref="P464:P479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{44A98820-F395-42D1-9C2F-E980503F24F7}</x14:id>
        </ext>
      </extLst>
    </cfRule>
  </conditionalFormatting>
  <conditionalFormatting sqref="P486:P495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{A85CF302-4A74-47CC-A902-0F5CBB44E73F}</x14:id>
        </ext>
      </extLst>
    </cfRule>
  </conditionalFormatting>
  <conditionalFormatting sqref="P513:P523"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{CCA64B2F-9302-4121-B6EE-3D6E26F5AB6D}</x14:id>
        </ext>
      </extLst>
    </cfRule>
  </conditionalFormatting>
  <conditionalFormatting sqref="P537:P544">
    <cfRule type="dataBar" priority="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{B48F3A5D-AF2A-48F0-A3A2-042AD56A187C}</x14:id>
        </ext>
      </extLst>
    </cfRule>
  </conditionalFormatting>
  <conditionalFormatting sqref="P5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{69DEE5CA-772B-4DB8-A8DC-753574C7934A}</x14:id>
        </ext>
      </extLst>
    </cfRule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{BA964C1B-784A-494B-949A-8D62D25AE482}</x14:id>
        </ext>
      </extLst>
    </cfRule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{1579E0DC-7501-4B0F-AA4D-52D116F5FB3F}</x14:id>
        </ext>
      </extLst>
    </cfRule>
  </conditionalFormatting>
  <conditionalFormatting sqref="P569:P589 P6:P484 P486:P511 P513:P535 P537:P566 P591:P611">
    <cfRule type="dataBar" priority="16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{4D799456-3F99-4819-8413-97D8CBA1821E}</x14:id>
        </ext>
      </extLst>
    </cfRule>
  </conditionalFormatting>
  <conditionalFormatting sqref="P569:P589 P6:P484 P486:P511 P513:P535 P537:P566 P591:P1048576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{8887BD6D-F767-4EF6-ADAD-40D8AD085516}</x14:id>
        </ext>
      </extLst>
    </cfRule>
  </conditionalFormatting>
  <conditionalFormatting sqref="P569:P589 P168:P484 P486:P511 P513:P535 P537:P566 P591:P611">
    <cfRule type="dataBar" priority="16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{B6D1CEA1-BA67-49D0-B3E0-332B118916A6}</x14:id>
        </ext>
      </extLst>
    </cfRule>
  </conditionalFormatting>
  <conditionalFormatting sqref="Q6:Q462 Q464:Q484">
    <cfRule type="expression" dxfId="27" priority="37">
      <formula>AND($K6&lt;&gt;"",_xlfn.ISFORMULA($K6)=FALSE)</formula>
    </cfRule>
  </conditionalFormatting>
  <conditionalFormatting sqref="Q486:Q511">
    <cfRule type="expression" dxfId="26" priority="36">
      <formula>AND($K486&lt;&gt;"",_xlfn.ISFORMULA($K486)=FALSE)</formula>
    </cfRule>
  </conditionalFormatting>
  <conditionalFormatting sqref="Q513:Q535">
    <cfRule type="expression" dxfId="25" priority="35">
      <formula>AND($K513&lt;&gt;"",_xlfn.ISFORMULA($K513)=FALSE)</formula>
    </cfRule>
  </conditionalFormatting>
  <conditionalFormatting sqref="Q537:Q567">
    <cfRule type="expression" dxfId="24" priority="3">
      <formula>AND($K537&lt;&gt;"",_xlfn.ISFORMULA($K537)=FALSE)</formula>
    </cfRule>
  </conditionalFormatting>
  <conditionalFormatting sqref="Q569:Q589">
    <cfRule type="expression" dxfId="23" priority="33">
      <formula>AND($K569&lt;&gt;"",_xlfn.ISFORMULA($K569)=FALSE)</formula>
    </cfRule>
  </conditionalFormatting>
  <conditionalFormatting sqref="Q591:Q611">
    <cfRule type="expression" dxfId="22" priority="32">
      <formula>AND($K591&lt;&gt;"",_xlfn.ISFORMULA($K591)=FALSE)</formula>
    </cfRule>
  </conditionalFormatting>
  <conditionalFormatting sqref="S6:S20">
    <cfRule type="dataBar" priority="64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{EAEAC95A-888D-49AA-B8A4-0BD917C60D73}</x14:id>
        </ext>
      </extLst>
    </cfRule>
  </conditionalFormatting>
  <conditionalFormatting sqref="S58:S81">
    <cfRule type="dataBar" priority="64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{468A8E16-C513-4B20-98F7-50D0FEA1BCD9}</x14:id>
        </ext>
      </extLst>
    </cfRule>
  </conditionalFormatting>
  <conditionalFormatting sqref="S58:S108">
    <cfRule type="dataBar" priority="33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{9670DBA3-5F65-42BF-924E-BE2459412A72}</x14:id>
        </ext>
      </extLst>
    </cfRule>
  </conditionalFormatting>
  <conditionalFormatting sqref="S82">
    <cfRule type="dataBar" priority="37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{28164545-B1ED-4F50-AC52-EC759D12ECAD}</x14:id>
        </ext>
      </extLst>
    </cfRule>
  </conditionalFormatting>
  <conditionalFormatting sqref="S83:S87">
    <cfRule type="dataBar" priority="6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{34341D7C-C25B-4CEE-B3C5-EB6C5DD2CBBF}</x14:id>
        </ext>
      </extLst>
    </cfRule>
  </conditionalFormatting>
  <conditionalFormatting sqref="S115:S136">
    <cfRule type="dataBar" priority="64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{F17BD5C4-225F-49CE-BBDD-04BEB9A49539}</x14:id>
        </ext>
      </extLst>
    </cfRule>
  </conditionalFormatting>
  <conditionalFormatting sqref="S168:S197">
    <cfRule type="dataBar" priority="65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{475F78E6-3A38-4664-981C-61C4C5D88319}</x14:id>
        </ext>
      </extLst>
    </cfRule>
  </conditionalFormatting>
  <conditionalFormatting sqref="S223:S246">
    <cfRule type="dataBar" priority="65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{9B76B437-5410-43C7-B45D-16E36DDA502A}</x14:id>
        </ext>
      </extLst>
    </cfRule>
  </conditionalFormatting>
  <conditionalFormatting sqref="S247:S273">
    <cfRule type="dataBar" priority="6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{BB124114-537E-4D76-955A-26F5645DB13B}</x14:id>
        </ext>
      </extLst>
    </cfRule>
  </conditionalFormatting>
  <conditionalFormatting sqref="S277:S294">
    <cfRule type="dataBar" priority="65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{C27D3CDE-E4EB-4B3C-8F8F-22AD9ECB32F6}</x14:id>
        </ext>
      </extLst>
    </cfRule>
  </conditionalFormatting>
  <conditionalFormatting sqref="S329:S338">
    <cfRule type="dataBar" priority="65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{3ACF98B9-51B1-47CD-9F4E-6CE48384D0B3}</x14:id>
        </ext>
      </extLst>
    </cfRule>
  </conditionalFormatting>
  <conditionalFormatting sqref="S361:S373">
    <cfRule type="dataBar" priority="65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{16A2C435-F068-4456-A51D-0659398FA3F6}</x14:id>
        </ext>
      </extLst>
    </cfRule>
  </conditionalFormatting>
  <conditionalFormatting sqref="S388:S400">
    <cfRule type="dataBar" priority="65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{04664EDA-D6A3-4429-A3E3-3D379E3EB3C4}</x14:id>
        </ext>
      </extLst>
    </cfRule>
  </conditionalFormatting>
  <conditionalFormatting sqref="S416:S431">
    <cfRule type="dataBar" priority="65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{27E3B391-1791-4C50-847A-E40146D97F80}</x14:id>
        </ext>
      </extLst>
    </cfRule>
  </conditionalFormatting>
  <conditionalFormatting sqref="S432:S441">
    <cfRule type="dataBar" priority="6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{AE96BEF5-AABA-4C26-A1DE-D557871D2469}</x14:id>
        </ext>
      </extLst>
    </cfRule>
  </conditionalFormatting>
  <conditionalFormatting sqref="S464:S473">
    <cfRule type="dataBar" priority="65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{75F3B8C2-CBA3-454A-9D8E-EADA5CD21208}</x14:id>
        </ext>
      </extLst>
    </cfRule>
  </conditionalFormatting>
  <conditionalFormatting sqref="S474:S484">
    <cfRule type="dataBar" priority="6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{D87EA9DE-23DB-4ADA-8075-4315D8016C69}</x14:id>
        </ext>
      </extLst>
    </cfRule>
  </conditionalFormatting>
  <conditionalFormatting sqref="S486:S501">
    <cfRule type="dataBar" priority="65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{C65C75AC-A0D0-4DA3-94DE-5D8513256DCF}</x14:id>
        </ext>
      </extLst>
    </cfRule>
  </conditionalFormatting>
  <conditionalFormatting sqref="S513:S523">
    <cfRule type="dataBar" priority="65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{9C97D5DD-B4AC-49E3-A11F-EF981D93960D}</x14:id>
        </ext>
      </extLst>
    </cfRule>
  </conditionalFormatting>
  <conditionalFormatting sqref="S537:S544">
    <cfRule type="dataBar" priority="66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{AA70DC04-0CF4-4286-B66E-0F1C52301EC7}</x14:id>
        </ext>
      </extLst>
    </cfRule>
  </conditionalFormatting>
  <conditionalFormatting sqref="S558:S563 S274:S275 S443:S450 S535 S166 S219:S220 S109:S112 S414 S21">
    <cfRule type="dataBar" priority="16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{AEAE3201-5E76-4930-895B-BD73330F5B41}</x14:id>
        </ext>
      </extLst>
    </cfRule>
  </conditionalFormatting>
  <conditionalFormatting sqref="S569:S576">
    <cfRule type="dataBar" priority="66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{539644B5-60BF-4A0E-AD46-8293A6AF647A}</x14:id>
        </ext>
      </extLst>
    </cfRule>
  </conditionalFormatting>
  <conditionalFormatting sqref="S591:S598">
    <cfRule type="dataBar" priority="66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{8680702B-14A3-42FB-8220-C901DFBC64E2}</x14:id>
        </ext>
      </extLst>
    </cfRule>
  </conditionalFormatting>
  <conditionalFormatting sqref="T6:T20">
    <cfRule type="dataBar" priority="6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{A9E6D088-44AB-4B5F-8036-D4C2870069FF}</x14:id>
        </ext>
      </extLst>
    </cfRule>
  </conditionalFormatting>
  <conditionalFormatting sqref="T58:T81 T83:V108">
    <cfRule type="dataBar" priority="6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{9152F6A8-F71F-448D-A7AA-2915287B4EC2}</x14:id>
        </ext>
      </extLst>
    </cfRule>
  </conditionalFormatting>
  <conditionalFormatting sqref="T82"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{0334C735-232E-4CEA-BB12-6DD0C6E227A2}</x14:id>
        </ext>
      </extLst>
    </cfRule>
  </conditionalFormatting>
  <conditionalFormatting sqref="T274:T275 T443:T462 T535 T166 T219:T221 T109:T113 T414 T21 T558:T566">
    <cfRule type="dataBar" priority="15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{89272766-B018-4EE8-88DF-784A267CBAE8}</x14:id>
        </ext>
      </extLst>
    </cfRule>
  </conditionalFormatting>
  <conditionalFormatting sqref="T567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{22268670-6DBD-49D6-A01A-7F2A203E808D}</x14:id>
        </ext>
      </extLst>
    </cfRule>
  </conditionalFormatting>
  <conditionalFormatting sqref="T22:V56 T6:T20">
    <cfRule type="dataBar" priority="6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{A25480AE-86EF-47FE-98DE-DA9312399522}</x14:id>
        </ext>
      </extLst>
    </cfRule>
  </conditionalFormatting>
  <conditionalFormatting sqref="T137:V165 T115:T136">
    <cfRule type="dataBar" priority="6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{FAFF0A69-0950-44FA-AC07-20811E19F10A}</x14:id>
        </ext>
      </extLst>
    </cfRule>
  </conditionalFormatting>
  <conditionalFormatting sqref="T198:V218 T168:T197">
    <cfRule type="dataBar" priority="6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{E2C175A0-B223-499F-AB90-86F36D8F14CF}</x14:id>
        </ext>
      </extLst>
    </cfRule>
  </conditionalFormatting>
  <conditionalFormatting sqref="T247:V273 T223:T246">
    <cfRule type="dataBar" priority="6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{C7DFF890-3365-42A2-99DD-E974E98E55D1}</x14:id>
        </ext>
      </extLst>
    </cfRule>
  </conditionalFormatting>
  <conditionalFormatting sqref="T295:V327 T277:T294">
    <cfRule type="dataBar" priority="6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{1FF62792-70A5-483B-86BA-DEA05A5434D0}</x14:id>
        </ext>
      </extLst>
    </cfRule>
  </conditionalFormatting>
  <conditionalFormatting sqref="T339:V359 T329:T338">
    <cfRule type="dataBar" priority="6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{D52A8598-D613-4AF3-A223-5785B67D0683}</x14:id>
        </ext>
      </extLst>
    </cfRule>
  </conditionalFormatting>
  <conditionalFormatting sqref="T374:V386 T361:T373">
    <cfRule type="dataBar" priority="6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{08175A8F-AF25-411E-8C02-67C55331456A}</x14:id>
        </ext>
      </extLst>
    </cfRule>
  </conditionalFormatting>
  <conditionalFormatting sqref="T400:V413 T388:T399">
    <cfRule type="dataBar" priority="6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{98221D9C-C2A0-43AA-BEF6-143CFE247D8D}</x14:id>
        </ext>
      </extLst>
    </cfRule>
  </conditionalFormatting>
  <conditionalFormatting sqref="T432:V441 T416:T431">
    <cfRule type="dataBar" priority="6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{33564C56-E54C-47EC-A1C9-618AD97DC9BA}</x14:id>
        </ext>
      </extLst>
    </cfRule>
  </conditionalFormatting>
  <conditionalFormatting sqref="T464:V484">
    <cfRule type="dataBar" priority="6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{BC3164BE-C9B5-4223-A729-B6EF3390A2FE}</x14:id>
        </ext>
      </extLst>
    </cfRule>
  </conditionalFormatting>
  <conditionalFormatting sqref="T486:V511">
    <cfRule type="dataBar" priority="6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{DE542C0D-6826-46E0-B5B6-5092DF25A19F}</x14:id>
        </ext>
      </extLst>
    </cfRule>
  </conditionalFormatting>
  <conditionalFormatting sqref="T524:V534 T513:T523">
    <cfRule type="dataBar" priority="6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{994A04F5-C923-4CC3-982D-0872D425DCBA}</x14:id>
        </ext>
      </extLst>
    </cfRule>
  </conditionalFormatting>
  <conditionalFormatting sqref="T545:V556 T537:T544 T557">
    <cfRule type="dataBar" priority="6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{36709E7A-C280-4469-9FFC-144186CC4A9C}</x14:id>
        </ext>
      </extLst>
    </cfRule>
  </conditionalFormatting>
  <conditionalFormatting sqref="T577:V589 T569:T576">
    <cfRule type="dataBar" priority="6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{B46E1CA5-F486-4C0E-BC55-316A1B6717AD}</x14:id>
        </ext>
      </extLst>
    </cfRule>
  </conditionalFormatting>
  <conditionalFormatting sqref="T599:V611 T591:T598">
    <cfRule type="dataBar" priority="9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{DDA1225F-1086-4C79-B3A0-C0699A5C8A85}</x14:id>
        </ext>
      </extLst>
    </cfRule>
  </conditionalFormatting>
  <conditionalFormatting sqref="U21">
    <cfRule type="dataBar" priority="1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{AD05270B-E1B9-42EA-8768-234B3BF34169}</x14:id>
        </ext>
      </extLst>
    </cfRule>
    <cfRule type="dataBar" priority="1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{FC742B47-B7D8-4C60-9F01-85CB1CF7F6DA}</x14:id>
        </ext>
      </extLst>
    </cfRule>
  </conditionalFormatting>
  <conditionalFormatting sqref="U6:V6 U7:U20 V7:V21 V58:V76">
    <cfRule type="dataBar" priority="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{8C4EAD8E-255B-41B0-A640-8518026B1236}</x14:id>
        </ext>
      </extLst>
    </cfRule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{6EFB7FA7-6926-4323-8210-AF398B6CEFFE}</x14:id>
        </ext>
      </extLst>
    </cfRule>
  </conditionalFormatting>
  <conditionalFormatting sqref="U77:V82 U58:U76">
    <cfRule type="dataBar" priority="3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{2E38D9D5-65E3-4383-BC7A-4DE78D576FA1}</x14:id>
        </ext>
      </extLst>
    </cfRule>
    <cfRule type="dataBar" priority="3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{917889E4-C2E0-43A4-BCFD-947E213AAEFB}</x14:id>
        </ext>
      </extLst>
    </cfRule>
  </conditionalFormatting>
  <conditionalFormatting sqref="U115:V130">
    <cfRule type="dataBar" priority="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{3CB593A5-0603-48A1-A58B-60AE19F205F9}</x14:id>
        </ext>
      </extLst>
    </cfRule>
    <cfRule type="dataBar" priority="3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{4C185A65-7CC9-4707-A7E3-DA26FCC1340B}</x14:id>
        </ext>
      </extLst>
    </cfRule>
  </conditionalFormatting>
  <conditionalFormatting sqref="U131:V136">
    <cfRule type="dataBar" priority="3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{7ACE3DE8-05C5-49E1-A1EC-588E4981221D}</x14:id>
        </ext>
      </extLst>
    </cfRule>
    <cfRule type="dataBar" priority="3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{DEA46690-0605-4CEE-8008-FF0235CB7AED}</x14:id>
        </ext>
      </extLst>
    </cfRule>
  </conditionalFormatting>
  <conditionalFormatting sqref="U168:V183">
    <cfRule type="dataBar" priority="3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{1F6F83ED-BABA-4B2A-B839-7411CA551A40}</x14:id>
        </ext>
      </extLst>
    </cfRule>
    <cfRule type="dataBar" priority="3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{7C268F9D-AFEF-410B-84B5-CC6B35747789}</x14:id>
        </ext>
      </extLst>
    </cfRule>
  </conditionalFormatting>
  <conditionalFormatting sqref="U184:V197">
    <cfRule type="dataBar" priority="3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{ED89F77B-88B7-49ED-971D-52BB655186A1}</x14:id>
        </ext>
      </extLst>
    </cfRule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{5F25372B-DCFA-49D8-A41F-9D4ED0AC4E7D}</x14:id>
        </ext>
      </extLst>
    </cfRule>
  </conditionalFormatting>
  <conditionalFormatting sqref="U223:V223">
    <cfRule type="dataBar" priority="3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{500776ED-5787-442C-BE7B-483E20012270}</x14:id>
        </ext>
      </extLst>
    </cfRule>
    <cfRule type="dataBar" priority="3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{4829CB18-7D5C-4D4C-99DB-1C8C97FED7EF}</x14:id>
        </ext>
      </extLst>
    </cfRule>
  </conditionalFormatting>
  <conditionalFormatting sqref="U224:V229">
    <cfRule type="dataBar" priority="3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{AE0A2B3D-AE0F-46B8-9DAB-272439AF3311}</x14:id>
        </ext>
      </extLst>
    </cfRule>
    <cfRule type="dataBar" priority="3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{02A5C1D2-78EB-4153-89A7-518B1F44EDDB}</x14:id>
        </ext>
      </extLst>
    </cfRule>
  </conditionalFormatting>
  <conditionalFormatting sqref="U230:V246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{D85A3BA9-07F5-49BD-9953-35715FDDF110}</x14:id>
        </ext>
      </extLst>
    </cfRule>
    <cfRule type="dataBar" priority="3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{61D3F8C1-CDDA-48C4-933E-1474A97FF47B}</x14:id>
        </ext>
      </extLst>
    </cfRule>
  </conditionalFormatting>
  <conditionalFormatting sqref="U274:V275 U443:V462 U535:V535 U166:V166 U219:V221 U109:V113 U414:V414">
    <cfRule type="dataBar" priority="12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{126B479F-B91B-44AA-9539-E739E8AE2B67}</x14:id>
        </ext>
      </extLst>
    </cfRule>
  </conditionalFormatting>
  <conditionalFormatting sqref="U277:V294">
    <cfRule type="dataBar" priority="3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{C988E142-B8F3-4034-A36B-8F20A78F77C0}</x14:id>
        </ext>
      </extLst>
    </cfRule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{32A4070E-705E-45AE-A0E8-01ED5B9C9311}</x14:id>
        </ext>
      </extLst>
    </cfRule>
  </conditionalFormatting>
  <conditionalFormatting sqref="U329:V337">
    <cfRule type="dataBar" priority="3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{1D5F32A4-C682-4CE4-AE79-77AEAFAB8E8A}</x14:id>
        </ext>
      </extLst>
    </cfRule>
    <cfRule type="dataBar" priority="3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{A0C260A4-AE51-4E23-BAB8-8C1E0F5F39A2}</x14:id>
        </ext>
      </extLst>
    </cfRule>
  </conditionalFormatting>
  <conditionalFormatting sqref="U338:V338">
    <cfRule type="dataBar" priority="3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{0CA99886-7AFD-4DFE-8FCD-1CCC6275597B}</x14:id>
        </ext>
      </extLst>
    </cfRule>
    <cfRule type="dataBar" priority="3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{8E91743E-7E98-47F3-8528-31CEEA99ED78}</x14:id>
        </ext>
      </extLst>
    </cfRule>
  </conditionalFormatting>
  <conditionalFormatting sqref="U361:V373">
    <cfRule type="dataBar" priority="3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{7951B642-78E3-497F-B1C3-CBABEC6DDF03}</x14:id>
        </ext>
      </extLst>
    </cfRule>
    <cfRule type="dataBar" priority="3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{B76A29EA-D0C0-4365-BD46-5F3AF9599AAE}</x14:id>
        </ext>
      </extLst>
    </cfRule>
  </conditionalFormatting>
  <conditionalFormatting sqref="U388:V399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{D8815B41-98AE-41C1-9AF8-29F795EF8B68}</x14:id>
        </ext>
      </extLst>
    </cfRule>
    <cfRule type="dataBar" priority="3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{1D706A85-45C8-4CAF-9F7B-1D4AFB499E55}</x14:id>
        </ext>
      </extLst>
    </cfRule>
  </conditionalFormatting>
  <conditionalFormatting sqref="U416:V431">
    <cfRule type="dataBar" priority="3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{9F5CAB4F-044F-40D9-9B40-0F92775AFCDE}</x14:id>
        </ext>
      </extLst>
    </cfRule>
    <cfRule type="dataBar" priority="3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{DFE67F97-73E3-4B11-8880-9D74119334BD}</x14:id>
        </ext>
      </extLst>
    </cfRule>
  </conditionalFormatting>
  <conditionalFormatting sqref="U513:V523"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{FE96F1D0-418E-4FAA-A267-F56599FA7C37}</x14:id>
        </ext>
      </extLst>
    </cfRule>
  </conditionalFormatting>
  <conditionalFormatting sqref="U537:V544"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{65435294-F7C0-452A-9AD0-0B0E6499DCF3}</x14:id>
        </ext>
      </extLst>
    </cfRule>
    <cfRule type="dataBar" priority="3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{D9007AE8-2EB7-45F0-AAC9-AB49CB9895EE}</x14:id>
        </ext>
      </extLst>
    </cfRule>
  </conditionalFormatting>
  <conditionalFormatting sqref="U557:V566">
    <cfRule type="dataBar" priority="16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{ACCC3D85-0D0A-4044-9848-D6EBA8434481}</x14:id>
        </ext>
      </extLst>
    </cfRule>
  </conditionalFormatting>
  <conditionalFormatting sqref="U567:V567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{123ED9A8-0ABC-4F95-9198-C0B20B52E8A3}</x14:id>
        </ext>
      </extLst>
    </cfRule>
  </conditionalFormatting>
  <conditionalFormatting sqref="U569:V576">
    <cfRule type="dataBar" priority="3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{C99DD4A7-19C3-4A30-AAF3-E120BA7A8C9C}</x14:id>
        </ext>
      </extLst>
    </cfRule>
    <cfRule type="dataBar" priority="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{7026B3CD-25CE-4164-8883-76684F82F692}</x14:id>
        </ext>
      </extLst>
    </cfRule>
  </conditionalFormatting>
  <conditionalFormatting sqref="U591:V598">
    <cfRule type="dataBar" priority="3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{BD713B6C-817A-4D0C-B345-028A74F24CD6}</x14:id>
        </ext>
      </extLst>
    </cfRule>
    <cfRule type="dataBar" priority="2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{5E06A378-96DE-4E83-8CDE-FFEA42E03BF6}</x14:id>
        </ext>
      </extLst>
    </cfRule>
  </conditionalFormatting>
  <conditionalFormatting sqref="W6:W462 W464:W484">
    <cfRule type="expression" dxfId="21" priority="31">
      <formula>AND($K6&lt;&gt;"",_xlfn.ISFORMULA($K6)=FALSE)</formula>
    </cfRule>
  </conditionalFormatting>
  <conditionalFormatting sqref="W486:W511">
    <cfRule type="expression" dxfId="20" priority="30">
      <formula>AND($K486&lt;&gt;"",_xlfn.ISFORMULA($K486)=FALSE)</formula>
    </cfRule>
  </conditionalFormatting>
  <conditionalFormatting sqref="W513:W535">
    <cfRule type="expression" dxfId="19" priority="29">
      <formula>AND($K513&lt;&gt;"",_xlfn.ISFORMULA($K513)=FALSE)</formula>
    </cfRule>
  </conditionalFormatting>
  <conditionalFormatting sqref="W537:W567">
    <cfRule type="expression" dxfId="18" priority="2">
      <formula>AND($K537&lt;&gt;"",_xlfn.ISFORMULA($K537)=FALSE)</formula>
    </cfRule>
  </conditionalFormatting>
  <conditionalFormatting sqref="W569:W589">
    <cfRule type="expression" dxfId="17" priority="27">
      <formula>AND($K569&lt;&gt;"",_xlfn.ISFORMULA($K569)=FALSE)</formula>
    </cfRule>
  </conditionalFormatting>
  <conditionalFormatting sqref="W591:W611">
    <cfRule type="expression" dxfId="16" priority="26">
      <formula>AND($K591&lt;&gt;"",_xlfn.ISFORMULA($K591)=FALSE)</formula>
    </cfRule>
  </conditionalFormatting>
  <conditionalFormatting sqref="Y6:Y20">
    <cfRule type="dataBar" priority="56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{B1139C62-CFA1-4E60-A971-F71CC298343B}</x14:id>
        </ext>
      </extLst>
    </cfRule>
  </conditionalFormatting>
  <conditionalFormatting sqref="Y58:Y81">
    <cfRule type="dataBar" priority="57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{730D3220-ECAD-47E4-8EAA-ABBE177CE8F8}</x14:id>
        </ext>
      </extLst>
    </cfRule>
  </conditionalFormatting>
  <conditionalFormatting sqref="Y82">
    <cfRule type="dataBar" priority="37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{5B79C07F-2BB1-4CB2-8FD3-EF7C33A728FE}</x14:id>
        </ext>
      </extLst>
    </cfRule>
  </conditionalFormatting>
  <conditionalFormatting sqref="Y83">
    <cfRule type="dataBar" priority="6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{59D0F13D-42A9-4757-AE5D-F9B2C3E52D10}</x14:id>
        </ext>
      </extLst>
    </cfRule>
  </conditionalFormatting>
  <conditionalFormatting sqref="Y84:Y87">
    <cfRule type="dataBar" priority="5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{16AD9A87-1D38-4DBB-94CF-2A47C8EB90E0}</x14:id>
        </ext>
      </extLst>
    </cfRule>
  </conditionalFormatting>
  <conditionalFormatting sqref="Y115:Y136">
    <cfRule type="dataBar" priority="57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{0C867357-D182-4D53-B948-778F3B4E47C1}</x14:id>
        </ext>
      </extLst>
    </cfRule>
  </conditionalFormatting>
  <conditionalFormatting sqref="Y168:Y197">
    <cfRule type="dataBar" priority="57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{0E0C9D7D-1BFD-400B-8722-656A26182CA6}</x14:id>
        </ext>
      </extLst>
    </cfRule>
  </conditionalFormatting>
  <conditionalFormatting sqref="Y198:Y208">
    <cfRule type="dataBar" priority="6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{94188EDB-B0CC-40A3-B993-B3C87C1172C2}</x14:id>
        </ext>
      </extLst>
    </cfRule>
  </conditionalFormatting>
  <conditionalFormatting sqref="Y223:Y246">
    <cfRule type="dataBar" priority="57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{9AA929CA-3360-4277-A67A-2C32A762260B}</x14:id>
        </ext>
      </extLst>
    </cfRule>
  </conditionalFormatting>
  <conditionalFormatting sqref="Y247">
    <cfRule type="dataBar" priority="6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{20981555-8C09-4DE7-9C0E-720F980526BF}</x14:id>
        </ext>
      </extLst>
    </cfRule>
  </conditionalFormatting>
  <conditionalFormatting sqref="Y248:Y273">
    <cfRule type="dataBar" priority="5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{34D73FFE-E7CB-4417-A455-6326C4A6E55A}</x14:id>
        </ext>
      </extLst>
    </cfRule>
  </conditionalFormatting>
  <conditionalFormatting sqref="Y277:Y294">
    <cfRule type="dataBar" priority="57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{2E949DFC-7AB2-40EC-9D2B-41EAEFED5A78}</x14:id>
        </ext>
      </extLst>
    </cfRule>
  </conditionalFormatting>
  <conditionalFormatting sqref="Y329:Y338">
    <cfRule type="dataBar" priority="57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{51A23FD2-F631-41CC-918E-5170EB6A390A}</x14:id>
        </ext>
      </extLst>
    </cfRule>
  </conditionalFormatting>
  <conditionalFormatting sqref="Y361:Y373">
    <cfRule type="dataBar" priority="57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{0D42F9C8-7F19-4333-8BA4-AFC3B56FE4E3}</x14:id>
        </ext>
      </extLst>
    </cfRule>
  </conditionalFormatting>
  <conditionalFormatting sqref="Y388:Y400">
    <cfRule type="dataBar" priority="57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{ED1ED508-973C-456B-A2C0-8763640C3A3D}</x14:id>
        </ext>
      </extLst>
    </cfRule>
  </conditionalFormatting>
  <conditionalFormatting sqref="Y416:Y431">
    <cfRule type="dataBar" priority="57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{6E8455D4-B2F4-4DA1-A0E6-D3CC4DA74D58}</x14:id>
        </ext>
      </extLst>
    </cfRule>
  </conditionalFormatting>
  <conditionalFormatting sqref="Y432:Y441">
    <cfRule type="dataBar" priority="5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{0F21F2AB-0B04-417E-8F93-BD999B6CAC41}</x14:id>
        </ext>
      </extLst>
    </cfRule>
  </conditionalFormatting>
  <conditionalFormatting sqref="Y464:Y473">
    <cfRule type="dataBar" priority="57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{204F039F-FB33-4CB5-B5A1-5BC241C0249B}</x14:id>
        </ext>
      </extLst>
    </cfRule>
  </conditionalFormatting>
  <conditionalFormatting sqref="Y474:Y484">
    <cfRule type="dataBar" priority="5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{497F36D1-26C6-47E1-BC1E-78123745355B}</x14:id>
        </ext>
      </extLst>
    </cfRule>
  </conditionalFormatting>
  <conditionalFormatting sqref="Y486:Y501">
    <cfRule type="dataBar" priority="58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{1569CB06-D1B0-4800-A37A-E4B7394AE9B3}</x14:id>
        </ext>
      </extLst>
    </cfRule>
  </conditionalFormatting>
  <conditionalFormatting sqref="Y513:Y523">
    <cfRule type="dataBar" priority="58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{D13F9EC5-1736-4DF4-8E0B-E9B1E9DD3B8D}</x14:id>
        </ext>
      </extLst>
    </cfRule>
  </conditionalFormatting>
  <conditionalFormatting sqref="Y537:Y544">
    <cfRule type="dataBar" priority="58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{7BAE5997-5783-4CD7-9FE3-DF04AB005EBD}</x14:id>
        </ext>
      </extLst>
    </cfRule>
  </conditionalFormatting>
  <conditionalFormatting sqref="Y558:Y563 Y274:Y275 Y443:Y450 Y535 Y166 Y219:Y220 Y109:Y112 Y414 Y21">
    <cfRule type="dataBar" priority="16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{6FCCCB14-A45C-464A-B0D3-8141B41C20BA}</x14:id>
        </ext>
      </extLst>
    </cfRule>
  </conditionalFormatting>
  <conditionalFormatting sqref="Y569:Y576">
    <cfRule type="dataBar" priority="58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{3FE4F9B4-B565-4A6B-B01C-477870FE4727}</x14:id>
        </ext>
      </extLst>
    </cfRule>
  </conditionalFormatting>
  <conditionalFormatting sqref="Y591:Y598">
    <cfRule type="dataBar" priority="58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{28723CB1-A52B-4D80-9E4B-9E84453FD401}</x14:id>
        </ext>
      </extLst>
    </cfRule>
  </conditionalFormatting>
  <conditionalFormatting sqref="Z6:Z20 Z22:Z56">
    <cfRule type="dataBar" priority="5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{20DA3C29-2C78-4D19-9709-E6E0E2612C6D}</x14:id>
        </ext>
      </extLst>
    </cfRule>
  </conditionalFormatting>
  <conditionalFormatting sqref="Z6:Z20">
    <cfRule type="dataBar" priority="5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{828BC03D-0B90-4A88-A4D3-C615078C3DA2}</x14:id>
        </ext>
      </extLst>
    </cfRule>
  </conditionalFormatting>
  <conditionalFormatting sqref="Z58:Z81 Z83:Z108">
    <cfRule type="dataBar" priority="5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{9953DF52-BEC0-4F3E-82CE-DD42A9353F3A}</x14:id>
        </ext>
      </extLst>
    </cfRule>
  </conditionalFormatting>
  <conditionalFormatting sqref="Z82">
    <cfRule type="dataBar" priority="3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{2EDC789A-E28F-453C-9EF8-96635851EBFA}</x14:id>
        </ext>
      </extLst>
    </cfRule>
  </conditionalFormatting>
  <conditionalFormatting sqref="Z115:Z165">
    <cfRule type="dataBar" priority="5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{9A64F3D0-EA1D-4417-A628-87F915213442}</x14:id>
        </ext>
      </extLst>
    </cfRule>
  </conditionalFormatting>
  <conditionalFormatting sqref="Z168:Z218">
    <cfRule type="dataBar" priority="5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{15967CF2-D05E-49F2-98E3-1EF32E92BC5C}</x14:id>
        </ext>
      </extLst>
    </cfRule>
  </conditionalFormatting>
  <conditionalFormatting sqref="Z223:Z273">
    <cfRule type="dataBar" priority="5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{0A0FA5DD-E548-4ECE-BE44-6F1546AA9C81}</x14:id>
        </ext>
      </extLst>
    </cfRule>
  </conditionalFormatting>
  <conditionalFormatting sqref="Z274:Z275 Z443:Z462 Z535 Z166 Z219:Z221 Z109:Z113 Z414 Z21 Z558:Z566">
    <cfRule type="dataBar" priority="15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{130C5ED9-98C5-4542-99E6-867C8600B18A}</x14:id>
        </ext>
      </extLst>
    </cfRule>
  </conditionalFormatting>
  <conditionalFormatting sqref="Z277:Z327">
    <cfRule type="dataBar" priority="5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{4632291D-492D-48A7-B904-3E59FE751113}</x14:id>
        </ext>
      </extLst>
    </cfRule>
  </conditionalFormatting>
  <conditionalFormatting sqref="Z329:Z359">
    <cfRule type="dataBar" priority="5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{39F5ADC5-72E4-4BF3-BCD5-786FF6113D48}</x14:id>
        </ext>
      </extLst>
    </cfRule>
  </conditionalFormatting>
  <conditionalFormatting sqref="Z361:Z386">
    <cfRule type="dataBar" priority="5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{37C4D5CD-7806-44FF-9BF7-2898EAFC8F4A}</x14:id>
        </ext>
      </extLst>
    </cfRule>
  </conditionalFormatting>
  <conditionalFormatting sqref="Z388:Z413">
    <cfRule type="dataBar" priority="5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{FCD2FE54-1D71-40AF-BC62-A3E77E62E411}</x14:id>
        </ext>
      </extLst>
    </cfRule>
  </conditionalFormatting>
  <conditionalFormatting sqref="Z416:Z441">
    <cfRule type="dataBar" priority="5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{A657CB8C-FA78-4988-B63E-0047AAE5F3ED}</x14:id>
        </ext>
      </extLst>
    </cfRule>
  </conditionalFormatting>
  <conditionalFormatting sqref="Z464:Z484">
    <cfRule type="dataBar" priority="5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{3DA08AB0-FCB0-4782-B600-84ABADBB7BF5}</x14:id>
        </ext>
      </extLst>
    </cfRule>
  </conditionalFormatting>
  <conditionalFormatting sqref="Z486:Z511">
    <cfRule type="dataBar" priority="5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{39238473-1979-42FB-A28A-E7F4A2C32AE9}</x14:id>
        </ext>
      </extLst>
    </cfRule>
  </conditionalFormatting>
  <conditionalFormatting sqref="Z513:Z534">
    <cfRule type="dataBar" priority="5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{18C318FD-988B-434F-83F9-2D4C78B1AE45}</x14:id>
        </ext>
      </extLst>
    </cfRule>
  </conditionalFormatting>
  <conditionalFormatting sqref="Z537:Z557">
    <cfRule type="dataBar" priority="5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{2D132149-B91C-4D28-93A3-993FFB8846D5}</x14:id>
        </ext>
      </extLst>
    </cfRule>
  </conditionalFormatting>
  <conditionalFormatting sqref="Z567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{C603BB58-D166-4C81-A907-AA44D5885A18}</x14:id>
        </ext>
      </extLst>
    </cfRule>
  </conditionalFormatting>
  <conditionalFormatting sqref="Z569:Z589">
    <cfRule type="dataBar" priority="5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{4EA85AD5-A231-4387-95A7-A8C651C70C51}</x14:id>
        </ext>
      </extLst>
    </cfRule>
  </conditionalFormatting>
  <conditionalFormatting sqref="Z591:Z611">
    <cfRule type="dataBar" priority="9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{38089D65-C783-4967-B364-9558BFFD93B6}</x14:id>
        </ext>
      </extLst>
    </cfRule>
  </conditionalFormatting>
  <conditionalFormatting sqref="AA6">
    <cfRule type="dataBar" priority="2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{7180097B-8391-4195-BB89-FB05A601D490}</x14:id>
        </ext>
      </extLst>
    </cfRule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{6E5A7B9D-8108-444E-9F40-44FE08192792}</x14:id>
        </ext>
      </extLst>
    </cfRule>
  </conditionalFormatting>
  <conditionalFormatting sqref="AA7:AA15">
    <cfRule type="dataBar" priority="2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{7860E201-EFC8-439E-9CDA-80A55EB00550}</x14:id>
        </ext>
      </extLst>
    </cfRule>
    <cfRule type="dataBar" priority="2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{1D64ECF4-6826-461A-98B1-D181AFE1E540}</x14:id>
        </ext>
      </extLst>
    </cfRule>
  </conditionalFormatting>
  <conditionalFormatting sqref="AA16:AA21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{71E9447A-27D6-44F8-BF40-9763DD37B26D}</x14:id>
        </ext>
      </extLst>
    </cfRule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{53FAFB73-C1B4-4D0F-A8E9-6CAB810F4DCB}</x14:id>
        </ext>
      </extLst>
    </cfRule>
  </conditionalFormatting>
  <conditionalFormatting sqref="AA22:AA56">
    <cfRule type="dataBar" priority="4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{9B6C8633-054A-4BAE-9891-B902D858D6B7}</x14:id>
        </ext>
      </extLst>
    </cfRule>
  </conditionalFormatting>
  <conditionalFormatting sqref="AA58:AA69">
    <cfRule type="dataBar" priority="2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{3EF458E3-B36F-4BC4-ABD2-5A27547B88A4}</x14:id>
        </ext>
      </extLst>
    </cfRule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{F95F9474-DE0E-4343-9E99-8BE7927B3B15}</x14:id>
        </ext>
      </extLst>
    </cfRule>
  </conditionalFormatting>
  <conditionalFormatting sqref="AA70:AA81 AA83:AA108">
    <cfRule type="dataBar" priority="4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{E0DAD933-23AE-4E51-B060-8D553E397E6E}</x14:id>
        </ext>
      </extLst>
    </cfRule>
  </conditionalFormatting>
  <conditionalFormatting sqref="AA82">
    <cfRule type="dataBar" priority="3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{67E9FF8A-0EC0-4E92-BEE2-9ADBAEFEBB49}</x14:id>
        </ext>
      </extLst>
    </cfRule>
  </conditionalFormatting>
  <conditionalFormatting sqref="AA115:AA124">
    <cfRule type="dataBar" priority="2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{583DB528-06B8-469F-B473-0DC6CB33BC87}</x14:id>
        </ext>
      </extLst>
    </cfRule>
    <cfRule type="dataBar" priority="2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{83045D71-FB9F-412C-AD2F-2D9E77FFE4AB}</x14:id>
        </ext>
      </extLst>
    </cfRule>
  </conditionalFormatting>
  <conditionalFormatting sqref="AA125:AA165">
    <cfRule type="dataBar" priority="4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{0678C455-7B23-49AF-9DD2-2AC8CF1CCED7}</x14:id>
        </ext>
      </extLst>
    </cfRule>
  </conditionalFormatting>
  <conditionalFormatting sqref="AA168:AA197">
    <cfRule type="dataBar" priority="2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{875129B6-6F8F-4762-9DCC-63B365F4ECCD}</x14:id>
        </ext>
      </extLst>
    </cfRule>
    <cfRule type="dataBar" priority="2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{776BD4F4-B34F-4AB9-88B5-E7D8DC96B05B}</x14:id>
        </ext>
      </extLst>
    </cfRule>
  </conditionalFormatting>
  <conditionalFormatting sqref="AA198:AA218">
    <cfRule type="dataBar" priority="4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{6850D24D-D4DF-4A69-ACBB-4BE2007FB144}</x14:id>
        </ext>
      </extLst>
    </cfRule>
  </conditionalFormatting>
  <conditionalFormatting sqref="AA223:AA234">
    <cfRule type="dataBar" priority="2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{8EB56740-F203-4B74-9923-C014398FE847}</x14:id>
        </ext>
      </extLst>
    </cfRule>
    <cfRule type="dataBar" priority="2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{09BC795B-0BE6-41CB-9446-5ED34BE9C4EF}</x14:id>
        </ext>
      </extLst>
    </cfRule>
  </conditionalFormatting>
  <conditionalFormatting sqref="AA235:AA273">
    <cfRule type="dataBar" priority="4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{1CE02766-7FC3-4EA3-88EA-B3AB5B29DC04}</x14:id>
        </ext>
      </extLst>
    </cfRule>
  </conditionalFormatting>
  <conditionalFormatting sqref="AA274:AA275 AA443:AA462 AA535 AA166 AA219:AA221 AA109:AA113 AA414 AA558:AA566">
    <cfRule type="dataBar" priority="16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{67D7BB26-C66B-4E94-9F6C-02E756225CEC}</x14:id>
        </ext>
      </extLst>
    </cfRule>
  </conditionalFormatting>
  <conditionalFormatting sqref="AA277:AA286">
    <cfRule type="dataBar" priority="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{5F40D236-3263-44C7-BD10-2DCAE93D1830}</x14:id>
        </ext>
      </extLst>
    </cfRule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{9DB9BE19-81AC-427B-9122-66A6179F97FC}</x14:id>
        </ext>
      </extLst>
    </cfRule>
  </conditionalFormatting>
  <conditionalFormatting sqref="AA287:AA327">
    <cfRule type="dataBar" priority="4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{32DFCCBC-9D67-4033-BB37-B17E8AD9AF72}</x14:id>
        </ext>
      </extLst>
    </cfRule>
  </conditionalFormatting>
  <conditionalFormatting sqref="AA329:AA338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{BD3E6A5D-1265-48DF-BBF6-06127AC7CADC}</x14:id>
        </ext>
      </extLst>
    </cfRule>
    <cfRule type="dataBar" priority="2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{22666BFA-C39F-4A12-8A22-3E7B160128BA}</x14:id>
        </ext>
      </extLst>
    </cfRule>
  </conditionalFormatting>
  <conditionalFormatting sqref="AA339:AA359">
    <cfRule type="dataBar" priority="4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{9F12FAA0-5F7C-4C2A-8146-946965578EE6}</x14:id>
        </ext>
      </extLst>
    </cfRule>
  </conditionalFormatting>
  <conditionalFormatting sqref="AA361:AA374">
    <cfRule type="dataBar" priority="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{42D52BC7-B462-4697-A58C-C5653BE1662B}</x14:id>
        </ext>
      </extLst>
    </cfRule>
    <cfRule type="dataBar" priority="2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{FA597784-D3FF-41ED-A573-0657E445D2AA}</x14:id>
        </ext>
      </extLst>
    </cfRule>
  </conditionalFormatting>
  <conditionalFormatting sqref="AA375:AA386">
    <cfRule type="dataBar" priority="4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{81272917-9A8D-4D8C-BC95-D0671488E782}</x14:id>
        </ext>
      </extLst>
    </cfRule>
  </conditionalFormatting>
  <conditionalFormatting sqref="AA388:AA401">
    <cfRule type="dataBar" priority="2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{3D25D653-66E3-46A4-90BB-911AF919D0DE}</x14:id>
        </ext>
      </extLst>
    </cfRule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{81EE94E3-9C45-4328-AC56-721B3BC9AA25}</x14:id>
        </ext>
      </extLst>
    </cfRule>
  </conditionalFormatting>
  <conditionalFormatting sqref="AA402:AA413">
    <cfRule type="dataBar" priority="4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{87B78A86-EB6A-4735-A459-EB9693741B56}</x14:id>
        </ext>
      </extLst>
    </cfRule>
  </conditionalFormatting>
  <conditionalFormatting sqref="AA416:AA431">
    <cfRule type="dataBar" priority="2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{A11A8FF3-D392-435D-9558-3EE6898FF248}</x14:id>
        </ext>
      </extLst>
    </cfRule>
    <cfRule type="dataBar" priority="2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{08BBD042-1B06-48A1-88F9-B91E21AE10CF}</x14:id>
        </ext>
      </extLst>
    </cfRule>
  </conditionalFormatting>
  <conditionalFormatting sqref="AA432:AA441">
    <cfRule type="dataBar" priority="4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{FC54ED49-7E3C-4073-AE0F-4DB08A23F383}</x14:id>
        </ext>
      </extLst>
    </cfRule>
  </conditionalFormatting>
  <conditionalFormatting sqref="AA464:AA484">
    <cfRule type="dataBar" priority="4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{77582539-9BB8-4BC3-9BB0-A4DF56994666}</x14:id>
        </ext>
      </extLst>
    </cfRule>
  </conditionalFormatting>
  <conditionalFormatting sqref="AA486:AA511">
    <cfRule type="dataBar" priority="4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{2D309696-E5D3-4B3E-94B4-1E5E4CB0348B}</x14:id>
        </ext>
      </extLst>
    </cfRule>
  </conditionalFormatting>
  <conditionalFormatting sqref="AA513:AA534">
    <cfRule type="dataBar" priority="4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{AD7779DF-5204-457C-B72D-1F982576B362}</x14:id>
        </ext>
      </extLst>
    </cfRule>
  </conditionalFormatting>
  <conditionalFormatting sqref="AA537:AA557">
    <cfRule type="dataBar" priority="4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{A4F38562-9DE3-4095-B236-5631540DD887}</x14:id>
        </ext>
      </extLst>
    </cfRule>
  </conditionalFormatting>
  <conditionalFormatting sqref="AA56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{3676E8B1-1C81-46B6-A732-1FDEFB508B43}</x14:id>
        </ext>
      </extLst>
    </cfRule>
  </conditionalFormatting>
  <conditionalFormatting sqref="AA569:AA589">
    <cfRule type="dataBar" priority="4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{ED004A34-6C66-46C9-900C-97F50A61B21E}</x14:id>
        </ext>
      </extLst>
    </cfRule>
  </conditionalFormatting>
  <conditionalFormatting sqref="AA591:AA611">
    <cfRule type="dataBar" priority="9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{E2AB28CE-48B0-4DD4-8F09-50DE126436E0}</x14:id>
        </ext>
      </extLst>
    </cfRule>
  </conditionalFormatting>
  <conditionalFormatting sqref="AB567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{685A2158-478C-4B3F-A753-7A8E007AD2C5}</x14:id>
        </ext>
      </extLst>
    </cfRule>
  </conditionalFormatting>
  <conditionalFormatting sqref="AB569:AB589 AB6:AB511 AB513:AB535 AB537:AB566 AB591:AB611">
    <cfRule type="dataBar" priority="154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{C3FD9737-CB04-4587-9F62-49CA30B5B8AE}</x14:id>
        </ext>
      </extLst>
    </cfRule>
  </conditionalFormatting>
  <conditionalFormatting sqref="AC6:AC462 AC464:AC484">
    <cfRule type="expression" dxfId="15" priority="43">
      <formula>AND($K6&lt;&gt;"",_xlfn.ISFORMULA($K6)=FALSE)</formula>
    </cfRule>
  </conditionalFormatting>
  <conditionalFormatting sqref="AC486:AC511">
    <cfRule type="expression" dxfId="14" priority="42">
      <formula>AND($K486&lt;&gt;"",_xlfn.ISFORMULA($K486)=FALSE)</formula>
    </cfRule>
  </conditionalFormatting>
  <conditionalFormatting sqref="AC513:AC535">
    <cfRule type="expression" dxfId="13" priority="41">
      <formula>AND($K513&lt;&gt;"",_xlfn.ISFORMULA($K513)=FALSE)</formula>
    </cfRule>
  </conditionalFormatting>
  <conditionalFormatting sqref="AC537:AC567">
    <cfRule type="expression" dxfId="12" priority="4">
      <formula>AND($K537&lt;&gt;"",_xlfn.ISFORMULA($K537)=FALSE)</formula>
    </cfRule>
  </conditionalFormatting>
  <conditionalFormatting sqref="AC569:AC589">
    <cfRule type="expression" dxfId="11" priority="39">
      <formula>AND($K569&lt;&gt;"",_xlfn.ISFORMULA($K569)=FALSE)</formula>
    </cfRule>
  </conditionalFormatting>
  <conditionalFormatting sqref="AC591:AC611">
    <cfRule type="expression" dxfId="10" priority="38">
      <formula>AND($K591&lt;&gt;"",_xlfn.ISFORMULA($K591)=FALSE)</formula>
    </cfRule>
  </conditionalFormatting>
  <conditionalFormatting sqref="AD558:AD563 AD443:AD450 AH443:AH450 AH535 AH166 AH219:AH220 AH109:AH112 AH414 AH274:AH275 AH558:AH563">
    <cfRule type="dataBar" priority="16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{81B1890E-02F2-4476-934B-44EF99C439E9}</x14:id>
        </ext>
      </extLst>
    </cfRule>
  </conditionalFormatting>
  <conditionalFormatting sqref="AE6:AE16">
    <cfRule type="dataBar" priority="60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{A607FC5C-B740-4D82-95F0-E017C896CDBE}</x14:id>
        </ext>
      </extLst>
    </cfRule>
  </conditionalFormatting>
  <conditionalFormatting sqref="AE17">
    <cfRule type="dataBar" priority="1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{015A8238-81D7-4AAB-BA8C-5DAE5FFC7CCC}</x14:id>
        </ext>
      </extLst>
    </cfRule>
  </conditionalFormatting>
  <conditionalFormatting sqref="AE18">
    <cfRule type="dataBar" priority="1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{10893398-80DA-438B-BDB1-67B508330A4C}</x14:id>
        </ext>
      </extLst>
    </cfRule>
  </conditionalFormatting>
  <conditionalFormatting sqref="AE19">
    <cfRule type="dataBar" priority="10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{0B1EC118-1118-400B-9746-1DD78598E931}</x14:id>
        </ext>
      </extLst>
    </cfRule>
  </conditionalFormatting>
  <conditionalFormatting sqref="AE20">
    <cfRule type="dataBar" priority="8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{17453497-3A45-4EC0-887B-6135644E71F3}</x14:id>
        </ext>
      </extLst>
    </cfRule>
  </conditionalFormatting>
  <conditionalFormatting sqref="AE21">
    <cfRule type="dataBar" priority="7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{11B3032B-86B2-41E0-88E9-846EE0119DD8}</x14:id>
        </ext>
      </extLst>
    </cfRule>
  </conditionalFormatting>
  <conditionalFormatting sqref="AE58:AE81">
    <cfRule type="dataBar" priority="60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{25D2E136-3B51-439D-BE1C-B60E2DD4EE20}</x14:id>
        </ext>
      </extLst>
    </cfRule>
  </conditionalFormatting>
  <conditionalFormatting sqref="AE82">
    <cfRule type="dataBar" priority="37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{8A6D3EA0-E81B-48DF-95C4-FC85DB9D7DBD}</x14:id>
        </ext>
      </extLst>
    </cfRule>
  </conditionalFormatting>
  <conditionalFormatting sqref="AE83:AE87">
    <cfRule type="dataBar" priority="6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{B9F7D512-562B-4AE7-BC9E-C63463531FF7}</x14:id>
        </ext>
      </extLst>
    </cfRule>
  </conditionalFormatting>
  <conditionalFormatting sqref="AE115:AE136">
    <cfRule type="dataBar" priority="6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{E95A082B-FD97-40EA-A496-F802F8B707A8}</x14:id>
        </ext>
      </extLst>
    </cfRule>
  </conditionalFormatting>
  <conditionalFormatting sqref="AE168:AE197">
    <cfRule type="dataBar" priority="6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{A1D2806F-F0BB-428E-B3D4-BC46316A9481}</x14:id>
        </ext>
      </extLst>
    </cfRule>
  </conditionalFormatting>
  <conditionalFormatting sqref="AE223:AE246">
    <cfRule type="dataBar" priority="6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{0DA15149-898F-4E42-8E32-A47AE982F821}</x14:id>
        </ext>
      </extLst>
    </cfRule>
  </conditionalFormatting>
  <conditionalFormatting sqref="AE247:AE273">
    <cfRule type="dataBar" priority="6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{54E00CE5-0353-441E-8583-E1BDC0357B83}</x14:id>
        </ext>
      </extLst>
    </cfRule>
  </conditionalFormatting>
  <conditionalFormatting sqref="AE277:AE294">
    <cfRule type="dataBar" priority="6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{C4F4FC4E-0B24-45B7-BA02-ECECB423D612}</x14:id>
        </ext>
      </extLst>
    </cfRule>
  </conditionalFormatting>
  <conditionalFormatting sqref="AE329:AE338">
    <cfRule type="dataBar" priority="6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{C247D02B-8E29-46EE-B781-D7F5E77225A9}</x14:id>
        </ext>
      </extLst>
    </cfRule>
  </conditionalFormatting>
  <conditionalFormatting sqref="AE361:AE373">
    <cfRule type="dataBar" priority="6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{6F4E3E6A-6904-443C-B1B6-FE022D33C3A4}</x14:id>
        </ext>
      </extLst>
    </cfRule>
  </conditionalFormatting>
  <conditionalFormatting sqref="AE388:AE400">
    <cfRule type="dataBar" priority="6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{9CBF820C-0711-4EB8-BB81-C0716ED7247C}</x14:id>
        </ext>
      </extLst>
    </cfRule>
  </conditionalFormatting>
  <conditionalFormatting sqref="AE416:AE431">
    <cfRule type="dataBar" priority="6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{A89E8344-6122-4F39-BE69-2AB51D4F308E}</x14:id>
        </ext>
      </extLst>
    </cfRule>
  </conditionalFormatting>
  <conditionalFormatting sqref="AE432:AE441">
    <cfRule type="dataBar" priority="6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{2CE9F812-19D8-427B-9ED5-85A55E9E9D77}</x14:id>
        </ext>
      </extLst>
    </cfRule>
  </conditionalFormatting>
  <conditionalFormatting sqref="AE464:AE473">
    <cfRule type="dataBar" priority="6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{2A59C0B2-0393-4EE1-91B4-C9A3768A650F}</x14:id>
        </ext>
      </extLst>
    </cfRule>
  </conditionalFormatting>
  <conditionalFormatting sqref="AE474:AE484">
    <cfRule type="dataBar" priority="6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{AD648FEB-68BE-42E9-966D-00FF1DDF6A97}</x14:id>
        </ext>
      </extLst>
    </cfRule>
  </conditionalFormatting>
  <conditionalFormatting sqref="AE486:AE501">
    <cfRule type="dataBar" priority="6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{DBFDD10D-4179-4EEB-9CAC-14BB465F4694}</x14:id>
        </ext>
      </extLst>
    </cfRule>
  </conditionalFormatting>
  <conditionalFormatting sqref="AE513:AE523">
    <cfRule type="dataBar" priority="6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{A5F8A5B4-ACC0-490E-8565-17A798429C41}</x14:id>
        </ext>
      </extLst>
    </cfRule>
  </conditionalFormatting>
  <conditionalFormatting sqref="AE537:AE544">
    <cfRule type="dataBar" priority="6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{CC9F49C1-E535-4166-A895-CF1110BDB817}</x14:id>
        </ext>
      </extLst>
    </cfRule>
  </conditionalFormatting>
  <conditionalFormatting sqref="AE558:AE563 AE274:AE275 AE443:AE450 AE535 AE166 AE219:AE220 AE109:AE112 AE414">
    <cfRule type="dataBar" priority="16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{8623D141-C6CE-4D71-83A6-08AAC8C815FF}</x14:id>
        </ext>
      </extLst>
    </cfRule>
  </conditionalFormatting>
  <conditionalFormatting sqref="AE569:AE576">
    <cfRule type="dataBar" priority="6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{6EE6C623-0111-4937-9541-E26CD2BC7531}</x14:id>
        </ext>
      </extLst>
    </cfRule>
  </conditionalFormatting>
  <conditionalFormatting sqref="AE591:AE598">
    <cfRule type="dataBar" priority="6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{5276D4CD-EEED-4AEB-A4E3-3B488E59F341}</x14:id>
        </ext>
      </extLst>
    </cfRule>
  </conditionalFormatting>
  <conditionalFormatting sqref="AF6:AF16 AF22:AF56">
    <cfRule type="dataBar" priority="6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{E878249A-8705-440E-9A4F-7C84BE73F6CA}</x14:id>
        </ext>
      </extLst>
    </cfRule>
  </conditionalFormatting>
  <conditionalFormatting sqref="AF6:AF16">
    <cfRule type="dataBar" priority="6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{C813F24B-AE7B-44C6-A181-FE45ED8B65D4}</x14:id>
        </ext>
      </extLst>
    </cfRule>
  </conditionalFormatting>
  <conditionalFormatting sqref="AF17">
    <cfRule type="dataBar" priority="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{12152E96-BA77-4AA0-8A34-3CDECB544C6F}</x14:id>
        </ext>
      </extLst>
    </cfRule>
    <cfRule type="dataBar" priority="1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{F73E3E4D-4F03-43F8-8E05-6D97BDB9C955}</x14:id>
        </ext>
      </extLst>
    </cfRule>
  </conditionalFormatting>
  <conditionalFormatting sqref="AF18">
    <cfRule type="dataBar" priority="1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{2C160F13-2766-4F13-A4FF-6A642E0CEE94}</x14:id>
        </ext>
      </extLst>
    </cfRule>
    <cfRule type="dataBar" priority="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{5259E1B3-6EE2-4532-930D-67F39B7757DA}</x14:id>
        </ext>
      </extLst>
    </cfRule>
  </conditionalFormatting>
  <conditionalFormatting sqref="AF19">
    <cfRule type="dataBar" priority="1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{2351826C-4D92-4AA7-89C3-121A262568EA}</x14:id>
        </ext>
      </extLst>
    </cfRule>
    <cfRule type="dataBar" priority="1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{7B4F92FE-4A92-446F-A9E3-B302D52B140C}</x14:id>
        </ext>
      </extLst>
    </cfRule>
  </conditionalFormatting>
  <conditionalFormatting sqref="AF20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{D86F437E-D590-48C7-9F88-80020EB311B2}</x14:id>
        </ext>
      </extLst>
    </cfRule>
    <cfRule type="dataBar" priority="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{3517B6DD-80AC-4E44-9A45-4CBAF5730B56}</x14:id>
        </ext>
      </extLst>
    </cfRule>
  </conditionalFormatting>
  <conditionalFormatting sqref="AF21">
    <cfRule type="dataBar" priority="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{0D2FBDD3-C06A-431F-84A4-66C8DD80CBE2}</x14:id>
        </ext>
      </extLst>
    </cfRule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{7E01E4F5-DE11-4B92-A173-8DD46F332F2D}</x14:id>
        </ext>
      </extLst>
    </cfRule>
  </conditionalFormatting>
  <conditionalFormatting sqref="AF58:AF81 AF83:AF108">
    <cfRule type="dataBar" priority="5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{9EBDCF62-9464-4F41-9BE1-0E1FE2DD53F8}</x14:id>
        </ext>
      </extLst>
    </cfRule>
  </conditionalFormatting>
  <conditionalFormatting sqref="AF82">
    <cfRule type="dataBar" priority="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{81150EDA-C4FF-45C8-88B4-74ADF0D4942E}</x14:id>
        </ext>
      </extLst>
    </cfRule>
  </conditionalFormatting>
  <conditionalFormatting sqref="AF115:AF165">
    <cfRule type="dataBar" priority="6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{6AA43D06-BC00-4162-800E-A901B6DA3CFE}</x14:id>
        </ext>
      </extLst>
    </cfRule>
  </conditionalFormatting>
  <conditionalFormatting sqref="AF168:AF218">
    <cfRule type="dataBar" priority="5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{BBF26348-9442-4751-9E39-46495BF239FD}</x14:id>
        </ext>
      </extLst>
    </cfRule>
  </conditionalFormatting>
  <conditionalFormatting sqref="AF223:AF273">
    <cfRule type="dataBar" priority="5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{07D8C74E-2BB4-4269-B73F-2D3EA50B24AE}</x14:id>
        </ext>
      </extLst>
    </cfRule>
  </conditionalFormatting>
  <conditionalFormatting sqref="AF274:AF275 AF443:AF462 AF535 AF166 AF219:AF221 AF109:AF113 AF414 AF558:AF566">
    <cfRule type="dataBar" priority="15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{392C79CD-CC51-4541-A06B-4873068AF978}</x14:id>
        </ext>
      </extLst>
    </cfRule>
  </conditionalFormatting>
  <conditionalFormatting sqref="AF277:AF327">
    <cfRule type="dataBar" priority="5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{185CC3C5-7735-40A7-A587-DC27572E4041}</x14:id>
        </ext>
      </extLst>
    </cfRule>
  </conditionalFormatting>
  <conditionalFormatting sqref="AF329:AF359">
    <cfRule type="dataBar" priority="5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{B827782C-4298-4879-80D2-480DD4AAA13A}</x14:id>
        </ext>
      </extLst>
    </cfRule>
  </conditionalFormatting>
  <conditionalFormatting sqref="AF361:AF386">
    <cfRule type="dataBar" priority="5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{235481D8-D059-4F13-B20E-7721CADAE392}</x14:id>
        </ext>
      </extLst>
    </cfRule>
  </conditionalFormatting>
  <conditionalFormatting sqref="AF388:AF413">
    <cfRule type="dataBar" priority="5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{E933C4FE-6D82-4B0D-841B-CA148AE48AE5}</x14:id>
        </ext>
      </extLst>
    </cfRule>
  </conditionalFormatting>
  <conditionalFormatting sqref="AF416:AF441">
    <cfRule type="dataBar" priority="5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{133ACDA1-C871-4761-A538-593477BCE3A3}</x14:id>
        </ext>
      </extLst>
    </cfRule>
  </conditionalFormatting>
  <conditionalFormatting sqref="AF464:AF484">
    <cfRule type="dataBar" priority="5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{2BC4138F-1049-4FE9-B790-54F7911F3C40}</x14:id>
        </ext>
      </extLst>
    </cfRule>
  </conditionalFormatting>
  <conditionalFormatting sqref="AF486:AF511">
    <cfRule type="dataBar" priority="5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{DDA1E2B2-F473-46F2-AF55-0365536B5D58}</x14:id>
        </ext>
      </extLst>
    </cfRule>
  </conditionalFormatting>
  <conditionalFormatting sqref="AF513:AF534">
    <cfRule type="dataBar" priority="5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{300F165D-D1BC-481F-BCE2-DD4F9750E9D1}</x14:id>
        </ext>
      </extLst>
    </cfRule>
  </conditionalFormatting>
  <conditionalFormatting sqref="AF537:AF557">
    <cfRule type="dataBar" priority="5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{14C117B3-4DCF-4197-BD56-70A1533A07A5}</x14:id>
        </ext>
      </extLst>
    </cfRule>
  </conditionalFormatting>
  <conditionalFormatting sqref="AF567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{6412B5EE-972A-44EB-9C51-7FF1F9F9CE21}</x14:id>
        </ext>
      </extLst>
    </cfRule>
  </conditionalFormatting>
  <conditionalFormatting sqref="AF569:AF589">
    <cfRule type="dataBar" priority="5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{22F29DAD-A96D-4CBB-B84B-0E3041683EEF}</x14:id>
        </ext>
      </extLst>
    </cfRule>
  </conditionalFormatting>
  <conditionalFormatting sqref="AF591:AF611">
    <cfRule type="dataBar" priority="9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{C9CCDEC2-F93E-4EFB-8495-4D48C8688C02}</x14:id>
        </ext>
      </extLst>
    </cfRule>
  </conditionalFormatting>
  <conditionalFormatting sqref="AG6">
    <cfRule type="dataBar" priority="2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{2326A904-F411-4613-917E-0EB7F0DE27DB}</x14:id>
        </ext>
      </extLst>
    </cfRule>
    <cfRule type="dataBar" priority="2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{485EE733-51F5-4366-8CF4-675F4D890D9B}</x14:id>
        </ext>
      </extLst>
    </cfRule>
  </conditionalFormatting>
  <conditionalFormatting sqref="AG7:AG15">
    <cfRule type="dataBar" priority="2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{A88C3CF5-D7C8-4062-94D9-C7320AD088E7}</x14:id>
        </ext>
      </extLst>
    </cfRule>
    <cfRule type="dataBar" priority="2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{91EE7449-6FC4-47E3-B183-7D608E086769}</x14:id>
        </ext>
      </extLst>
    </cfRule>
  </conditionalFormatting>
  <conditionalFormatting sqref="AG16">
    <cfRule type="dataBar" priority="5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{70586DB3-A98E-4B23-96FC-244F472ACB40}</x14:id>
        </ext>
      </extLst>
    </cfRule>
  </conditionalFormatting>
  <conditionalFormatting sqref="AG17">
    <cfRule type="dataBar" priority="1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{7301A472-05CF-428B-A824-EA88E9CAB094}</x14:id>
        </ext>
      </extLst>
    </cfRule>
    <cfRule type="dataBar" priority="1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{9DC74287-8663-45E7-98AE-425EFA4C6B83}</x14:id>
        </ext>
      </extLst>
    </cfRule>
  </conditionalFormatting>
  <conditionalFormatting sqref="AG18">
    <cfRule type="dataBar" priority="1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{134F2645-988C-4385-8761-5EB849DDD1E9}</x14:id>
        </ext>
      </extLst>
    </cfRule>
    <cfRule type="dataBar" priority="1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{7DD5311D-D780-4805-8C3C-19745563C325}</x14:id>
        </ext>
      </extLst>
    </cfRule>
  </conditionalFormatting>
  <conditionalFormatting sqref="AG19">
    <cfRule type="dataBar" priority="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{84C36B99-0D11-4E54-806C-DD7D04D2A176}</x14:id>
        </ext>
      </extLst>
    </cfRule>
    <cfRule type="dataBar" priority="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{DE4DCE3D-BCF0-477A-BD2C-5516AA1012EB}</x14:id>
        </ext>
      </extLst>
    </cfRule>
  </conditionalFormatting>
  <conditionalFormatting sqref="AG20">
    <cfRule type="dataBar" priority="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{047E694A-BED3-48F5-8776-7652FA25615D}</x14:id>
        </ext>
      </extLst>
    </cfRule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{3C43143C-55C5-4E1B-92BE-6C950DF8E378}</x14:id>
        </ext>
      </extLst>
    </cfRule>
  </conditionalFormatting>
  <conditionalFormatting sqref="AG21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{05712403-61EB-4775-BA06-411B896B8881}</x14:id>
        </ext>
      </extLst>
    </cfRule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{D4508FE1-CC08-4B2B-9304-E6F680C27370}</x14:id>
        </ext>
      </extLst>
    </cfRule>
  </conditionalFormatting>
  <conditionalFormatting sqref="AG22:AG56 AG16">
    <cfRule type="dataBar" priority="5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{14A04071-E032-4DE7-8421-F8E65CA6EEE5}</x14:id>
        </ext>
      </extLst>
    </cfRule>
  </conditionalFormatting>
  <conditionalFormatting sqref="AG58">
    <cfRule type="dataBar" priority="2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{28F66851-3387-443D-93CD-695100693995}</x14:id>
        </ext>
      </extLst>
    </cfRule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{E8BD8324-E21C-45D9-ACF2-3E337D119DF9}</x14:id>
        </ext>
      </extLst>
    </cfRule>
  </conditionalFormatting>
  <conditionalFormatting sqref="AG59:AG67">
    <cfRule type="dataBar" priority="2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{2FF117CD-D1EA-4D97-916A-B20C6D967E93}</x14:id>
        </ext>
      </extLst>
    </cfRule>
    <cfRule type="dataBar" priority="2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{11016B78-8722-489B-80ED-593D06BC7B02}</x14:id>
        </ext>
      </extLst>
    </cfRule>
  </conditionalFormatting>
  <conditionalFormatting sqref="AG68">
    <cfRule type="dataBar" priority="2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{E607D605-F83A-4FAF-9376-BE5BED9BFA58}</x14:id>
        </ext>
      </extLst>
    </cfRule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{599CE078-EC54-48F5-A2C9-5F20639095E0}</x14:id>
        </ext>
      </extLst>
    </cfRule>
  </conditionalFormatting>
  <conditionalFormatting sqref="AG69:AG77">
    <cfRule type="dataBar" priority="2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{A9AAD502-01C1-49D0-BC97-89868FB8E69F}</x14:id>
        </ext>
      </extLst>
    </cfRule>
    <cfRule type="dataBar" priority="2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{82568F1C-247A-4615-867A-E697468259FA}</x14:id>
        </ext>
      </extLst>
    </cfRule>
  </conditionalFormatting>
  <conditionalFormatting sqref="AG78:AG81 AG83:AG108">
    <cfRule type="dataBar" priority="5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{264748E1-2796-4AEC-81AA-C27922C2D7C3}</x14:id>
        </ext>
      </extLst>
    </cfRule>
  </conditionalFormatting>
  <conditionalFormatting sqref="AG82">
    <cfRule type="dataBar" priority="3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{4C647CD3-98E2-4DB0-AAF6-FB7D1313124C}</x14:id>
        </ext>
      </extLst>
    </cfRule>
  </conditionalFormatting>
  <conditionalFormatting sqref="AG115">
    <cfRule type="dataBar" priority="2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{29D099FC-6A44-4E3F-B268-6B9F734EAED8}</x14:id>
        </ext>
      </extLst>
    </cfRule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{AA0BDEE1-2411-4B31-8E62-3EF952DC432C}</x14:id>
        </ext>
      </extLst>
    </cfRule>
  </conditionalFormatting>
  <conditionalFormatting sqref="AG116:AG124">
    <cfRule type="dataBar" priority="2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{7A16017A-262C-4D12-8425-78644ED2654F}</x14:id>
        </ext>
      </extLst>
    </cfRule>
    <cfRule type="dataBar" priority="2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{E745128D-C84F-40F2-B86E-8D3592629B7A}</x14:id>
        </ext>
      </extLst>
    </cfRule>
  </conditionalFormatting>
  <conditionalFormatting sqref="AG125">
    <cfRule type="dataBar" priority="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{E5939937-8999-4E51-A54D-DE93E1EDBB3F}</x14:id>
        </ext>
      </extLst>
    </cfRule>
    <cfRule type="dataBar" priority="2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{DF77D0CF-8971-4198-A4C6-E580CBF553EC}</x14:id>
        </ext>
      </extLst>
    </cfRule>
  </conditionalFormatting>
  <conditionalFormatting sqref="AG126:AG134">
    <cfRule type="dataBar" priority="2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{B20E28C1-DBB4-4822-B378-55D5E5BD5F66}</x14:id>
        </ext>
      </extLst>
    </cfRule>
    <cfRule type="dataBar" priority="2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{5F208EDD-D121-4EFE-A3A3-5EA165A2BA8C}</x14:id>
        </ext>
      </extLst>
    </cfRule>
  </conditionalFormatting>
  <conditionalFormatting sqref="AG135:AG165">
    <cfRule type="dataBar" priority="5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{4F51C0EE-4142-49EA-8955-A30D75D69422}</x14:id>
        </ext>
      </extLst>
    </cfRule>
  </conditionalFormatting>
  <conditionalFormatting sqref="AG168">
    <cfRule type="dataBar" priority="2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{839CC6E2-7016-44DD-9FCB-635097F6BF96}</x14:id>
        </ext>
      </extLst>
    </cfRule>
    <cfRule type="dataBar" priority="2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{64E6746C-2C5A-4F47-93A9-997B345E4426}</x14:id>
        </ext>
      </extLst>
    </cfRule>
  </conditionalFormatting>
  <conditionalFormatting sqref="AG169:AG177">
    <cfRule type="dataBar" priority="2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{4CFBC888-70FC-4BF7-8E35-E9463D001388}</x14:id>
        </ext>
      </extLst>
    </cfRule>
    <cfRule type="dataBar" priority="2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{F41E0449-5B34-4A1C-8A8D-79FAFBA316DA}</x14:id>
        </ext>
      </extLst>
    </cfRule>
  </conditionalFormatting>
  <conditionalFormatting sqref="AG178">
    <cfRule type="dataBar" priority="2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{78A934AF-655D-4B19-B475-9EA2D13FFC0C}</x14:id>
        </ext>
      </extLst>
    </cfRule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{44EE037C-1115-4CA3-B10D-7466BADCDEA7}</x14:id>
        </ext>
      </extLst>
    </cfRule>
  </conditionalFormatting>
  <conditionalFormatting sqref="AG179:AG187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{3F2873C8-DC1D-46D3-9C90-E5248DF37451}</x14:id>
        </ext>
      </extLst>
    </cfRule>
    <cfRule type="dataBar" priority="2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{8C46D637-7CA6-420D-A837-C65A667F9526}</x14:id>
        </ext>
      </extLst>
    </cfRule>
  </conditionalFormatting>
  <conditionalFormatting sqref="AG188:AG189"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{0B30656D-D080-49E4-A580-5C6AC28FCAC1}</x14:id>
        </ext>
      </extLst>
    </cfRule>
    <cfRule type="dataBar" priority="2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{1F0B3D0D-6F23-46E1-81BE-6FC4F97F207C}</x14:id>
        </ext>
      </extLst>
    </cfRule>
  </conditionalFormatting>
  <conditionalFormatting sqref="AG190:AG218">
    <cfRule type="dataBar" priority="5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{3B1C0070-EDB6-4291-8135-EA9FA0B66FF5}</x14:id>
        </ext>
      </extLst>
    </cfRule>
  </conditionalFormatting>
  <conditionalFormatting sqref="AG223:AG242">
    <cfRule type="dataBar" priority="2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{1B65251B-CAA8-42C8-AD5A-436F95236876}</x14:id>
        </ext>
      </extLst>
    </cfRule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{AF603061-C079-40D0-B9E3-B6072F28A8F7}</x14:id>
        </ext>
      </extLst>
    </cfRule>
  </conditionalFormatting>
  <conditionalFormatting sqref="AG243:AG273">
    <cfRule type="dataBar" priority="5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{E5981396-A186-4DC4-9AE6-C1938DD2A195}</x14:id>
        </ext>
      </extLst>
    </cfRule>
  </conditionalFormatting>
  <conditionalFormatting sqref="AG274:AG275 AG443:AG462 AG535 AG166 AG219:AG221 AG109:AG113 AG414 AG558:AG566">
    <cfRule type="dataBar" priority="15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{CF845C64-3A72-43D5-85CA-9098AFF6319F}</x14:id>
        </ext>
      </extLst>
    </cfRule>
  </conditionalFormatting>
  <conditionalFormatting sqref="AG277:AG290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{1A33EC9E-73DA-4C2F-B891-3E4A1395FC77}</x14:id>
        </ext>
      </extLst>
    </cfRule>
    <cfRule type="dataBar" priority="2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{3C875356-502B-4872-8AFE-5F4C45455E43}</x14:id>
        </ext>
      </extLst>
    </cfRule>
  </conditionalFormatting>
  <conditionalFormatting sqref="AG291:AG327">
    <cfRule type="dataBar" priority="4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{6C087A94-5C55-41E3-A28E-F41634994F3C}</x14:id>
        </ext>
      </extLst>
    </cfRule>
  </conditionalFormatting>
  <conditionalFormatting sqref="AG329:AG335">
    <cfRule type="dataBar" priority="2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{8B12873A-A094-486B-A492-3BC3D9A2DAED}</x14:id>
        </ext>
      </extLst>
    </cfRule>
    <cfRule type="dataBar" priority="2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{A8014B91-90C7-4EEF-9570-0D5F5A6ABF38}</x14:id>
        </ext>
      </extLst>
    </cfRule>
  </conditionalFormatting>
  <conditionalFormatting sqref="AG336">
    <cfRule type="dataBar" priority="2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{A8AFC6F3-1072-4A34-8912-0FA61B367500}</x14:id>
        </ext>
      </extLst>
    </cfRule>
    <cfRule type="dataBar" priority="2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{A4CE9A62-CC9D-4F8A-9F03-CC26F0A42CD9}</x14:id>
        </ext>
      </extLst>
    </cfRule>
  </conditionalFormatting>
  <conditionalFormatting sqref="AG337:AG359">
    <cfRule type="dataBar" priority="4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{9EC4359A-2A72-4CD3-9C8D-FD0C6D39E4ED}</x14:id>
        </ext>
      </extLst>
    </cfRule>
  </conditionalFormatting>
  <conditionalFormatting sqref="AG361:AG370">
    <cfRule type="dataBar" priority="2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{5A481277-2387-4593-B396-396C9F3EA3D6}</x14:id>
        </ext>
      </extLst>
    </cfRule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{75291750-D1D4-4CCF-863D-E50D9F1079AF}</x14:id>
        </ext>
      </extLst>
    </cfRule>
  </conditionalFormatting>
  <conditionalFormatting sqref="AG371:AG386">
    <cfRule type="dataBar" priority="4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{F9146893-BF57-48D2-931A-27D854C9620F}</x14:id>
        </ext>
      </extLst>
    </cfRule>
  </conditionalFormatting>
  <conditionalFormatting sqref="AG388:AG397">
    <cfRule type="dataBar" priority="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{DEF0E5F2-1AC4-41DD-BA36-6D66F8F635BB}</x14:id>
        </ext>
      </extLst>
    </cfRule>
    <cfRule type="dataBar" priority="2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{5B2AFFBA-1749-4E4D-9174-A9A67F5EF225}</x14:id>
        </ext>
      </extLst>
    </cfRule>
  </conditionalFormatting>
  <conditionalFormatting sqref="AG398:AG413">
    <cfRule type="dataBar" priority="5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{FADEDCB5-FC37-4915-B533-51C51ECDE936}</x14:id>
        </ext>
      </extLst>
    </cfRule>
  </conditionalFormatting>
  <conditionalFormatting sqref="AG416:AG441">
    <cfRule type="dataBar" priority="5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{D974F8A4-1A2E-4735-A387-DBDF78572686}</x14:id>
        </ext>
      </extLst>
    </cfRule>
  </conditionalFormatting>
  <conditionalFormatting sqref="AG464:AG484">
    <cfRule type="dataBar" priority="5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{0B530C4C-4EAE-4B10-9F66-EB2904BCE80A}</x14:id>
        </ext>
      </extLst>
    </cfRule>
  </conditionalFormatting>
  <conditionalFormatting sqref="AG486:AG511">
    <cfRule type="dataBar" priority="5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{E380D118-5100-4410-AB7A-9D5EF6F7475F}</x14:id>
        </ext>
      </extLst>
    </cfRule>
  </conditionalFormatting>
  <conditionalFormatting sqref="AG513:AG534">
    <cfRule type="dataBar" priority="5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{F019D982-4544-4D9A-8ED1-14F632B1A2E7}</x14:id>
        </ext>
      </extLst>
    </cfRule>
  </conditionalFormatting>
  <conditionalFormatting sqref="AG537:AG544">
    <cfRule type="dataBar" priority="2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{A7DE0978-D389-404C-BB0F-2F6255CD71FC}</x14:id>
        </ext>
      </extLst>
    </cfRule>
    <cfRule type="dataBar" priority="2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{B218A72B-DCBD-477A-AEAB-9A6DED3B0BD5}</x14:id>
        </ext>
      </extLst>
    </cfRule>
  </conditionalFormatting>
  <conditionalFormatting sqref="AG545:AG557">
    <cfRule type="dataBar" priority="5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{5CB532E4-2D19-4346-93F6-042D88BAD116}</x14:id>
        </ext>
      </extLst>
    </cfRule>
  </conditionalFormatting>
  <conditionalFormatting sqref="AG567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{5ACFBBFC-0B2D-4D9A-957B-73E0926D6DB2}</x14:id>
        </ext>
      </extLst>
    </cfRule>
  </conditionalFormatting>
  <conditionalFormatting sqref="AG569:AG576">
    <cfRule type="dataBar" priority="2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{B4255602-9F26-476A-A7B6-0B3C67CCEFF6}</x14:id>
        </ext>
      </extLst>
    </cfRule>
    <cfRule type="dataBar" priority="2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{C5D2B393-96B3-477F-BB3E-031A49D4572E}</x14:id>
        </ext>
      </extLst>
    </cfRule>
  </conditionalFormatting>
  <conditionalFormatting sqref="AG577:AG589">
    <cfRule type="dataBar" priority="5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{31D140D0-3A54-4C9D-8EA5-157576022475}</x14:id>
        </ext>
      </extLst>
    </cfRule>
  </conditionalFormatting>
  <conditionalFormatting sqref="AG591:AG598">
    <cfRule type="dataBar" priority="2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{8B986498-41C0-483D-B83D-F4349107ED12}</x14:id>
        </ext>
      </extLst>
    </cfRule>
    <cfRule type="dataBar" priority="2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{CCF54C8E-44DB-4544-BE07-85F4352400CE}</x14:id>
        </ext>
      </extLst>
    </cfRule>
  </conditionalFormatting>
  <conditionalFormatting sqref="AG599:AG611">
    <cfRule type="dataBar" priority="9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{E0D77BF7-9808-4C6E-B0AD-9F95AA008506}</x14:id>
        </ext>
      </extLst>
    </cfRule>
  </conditionalFormatting>
  <conditionalFormatting sqref="AH6:AH16 AH22:AH56">
    <cfRule type="dataBar" priority="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{2F22DD22-5701-4C27-8427-82FB32BCF26F}</x14:id>
        </ext>
      </extLst>
    </cfRule>
  </conditionalFormatting>
  <conditionalFormatting sqref="AH7:AH16">
    <cfRule type="dataBar" priority="76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{60310E23-B92A-41A1-A92B-25484A6FDC34}</x14:id>
        </ext>
      </extLst>
    </cfRule>
  </conditionalFormatting>
  <conditionalFormatting sqref="AH17">
    <cfRule type="dataBar" priority="1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{0285C3CB-FC80-4C6E-A253-44FC567B6196}</x14:id>
        </ext>
      </extLst>
    </cfRule>
    <cfRule type="dataBar" priority="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{1CFBB8E1-85E7-41DA-84FF-8004CDBB2204}</x14:id>
        </ext>
      </extLst>
    </cfRule>
    <cfRule type="dataBar" priority="1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{3CC28A0E-C3F4-4985-9231-47922748341F}</x14:id>
        </ext>
      </extLst>
    </cfRule>
  </conditionalFormatting>
  <conditionalFormatting sqref="AH18">
    <cfRule type="dataBar" priority="1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{D47576E1-32EB-451B-A868-3A7BD357BE47}</x14:id>
        </ext>
      </extLst>
    </cfRule>
    <cfRule type="dataBar" priority="1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{D083F110-FED2-4EE4-86F5-59637A3E1C49}</x14:id>
        </ext>
      </extLst>
    </cfRule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{6F7CF99C-684B-4E49-A67D-0ED629F8662E}</x14:id>
        </ext>
      </extLst>
    </cfRule>
  </conditionalFormatting>
  <conditionalFormatting sqref="AH19">
    <cfRule type="dataBar" priority="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{28C276A3-4E80-4284-9E3E-698C8BA498AC}</x14:id>
        </ext>
      </extLst>
    </cfRule>
    <cfRule type="dataBar" priority="10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{688C9697-68CB-4DD1-AFEA-D4B2AE869F85}</x14:id>
        </ext>
      </extLst>
    </cfRule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{3F8F26F2-3517-4D6A-BDC5-751C8702F8E1}</x14:id>
        </ext>
      </extLst>
    </cfRule>
  </conditionalFormatting>
  <conditionalFormatting sqref="AH20"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{3FF9DFDD-BA3A-41A7-9598-3496ACB5AE1D}</x14:id>
        </ext>
      </extLst>
    </cfRule>
    <cfRule type="dataBar" priority="8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{425C0079-D936-4190-A298-BB2D6D5388E5}</x14:id>
        </ext>
      </extLst>
    </cfRule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{390DF313-4F4A-4EFF-BF5B-818DBE3C6B15}</x14:id>
        </ext>
      </extLst>
    </cfRule>
  </conditionalFormatting>
  <conditionalFormatting sqref="AH21">
    <cfRule type="dataBar" priority="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{F1B49F30-B2DC-472D-B9BA-46A12D06BB3B}</x14:id>
        </ext>
      </extLst>
    </cfRule>
    <cfRule type="dataBar" priority="8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{99EDB701-6DCC-4073-9D74-7710CD813BF9}</x14:id>
        </ext>
      </extLst>
    </cfRule>
    <cfRule type="dataBar" priority="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{CB7CF8DC-E5EA-41C5-A004-162DF69648C5}</x14:id>
        </ext>
      </extLst>
    </cfRule>
  </conditionalFormatting>
  <conditionalFormatting sqref="AH58:AH81">
    <cfRule type="dataBar" priority="76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{666C2D3F-B824-43D6-9B6B-E6E4FF068EF3}</x14:id>
        </ext>
      </extLst>
    </cfRule>
  </conditionalFormatting>
  <conditionalFormatting sqref="AH58:AH113"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{7B9C6146-4130-4A69-97D4-155FDE33FB8B}</x14:id>
        </ext>
      </extLst>
    </cfRule>
  </conditionalFormatting>
  <conditionalFormatting sqref="AH82">
    <cfRule type="dataBar" priority="38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{88ACBF35-0576-4224-BE4B-A170913AD4BE}</x14:id>
        </ext>
      </extLst>
    </cfRule>
  </conditionalFormatting>
  <conditionalFormatting sqref="AH83:AH87">
    <cfRule type="dataBar" priority="7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{5B65FDA8-0C04-40A7-8676-E95311EFABD3}</x14:id>
        </ext>
      </extLst>
    </cfRule>
  </conditionalFormatting>
  <conditionalFormatting sqref="AH115:AH136">
    <cfRule type="dataBar" priority="76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{66383101-9451-4FAF-8972-C0B1B6486944}</x14:id>
        </ext>
      </extLst>
    </cfRule>
  </conditionalFormatting>
  <conditionalFormatting sqref="AH115:AH166">
    <cfRule type="dataBar" priority="1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{7C19F70D-8F1A-407A-8427-3C6DACB6AE5F}</x14:id>
        </ext>
      </extLst>
    </cfRule>
  </conditionalFormatting>
  <conditionalFormatting sqref="AH168:AH197">
    <cfRule type="dataBar" priority="75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{2130230A-A352-4E5C-B0D6-3C0776655812}</x14:id>
        </ext>
      </extLst>
    </cfRule>
  </conditionalFormatting>
  <conditionalFormatting sqref="AH168:AH221">
    <cfRule type="dataBar" priority="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{BD298DBB-6320-447D-95C3-5183AEA46B54}</x14:id>
        </ext>
      </extLst>
    </cfRule>
  </conditionalFormatting>
  <conditionalFormatting sqref="AH223:AH244 AH247:AH275">
    <cfRule type="dataBar" priority="1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{69344756-E0F2-496E-9895-66CB812F9D07}</x14:id>
        </ext>
      </extLst>
    </cfRule>
  </conditionalFormatting>
  <conditionalFormatting sqref="AH223:AH244">
    <cfRule type="dataBar" priority="75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{79DBC889-91B8-4116-80F0-85A75E141895}</x14:id>
        </ext>
      </extLst>
    </cfRule>
  </conditionalFormatting>
  <conditionalFormatting sqref="AH247:AH273">
    <cfRule type="dataBar" priority="7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{82BDBADA-19F7-4491-959E-0962F460FA3E}</x14:id>
        </ext>
      </extLst>
    </cfRule>
  </conditionalFormatting>
  <conditionalFormatting sqref="AH277:AH294">
    <cfRule type="dataBar" priority="75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{45A7C4F9-7857-41AB-B8E7-7B14642E1412}</x14:id>
        </ext>
      </extLst>
    </cfRule>
  </conditionalFormatting>
  <conditionalFormatting sqref="AH329:AH338">
    <cfRule type="dataBar" priority="75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{792453DA-BCFF-4360-AEBB-B586004486A6}</x14:id>
        </ext>
      </extLst>
    </cfRule>
  </conditionalFormatting>
  <conditionalFormatting sqref="AH361:AH373">
    <cfRule type="dataBar" priority="75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{B3CDE2FD-DDDF-4157-8C37-C40B51490551}</x14:id>
        </ext>
      </extLst>
    </cfRule>
  </conditionalFormatting>
  <conditionalFormatting sqref="AH388:AH400">
    <cfRule type="dataBar" priority="75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{D6C2A97C-B063-419A-B7E2-7F20D93376B5}</x14:id>
        </ext>
      </extLst>
    </cfRule>
  </conditionalFormatting>
  <conditionalFormatting sqref="AH416:AH431">
    <cfRule type="dataBar" priority="75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{51358BC6-A641-4F8D-827A-7B02A2D8D941}</x14:id>
        </ext>
      </extLst>
    </cfRule>
  </conditionalFormatting>
  <conditionalFormatting sqref="AH432:AH441">
    <cfRule type="dataBar" priority="7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{EDBBCCA4-234D-47DC-B96E-9C066722B2F3}</x14:id>
        </ext>
      </extLst>
    </cfRule>
  </conditionalFormatting>
  <conditionalFormatting sqref="AH464:AH473">
    <cfRule type="dataBar" priority="75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{71209B49-DE3F-4899-968E-71EF679A803E}</x14:id>
        </ext>
      </extLst>
    </cfRule>
  </conditionalFormatting>
  <conditionalFormatting sqref="AH474:AH484 AD464:AD484">
    <cfRule type="dataBar" priority="7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{69F9DF89-01D3-4A18-9F93-ADB3F6154B7C}</x14:id>
        </ext>
      </extLst>
    </cfRule>
  </conditionalFormatting>
  <conditionalFormatting sqref="AH486:AH501">
    <cfRule type="dataBar" priority="75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{EB20DEEE-CBB4-4D06-A3F0-5F1594EA9F1B}</x14:id>
        </ext>
      </extLst>
    </cfRule>
  </conditionalFormatting>
  <conditionalFormatting sqref="AH486:AH511">
    <cfRule type="dataBar" priority="1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{06C2B8AB-915F-4121-BD83-0C3147D9CDCB}</x14:id>
        </ext>
      </extLst>
    </cfRule>
  </conditionalFormatting>
  <conditionalFormatting sqref="AH513:AH523">
    <cfRule type="dataBar" priority="75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{FB18D7C6-C238-4B75-B6E1-7C9660E24828}</x14:id>
        </ext>
      </extLst>
    </cfRule>
  </conditionalFormatting>
  <conditionalFormatting sqref="AH513:AH535">
    <cfRule type="dataBar" priority="1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{F7D4BA19-4E54-4D88-ACEA-A1F7F4C4E0A8}</x14:id>
        </ext>
      </extLst>
    </cfRule>
  </conditionalFormatting>
  <conditionalFormatting sqref="AH537:AH544">
    <cfRule type="dataBar" priority="74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{BEB6D235-D02A-4F68-BC89-583FE0639F1D}</x14:id>
        </ext>
      </extLst>
    </cfRule>
  </conditionalFormatting>
  <conditionalFormatting sqref="AH567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{84EE9263-2E24-4DA3-B0F3-7792A27DD941}</x14:id>
        </ext>
      </extLst>
    </cfRule>
  </conditionalFormatting>
  <conditionalFormatting sqref="AH569:AH576">
    <cfRule type="dataBar" priority="74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{5266E49D-5C58-46C1-839C-E46B3C7848B5}</x14:id>
        </ext>
      </extLst>
    </cfRule>
  </conditionalFormatting>
  <conditionalFormatting sqref="AH569:AH589 AH247:AH511 AH6:AH16 AH22:AH244 AH513:AH535 AH537:AH566 AH591:AH611">
    <cfRule type="dataBar" priority="16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{AF98AA2C-33E5-43FE-98D3-EFEAA612ACDC}</x14:id>
        </ext>
      </extLst>
    </cfRule>
  </conditionalFormatting>
  <conditionalFormatting sqref="AH591:AH598">
    <cfRule type="dataBar" priority="74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{5414EB3E-3DAD-49E9-A862-AE0D2B6D17D2}</x14:id>
        </ext>
      </extLst>
    </cfRule>
  </conditionalFormatting>
  <conditionalFormatting sqref="AI6:AI22">
    <cfRule type="dataBar" priority="7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{FE77AC1B-93A6-4DDA-B95D-B8DD38A41274}</x14:id>
        </ext>
      </extLst>
    </cfRule>
  </conditionalFormatting>
  <conditionalFormatting sqref="AI58:AI81">
    <cfRule type="dataBar" priority="7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{F65EBA11-B384-4F6E-9D9E-BCE14F196807}</x14:id>
        </ext>
      </extLst>
    </cfRule>
  </conditionalFormatting>
  <conditionalFormatting sqref="AI82">
    <cfRule type="dataBar" priority="37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{BC3466A2-F6A0-4EED-9120-0EF201295890}</x14:id>
        </ext>
      </extLst>
    </cfRule>
  </conditionalFormatting>
  <conditionalFormatting sqref="AI83:AI87">
    <cfRule type="dataBar" priority="7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{6607DED3-120E-44C0-A2D0-2E8DE7981AC0}</x14:id>
        </ext>
      </extLst>
    </cfRule>
  </conditionalFormatting>
  <conditionalFormatting sqref="AI115:AI136">
    <cfRule type="dataBar" priority="7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{6DB1B3AF-1825-476B-945E-FE639F6A759B}</x14:id>
        </ext>
      </extLst>
    </cfRule>
  </conditionalFormatting>
  <conditionalFormatting sqref="AI168:AI197">
    <cfRule type="dataBar" priority="7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{B2871C73-CB04-4FED-92DC-6DC6B39132B2}</x14:id>
        </ext>
      </extLst>
    </cfRule>
  </conditionalFormatting>
  <conditionalFormatting sqref="AI223:AI246">
    <cfRule type="dataBar" priority="7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{8FA46181-06D4-492B-A0D7-11CB6335D10B}</x14:id>
        </ext>
      </extLst>
    </cfRule>
  </conditionalFormatting>
  <conditionalFormatting sqref="AI247:AI273">
    <cfRule type="dataBar" priority="7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{6F6CC7A2-E8D8-4D80-9FD4-701BBDF157F6}</x14:id>
        </ext>
      </extLst>
    </cfRule>
  </conditionalFormatting>
  <conditionalFormatting sqref="AI277:AI294">
    <cfRule type="dataBar" priority="7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{9619DA28-E8B9-4B9C-8BE5-2D48CDEC0901}</x14:id>
        </ext>
      </extLst>
    </cfRule>
  </conditionalFormatting>
  <conditionalFormatting sqref="AI329:AI338">
    <cfRule type="dataBar" priority="7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{59E74B51-818E-4074-ABAB-339C46550BBB}</x14:id>
        </ext>
      </extLst>
    </cfRule>
  </conditionalFormatting>
  <conditionalFormatting sqref="AI361:AI373">
    <cfRule type="dataBar" priority="7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{4DB93B58-1913-4881-83D1-477DA9AC7016}</x14:id>
        </ext>
      </extLst>
    </cfRule>
  </conditionalFormatting>
  <conditionalFormatting sqref="AI388:AI400">
    <cfRule type="dataBar" priority="7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{E2C9F3A3-2A1F-4D28-95E5-000BE8532C34}</x14:id>
        </ext>
      </extLst>
    </cfRule>
  </conditionalFormatting>
  <conditionalFormatting sqref="AI416:AI431">
    <cfRule type="dataBar" priority="7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{C054DDBA-73BC-4F85-A1FB-E11974D75E35}</x14:id>
        </ext>
      </extLst>
    </cfRule>
  </conditionalFormatting>
  <conditionalFormatting sqref="AI432:AI441 X432:X441">
    <cfRule type="dataBar" priority="7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{4B691102-B0F4-44EA-ADF4-B0B13ECF2062}</x14:id>
        </ext>
      </extLst>
    </cfRule>
  </conditionalFormatting>
  <conditionalFormatting sqref="AI443:AI450 X443:X450 X166 X414 AI535 AI166 AI219:AI220 AI109:AI112 AI414 AI274:AI275 AI558:AI563">
    <cfRule type="dataBar" priority="16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{C213AE42-3581-4158-8F22-23FE53F036B3}</x14:id>
        </ext>
      </extLst>
    </cfRule>
  </conditionalFormatting>
  <conditionalFormatting sqref="AI464:AI473">
    <cfRule type="dataBar" priority="7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{8A328749-CA71-4F5F-A261-A9644B130A48}</x14:id>
        </ext>
      </extLst>
    </cfRule>
  </conditionalFormatting>
  <conditionalFormatting sqref="AI474:AI484">
    <cfRule type="dataBar" priority="7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{63984996-456B-49ED-BCE5-307752E61CB5}</x14:id>
        </ext>
      </extLst>
    </cfRule>
  </conditionalFormatting>
  <conditionalFormatting sqref="AI486:AI501">
    <cfRule type="dataBar" priority="7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{6348B17C-70DE-4D41-819A-81B63208BC11}</x14:id>
        </ext>
      </extLst>
    </cfRule>
  </conditionalFormatting>
  <conditionalFormatting sqref="AI513:AI523">
    <cfRule type="dataBar" priority="7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{F202C636-81A2-427C-B2D0-EBEE196480CE}</x14:id>
        </ext>
      </extLst>
    </cfRule>
  </conditionalFormatting>
  <conditionalFormatting sqref="AI537:AI544">
    <cfRule type="dataBar" priority="70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{29389FD3-09A2-4C5F-BAF1-3EFB6206B7EC}</x14:id>
        </ext>
      </extLst>
    </cfRule>
  </conditionalFormatting>
  <conditionalFormatting sqref="AI569:AI576">
    <cfRule type="dataBar" priority="70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{F8311E2A-F8CA-4D6D-A352-062DE03919E6}</x14:id>
        </ext>
      </extLst>
    </cfRule>
  </conditionalFormatting>
  <conditionalFormatting sqref="AI591:AI598">
    <cfRule type="dataBar" priority="70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{2C7CE4ED-1D81-414D-8A06-B1AE6D5546EA}</x14:id>
        </ext>
      </extLst>
    </cfRule>
  </conditionalFormatting>
  <pageMargins left="0.7" right="0.7" top="0.78740157499999996" bottom="0.78740157499999996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FBBF87-3E60-4B0A-9079-13308FB034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I6:I21</xm:sqref>
        </x14:conditionalFormatting>
        <x14:conditionalFormatting xmlns:xm="http://schemas.microsoft.com/office/excel/2006/main">
          <x14:cfRule type="dataBar" id="{C22AB333-9BB1-45E6-920C-7F3190E72A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J6:J21</xm:sqref>
        </x14:conditionalFormatting>
        <x14:conditionalFormatting xmlns:xm="http://schemas.microsoft.com/office/excel/2006/main">
          <x14:cfRule type="dataBar" id="{512F9AC2-7335-4FDF-B896-8BEEF42F4D1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M6:M20</xm:sqref>
        </x14:conditionalFormatting>
        <x14:conditionalFormatting xmlns:xm="http://schemas.microsoft.com/office/excel/2006/main">
          <x14:cfRule type="dataBar" id="{0CF474D3-294F-42B6-8D87-D9F9387C90A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90F1E687-DFC9-4AD3-8A44-737F54F3977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M58:M81</xm:sqref>
        </x14:conditionalFormatting>
        <x14:conditionalFormatting xmlns:xm="http://schemas.microsoft.com/office/excel/2006/main">
          <x14:cfRule type="dataBar" id="{8063C85C-6A5D-4322-A306-AC184A2269E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M82</xm:sqref>
        </x14:conditionalFormatting>
        <x14:conditionalFormatting xmlns:xm="http://schemas.microsoft.com/office/excel/2006/main">
          <x14:cfRule type="dataBar" id="{CD1CA1D8-5B54-4209-A8F2-23CCE33D841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M83:M84</xm:sqref>
        </x14:conditionalFormatting>
        <x14:conditionalFormatting xmlns:xm="http://schemas.microsoft.com/office/excel/2006/main">
          <x14:cfRule type="dataBar" id="{A892D560-7E4A-4AB8-A187-1E5876CE9F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M85:M87</xm:sqref>
        </x14:conditionalFormatting>
        <x14:conditionalFormatting xmlns:xm="http://schemas.microsoft.com/office/excel/2006/main">
          <x14:cfRule type="dataBar" id="{300E9CC1-8EAB-4FDD-BD81-CFEE561A15A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M115:M136</xm:sqref>
        </x14:conditionalFormatting>
        <x14:conditionalFormatting xmlns:xm="http://schemas.microsoft.com/office/excel/2006/main">
          <x14:cfRule type="dataBar" id="{BAB5B1AD-C95F-4856-B25D-A36AEF080B4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M168:M197</xm:sqref>
        </x14:conditionalFormatting>
        <x14:conditionalFormatting xmlns:xm="http://schemas.microsoft.com/office/excel/2006/main">
          <x14:cfRule type="dataBar" id="{177674DE-1967-40DF-905E-DBF6F52F66E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M199</xm:sqref>
        </x14:conditionalFormatting>
        <x14:conditionalFormatting xmlns:xm="http://schemas.microsoft.com/office/excel/2006/main">
          <x14:cfRule type="dataBar" id="{DA29D50B-4922-4665-A36E-E6F4112F9C0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M223:M246</xm:sqref>
        </x14:conditionalFormatting>
        <x14:conditionalFormatting xmlns:xm="http://schemas.microsoft.com/office/excel/2006/main">
          <x14:cfRule type="dataBar" id="{6EE5EC75-9B21-4E47-BD99-153CAEA38EF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M247</xm:sqref>
        </x14:conditionalFormatting>
        <x14:conditionalFormatting xmlns:xm="http://schemas.microsoft.com/office/excel/2006/main">
          <x14:cfRule type="dataBar" id="{6E33193E-04B3-4372-BB8F-1CFEC6617C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M248:M273</xm:sqref>
        </x14:conditionalFormatting>
        <x14:conditionalFormatting xmlns:xm="http://schemas.microsoft.com/office/excel/2006/main">
          <x14:cfRule type="dataBar" id="{A10CBB1D-3167-4C3A-BD56-9B08F95667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M274:M275 M443:M450 M535 M166 M219:M220 M109:M112 M414</xm:sqref>
        </x14:conditionalFormatting>
        <x14:conditionalFormatting xmlns:xm="http://schemas.microsoft.com/office/excel/2006/main">
          <x14:cfRule type="dataBar" id="{64EDD767-1D6C-4E5E-9305-9ECF142371F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M277:M294</xm:sqref>
        </x14:conditionalFormatting>
        <x14:conditionalFormatting xmlns:xm="http://schemas.microsoft.com/office/excel/2006/main">
          <x14:cfRule type="dataBar" id="{445F3249-D57D-413E-8D66-5CB2E7B32CC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M329:M338</xm:sqref>
        </x14:conditionalFormatting>
        <x14:conditionalFormatting xmlns:xm="http://schemas.microsoft.com/office/excel/2006/main">
          <x14:cfRule type="dataBar" id="{EBCBA817-1EA1-425C-B752-C143DF6CE27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M361:M373</xm:sqref>
        </x14:conditionalFormatting>
        <x14:conditionalFormatting xmlns:xm="http://schemas.microsoft.com/office/excel/2006/main">
          <x14:cfRule type="dataBar" id="{98947A4F-4D61-4562-A596-1B48FE85136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M388:M400</xm:sqref>
        </x14:conditionalFormatting>
        <x14:conditionalFormatting xmlns:xm="http://schemas.microsoft.com/office/excel/2006/main">
          <x14:cfRule type="dataBar" id="{227CBC59-4163-41BE-BC3B-BC79578F8F1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M416:M431</xm:sqref>
        </x14:conditionalFormatting>
        <x14:conditionalFormatting xmlns:xm="http://schemas.microsoft.com/office/excel/2006/main">
          <x14:cfRule type="dataBar" id="{8413E464-C51A-490C-9B25-8FC1B435D9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M432:M441</xm:sqref>
        </x14:conditionalFormatting>
        <x14:conditionalFormatting xmlns:xm="http://schemas.microsoft.com/office/excel/2006/main">
          <x14:cfRule type="dataBar" id="{E481A88F-453D-423E-BDD8-BCB7A2E8ED7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M464:M473</xm:sqref>
        </x14:conditionalFormatting>
        <x14:conditionalFormatting xmlns:xm="http://schemas.microsoft.com/office/excel/2006/main">
          <x14:cfRule type="dataBar" id="{1B99CB07-C144-4EBD-80A3-75A8CD244F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M474:M484</xm:sqref>
        </x14:conditionalFormatting>
        <x14:conditionalFormatting xmlns:xm="http://schemas.microsoft.com/office/excel/2006/main">
          <x14:cfRule type="dataBar" id="{6D648200-E0DC-4BD1-BCF6-A83187F9D92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M486:M501</xm:sqref>
        </x14:conditionalFormatting>
        <x14:conditionalFormatting xmlns:xm="http://schemas.microsoft.com/office/excel/2006/main">
          <x14:cfRule type="dataBar" id="{8043BCB2-6288-495D-AC61-ED268B321FE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M513:M523</xm:sqref>
        </x14:conditionalFormatting>
        <x14:conditionalFormatting xmlns:xm="http://schemas.microsoft.com/office/excel/2006/main">
          <x14:cfRule type="dataBar" id="{422AEE10-971E-4FBF-A363-A3E77D5475D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M537:M544</xm:sqref>
        </x14:conditionalFormatting>
        <x14:conditionalFormatting xmlns:xm="http://schemas.microsoft.com/office/excel/2006/main">
          <x14:cfRule type="dataBar" id="{ECBE506A-1A7C-415B-ABDB-53D29C0746B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M551:M566</xm:sqref>
        </x14:conditionalFormatting>
        <x14:conditionalFormatting xmlns:xm="http://schemas.microsoft.com/office/excel/2006/main">
          <x14:cfRule type="dataBar" id="{E5FC8D10-25AF-4450-AC3B-BCB266E8F9B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M567</xm:sqref>
        </x14:conditionalFormatting>
        <x14:conditionalFormatting xmlns:xm="http://schemas.microsoft.com/office/excel/2006/main">
          <x14:cfRule type="dataBar" id="{9651309E-D1B5-4681-9767-57BAC0F08C1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M569:M576</xm:sqref>
        </x14:conditionalFormatting>
        <x14:conditionalFormatting xmlns:xm="http://schemas.microsoft.com/office/excel/2006/main">
          <x14:cfRule type="dataBar" id="{D8D205D4-0920-4556-B8AE-C1151F38146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M591:M598</xm:sqref>
        </x14:conditionalFormatting>
        <x14:conditionalFormatting xmlns:xm="http://schemas.microsoft.com/office/excel/2006/main">
          <x14:cfRule type="dataBar" id="{83EA3C92-9014-4FBA-9F11-F723DA9642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N82</xm:sqref>
        </x14:conditionalFormatting>
        <x14:conditionalFormatting xmlns:xm="http://schemas.microsoft.com/office/excel/2006/main">
          <x14:cfRule type="dataBar" id="{3B1346AF-7B6A-451A-9344-CF113A899C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N274:N275 N443:N462 N535 N166 N219:N221 N109:N113 N414 N21 N558:N566</xm:sqref>
        </x14:conditionalFormatting>
        <x14:conditionalFormatting xmlns:xm="http://schemas.microsoft.com/office/excel/2006/main">
          <x14:cfRule type="dataBar" id="{FD7FA144-AAC2-4B93-BCF6-EE7314A5E9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N567</xm:sqref>
        </x14:conditionalFormatting>
        <x14:conditionalFormatting xmlns:xm="http://schemas.microsoft.com/office/excel/2006/main">
          <x14:cfRule type="dataBar" id="{1FA96249-D6BE-4445-A67D-A935670938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N6:O20</xm:sqref>
        </x14:conditionalFormatting>
        <x14:conditionalFormatting xmlns:xm="http://schemas.microsoft.com/office/excel/2006/main">
          <x14:cfRule type="dataBar" id="{F0D5F612-C3D0-4B20-9212-B91B5EFE0D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N22:O56 N6:O20</xm:sqref>
        </x14:conditionalFormatting>
        <x14:conditionalFormatting xmlns:xm="http://schemas.microsoft.com/office/excel/2006/main">
          <x14:cfRule type="dataBar" id="{1554E3D4-F474-445D-937D-2A4311E853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N83:O108 N58:N81</xm:sqref>
        </x14:conditionalFormatting>
        <x14:conditionalFormatting xmlns:xm="http://schemas.microsoft.com/office/excel/2006/main">
          <x14:cfRule type="dataBar" id="{92AA8D22-D575-4CE6-A4FF-39763463DC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N137:O165 N115:N136</xm:sqref>
        </x14:conditionalFormatting>
        <x14:conditionalFormatting xmlns:xm="http://schemas.microsoft.com/office/excel/2006/main">
          <x14:cfRule type="dataBar" id="{6EFE35CA-CF72-439D-A94D-6350A32C8E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N168:O169 N198:O218 N170:N197</xm:sqref>
        </x14:conditionalFormatting>
        <x14:conditionalFormatting xmlns:xm="http://schemas.microsoft.com/office/excel/2006/main">
          <x14:cfRule type="dataBar" id="{0538A825-3D8A-4534-A174-771AFADA69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N247:O273 N223:N246</xm:sqref>
        </x14:conditionalFormatting>
        <x14:conditionalFormatting xmlns:xm="http://schemas.microsoft.com/office/excel/2006/main">
          <x14:cfRule type="dataBar" id="{F8CAB0B8-9E90-4F5B-993E-D2AB315F63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N295:O327 N277:N294</xm:sqref>
        </x14:conditionalFormatting>
        <x14:conditionalFormatting xmlns:xm="http://schemas.microsoft.com/office/excel/2006/main">
          <x14:cfRule type="dataBar" id="{B3507F84-4733-4A7C-89B9-4658886E54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N339:O359 N329:N338</xm:sqref>
        </x14:conditionalFormatting>
        <x14:conditionalFormatting xmlns:xm="http://schemas.microsoft.com/office/excel/2006/main">
          <x14:cfRule type="dataBar" id="{C3640F49-10D8-49EA-BFE3-26ADEB3498E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N374:O386 N361:N373</xm:sqref>
        </x14:conditionalFormatting>
        <x14:conditionalFormatting xmlns:xm="http://schemas.microsoft.com/office/excel/2006/main">
          <x14:cfRule type="dataBar" id="{A449A31A-B81E-45FD-9B97-9747CC410C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N401:O413 N388:N400</xm:sqref>
        </x14:conditionalFormatting>
        <x14:conditionalFormatting xmlns:xm="http://schemas.microsoft.com/office/excel/2006/main">
          <x14:cfRule type="dataBar" id="{692E5D4B-CEF8-4419-99A6-B52873CCCD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N432:O441 N416:N431</xm:sqref>
        </x14:conditionalFormatting>
        <x14:conditionalFormatting xmlns:xm="http://schemas.microsoft.com/office/excel/2006/main">
          <x14:cfRule type="dataBar" id="{B5305B79-4E76-40D9-85DB-85C12B284E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N474:O484 N464:N473</xm:sqref>
        </x14:conditionalFormatting>
        <x14:conditionalFormatting xmlns:xm="http://schemas.microsoft.com/office/excel/2006/main">
          <x14:cfRule type="dataBar" id="{811D50EA-9507-402D-B404-A9AFCDF0BF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N502:O511 N486:N501</xm:sqref>
        </x14:conditionalFormatting>
        <x14:conditionalFormatting xmlns:xm="http://schemas.microsoft.com/office/excel/2006/main">
          <x14:cfRule type="dataBar" id="{5746340E-1682-4125-A8EE-AE81BC5722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N524:O534 N513:N523</xm:sqref>
        </x14:conditionalFormatting>
        <x14:conditionalFormatting xmlns:xm="http://schemas.microsoft.com/office/excel/2006/main">
          <x14:cfRule type="dataBar" id="{56AEB991-A412-4D87-8F40-7422D680B3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N545:O557 N537:N544</xm:sqref>
        </x14:conditionalFormatting>
        <x14:conditionalFormatting xmlns:xm="http://schemas.microsoft.com/office/excel/2006/main">
          <x14:cfRule type="dataBar" id="{0C302F96-8202-4739-9622-D264FA12D8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N577:O589 N569:N576</xm:sqref>
        </x14:conditionalFormatting>
        <x14:conditionalFormatting xmlns:xm="http://schemas.microsoft.com/office/excel/2006/main">
          <x14:cfRule type="dataBar" id="{682B6FEB-9608-49AE-BD90-57618F7AEB6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N599:O611 N591:N598</xm:sqref>
        </x14:conditionalFormatting>
        <x14:conditionalFormatting xmlns:xm="http://schemas.microsoft.com/office/excel/2006/main">
          <x14:cfRule type="dataBar" id="{EC60856C-1D2E-4F90-BF30-39D80D7F2E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7A0A4BD-2298-49F5-8A7A-E7FD955EE3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91F77DEF-A7E6-4646-B79F-1213C3A1C5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3C8412D-D741-4088-9D7E-9982413711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O58:O81</xm:sqref>
        </x14:conditionalFormatting>
        <x14:conditionalFormatting xmlns:xm="http://schemas.microsoft.com/office/excel/2006/main">
          <x14:cfRule type="dataBar" id="{859B7DA4-A595-4442-B256-49F5E0B081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D7BB6BF-7B21-4206-9A53-8A32A373EB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O82</xm:sqref>
        </x14:conditionalFormatting>
        <x14:conditionalFormatting xmlns:xm="http://schemas.microsoft.com/office/excel/2006/main">
          <x14:cfRule type="dataBar" id="{C74DC625-44B7-406A-90DF-4030968408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B1E3909-39EC-4344-918D-6824984A45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O115:O136</xm:sqref>
        </x14:conditionalFormatting>
        <x14:conditionalFormatting xmlns:xm="http://schemas.microsoft.com/office/excel/2006/main">
          <x14:cfRule type="dataBar" id="{4C8F22CE-BA53-4DAB-8B55-C89A9DBDEE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526D58E-0AC9-40CA-A672-09072B2EFC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O170:O197</xm:sqref>
        </x14:conditionalFormatting>
        <x14:conditionalFormatting xmlns:xm="http://schemas.microsoft.com/office/excel/2006/main">
          <x14:cfRule type="dataBar" id="{2FEBDE2B-6280-43BD-ACCD-D4F8E7A7DF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0DE1EC6-3D33-46C7-9FD4-7E21AE0C3F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O223:O246</xm:sqref>
        </x14:conditionalFormatting>
        <x14:conditionalFormatting xmlns:xm="http://schemas.microsoft.com/office/excel/2006/main">
          <x14:cfRule type="dataBar" id="{E865A287-0173-4C03-897D-C09C50540B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O274:O275 O443:O462 O535 O166 O219:O221 O109:O113 O414 O558:O566</xm:sqref>
        </x14:conditionalFormatting>
        <x14:conditionalFormatting xmlns:xm="http://schemas.microsoft.com/office/excel/2006/main">
          <x14:cfRule type="dataBar" id="{B5E6296E-2AFE-436B-B8BB-D74C2B8BB3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76332A8-CE84-4333-803A-DED1B3E2EC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O277:O294</xm:sqref>
        </x14:conditionalFormatting>
        <x14:conditionalFormatting xmlns:xm="http://schemas.microsoft.com/office/excel/2006/main">
          <x14:cfRule type="dataBar" id="{42C91B00-D335-4D61-803D-62EA70373E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AF012C0-415F-4FAF-8CE3-DE93F0FD5C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O329:O338</xm:sqref>
        </x14:conditionalFormatting>
        <x14:conditionalFormatting xmlns:xm="http://schemas.microsoft.com/office/excel/2006/main">
          <x14:cfRule type="dataBar" id="{EBBD951A-151E-430F-ABE7-5FC1DFB8B6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AC658A1-72A2-49B4-A81C-B5878C8CC6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O361:O373</xm:sqref>
        </x14:conditionalFormatting>
        <x14:conditionalFormatting xmlns:xm="http://schemas.microsoft.com/office/excel/2006/main">
          <x14:cfRule type="dataBar" id="{57C9A927-FE73-441E-A738-33B55CA012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50ED00F-AE4C-4CB5-861D-FA357F3D22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O388:O400</xm:sqref>
        </x14:conditionalFormatting>
        <x14:conditionalFormatting xmlns:xm="http://schemas.microsoft.com/office/excel/2006/main">
          <x14:cfRule type="dataBar" id="{018598CC-9AB6-498B-BAB4-78822C7FB2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EA99A95-33F2-4DAF-B78A-263AAA82DA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O416:O431</xm:sqref>
        </x14:conditionalFormatting>
        <x14:conditionalFormatting xmlns:xm="http://schemas.microsoft.com/office/excel/2006/main">
          <x14:cfRule type="dataBar" id="{86AFD498-BB5D-44BC-9E7E-F0D8F76525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0F458DA-0B66-4546-9C31-CBA803BBAA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O464:O473</xm:sqref>
        </x14:conditionalFormatting>
        <x14:conditionalFormatting xmlns:xm="http://schemas.microsoft.com/office/excel/2006/main">
          <x14:cfRule type="dataBar" id="{46A4FC7E-F7A8-472D-B0DE-8A443022BF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4474866-F163-40BE-BE15-9A9934233A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O486:O501</xm:sqref>
        </x14:conditionalFormatting>
        <x14:conditionalFormatting xmlns:xm="http://schemas.microsoft.com/office/excel/2006/main">
          <x14:cfRule type="dataBar" id="{8D283A06-CFCB-49DA-8CC5-21A9C1000F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EC9C255-7365-4B90-A6CE-E0D02F987F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O513:O523</xm:sqref>
        </x14:conditionalFormatting>
        <x14:conditionalFormatting xmlns:xm="http://schemas.microsoft.com/office/excel/2006/main">
          <x14:cfRule type="dataBar" id="{F91C3A0C-23D7-4E2E-B603-74F484EBB7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D995635-BC03-4716-A2A0-804D1FCA35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O537:O544</xm:sqref>
        </x14:conditionalFormatting>
        <x14:conditionalFormatting xmlns:xm="http://schemas.microsoft.com/office/excel/2006/main">
          <x14:cfRule type="dataBar" id="{96B209E7-450B-4154-B175-D02F3E12D0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O567</xm:sqref>
        </x14:conditionalFormatting>
        <x14:conditionalFormatting xmlns:xm="http://schemas.microsoft.com/office/excel/2006/main">
          <x14:cfRule type="dataBar" id="{6657E5B9-A57E-4BC1-8A2F-4F911648AA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86865EE-FFDA-420D-AB8D-3A5F5DB99B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O569:O576</xm:sqref>
        </x14:conditionalFormatting>
        <x14:conditionalFormatting xmlns:xm="http://schemas.microsoft.com/office/excel/2006/main">
          <x14:cfRule type="dataBar" id="{0C88B3B3-E3C0-4DC9-8C7A-7556AFAC02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664C589-95F5-4896-9E7D-F4609FFF9A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O591:O598</xm:sqref>
        </x14:conditionalFormatting>
        <x14:conditionalFormatting xmlns:xm="http://schemas.microsoft.com/office/excel/2006/main">
          <x14:cfRule type="dataBar" id="{243BE232-AA09-4EE6-B2D8-EFA1433499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P6:P56</xm:sqref>
        </x14:conditionalFormatting>
        <x14:conditionalFormatting xmlns:xm="http://schemas.microsoft.com/office/excel/2006/main">
          <x14:cfRule type="dataBar" id="{E3243E15-58F9-46C1-ACAF-285E80E619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P58:P81</xm:sqref>
        </x14:conditionalFormatting>
        <x14:conditionalFormatting xmlns:xm="http://schemas.microsoft.com/office/excel/2006/main">
          <x14:cfRule type="dataBar" id="{665DC233-E28A-40A0-A6FD-0EDB60FE38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E2AF2DE-CEC8-49F1-9244-BBF22796F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P58:P83</xm:sqref>
        </x14:conditionalFormatting>
        <x14:conditionalFormatting xmlns:xm="http://schemas.microsoft.com/office/excel/2006/main">
          <x14:cfRule type="dataBar" id="{224CC227-BDCF-4B9C-892B-D527DDB13D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P58:P113</xm:sqref>
        </x14:conditionalFormatting>
        <x14:conditionalFormatting xmlns:xm="http://schemas.microsoft.com/office/excel/2006/main">
          <x14:cfRule type="dataBar" id="{123B74B2-D57C-415E-863F-0EA1EEAD2E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BC99D1F-36FE-4B11-A072-7DEF5980A0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P109:P113</xm:sqref>
        </x14:conditionalFormatting>
        <x14:conditionalFormatting xmlns:xm="http://schemas.microsoft.com/office/excel/2006/main">
          <x14:cfRule type="dataBar" id="{1A81DBF9-9B65-48A3-B4D3-A55CC6299B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575AF1A-F65E-42D0-AC7E-4A42C7B16E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5FF0FC6-ABEF-4766-8F7D-A8F067C120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B519A97-2C25-4615-8D13-0113F2B659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D071324-8064-47AB-893C-A06CF59F2C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P115:P136</xm:sqref>
        </x14:conditionalFormatting>
        <x14:conditionalFormatting xmlns:xm="http://schemas.microsoft.com/office/excel/2006/main">
          <x14:cfRule type="dataBar" id="{58FEDAF4-45D1-4783-8CE2-B93ADA3FB4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P168:P197</xm:sqref>
        </x14:conditionalFormatting>
        <x14:conditionalFormatting xmlns:xm="http://schemas.microsoft.com/office/excel/2006/main">
          <x14:cfRule type="dataBar" id="{DA9B0D87-0C90-4E8E-9448-B67D11E062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P223:P246</xm:sqref>
        </x14:conditionalFormatting>
        <x14:conditionalFormatting xmlns:xm="http://schemas.microsoft.com/office/excel/2006/main">
          <x14:cfRule type="dataBar" id="{DD45156C-6B15-47EC-91E9-590D0393DA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P277:P294</xm:sqref>
        </x14:conditionalFormatting>
        <x14:conditionalFormatting xmlns:xm="http://schemas.microsoft.com/office/excel/2006/main">
          <x14:cfRule type="dataBar" id="{248FD832-5A19-4889-B9BA-880F29C332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P329:P338</xm:sqref>
        </x14:conditionalFormatting>
        <x14:conditionalFormatting xmlns:xm="http://schemas.microsoft.com/office/excel/2006/main">
          <x14:cfRule type="dataBar" id="{53C24F66-39FF-4F78-8E19-AC76EEEF7D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P361:P373</xm:sqref>
        </x14:conditionalFormatting>
        <x14:conditionalFormatting xmlns:xm="http://schemas.microsoft.com/office/excel/2006/main">
          <x14:cfRule type="dataBar" id="{F4D01540-3F0F-4FF6-BF8E-16FD51C274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P388:P400</xm:sqref>
        </x14:conditionalFormatting>
        <x14:conditionalFormatting xmlns:xm="http://schemas.microsoft.com/office/excel/2006/main">
          <x14:cfRule type="dataBar" id="{60FB3B50-2332-4562-81E5-27794B90CF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P416:P432</xm:sqref>
        </x14:conditionalFormatting>
        <x14:conditionalFormatting xmlns:xm="http://schemas.microsoft.com/office/excel/2006/main">
          <x14:cfRule type="dataBar" id="{44A98820-F395-42D1-9C2F-E980503F24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P464:P479</xm:sqref>
        </x14:conditionalFormatting>
        <x14:conditionalFormatting xmlns:xm="http://schemas.microsoft.com/office/excel/2006/main">
          <x14:cfRule type="dataBar" id="{A85CF302-4A74-47CC-A902-0F5CBB44E7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P486:P495</xm:sqref>
        </x14:conditionalFormatting>
        <x14:conditionalFormatting xmlns:xm="http://schemas.microsoft.com/office/excel/2006/main">
          <x14:cfRule type="dataBar" id="{CCA64B2F-9302-4121-B6EE-3D6E26F5AB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P513:P523</xm:sqref>
        </x14:conditionalFormatting>
        <x14:conditionalFormatting xmlns:xm="http://schemas.microsoft.com/office/excel/2006/main">
          <x14:cfRule type="dataBar" id="{B48F3A5D-AF2A-48F0-A3A2-042AD56A18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P537:P544</xm:sqref>
        </x14:conditionalFormatting>
        <x14:conditionalFormatting xmlns:xm="http://schemas.microsoft.com/office/excel/2006/main">
          <x14:cfRule type="dataBar" id="{69DEE5CA-772B-4DB8-A8DC-753574C793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A964C1B-784A-494B-949A-8D62D25AE4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579E0DC-7501-4B0F-AA4D-52D116F5FB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P567</xm:sqref>
        </x14:conditionalFormatting>
        <x14:conditionalFormatting xmlns:xm="http://schemas.microsoft.com/office/excel/2006/main">
          <x14:cfRule type="dataBar" id="{4D799456-3F99-4819-8413-97D8CBA182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P569:P589 P6:P484 P486:P511 P513:P535 P537:P566 P591:P611</xm:sqref>
        </x14:conditionalFormatting>
        <x14:conditionalFormatting xmlns:xm="http://schemas.microsoft.com/office/excel/2006/main">
          <x14:cfRule type="dataBar" id="{8887BD6D-F767-4EF6-ADAD-40D8AD0855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P569:P589 P6:P484 P486:P511 P513:P535 P537:P566 P591:P1048576</xm:sqref>
        </x14:conditionalFormatting>
        <x14:conditionalFormatting xmlns:xm="http://schemas.microsoft.com/office/excel/2006/main">
          <x14:cfRule type="dataBar" id="{B6D1CEA1-BA67-49D0-B3E0-332B118916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P569:P589 P168:P484 P486:P511 P513:P535 P537:P566 P591:P611</xm:sqref>
        </x14:conditionalFormatting>
        <x14:conditionalFormatting xmlns:xm="http://schemas.microsoft.com/office/excel/2006/main">
          <x14:cfRule type="dataBar" id="{EAEAC95A-888D-49AA-B8A4-0BD917C60D7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S6:S20</xm:sqref>
        </x14:conditionalFormatting>
        <x14:conditionalFormatting xmlns:xm="http://schemas.microsoft.com/office/excel/2006/main">
          <x14:cfRule type="dataBar" id="{468A8E16-C513-4B20-98F7-50D0FEA1BCD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S58:S81</xm:sqref>
        </x14:conditionalFormatting>
        <x14:conditionalFormatting xmlns:xm="http://schemas.microsoft.com/office/excel/2006/main">
          <x14:cfRule type="dataBar" id="{9670DBA3-5F65-42BF-924E-BE2459412A7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S58:S108</xm:sqref>
        </x14:conditionalFormatting>
        <x14:conditionalFormatting xmlns:xm="http://schemas.microsoft.com/office/excel/2006/main">
          <x14:cfRule type="dataBar" id="{28164545-B1ED-4F50-AC52-EC759D12ECA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S82</xm:sqref>
        </x14:conditionalFormatting>
        <x14:conditionalFormatting xmlns:xm="http://schemas.microsoft.com/office/excel/2006/main">
          <x14:cfRule type="dataBar" id="{34341D7C-C25B-4CEE-B3C5-EB6C5DD2CB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S83:S87</xm:sqref>
        </x14:conditionalFormatting>
        <x14:conditionalFormatting xmlns:xm="http://schemas.microsoft.com/office/excel/2006/main">
          <x14:cfRule type="dataBar" id="{F17BD5C4-225F-49CE-BBDD-04BEB9A4953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S115:S136</xm:sqref>
        </x14:conditionalFormatting>
        <x14:conditionalFormatting xmlns:xm="http://schemas.microsoft.com/office/excel/2006/main">
          <x14:cfRule type="dataBar" id="{475F78E6-3A38-4664-981C-61C4C5D8831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S168:S197</xm:sqref>
        </x14:conditionalFormatting>
        <x14:conditionalFormatting xmlns:xm="http://schemas.microsoft.com/office/excel/2006/main">
          <x14:cfRule type="dataBar" id="{9B76B437-5410-43C7-B45D-16E36DDA502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S223:S246</xm:sqref>
        </x14:conditionalFormatting>
        <x14:conditionalFormatting xmlns:xm="http://schemas.microsoft.com/office/excel/2006/main">
          <x14:cfRule type="dataBar" id="{BB124114-537E-4D76-955A-26F5645DB1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S247:S273</xm:sqref>
        </x14:conditionalFormatting>
        <x14:conditionalFormatting xmlns:xm="http://schemas.microsoft.com/office/excel/2006/main">
          <x14:cfRule type="dataBar" id="{C27D3CDE-E4EB-4B3C-8F8F-22AD9ECB32F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S277:S294</xm:sqref>
        </x14:conditionalFormatting>
        <x14:conditionalFormatting xmlns:xm="http://schemas.microsoft.com/office/excel/2006/main">
          <x14:cfRule type="dataBar" id="{3ACF98B9-51B1-47CD-9F4E-6CE48384D0B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S329:S338</xm:sqref>
        </x14:conditionalFormatting>
        <x14:conditionalFormatting xmlns:xm="http://schemas.microsoft.com/office/excel/2006/main">
          <x14:cfRule type="dataBar" id="{16A2C435-F068-4456-A51D-0659398FA3F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S361:S373</xm:sqref>
        </x14:conditionalFormatting>
        <x14:conditionalFormatting xmlns:xm="http://schemas.microsoft.com/office/excel/2006/main">
          <x14:cfRule type="dataBar" id="{04664EDA-D6A3-4429-A3E3-3D379E3EB3C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S388:S400</xm:sqref>
        </x14:conditionalFormatting>
        <x14:conditionalFormatting xmlns:xm="http://schemas.microsoft.com/office/excel/2006/main">
          <x14:cfRule type="dataBar" id="{27E3B391-1791-4C50-847A-E40146D97F8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S416:S431</xm:sqref>
        </x14:conditionalFormatting>
        <x14:conditionalFormatting xmlns:xm="http://schemas.microsoft.com/office/excel/2006/main">
          <x14:cfRule type="dataBar" id="{AE96BEF5-AABA-4C26-A1DE-D557871D24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S432:S441</xm:sqref>
        </x14:conditionalFormatting>
        <x14:conditionalFormatting xmlns:xm="http://schemas.microsoft.com/office/excel/2006/main">
          <x14:cfRule type="dataBar" id="{75F3B8C2-CBA3-454A-9D8E-EADA5CD2120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S464:S473</xm:sqref>
        </x14:conditionalFormatting>
        <x14:conditionalFormatting xmlns:xm="http://schemas.microsoft.com/office/excel/2006/main">
          <x14:cfRule type="dataBar" id="{D87EA9DE-23DB-4ADA-8075-4315D8016C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S474:S484</xm:sqref>
        </x14:conditionalFormatting>
        <x14:conditionalFormatting xmlns:xm="http://schemas.microsoft.com/office/excel/2006/main">
          <x14:cfRule type="dataBar" id="{C65C75AC-A0D0-4DA3-94DE-5D8513256DC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S486:S501</xm:sqref>
        </x14:conditionalFormatting>
        <x14:conditionalFormatting xmlns:xm="http://schemas.microsoft.com/office/excel/2006/main">
          <x14:cfRule type="dataBar" id="{9C97D5DD-B4AC-49E3-A11F-EF981D93960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S513:S523</xm:sqref>
        </x14:conditionalFormatting>
        <x14:conditionalFormatting xmlns:xm="http://schemas.microsoft.com/office/excel/2006/main">
          <x14:cfRule type="dataBar" id="{AA70DC04-0CF4-4286-B66E-0F1C52301EC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S537:S544</xm:sqref>
        </x14:conditionalFormatting>
        <x14:conditionalFormatting xmlns:xm="http://schemas.microsoft.com/office/excel/2006/main">
          <x14:cfRule type="dataBar" id="{AEAE3201-5E76-4930-895B-BD73330F5B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S558:S563 S274:S275 S443:S450 S535 S166 S219:S220 S109:S112 S414 S21</xm:sqref>
        </x14:conditionalFormatting>
        <x14:conditionalFormatting xmlns:xm="http://schemas.microsoft.com/office/excel/2006/main">
          <x14:cfRule type="dataBar" id="{539644B5-60BF-4A0E-AD46-8293A6AF647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S569:S576</xm:sqref>
        </x14:conditionalFormatting>
        <x14:conditionalFormatting xmlns:xm="http://schemas.microsoft.com/office/excel/2006/main">
          <x14:cfRule type="dataBar" id="{8680702B-14A3-42FB-8220-C901DFBC64E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S591:S598</xm:sqref>
        </x14:conditionalFormatting>
        <x14:conditionalFormatting xmlns:xm="http://schemas.microsoft.com/office/excel/2006/main">
          <x14:cfRule type="dataBar" id="{A9E6D088-44AB-4B5F-8036-D4C2870069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T6:T20</xm:sqref>
        </x14:conditionalFormatting>
        <x14:conditionalFormatting xmlns:xm="http://schemas.microsoft.com/office/excel/2006/main">
          <x14:cfRule type="dataBar" id="{9152F6A8-F71F-448D-A7AA-2915287B4E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T58:T81 T83:V108</xm:sqref>
        </x14:conditionalFormatting>
        <x14:conditionalFormatting xmlns:xm="http://schemas.microsoft.com/office/excel/2006/main">
          <x14:cfRule type="dataBar" id="{0334C735-232E-4CEA-BB12-6DD0C6E227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T82</xm:sqref>
        </x14:conditionalFormatting>
        <x14:conditionalFormatting xmlns:xm="http://schemas.microsoft.com/office/excel/2006/main">
          <x14:cfRule type="dataBar" id="{89272766-B018-4EE8-88DF-784A267CBA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T274:T275 T443:T462 T535 T166 T219:T221 T109:T113 T414 T21 T558:T566</xm:sqref>
        </x14:conditionalFormatting>
        <x14:conditionalFormatting xmlns:xm="http://schemas.microsoft.com/office/excel/2006/main">
          <x14:cfRule type="dataBar" id="{22268670-6DBD-49D6-A01A-7F2A203E80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T567</xm:sqref>
        </x14:conditionalFormatting>
        <x14:conditionalFormatting xmlns:xm="http://schemas.microsoft.com/office/excel/2006/main">
          <x14:cfRule type="dataBar" id="{A25480AE-86EF-47FE-98DE-DA93123995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T22:V56 T6:T20</xm:sqref>
        </x14:conditionalFormatting>
        <x14:conditionalFormatting xmlns:xm="http://schemas.microsoft.com/office/excel/2006/main">
          <x14:cfRule type="dataBar" id="{FAFF0A69-0950-44FA-AC07-20811E19F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T137:V165 T115:T136</xm:sqref>
        </x14:conditionalFormatting>
        <x14:conditionalFormatting xmlns:xm="http://schemas.microsoft.com/office/excel/2006/main">
          <x14:cfRule type="dataBar" id="{E2C175A0-B223-499F-AB90-86F36D8F14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T198:V218 T168:T197</xm:sqref>
        </x14:conditionalFormatting>
        <x14:conditionalFormatting xmlns:xm="http://schemas.microsoft.com/office/excel/2006/main">
          <x14:cfRule type="dataBar" id="{C7DFF890-3365-42A2-99DD-E974E98E55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T247:V273 T223:T246</xm:sqref>
        </x14:conditionalFormatting>
        <x14:conditionalFormatting xmlns:xm="http://schemas.microsoft.com/office/excel/2006/main">
          <x14:cfRule type="dataBar" id="{1FF62792-70A5-483B-86BA-DEA05A5434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T295:V327 T277:T294</xm:sqref>
        </x14:conditionalFormatting>
        <x14:conditionalFormatting xmlns:xm="http://schemas.microsoft.com/office/excel/2006/main">
          <x14:cfRule type="dataBar" id="{D52A8598-D613-4AF3-A223-5785B67D06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T339:V359 T329:T338</xm:sqref>
        </x14:conditionalFormatting>
        <x14:conditionalFormatting xmlns:xm="http://schemas.microsoft.com/office/excel/2006/main">
          <x14:cfRule type="dataBar" id="{08175A8F-AF25-411E-8C02-67C5533145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T374:V386 T361:T373</xm:sqref>
        </x14:conditionalFormatting>
        <x14:conditionalFormatting xmlns:xm="http://schemas.microsoft.com/office/excel/2006/main">
          <x14:cfRule type="dataBar" id="{98221D9C-C2A0-43AA-BEF6-143CFE247D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T400:V413 T388:T399</xm:sqref>
        </x14:conditionalFormatting>
        <x14:conditionalFormatting xmlns:xm="http://schemas.microsoft.com/office/excel/2006/main">
          <x14:cfRule type="dataBar" id="{33564C56-E54C-47EC-A1C9-618AD97DC9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T432:V441 T416:T431</xm:sqref>
        </x14:conditionalFormatting>
        <x14:conditionalFormatting xmlns:xm="http://schemas.microsoft.com/office/excel/2006/main">
          <x14:cfRule type="dataBar" id="{BC3164BE-C9B5-4223-A729-B6EF3390A2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T464:V484</xm:sqref>
        </x14:conditionalFormatting>
        <x14:conditionalFormatting xmlns:xm="http://schemas.microsoft.com/office/excel/2006/main">
          <x14:cfRule type="dataBar" id="{DE542C0D-6826-46E0-B5B6-5092DF25A1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T486:V511</xm:sqref>
        </x14:conditionalFormatting>
        <x14:conditionalFormatting xmlns:xm="http://schemas.microsoft.com/office/excel/2006/main">
          <x14:cfRule type="dataBar" id="{994A04F5-C923-4CC3-982D-0872D425DC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T524:V534 T513:T523</xm:sqref>
        </x14:conditionalFormatting>
        <x14:conditionalFormatting xmlns:xm="http://schemas.microsoft.com/office/excel/2006/main">
          <x14:cfRule type="dataBar" id="{36709E7A-C280-4469-9FFC-144186CC4A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T545:V556 T537:T544 T557</xm:sqref>
        </x14:conditionalFormatting>
        <x14:conditionalFormatting xmlns:xm="http://schemas.microsoft.com/office/excel/2006/main">
          <x14:cfRule type="dataBar" id="{B46E1CA5-F486-4C0E-BC55-316A1B6717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T577:V589 T569:T576</xm:sqref>
        </x14:conditionalFormatting>
        <x14:conditionalFormatting xmlns:xm="http://schemas.microsoft.com/office/excel/2006/main">
          <x14:cfRule type="dataBar" id="{DDA1225F-1086-4C79-B3A0-C0699A5C8A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T599:V611 T591:T598</xm:sqref>
        </x14:conditionalFormatting>
        <x14:conditionalFormatting xmlns:xm="http://schemas.microsoft.com/office/excel/2006/main">
          <x14:cfRule type="dataBar" id="{AD05270B-E1B9-42EA-8768-234B3BF341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C742B47-B7D8-4C60-9F01-85CB1CF7F6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U21</xm:sqref>
        </x14:conditionalFormatting>
        <x14:conditionalFormatting xmlns:xm="http://schemas.microsoft.com/office/excel/2006/main">
          <x14:cfRule type="dataBar" id="{8C4EAD8E-255B-41B0-A640-8518026B12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EFB7FA7-6926-4323-8210-AF398B6CEF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U6:V6 U7:U20 V7:V21 V58:V76</xm:sqref>
        </x14:conditionalFormatting>
        <x14:conditionalFormatting xmlns:xm="http://schemas.microsoft.com/office/excel/2006/main">
          <x14:cfRule type="dataBar" id="{2E38D9D5-65E3-4383-BC7A-4DE78D576F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17889E4-C2E0-43A4-BCFD-947E213AAE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U77:V82 U58:U76</xm:sqref>
        </x14:conditionalFormatting>
        <x14:conditionalFormatting xmlns:xm="http://schemas.microsoft.com/office/excel/2006/main">
          <x14:cfRule type="dataBar" id="{3CB593A5-0603-48A1-A58B-60AE19F205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C185A65-7CC9-4707-A7E3-DA26FCC134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U115:V130</xm:sqref>
        </x14:conditionalFormatting>
        <x14:conditionalFormatting xmlns:xm="http://schemas.microsoft.com/office/excel/2006/main">
          <x14:cfRule type="dataBar" id="{7ACE3DE8-05C5-49E1-A1EC-588E498122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EA46690-0605-4CEE-8008-FF0235CB7A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U131:V136</xm:sqref>
        </x14:conditionalFormatting>
        <x14:conditionalFormatting xmlns:xm="http://schemas.microsoft.com/office/excel/2006/main">
          <x14:cfRule type="dataBar" id="{1F6F83ED-BABA-4B2A-B839-7411CA551A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C268F9D-AFEF-410B-84B5-CC6B357477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U168:V183</xm:sqref>
        </x14:conditionalFormatting>
        <x14:conditionalFormatting xmlns:xm="http://schemas.microsoft.com/office/excel/2006/main">
          <x14:cfRule type="dataBar" id="{ED89F77B-88B7-49ED-971D-52BB655186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F25372B-DCFA-49D8-A41F-9D4ED0AC4E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U184:V197</xm:sqref>
        </x14:conditionalFormatting>
        <x14:conditionalFormatting xmlns:xm="http://schemas.microsoft.com/office/excel/2006/main">
          <x14:cfRule type="dataBar" id="{500776ED-5787-442C-BE7B-483E200122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829CB18-7D5C-4D4C-99DB-1C8C97FED7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U223:V223</xm:sqref>
        </x14:conditionalFormatting>
        <x14:conditionalFormatting xmlns:xm="http://schemas.microsoft.com/office/excel/2006/main">
          <x14:cfRule type="dataBar" id="{AE0A2B3D-AE0F-46B8-9DAB-272439AF33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2A5C1D2-78EB-4153-89A7-518B1F44ED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U224:V229</xm:sqref>
        </x14:conditionalFormatting>
        <x14:conditionalFormatting xmlns:xm="http://schemas.microsoft.com/office/excel/2006/main">
          <x14:cfRule type="dataBar" id="{D85A3BA9-07F5-49BD-9953-35715FDDF1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1D3F8C1-CDDA-48C4-933E-1474A97FF4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U230:V246</xm:sqref>
        </x14:conditionalFormatting>
        <x14:conditionalFormatting xmlns:xm="http://schemas.microsoft.com/office/excel/2006/main">
          <x14:cfRule type="dataBar" id="{126B479F-B91B-44AA-9539-E739E8AE2B6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U274:V275 U443:V462 U535:V535 U166:V166 U219:V221 U109:V113 U414:V414</xm:sqref>
        </x14:conditionalFormatting>
        <x14:conditionalFormatting xmlns:xm="http://schemas.microsoft.com/office/excel/2006/main">
          <x14:cfRule type="dataBar" id="{C988E142-B8F3-4034-A36B-8F20A78F77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2A4070E-705E-45AE-A0E8-01ED5B9C93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U277:V294</xm:sqref>
        </x14:conditionalFormatting>
        <x14:conditionalFormatting xmlns:xm="http://schemas.microsoft.com/office/excel/2006/main">
          <x14:cfRule type="dataBar" id="{1D5F32A4-C682-4CE4-AE79-77AEAFAB8E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0C260A4-AE51-4E23-BAB8-8C1E0F5F39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U329:V337</xm:sqref>
        </x14:conditionalFormatting>
        <x14:conditionalFormatting xmlns:xm="http://schemas.microsoft.com/office/excel/2006/main">
          <x14:cfRule type="dataBar" id="{0CA99886-7AFD-4DFE-8FCD-1CCC627559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E91743E-7E98-47F3-8528-31CEEA99ED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U338:V338</xm:sqref>
        </x14:conditionalFormatting>
        <x14:conditionalFormatting xmlns:xm="http://schemas.microsoft.com/office/excel/2006/main">
          <x14:cfRule type="dataBar" id="{7951B642-78E3-497F-B1C3-CBABEC6DDF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76A29EA-D0C0-4365-BD46-5F3AF9599A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U361:V373</xm:sqref>
        </x14:conditionalFormatting>
        <x14:conditionalFormatting xmlns:xm="http://schemas.microsoft.com/office/excel/2006/main">
          <x14:cfRule type="dataBar" id="{D8815B41-98AE-41C1-9AF8-29F795EF8B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D706A85-45C8-4CAF-9F7B-1D4AFB499E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U388:V399</xm:sqref>
        </x14:conditionalFormatting>
        <x14:conditionalFormatting xmlns:xm="http://schemas.microsoft.com/office/excel/2006/main">
          <x14:cfRule type="dataBar" id="{9F5CAB4F-044F-40D9-9B40-0F92775AFC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FE67F97-73E3-4B11-8880-9D74119334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U416:V431</xm:sqref>
        </x14:conditionalFormatting>
        <x14:conditionalFormatting xmlns:xm="http://schemas.microsoft.com/office/excel/2006/main">
          <x14:cfRule type="dataBar" id="{FE96F1D0-418E-4FAA-A267-F56599FA7C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U513:V523</xm:sqref>
        </x14:conditionalFormatting>
        <x14:conditionalFormatting xmlns:xm="http://schemas.microsoft.com/office/excel/2006/main">
          <x14:cfRule type="dataBar" id="{65435294-F7C0-452A-9AD0-0B0E6499DC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9007AE8-2EB7-45F0-AAC9-AB49CB9895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U537:V544</xm:sqref>
        </x14:conditionalFormatting>
        <x14:conditionalFormatting xmlns:xm="http://schemas.microsoft.com/office/excel/2006/main">
          <x14:cfRule type="dataBar" id="{ACCC3D85-0D0A-4044-9848-D6EBA84344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U557:V566</xm:sqref>
        </x14:conditionalFormatting>
        <x14:conditionalFormatting xmlns:xm="http://schemas.microsoft.com/office/excel/2006/main">
          <x14:cfRule type="dataBar" id="{123ED9A8-0ABC-4F95-9198-C0B20B52E8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U567:V567</xm:sqref>
        </x14:conditionalFormatting>
        <x14:conditionalFormatting xmlns:xm="http://schemas.microsoft.com/office/excel/2006/main">
          <x14:cfRule type="dataBar" id="{C99DD4A7-19C3-4A30-AAF3-E120BA7A8C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026B3CD-25CE-4164-8883-76684F82F6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U569:V576</xm:sqref>
        </x14:conditionalFormatting>
        <x14:conditionalFormatting xmlns:xm="http://schemas.microsoft.com/office/excel/2006/main">
          <x14:cfRule type="dataBar" id="{BD713B6C-817A-4D0C-B345-028A74F24C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E06A378-96DE-4E83-8CDE-FFEA42E03B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U591:V598</xm:sqref>
        </x14:conditionalFormatting>
        <x14:conditionalFormatting xmlns:xm="http://schemas.microsoft.com/office/excel/2006/main">
          <x14:cfRule type="dataBar" id="{B1139C62-CFA1-4E60-A971-F71CC298343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Y6:Y20</xm:sqref>
        </x14:conditionalFormatting>
        <x14:conditionalFormatting xmlns:xm="http://schemas.microsoft.com/office/excel/2006/main">
          <x14:cfRule type="dataBar" id="{730D3220-ECAD-47E4-8EAA-ABBE177CE8F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Y58:Y81</xm:sqref>
        </x14:conditionalFormatting>
        <x14:conditionalFormatting xmlns:xm="http://schemas.microsoft.com/office/excel/2006/main">
          <x14:cfRule type="dataBar" id="{5B79C07F-2BB1-4CB2-8FD3-EF7C33A728F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Y82</xm:sqref>
        </x14:conditionalFormatting>
        <x14:conditionalFormatting xmlns:xm="http://schemas.microsoft.com/office/excel/2006/main">
          <x14:cfRule type="dataBar" id="{59D0F13D-42A9-4757-AE5D-F9B2C3E52D1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Y83</xm:sqref>
        </x14:conditionalFormatting>
        <x14:conditionalFormatting xmlns:xm="http://schemas.microsoft.com/office/excel/2006/main">
          <x14:cfRule type="dataBar" id="{16AD9A87-1D38-4DBB-94CF-2A47C8EB90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Y84:Y87</xm:sqref>
        </x14:conditionalFormatting>
        <x14:conditionalFormatting xmlns:xm="http://schemas.microsoft.com/office/excel/2006/main">
          <x14:cfRule type="dataBar" id="{0C867357-D182-4D53-B948-778F3B4E47C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Y115:Y136</xm:sqref>
        </x14:conditionalFormatting>
        <x14:conditionalFormatting xmlns:xm="http://schemas.microsoft.com/office/excel/2006/main">
          <x14:cfRule type="dataBar" id="{0E0C9D7D-1BFD-400B-8722-656A26182CA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Y168:Y197</xm:sqref>
        </x14:conditionalFormatting>
        <x14:conditionalFormatting xmlns:xm="http://schemas.microsoft.com/office/excel/2006/main">
          <x14:cfRule type="dataBar" id="{94188EDB-B0CC-40A3-B993-B3C87C1172C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Y198:Y208</xm:sqref>
        </x14:conditionalFormatting>
        <x14:conditionalFormatting xmlns:xm="http://schemas.microsoft.com/office/excel/2006/main">
          <x14:cfRule type="dataBar" id="{9AA929CA-3360-4277-A67A-2C32A762260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Y223:Y246</xm:sqref>
        </x14:conditionalFormatting>
        <x14:conditionalFormatting xmlns:xm="http://schemas.microsoft.com/office/excel/2006/main">
          <x14:cfRule type="dataBar" id="{20981555-8C09-4DE7-9C0E-720F980526B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Y247</xm:sqref>
        </x14:conditionalFormatting>
        <x14:conditionalFormatting xmlns:xm="http://schemas.microsoft.com/office/excel/2006/main">
          <x14:cfRule type="dataBar" id="{34D73FFE-E7CB-4417-A455-6326C4A6E5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Y248:Y273</xm:sqref>
        </x14:conditionalFormatting>
        <x14:conditionalFormatting xmlns:xm="http://schemas.microsoft.com/office/excel/2006/main">
          <x14:cfRule type="dataBar" id="{2E949DFC-7AB2-40EC-9D2B-41EAEFED5A7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Y277:Y294</xm:sqref>
        </x14:conditionalFormatting>
        <x14:conditionalFormatting xmlns:xm="http://schemas.microsoft.com/office/excel/2006/main">
          <x14:cfRule type="dataBar" id="{51A23FD2-F631-41CC-918E-5170EB6A390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Y329:Y338</xm:sqref>
        </x14:conditionalFormatting>
        <x14:conditionalFormatting xmlns:xm="http://schemas.microsoft.com/office/excel/2006/main">
          <x14:cfRule type="dataBar" id="{0D42F9C8-7F19-4333-8BA4-AFC3B56FE4E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Y361:Y373</xm:sqref>
        </x14:conditionalFormatting>
        <x14:conditionalFormatting xmlns:xm="http://schemas.microsoft.com/office/excel/2006/main">
          <x14:cfRule type="dataBar" id="{ED1ED508-973C-456B-A2C0-8763640C3A3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Y388:Y400</xm:sqref>
        </x14:conditionalFormatting>
        <x14:conditionalFormatting xmlns:xm="http://schemas.microsoft.com/office/excel/2006/main">
          <x14:cfRule type="dataBar" id="{6E8455D4-B2F4-4DA1-A0E6-D3CC4DA74D5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Y416:Y431</xm:sqref>
        </x14:conditionalFormatting>
        <x14:conditionalFormatting xmlns:xm="http://schemas.microsoft.com/office/excel/2006/main">
          <x14:cfRule type="dataBar" id="{0F21F2AB-0B04-417E-8F93-BD999B6CAC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Y432:Y441</xm:sqref>
        </x14:conditionalFormatting>
        <x14:conditionalFormatting xmlns:xm="http://schemas.microsoft.com/office/excel/2006/main">
          <x14:cfRule type="dataBar" id="{204F039F-FB33-4CB5-B5A1-5BC241C0249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Y464:Y473</xm:sqref>
        </x14:conditionalFormatting>
        <x14:conditionalFormatting xmlns:xm="http://schemas.microsoft.com/office/excel/2006/main">
          <x14:cfRule type="dataBar" id="{497F36D1-26C6-47E1-BC1E-7812374535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Y474:Y484</xm:sqref>
        </x14:conditionalFormatting>
        <x14:conditionalFormatting xmlns:xm="http://schemas.microsoft.com/office/excel/2006/main">
          <x14:cfRule type="dataBar" id="{1569CB06-D1B0-4800-A37A-E4B7394AE9B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Y486:Y501</xm:sqref>
        </x14:conditionalFormatting>
        <x14:conditionalFormatting xmlns:xm="http://schemas.microsoft.com/office/excel/2006/main">
          <x14:cfRule type="dataBar" id="{D13F9EC5-1736-4DF4-8E0B-E9B1E9DD3B8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Y513:Y523</xm:sqref>
        </x14:conditionalFormatting>
        <x14:conditionalFormatting xmlns:xm="http://schemas.microsoft.com/office/excel/2006/main">
          <x14:cfRule type="dataBar" id="{7BAE5997-5783-4CD7-9FE3-DF04AB005EB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Y537:Y544</xm:sqref>
        </x14:conditionalFormatting>
        <x14:conditionalFormatting xmlns:xm="http://schemas.microsoft.com/office/excel/2006/main">
          <x14:cfRule type="dataBar" id="{6FCCCB14-A45C-464A-B0D3-8141B41C20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Y558:Y563 Y274:Y275 Y443:Y450 Y535 Y166 Y219:Y220 Y109:Y112 Y414 Y21</xm:sqref>
        </x14:conditionalFormatting>
        <x14:conditionalFormatting xmlns:xm="http://schemas.microsoft.com/office/excel/2006/main">
          <x14:cfRule type="dataBar" id="{3FE4F9B4-B565-4A6B-B01C-477870FE472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Y569:Y576</xm:sqref>
        </x14:conditionalFormatting>
        <x14:conditionalFormatting xmlns:xm="http://schemas.microsoft.com/office/excel/2006/main">
          <x14:cfRule type="dataBar" id="{28723CB1-A52B-4D80-9E4B-9E84453FD40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Y591:Y598</xm:sqref>
        </x14:conditionalFormatting>
        <x14:conditionalFormatting xmlns:xm="http://schemas.microsoft.com/office/excel/2006/main">
          <x14:cfRule type="dataBar" id="{20DA3C29-2C78-4D19-9709-E6E0E2612C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Z6:Z20 Z22:Z56</xm:sqref>
        </x14:conditionalFormatting>
        <x14:conditionalFormatting xmlns:xm="http://schemas.microsoft.com/office/excel/2006/main">
          <x14:cfRule type="dataBar" id="{828BC03D-0B90-4A88-A4D3-C615078C3D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Z6:Z20</xm:sqref>
        </x14:conditionalFormatting>
        <x14:conditionalFormatting xmlns:xm="http://schemas.microsoft.com/office/excel/2006/main">
          <x14:cfRule type="dataBar" id="{9953DF52-BEC0-4F3E-82CE-DD42A9353F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Z58:Z81 Z83:Z108</xm:sqref>
        </x14:conditionalFormatting>
        <x14:conditionalFormatting xmlns:xm="http://schemas.microsoft.com/office/excel/2006/main">
          <x14:cfRule type="dataBar" id="{2EDC789A-E28F-453C-9EF8-96635851EB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Z82</xm:sqref>
        </x14:conditionalFormatting>
        <x14:conditionalFormatting xmlns:xm="http://schemas.microsoft.com/office/excel/2006/main">
          <x14:cfRule type="dataBar" id="{9A64F3D0-EA1D-4417-A628-87F9152134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Z115:Z165</xm:sqref>
        </x14:conditionalFormatting>
        <x14:conditionalFormatting xmlns:xm="http://schemas.microsoft.com/office/excel/2006/main">
          <x14:cfRule type="dataBar" id="{15967CF2-D05E-49F2-98E3-1EF32E92BC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Z168:Z218</xm:sqref>
        </x14:conditionalFormatting>
        <x14:conditionalFormatting xmlns:xm="http://schemas.microsoft.com/office/excel/2006/main">
          <x14:cfRule type="dataBar" id="{0A0FA5DD-E548-4ECE-BE44-6F1546AA9C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Z223:Z273</xm:sqref>
        </x14:conditionalFormatting>
        <x14:conditionalFormatting xmlns:xm="http://schemas.microsoft.com/office/excel/2006/main">
          <x14:cfRule type="dataBar" id="{130C5ED9-98C5-4542-99E6-867C8600B1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Z274:Z275 Z443:Z462 Z535 Z166 Z219:Z221 Z109:Z113 Z414 Z21 Z558:Z566</xm:sqref>
        </x14:conditionalFormatting>
        <x14:conditionalFormatting xmlns:xm="http://schemas.microsoft.com/office/excel/2006/main">
          <x14:cfRule type="dataBar" id="{4632291D-492D-48A7-B904-3E59FE7511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Z277:Z327</xm:sqref>
        </x14:conditionalFormatting>
        <x14:conditionalFormatting xmlns:xm="http://schemas.microsoft.com/office/excel/2006/main">
          <x14:cfRule type="dataBar" id="{39F5ADC5-72E4-4BF3-BCD5-786FF6113D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Z329:Z359</xm:sqref>
        </x14:conditionalFormatting>
        <x14:conditionalFormatting xmlns:xm="http://schemas.microsoft.com/office/excel/2006/main">
          <x14:cfRule type="dataBar" id="{37C4D5CD-7806-44FF-9BF7-2898EAFC8F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Z361:Z386</xm:sqref>
        </x14:conditionalFormatting>
        <x14:conditionalFormatting xmlns:xm="http://schemas.microsoft.com/office/excel/2006/main">
          <x14:cfRule type="dataBar" id="{FCD2FE54-1D71-40AF-BC62-A3E77E62E4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Z388:Z413</xm:sqref>
        </x14:conditionalFormatting>
        <x14:conditionalFormatting xmlns:xm="http://schemas.microsoft.com/office/excel/2006/main">
          <x14:cfRule type="dataBar" id="{A657CB8C-FA78-4988-B63E-0047AAE5F3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Z416:Z441</xm:sqref>
        </x14:conditionalFormatting>
        <x14:conditionalFormatting xmlns:xm="http://schemas.microsoft.com/office/excel/2006/main">
          <x14:cfRule type="dataBar" id="{3DA08AB0-FCB0-4782-B600-84ABADBB7B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Z464:Z484</xm:sqref>
        </x14:conditionalFormatting>
        <x14:conditionalFormatting xmlns:xm="http://schemas.microsoft.com/office/excel/2006/main">
          <x14:cfRule type="dataBar" id="{39238473-1979-42FB-A28A-E7F4A2C32AE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Z486:Z511</xm:sqref>
        </x14:conditionalFormatting>
        <x14:conditionalFormatting xmlns:xm="http://schemas.microsoft.com/office/excel/2006/main">
          <x14:cfRule type="dataBar" id="{18C318FD-988B-434F-83F9-2D4C78B1AE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Z513:Z534</xm:sqref>
        </x14:conditionalFormatting>
        <x14:conditionalFormatting xmlns:xm="http://schemas.microsoft.com/office/excel/2006/main">
          <x14:cfRule type="dataBar" id="{2D132149-B91C-4D28-93A3-993FFB8846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Z537:Z557</xm:sqref>
        </x14:conditionalFormatting>
        <x14:conditionalFormatting xmlns:xm="http://schemas.microsoft.com/office/excel/2006/main">
          <x14:cfRule type="dataBar" id="{C603BB58-D166-4C81-A907-AA44D5885A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Z567</xm:sqref>
        </x14:conditionalFormatting>
        <x14:conditionalFormatting xmlns:xm="http://schemas.microsoft.com/office/excel/2006/main">
          <x14:cfRule type="dataBar" id="{4EA85AD5-A231-4387-95A7-A8C651C70C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Z569:Z589</xm:sqref>
        </x14:conditionalFormatting>
        <x14:conditionalFormatting xmlns:xm="http://schemas.microsoft.com/office/excel/2006/main">
          <x14:cfRule type="dataBar" id="{38089D65-C783-4967-B364-9558BFFD93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Z591:Z611</xm:sqref>
        </x14:conditionalFormatting>
        <x14:conditionalFormatting xmlns:xm="http://schemas.microsoft.com/office/excel/2006/main">
          <x14:cfRule type="dataBar" id="{7180097B-8391-4195-BB89-FB05A601D4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E5A7B9D-8108-444E-9F40-44FE081927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AA6</xm:sqref>
        </x14:conditionalFormatting>
        <x14:conditionalFormatting xmlns:xm="http://schemas.microsoft.com/office/excel/2006/main">
          <x14:cfRule type="dataBar" id="{7860E201-EFC8-439E-9CDA-80A55EB005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D64ECF4-6826-461A-98B1-D181AFE1E5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AA7:AA15</xm:sqref>
        </x14:conditionalFormatting>
        <x14:conditionalFormatting xmlns:xm="http://schemas.microsoft.com/office/excel/2006/main">
          <x14:cfRule type="dataBar" id="{71E9447A-27D6-44F8-BF40-9763DD37B2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3FAFB73-C1B4-4D0F-A8E9-6CAB810F4D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AA16:AA21</xm:sqref>
        </x14:conditionalFormatting>
        <x14:conditionalFormatting xmlns:xm="http://schemas.microsoft.com/office/excel/2006/main">
          <x14:cfRule type="dataBar" id="{9B6C8633-054A-4BAE-9891-B902D858D6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AA22:AA56</xm:sqref>
        </x14:conditionalFormatting>
        <x14:conditionalFormatting xmlns:xm="http://schemas.microsoft.com/office/excel/2006/main">
          <x14:cfRule type="dataBar" id="{3EF458E3-B36F-4BC4-ABD2-5A27547B88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95F9474-DE0E-4343-9E99-8BE7927B3B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AA58:AA69</xm:sqref>
        </x14:conditionalFormatting>
        <x14:conditionalFormatting xmlns:xm="http://schemas.microsoft.com/office/excel/2006/main">
          <x14:cfRule type="dataBar" id="{E0DAD933-23AE-4E51-B060-8D553E397E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AA70:AA81 AA83:AA108</xm:sqref>
        </x14:conditionalFormatting>
        <x14:conditionalFormatting xmlns:xm="http://schemas.microsoft.com/office/excel/2006/main">
          <x14:cfRule type="dataBar" id="{67E9FF8A-0EC0-4E92-BEE2-9ADBAEFEBB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AA82</xm:sqref>
        </x14:conditionalFormatting>
        <x14:conditionalFormatting xmlns:xm="http://schemas.microsoft.com/office/excel/2006/main">
          <x14:cfRule type="dataBar" id="{583DB528-06B8-469F-B473-0DC6CB33BC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3045D71-FB9F-412C-AD2F-2D9E77FFE4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AA115:AA124</xm:sqref>
        </x14:conditionalFormatting>
        <x14:conditionalFormatting xmlns:xm="http://schemas.microsoft.com/office/excel/2006/main">
          <x14:cfRule type="dataBar" id="{0678C455-7B23-49AF-9DD2-2AC8CF1CCE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AA125:AA165</xm:sqref>
        </x14:conditionalFormatting>
        <x14:conditionalFormatting xmlns:xm="http://schemas.microsoft.com/office/excel/2006/main">
          <x14:cfRule type="dataBar" id="{875129B6-6F8F-4762-9DCC-63B365F4EC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76BD4F4-B34F-4AB9-88B5-E7D8DC96B0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AA168:AA197</xm:sqref>
        </x14:conditionalFormatting>
        <x14:conditionalFormatting xmlns:xm="http://schemas.microsoft.com/office/excel/2006/main">
          <x14:cfRule type="dataBar" id="{6850D24D-D4DF-4A69-ACBB-4BE2007FB1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AA198:AA218</xm:sqref>
        </x14:conditionalFormatting>
        <x14:conditionalFormatting xmlns:xm="http://schemas.microsoft.com/office/excel/2006/main">
          <x14:cfRule type="dataBar" id="{8EB56740-F203-4B74-9923-C014398FE8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9BC795B-0BE6-41CB-9446-5ED34BE9C4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AA223:AA234</xm:sqref>
        </x14:conditionalFormatting>
        <x14:conditionalFormatting xmlns:xm="http://schemas.microsoft.com/office/excel/2006/main">
          <x14:cfRule type="dataBar" id="{1CE02766-7FC3-4EA3-88EA-B3AB5B29DC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AA235:AA273</xm:sqref>
        </x14:conditionalFormatting>
        <x14:conditionalFormatting xmlns:xm="http://schemas.microsoft.com/office/excel/2006/main">
          <x14:cfRule type="dataBar" id="{67D7BB26-C66B-4E94-9F6C-02E756225C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AA274:AA275 AA443:AA462 AA535 AA166 AA219:AA221 AA109:AA113 AA414 AA558:AA566</xm:sqref>
        </x14:conditionalFormatting>
        <x14:conditionalFormatting xmlns:xm="http://schemas.microsoft.com/office/excel/2006/main">
          <x14:cfRule type="dataBar" id="{5F40D236-3263-44C7-BD10-2DCAE93D18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DB9BE19-81AC-427B-9122-66A6179F97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AA277:AA286</xm:sqref>
        </x14:conditionalFormatting>
        <x14:conditionalFormatting xmlns:xm="http://schemas.microsoft.com/office/excel/2006/main">
          <x14:cfRule type="dataBar" id="{32DFCCBC-9D67-4033-BB37-B17E8AD9AF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AA287:AA327</xm:sqref>
        </x14:conditionalFormatting>
        <x14:conditionalFormatting xmlns:xm="http://schemas.microsoft.com/office/excel/2006/main">
          <x14:cfRule type="dataBar" id="{BD3E6A5D-1265-48DF-BBF6-06127AC7CA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2666BFA-C39F-4A12-8A22-3E7B160128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AA329:AA338</xm:sqref>
        </x14:conditionalFormatting>
        <x14:conditionalFormatting xmlns:xm="http://schemas.microsoft.com/office/excel/2006/main">
          <x14:cfRule type="dataBar" id="{9F12FAA0-5F7C-4C2A-8146-946965578E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AA339:AA359</xm:sqref>
        </x14:conditionalFormatting>
        <x14:conditionalFormatting xmlns:xm="http://schemas.microsoft.com/office/excel/2006/main">
          <x14:cfRule type="dataBar" id="{42D52BC7-B462-4697-A58C-C5653BE166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A597784-D3FF-41ED-A573-0657E445D2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AA361:AA374</xm:sqref>
        </x14:conditionalFormatting>
        <x14:conditionalFormatting xmlns:xm="http://schemas.microsoft.com/office/excel/2006/main">
          <x14:cfRule type="dataBar" id="{81272917-9A8D-4D8C-BC95-D0671488E7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AA375:AA386</xm:sqref>
        </x14:conditionalFormatting>
        <x14:conditionalFormatting xmlns:xm="http://schemas.microsoft.com/office/excel/2006/main">
          <x14:cfRule type="dataBar" id="{3D25D653-66E3-46A4-90BB-911AF919D0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1EE94E3-9C45-4328-AC56-721B3BC9AA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AA388:AA401</xm:sqref>
        </x14:conditionalFormatting>
        <x14:conditionalFormatting xmlns:xm="http://schemas.microsoft.com/office/excel/2006/main">
          <x14:cfRule type="dataBar" id="{87B78A86-EB6A-4735-A459-EB9693741B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AA402:AA413</xm:sqref>
        </x14:conditionalFormatting>
        <x14:conditionalFormatting xmlns:xm="http://schemas.microsoft.com/office/excel/2006/main">
          <x14:cfRule type="dataBar" id="{A11A8FF3-D392-435D-9558-3EE6898FF2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8BBD042-1B06-48A1-88F9-B91E21AE10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AA416:AA431</xm:sqref>
        </x14:conditionalFormatting>
        <x14:conditionalFormatting xmlns:xm="http://schemas.microsoft.com/office/excel/2006/main">
          <x14:cfRule type="dataBar" id="{FC54ED49-7E3C-4073-AE0F-4DB08A23F3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AA432:AA441</xm:sqref>
        </x14:conditionalFormatting>
        <x14:conditionalFormatting xmlns:xm="http://schemas.microsoft.com/office/excel/2006/main">
          <x14:cfRule type="dataBar" id="{77582539-9BB8-4BC3-9BB0-A4DF569946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AA464:AA484</xm:sqref>
        </x14:conditionalFormatting>
        <x14:conditionalFormatting xmlns:xm="http://schemas.microsoft.com/office/excel/2006/main">
          <x14:cfRule type="dataBar" id="{2D309696-E5D3-4B3E-94B4-1E5E4CB034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AA486:AA511</xm:sqref>
        </x14:conditionalFormatting>
        <x14:conditionalFormatting xmlns:xm="http://schemas.microsoft.com/office/excel/2006/main">
          <x14:cfRule type="dataBar" id="{AD7779DF-5204-457C-B72D-1F982576B3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AA513:AA534</xm:sqref>
        </x14:conditionalFormatting>
        <x14:conditionalFormatting xmlns:xm="http://schemas.microsoft.com/office/excel/2006/main">
          <x14:cfRule type="dataBar" id="{A4F38562-9DE3-4095-B236-5631540DD8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AA537:AA557</xm:sqref>
        </x14:conditionalFormatting>
        <x14:conditionalFormatting xmlns:xm="http://schemas.microsoft.com/office/excel/2006/main">
          <x14:cfRule type="dataBar" id="{3676E8B1-1C81-46B6-A732-1FDEFB508B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AA567</xm:sqref>
        </x14:conditionalFormatting>
        <x14:conditionalFormatting xmlns:xm="http://schemas.microsoft.com/office/excel/2006/main">
          <x14:cfRule type="dataBar" id="{ED004A34-6C66-46C9-900C-97F50A61B2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AA569:AA589</xm:sqref>
        </x14:conditionalFormatting>
        <x14:conditionalFormatting xmlns:xm="http://schemas.microsoft.com/office/excel/2006/main">
          <x14:cfRule type="dataBar" id="{E2AB28CE-48B0-4DD4-8F09-50DE126436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AA591:AA611</xm:sqref>
        </x14:conditionalFormatting>
        <x14:conditionalFormatting xmlns:xm="http://schemas.microsoft.com/office/excel/2006/main">
          <x14:cfRule type="dataBar" id="{685A2158-478C-4B3F-A753-7A8E007AD2C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AB567</xm:sqref>
        </x14:conditionalFormatting>
        <x14:conditionalFormatting xmlns:xm="http://schemas.microsoft.com/office/excel/2006/main">
          <x14:cfRule type="dataBar" id="{C3FD9737-CB04-4587-9F62-49CA30B5B8A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AB569:AB589 AB6:AB511 AB513:AB535 AB537:AB566 AB591:AB611</xm:sqref>
        </x14:conditionalFormatting>
        <x14:conditionalFormatting xmlns:xm="http://schemas.microsoft.com/office/excel/2006/main">
          <x14:cfRule type="dataBar" id="{81B1890E-02F2-4476-934B-44EF99C439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AD558:AD563 AD443:AD450 AH443:AH450 AH535 AH166 AH219:AH220 AH109:AH112 AH414 AH274:AH275 AH558:AH563</xm:sqref>
        </x14:conditionalFormatting>
        <x14:conditionalFormatting xmlns:xm="http://schemas.microsoft.com/office/excel/2006/main">
          <x14:cfRule type="dataBar" id="{A607FC5C-B740-4D82-95F0-E017C896CDB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AE6:AE16</xm:sqref>
        </x14:conditionalFormatting>
        <x14:conditionalFormatting xmlns:xm="http://schemas.microsoft.com/office/excel/2006/main">
          <x14:cfRule type="dataBar" id="{015A8238-81D7-4AAB-BA8C-5DAE5FFC7CC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AE17</xm:sqref>
        </x14:conditionalFormatting>
        <x14:conditionalFormatting xmlns:xm="http://schemas.microsoft.com/office/excel/2006/main">
          <x14:cfRule type="dataBar" id="{10893398-80DA-438B-BDB1-67B508330A4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AE18</xm:sqref>
        </x14:conditionalFormatting>
        <x14:conditionalFormatting xmlns:xm="http://schemas.microsoft.com/office/excel/2006/main">
          <x14:cfRule type="dataBar" id="{0B1EC118-1118-400B-9746-1DD78598E93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AE19</xm:sqref>
        </x14:conditionalFormatting>
        <x14:conditionalFormatting xmlns:xm="http://schemas.microsoft.com/office/excel/2006/main">
          <x14:cfRule type="dataBar" id="{17453497-3A45-4EC0-887B-6135644E71F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AE20</xm:sqref>
        </x14:conditionalFormatting>
        <x14:conditionalFormatting xmlns:xm="http://schemas.microsoft.com/office/excel/2006/main">
          <x14:cfRule type="dataBar" id="{11B3032B-86B2-41E0-88E9-846EE0119DD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AE21</xm:sqref>
        </x14:conditionalFormatting>
        <x14:conditionalFormatting xmlns:xm="http://schemas.microsoft.com/office/excel/2006/main">
          <x14:cfRule type="dataBar" id="{25D2E136-3B51-439D-BE1C-B60E2DD4EE2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AE58:AE81</xm:sqref>
        </x14:conditionalFormatting>
        <x14:conditionalFormatting xmlns:xm="http://schemas.microsoft.com/office/excel/2006/main">
          <x14:cfRule type="dataBar" id="{8A6D3EA0-E81B-48DF-95C4-FC85DB9D7DB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AE82</xm:sqref>
        </x14:conditionalFormatting>
        <x14:conditionalFormatting xmlns:xm="http://schemas.microsoft.com/office/excel/2006/main">
          <x14:cfRule type="dataBar" id="{B9F7D512-562B-4AE7-BC9E-C63463531F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AE83:AE87</xm:sqref>
        </x14:conditionalFormatting>
        <x14:conditionalFormatting xmlns:xm="http://schemas.microsoft.com/office/excel/2006/main">
          <x14:cfRule type="dataBar" id="{E95A082B-FD97-40EA-A496-F802F8B707A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AE115:AE136</xm:sqref>
        </x14:conditionalFormatting>
        <x14:conditionalFormatting xmlns:xm="http://schemas.microsoft.com/office/excel/2006/main">
          <x14:cfRule type="dataBar" id="{A1D2806F-F0BB-428E-B3D4-BC46316A948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AE168:AE197</xm:sqref>
        </x14:conditionalFormatting>
        <x14:conditionalFormatting xmlns:xm="http://schemas.microsoft.com/office/excel/2006/main">
          <x14:cfRule type="dataBar" id="{0DA15149-898F-4E42-8E32-A47AE982F82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AE223:AE246</xm:sqref>
        </x14:conditionalFormatting>
        <x14:conditionalFormatting xmlns:xm="http://schemas.microsoft.com/office/excel/2006/main">
          <x14:cfRule type="dataBar" id="{54E00CE5-0353-441E-8583-E1BDC0357B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AE247:AE273</xm:sqref>
        </x14:conditionalFormatting>
        <x14:conditionalFormatting xmlns:xm="http://schemas.microsoft.com/office/excel/2006/main">
          <x14:cfRule type="dataBar" id="{C4F4FC4E-0B24-45B7-BA02-ECECB423D61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AE277:AE294</xm:sqref>
        </x14:conditionalFormatting>
        <x14:conditionalFormatting xmlns:xm="http://schemas.microsoft.com/office/excel/2006/main">
          <x14:cfRule type="dataBar" id="{C247D02B-8E29-46EE-B781-D7F5E77225A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AE329:AE338</xm:sqref>
        </x14:conditionalFormatting>
        <x14:conditionalFormatting xmlns:xm="http://schemas.microsoft.com/office/excel/2006/main">
          <x14:cfRule type="dataBar" id="{6F4E3E6A-6904-443C-B1B6-FE022D33C3A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AE361:AE373</xm:sqref>
        </x14:conditionalFormatting>
        <x14:conditionalFormatting xmlns:xm="http://schemas.microsoft.com/office/excel/2006/main">
          <x14:cfRule type="dataBar" id="{9CBF820C-0711-4EB8-BB81-C0716ED7247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AE388:AE400</xm:sqref>
        </x14:conditionalFormatting>
        <x14:conditionalFormatting xmlns:xm="http://schemas.microsoft.com/office/excel/2006/main">
          <x14:cfRule type="dataBar" id="{A89E8344-6122-4F39-BE69-2AB51D4F308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AE416:AE431</xm:sqref>
        </x14:conditionalFormatting>
        <x14:conditionalFormatting xmlns:xm="http://schemas.microsoft.com/office/excel/2006/main">
          <x14:cfRule type="dataBar" id="{2CE9F812-19D8-427B-9ED5-85A55E9E9D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AE432:AE441</xm:sqref>
        </x14:conditionalFormatting>
        <x14:conditionalFormatting xmlns:xm="http://schemas.microsoft.com/office/excel/2006/main">
          <x14:cfRule type="dataBar" id="{2A59C0B2-0393-4EE1-91B4-C9A3768A650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AE464:AE473</xm:sqref>
        </x14:conditionalFormatting>
        <x14:conditionalFormatting xmlns:xm="http://schemas.microsoft.com/office/excel/2006/main">
          <x14:cfRule type="dataBar" id="{AD648FEB-68BE-42E9-966D-00FF1DDF6A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AE474:AE484</xm:sqref>
        </x14:conditionalFormatting>
        <x14:conditionalFormatting xmlns:xm="http://schemas.microsoft.com/office/excel/2006/main">
          <x14:cfRule type="dataBar" id="{DBFDD10D-4179-4EEB-9CAC-14BB465F469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AE486:AE501</xm:sqref>
        </x14:conditionalFormatting>
        <x14:conditionalFormatting xmlns:xm="http://schemas.microsoft.com/office/excel/2006/main">
          <x14:cfRule type="dataBar" id="{A5F8A5B4-ACC0-490E-8565-17A798429C4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AE513:AE523</xm:sqref>
        </x14:conditionalFormatting>
        <x14:conditionalFormatting xmlns:xm="http://schemas.microsoft.com/office/excel/2006/main">
          <x14:cfRule type="dataBar" id="{CC9F49C1-E535-4166-A895-CF1110BDB81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AE537:AE544</xm:sqref>
        </x14:conditionalFormatting>
        <x14:conditionalFormatting xmlns:xm="http://schemas.microsoft.com/office/excel/2006/main">
          <x14:cfRule type="dataBar" id="{8623D141-C6CE-4D71-83A6-08AAC8C815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AE558:AE563 AE274:AE275 AE443:AE450 AE535 AE166 AE219:AE220 AE109:AE112 AE414</xm:sqref>
        </x14:conditionalFormatting>
        <x14:conditionalFormatting xmlns:xm="http://schemas.microsoft.com/office/excel/2006/main">
          <x14:cfRule type="dataBar" id="{6EE6C623-0111-4937-9541-E26CD2BC753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AE569:AE576</xm:sqref>
        </x14:conditionalFormatting>
        <x14:conditionalFormatting xmlns:xm="http://schemas.microsoft.com/office/excel/2006/main">
          <x14:cfRule type="dataBar" id="{5276D4CD-EEED-4AEB-A4E3-3B488E59F34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AE591:AE598</xm:sqref>
        </x14:conditionalFormatting>
        <x14:conditionalFormatting xmlns:xm="http://schemas.microsoft.com/office/excel/2006/main">
          <x14:cfRule type="dataBar" id="{E878249A-8705-440E-9A4F-7C84BE73F6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AF6:AF16 AF22:AF56</xm:sqref>
        </x14:conditionalFormatting>
        <x14:conditionalFormatting xmlns:xm="http://schemas.microsoft.com/office/excel/2006/main">
          <x14:cfRule type="dataBar" id="{C813F24B-AE7B-44C6-A181-FE45ED8B65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AF6:AF16</xm:sqref>
        </x14:conditionalFormatting>
        <x14:conditionalFormatting xmlns:xm="http://schemas.microsoft.com/office/excel/2006/main">
          <x14:cfRule type="dataBar" id="{12152E96-BA77-4AA0-8A34-3CDECB544C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3E3E4D-4F03-43F8-8E05-6D97BDB9C9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AF17</xm:sqref>
        </x14:conditionalFormatting>
        <x14:conditionalFormatting xmlns:xm="http://schemas.microsoft.com/office/excel/2006/main">
          <x14:cfRule type="dataBar" id="{2C160F13-2766-4F13-A4FF-6A642E0CEE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259E1B3-6EE2-4532-930D-67F39B7757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AF18</xm:sqref>
        </x14:conditionalFormatting>
        <x14:conditionalFormatting xmlns:xm="http://schemas.microsoft.com/office/excel/2006/main">
          <x14:cfRule type="dataBar" id="{2351826C-4D92-4AA7-89C3-121A262568E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B4F92FE-4A92-446F-A9E3-B302D52B14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AF19</xm:sqref>
        </x14:conditionalFormatting>
        <x14:conditionalFormatting xmlns:xm="http://schemas.microsoft.com/office/excel/2006/main">
          <x14:cfRule type="dataBar" id="{D86F437E-D590-48C7-9F88-80020EB311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517B6DD-80AC-4E44-9A45-4CBAF5730B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AF20</xm:sqref>
        </x14:conditionalFormatting>
        <x14:conditionalFormatting xmlns:xm="http://schemas.microsoft.com/office/excel/2006/main">
          <x14:cfRule type="dataBar" id="{0D2FBDD3-C06A-431F-84A4-66C8DD80CB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E01E4F5-DE11-4B92-A173-8DD46F332F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AF21</xm:sqref>
        </x14:conditionalFormatting>
        <x14:conditionalFormatting xmlns:xm="http://schemas.microsoft.com/office/excel/2006/main">
          <x14:cfRule type="dataBar" id="{9EBDCF62-9464-4F41-9BE1-0E1FE2DD53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AF58:AF81 AF83:AF108</xm:sqref>
        </x14:conditionalFormatting>
        <x14:conditionalFormatting xmlns:xm="http://schemas.microsoft.com/office/excel/2006/main">
          <x14:cfRule type="dataBar" id="{81150EDA-C4FF-45C8-88B4-74ADF0D494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AF82</xm:sqref>
        </x14:conditionalFormatting>
        <x14:conditionalFormatting xmlns:xm="http://schemas.microsoft.com/office/excel/2006/main">
          <x14:cfRule type="dataBar" id="{6AA43D06-BC00-4162-800E-A901B6DA3C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AF115:AF165</xm:sqref>
        </x14:conditionalFormatting>
        <x14:conditionalFormatting xmlns:xm="http://schemas.microsoft.com/office/excel/2006/main">
          <x14:cfRule type="dataBar" id="{BBF26348-9442-4751-9E39-46495BF239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AF168:AF218</xm:sqref>
        </x14:conditionalFormatting>
        <x14:conditionalFormatting xmlns:xm="http://schemas.microsoft.com/office/excel/2006/main">
          <x14:cfRule type="dataBar" id="{07D8C74E-2BB4-4269-B73F-2D3EA50B24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AF223:AF273</xm:sqref>
        </x14:conditionalFormatting>
        <x14:conditionalFormatting xmlns:xm="http://schemas.microsoft.com/office/excel/2006/main">
          <x14:cfRule type="dataBar" id="{392C79CD-CC51-4541-A06B-4873068AF9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AF274:AF275 AF443:AF462 AF535 AF166 AF219:AF221 AF109:AF113 AF414 AF558:AF566</xm:sqref>
        </x14:conditionalFormatting>
        <x14:conditionalFormatting xmlns:xm="http://schemas.microsoft.com/office/excel/2006/main">
          <x14:cfRule type="dataBar" id="{185CC3C5-7735-40A7-A587-DC27572E40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AF277:AF327</xm:sqref>
        </x14:conditionalFormatting>
        <x14:conditionalFormatting xmlns:xm="http://schemas.microsoft.com/office/excel/2006/main">
          <x14:cfRule type="dataBar" id="{B827782C-4298-4879-80D2-480DD4AAA1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AF329:AF359</xm:sqref>
        </x14:conditionalFormatting>
        <x14:conditionalFormatting xmlns:xm="http://schemas.microsoft.com/office/excel/2006/main">
          <x14:cfRule type="dataBar" id="{235481D8-D059-4F13-B20E-7721CADAE3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AF361:AF386</xm:sqref>
        </x14:conditionalFormatting>
        <x14:conditionalFormatting xmlns:xm="http://schemas.microsoft.com/office/excel/2006/main">
          <x14:cfRule type="dataBar" id="{E933C4FE-6D82-4B0D-841B-CA148AE48A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AF388:AF413</xm:sqref>
        </x14:conditionalFormatting>
        <x14:conditionalFormatting xmlns:xm="http://schemas.microsoft.com/office/excel/2006/main">
          <x14:cfRule type="dataBar" id="{133ACDA1-C871-4761-A538-593477BCE3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AF416:AF441</xm:sqref>
        </x14:conditionalFormatting>
        <x14:conditionalFormatting xmlns:xm="http://schemas.microsoft.com/office/excel/2006/main">
          <x14:cfRule type="dataBar" id="{2BC4138F-1049-4FE9-B790-54F7911F3C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AF464:AF484</xm:sqref>
        </x14:conditionalFormatting>
        <x14:conditionalFormatting xmlns:xm="http://schemas.microsoft.com/office/excel/2006/main">
          <x14:cfRule type="dataBar" id="{DDA1E2B2-F473-46F2-AF55-0365536B5D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AF486:AF511</xm:sqref>
        </x14:conditionalFormatting>
        <x14:conditionalFormatting xmlns:xm="http://schemas.microsoft.com/office/excel/2006/main">
          <x14:cfRule type="dataBar" id="{300F165D-D1BC-481F-BCE2-DD4F9750E9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AF513:AF534</xm:sqref>
        </x14:conditionalFormatting>
        <x14:conditionalFormatting xmlns:xm="http://schemas.microsoft.com/office/excel/2006/main">
          <x14:cfRule type="dataBar" id="{14C117B3-4DCF-4197-BD56-70A1533A07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AF537:AF557</xm:sqref>
        </x14:conditionalFormatting>
        <x14:conditionalFormatting xmlns:xm="http://schemas.microsoft.com/office/excel/2006/main">
          <x14:cfRule type="dataBar" id="{6412B5EE-972A-44EB-9C51-7FF1F9F9CE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AF567</xm:sqref>
        </x14:conditionalFormatting>
        <x14:conditionalFormatting xmlns:xm="http://schemas.microsoft.com/office/excel/2006/main">
          <x14:cfRule type="dataBar" id="{22F29DAD-A96D-4CBB-B84B-0E3041683E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AF569:AF589</xm:sqref>
        </x14:conditionalFormatting>
        <x14:conditionalFormatting xmlns:xm="http://schemas.microsoft.com/office/excel/2006/main">
          <x14:cfRule type="dataBar" id="{C9CCDEC2-F93E-4EFB-8495-4D48C8688C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AF591:AF611</xm:sqref>
        </x14:conditionalFormatting>
        <x14:conditionalFormatting xmlns:xm="http://schemas.microsoft.com/office/excel/2006/main">
          <x14:cfRule type="dataBar" id="{2326A904-F411-4613-917E-0EB7F0DE27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85EE733-51F5-4366-8CF4-675F4D890D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AG6</xm:sqref>
        </x14:conditionalFormatting>
        <x14:conditionalFormatting xmlns:xm="http://schemas.microsoft.com/office/excel/2006/main">
          <x14:cfRule type="dataBar" id="{A88C3CF5-D7C8-4062-94D9-C7320AD088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1EE7449-6FC4-47E3-B183-7D608E0867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AG7:AG15</xm:sqref>
        </x14:conditionalFormatting>
        <x14:conditionalFormatting xmlns:xm="http://schemas.microsoft.com/office/excel/2006/main">
          <x14:cfRule type="dataBar" id="{70586DB3-A98E-4B23-96FC-244F472ACB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AG16</xm:sqref>
        </x14:conditionalFormatting>
        <x14:conditionalFormatting xmlns:xm="http://schemas.microsoft.com/office/excel/2006/main">
          <x14:cfRule type="dataBar" id="{7301A472-05CF-428B-A824-EA88E9CAB0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DC74287-8663-45E7-98AE-425EFA4C6B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AG17</xm:sqref>
        </x14:conditionalFormatting>
        <x14:conditionalFormatting xmlns:xm="http://schemas.microsoft.com/office/excel/2006/main">
          <x14:cfRule type="dataBar" id="{134F2645-988C-4385-8761-5EB849DDD1E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DD5311D-D780-4805-8C3C-19745563C3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AG18</xm:sqref>
        </x14:conditionalFormatting>
        <x14:conditionalFormatting xmlns:xm="http://schemas.microsoft.com/office/excel/2006/main">
          <x14:cfRule type="dataBar" id="{84C36B99-0D11-4E54-806C-DD7D04D2A1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E4DCE3D-BCF0-477A-BD2C-5516AA1012E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AG19</xm:sqref>
        </x14:conditionalFormatting>
        <x14:conditionalFormatting xmlns:xm="http://schemas.microsoft.com/office/excel/2006/main">
          <x14:cfRule type="dataBar" id="{047E694A-BED3-48F5-8776-7652FA2561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C43143C-55C5-4E1B-92BE-6C950DF8E3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AG20</xm:sqref>
        </x14:conditionalFormatting>
        <x14:conditionalFormatting xmlns:xm="http://schemas.microsoft.com/office/excel/2006/main">
          <x14:cfRule type="dataBar" id="{05712403-61EB-4775-BA06-411B896B88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4508FE1-CC08-4B2B-9304-E6F680C273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AG21</xm:sqref>
        </x14:conditionalFormatting>
        <x14:conditionalFormatting xmlns:xm="http://schemas.microsoft.com/office/excel/2006/main">
          <x14:cfRule type="dataBar" id="{14A04071-E032-4DE7-8421-F8E65CA6EE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AG22:AG56 AG16</xm:sqref>
        </x14:conditionalFormatting>
        <x14:conditionalFormatting xmlns:xm="http://schemas.microsoft.com/office/excel/2006/main">
          <x14:cfRule type="dataBar" id="{28F66851-3387-443D-93CD-6951006939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8BD8324-E21C-45D9-ACF2-3E337D119D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AG58</xm:sqref>
        </x14:conditionalFormatting>
        <x14:conditionalFormatting xmlns:xm="http://schemas.microsoft.com/office/excel/2006/main">
          <x14:cfRule type="dataBar" id="{2FF117CD-D1EA-4D97-916A-B20C6D967E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1016B78-8722-489B-80ED-593D06BC7B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AG59:AG67</xm:sqref>
        </x14:conditionalFormatting>
        <x14:conditionalFormatting xmlns:xm="http://schemas.microsoft.com/office/excel/2006/main">
          <x14:cfRule type="dataBar" id="{E607D605-F83A-4FAF-9376-BE5BED9BFA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99CE078-EC54-48F5-A2C9-5F20639095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AG68</xm:sqref>
        </x14:conditionalFormatting>
        <x14:conditionalFormatting xmlns:xm="http://schemas.microsoft.com/office/excel/2006/main">
          <x14:cfRule type="dataBar" id="{A9AAD502-01C1-49D0-BC97-89868FB8E6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2568F1C-247A-4615-867A-E697468259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AG69:AG77</xm:sqref>
        </x14:conditionalFormatting>
        <x14:conditionalFormatting xmlns:xm="http://schemas.microsoft.com/office/excel/2006/main">
          <x14:cfRule type="dataBar" id="{264748E1-2796-4AEC-81AA-C27922C2D7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AG78:AG81 AG83:AG108</xm:sqref>
        </x14:conditionalFormatting>
        <x14:conditionalFormatting xmlns:xm="http://schemas.microsoft.com/office/excel/2006/main">
          <x14:cfRule type="dataBar" id="{4C647CD3-98E2-4DB0-AAF6-FB7D131312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AG82</xm:sqref>
        </x14:conditionalFormatting>
        <x14:conditionalFormatting xmlns:xm="http://schemas.microsoft.com/office/excel/2006/main">
          <x14:cfRule type="dataBar" id="{29D099FC-6A44-4E3F-B268-6B9F734EAE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A0BDEE1-2411-4B31-8E62-3EF952DC43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AG115</xm:sqref>
        </x14:conditionalFormatting>
        <x14:conditionalFormatting xmlns:xm="http://schemas.microsoft.com/office/excel/2006/main">
          <x14:cfRule type="dataBar" id="{7A16017A-262C-4D12-8425-78644ED265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745128D-C84F-40F2-B86E-8D3592629B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AG116:AG124</xm:sqref>
        </x14:conditionalFormatting>
        <x14:conditionalFormatting xmlns:xm="http://schemas.microsoft.com/office/excel/2006/main">
          <x14:cfRule type="dataBar" id="{E5939937-8999-4E51-A54D-DE93E1EDBB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F77D0CF-8971-4198-A4C6-E580CBF553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AG125</xm:sqref>
        </x14:conditionalFormatting>
        <x14:conditionalFormatting xmlns:xm="http://schemas.microsoft.com/office/excel/2006/main">
          <x14:cfRule type="dataBar" id="{B20E28C1-DBB4-4822-B378-55D5E5BD5F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F208EDD-D121-4EFE-A3A3-5EA165A2BA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AG126:AG134</xm:sqref>
        </x14:conditionalFormatting>
        <x14:conditionalFormatting xmlns:xm="http://schemas.microsoft.com/office/excel/2006/main">
          <x14:cfRule type="dataBar" id="{4F51C0EE-4142-49EA-8955-A30D75D694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AG135:AG165</xm:sqref>
        </x14:conditionalFormatting>
        <x14:conditionalFormatting xmlns:xm="http://schemas.microsoft.com/office/excel/2006/main">
          <x14:cfRule type="dataBar" id="{839CC6E2-7016-44DD-9FCB-635097F6BF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4E6746C-2C5A-4F47-93A9-997B345E44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AG168</xm:sqref>
        </x14:conditionalFormatting>
        <x14:conditionalFormatting xmlns:xm="http://schemas.microsoft.com/office/excel/2006/main">
          <x14:cfRule type="dataBar" id="{4CFBC888-70FC-4BF7-8E35-E9463D0013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41E0449-5B34-4A1C-8A8D-79FAFBA316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AG169:AG177</xm:sqref>
        </x14:conditionalFormatting>
        <x14:conditionalFormatting xmlns:xm="http://schemas.microsoft.com/office/excel/2006/main">
          <x14:cfRule type="dataBar" id="{78A934AF-655D-4B19-B475-9EA2D13FFC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4EE037C-1115-4CA3-B10D-7466BADCDE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AG178</xm:sqref>
        </x14:conditionalFormatting>
        <x14:conditionalFormatting xmlns:xm="http://schemas.microsoft.com/office/excel/2006/main">
          <x14:cfRule type="dataBar" id="{3F2873C8-DC1D-46D3-9C90-E5248DF374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C46D637-7CA6-420D-A837-C65A667F95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AG179:AG187</xm:sqref>
        </x14:conditionalFormatting>
        <x14:conditionalFormatting xmlns:xm="http://schemas.microsoft.com/office/excel/2006/main">
          <x14:cfRule type="dataBar" id="{0B30656D-D080-49E4-A580-5C6AC28FCA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F0B3D0D-6F23-46E1-81BE-6FC4F97F20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AG188:AG189</xm:sqref>
        </x14:conditionalFormatting>
        <x14:conditionalFormatting xmlns:xm="http://schemas.microsoft.com/office/excel/2006/main">
          <x14:cfRule type="dataBar" id="{3B1C0070-EDB6-4291-8135-EA9FA0B66F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AG190:AG218</xm:sqref>
        </x14:conditionalFormatting>
        <x14:conditionalFormatting xmlns:xm="http://schemas.microsoft.com/office/excel/2006/main">
          <x14:cfRule type="dataBar" id="{1B65251B-CAA8-42C8-AD5A-436F952368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F603061-C079-40D0-B9E3-B6072F28A8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AG223:AG242</xm:sqref>
        </x14:conditionalFormatting>
        <x14:conditionalFormatting xmlns:xm="http://schemas.microsoft.com/office/excel/2006/main">
          <x14:cfRule type="dataBar" id="{E5981396-A186-4DC4-9AE6-C1938DD2A1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AG243:AG273</xm:sqref>
        </x14:conditionalFormatting>
        <x14:conditionalFormatting xmlns:xm="http://schemas.microsoft.com/office/excel/2006/main">
          <x14:cfRule type="dataBar" id="{CF845C64-3A72-43D5-85CA-9098AFF631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AG274:AG275 AG443:AG462 AG535 AG166 AG219:AG221 AG109:AG113 AG414 AG558:AG566</xm:sqref>
        </x14:conditionalFormatting>
        <x14:conditionalFormatting xmlns:xm="http://schemas.microsoft.com/office/excel/2006/main">
          <x14:cfRule type="dataBar" id="{1A33EC9E-73DA-4C2F-B891-3E4A1395FC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C875356-502B-4872-8AFE-5F4C45455E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AG277:AG290</xm:sqref>
        </x14:conditionalFormatting>
        <x14:conditionalFormatting xmlns:xm="http://schemas.microsoft.com/office/excel/2006/main">
          <x14:cfRule type="dataBar" id="{6C087A94-5C55-41E3-A28E-F41634994F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AG291:AG327</xm:sqref>
        </x14:conditionalFormatting>
        <x14:conditionalFormatting xmlns:xm="http://schemas.microsoft.com/office/excel/2006/main">
          <x14:cfRule type="dataBar" id="{8B12873A-A094-486B-A492-3BC3D9A2DA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8014B91-90C7-4EEF-9570-0D5F5A6ABF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AG329:AG335</xm:sqref>
        </x14:conditionalFormatting>
        <x14:conditionalFormatting xmlns:xm="http://schemas.microsoft.com/office/excel/2006/main">
          <x14:cfRule type="dataBar" id="{A8AFC6F3-1072-4A34-8912-0FA61B3675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4CE9A62-CC9D-4F8A-9F03-CC26F0A42C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AG336</xm:sqref>
        </x14:conditionalFormatting>
        <x14:conditionalFormatting xmlns:xm="http://schemas.microsoft.com/office/excel/2006/main">
          <x14:cfRule type="dataBar" id="{9EC4359A-2A72-4CD3-9C8D-FD0C6D39E4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AG337:AG359</xm:sqref>
        </x14:conditionalFormatting>
        <x14:conditionalFormatting xmlns:xm="http://schemas.microsoft.com/office/excel/2006/main">
          <x14:cfRule type="dataBar" id="{5A481277-2387-4593-B396-396C9F3EA3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5291750-D1D4-4CCF-863D-E50D9F1079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AG361:AG370</xm:sqref>
        </x14:conditionalFormatting>
        <x14:conditionalFormatting xmlns:xm="http://schemas.microsoft.com/office/excel/2006/main">
          <x14:cfRule type="dataBar" id="{F9146893-BF57-48D2-931A-27D854C962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AG371:AG386</xm:sqref>
        </x14:conditionalFormatting>
        <x14:conditionalFormatting xmlns:xm="http://schemas.microsoft.com/office/excel/2006/main">
          <x14:cfRule type="dataBar" id="{DEF0E5F2-1AC4-41DD-BA36-6D66F8F635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B2AFFBA-1749-4E4D-9174-A9A67F5EF2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AG388:AG397</xm:sqref>
        </x14:conditionalFormatting>
        <x14:conditionalFormatting xmlns:xm="http://schemas.microsoft.com/office/excel/2006/main">
          <x14:cfRule type="dataBar" id="{FADEDCB5-FC37-4915-B533-51C51ECDE9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AG398:AG413</xm:sqref>
        </x14:conditionalFormatting>
        <x14:conditionalFormatting xmlns:xm="http://schemas.microsoft.com/office/excel/2006/main">
          <x14:cfRule type="dataBar" id="{D974F8A4-1A2E-4735-A387-DBDF785726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AG416:AG441</xm:sqref>
        </x14:conditionalFormatting>
        <x14:conditionalFormatting xmlns:xm="http://schemas.microsoft.com/office/excel/2006/main">
          <x14:cfRule type="dataBar" id="{0B530C4C-4EAE-4B10-9F66-EB2904BCE8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AG464:AG484</xm:sqref>
        </x14:conditionalFormatting>
        <x14:conditionalFormatting xmlns:xm="http://schemas.microsoft.com/office/excel/2006/main">
          <x14:cfRule type="dataBar" id="{E380D118-5100-4410-AB7A-9D5EF6F747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AG486:AG511</xm:sqref>
        </x14:conditionalFormatting>
        <x14:conditionalFormatting xmlns:xm="http://schemas.microsoft.com/office/excel/2006/main">
          <x14:cfRule type="dataBar" id="{F019D982-4544-4D9A-8ED1-14F632B1A2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AG513:AG534</xm:sqref>
        </x14:conditionalFormatting>
        <x14:conditionalFormatting xmlns:xm="http://schemas.microsoft.com/office/excel/2006/main">
          <x14:cfRule type="dataBar" id="{A7DE0978-D389-404C-BB0F-2F6255CD71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218A72B-DCBD-477A-AEAB-9A6DED3B0B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AG537:AG544</xm:sqref>
        </x14:conditionalFormatting>
        <x14:conditionalFormatting xmlns:xm="http://schemas.microsoft.com/office/excel/2006/main">
          <x14:cfRule type="dataBar" id="{5CB532E4-2D19-4346-93F6-042D88BAD1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AG545:AG557</xm:sqref>
        </x14:conditionalFormatting>
        <x14:conditionalFormatting xmlns:xm="http://schemas.microsoft.com/office/excel/2006/main">
          <x14:cfRule type="dataBar" id="{5ACFBBFC-0B2D-4D9A-957B-73E0926D6D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AG567</xm:sqref>
        </x14:conditionalFormatting>
        <x14:conditionalFormatting xmlns:xm="http://schemas.microsoft.com/office/excel/2006/main">
          <x14:cfRule type="dataBar" id="{B4255602-9F26-476A-A7B6-0B3C67CCEF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5D2B393-96B3-477F-BB3E-031A49D457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AG569:AG576</xm:sqref>
        </x14:conditionalFormatting>
        <x14:conditionalFormatting xmlns:xm="http://schemas.microsoft.com/office/excel/2006/main">
          <x14:cfRule type="dataBar" id="{31D140D0-3A54-4C9D-8EA5-1575760224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AG577:AG589</xm:sqref>
        </x14:conditionalFormatting>
        <x14:conditionalFormatting xmlns:xm="http://schemas.microsoft.com/office/excel/2006/main">
          <x14:cfRule type="dataBar" id="{8B986498-41C0-483D-B83D-F4349107ED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CF54C8E-44DB-4544-BE07-85F4352400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AG591:AG598</xm:sqref>
        </x14:conditionalFormatting>
        <x14:conditionalFormatting xmlns:xm="http://schemas.microsoft.com/office/excel/2006/main">
          <x14:cfRule type="dataBar" id="{E0D77BF7-9808-4C6E-B0AD-9F95AA0085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AG599:AG611</xm:sqref>
        </x14:conditionalFormatting>
        <x14:conditionalFormatting xmlns:xm="http://schemas.microsoft.com/office/excel/2006/main">
          <x14:cfRule type="dataBar" id="{2F22DD22-5701-4C27-8427-82FB32BCF2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AH6:AH16 AH22:AH56</xm:sqref>
        </x14:conditionalFormatting>
        <x14:conditionalFormatting xmlns:xm="http://schemas.microsoft.com/office/excel/2006/main">
          <x14:cfRule type="dataBar" id="{60310E23-B92A-41A1-A92B-25484A6FDC3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AH7:AH16</xm:sqref>
        </x14:conditionalFormatting>
        <x14:conditionalFormatting xmlns:xm="http://schemas.microsoft.com/office/excel/2006/main">
          <x14:cfRule type="dataBar" id="{0285C3CB-FC80-4C6E-A253-44FC567B619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1CFBB8E1-85E7-41DA-84FF-8004CDBB2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CC28A0E-C3F4-4985-9231-4792274834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AH17</xm:sqref>
        </x14:conditionalFormatting>
        <x14:conditionalFormatting xmlns:xm="http://schemas.microsoft.com/office/excel/2006/main">
          <x14:cfRule type="dataBar" id="{D47576E1-32EB-451B-A868-3A7BD357BE4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D083F110-FED2-4EE4-86F5-59637A3E1C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F7CF99C-684B-4E49-A67D-0ED629F866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AH18</xm:sqref>
        </x14:conditionalFormatting>
        <x14:conditionalFormatting xmlns:xm="http://schemas.microsoft.com/office/excel/2006/main">
          <x14:cfRule type="dataBar" id="{28C276A3-4E80-4284-9E3E-698C8BA498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88C9697-68CB-4DD1-AFEA-D4B2AE869F8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3F8F26F2-3517-4D6A-BDC5-751C8702F8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AH19</xm:sqref>
        </x14:conditionalFormatting>
        <x14:conditionalFormatting xmlns:xm="http://schemas.microsoft.com/office/excel/2006/main">
          <x14:cfRule type="dataBar" id="{3FF9DFDD-BA3A-41A7-9598-3496ACB5AE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25C0079-D936-4190-A298-BB2D6D5388E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390DF313-4F4A-4EFF-BF5B-818DBE3C6B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AH20</xm:sqref>
        </x14:conditionalFormatting>
        <x14:conditionalFormatting xmlns:xm="http://schemas.microsoft.com/office/excel/2006/main">
          <x14:cfRule type="dataBar" id="{F1B49F30-B2DC-472D-B9BA-46A12D06BB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9EDB701-6DCC-4073-9D74-7710CD813BF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CB7CF8DC-E5EA-41C5-A004-162DF69648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AH21</xm:sqref>
        </x14:conditionalFormatting>
        <x14:conditionalFormatting xmlns:xm="http://schemas.microsoft.com/office/excel/2006/main">
          <x14:cfRule type="dataBar" id="{666C2D3F-B824-43D6-9B6B-E6E4FF068EF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AH58:AH81</xm:sqref>
        </x14:conditionalFormatting>
        <x14:conditionalFormatting xmlns:xm="http://schemas.microsoft.com/office/excel/2006/main">
          <x14:cfRule type="dataBar" id="{7B9C6146-4130-4A69-97D4-155FDE33FB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AH58:AH113</xm:sqref>
        </x14:conditionalFormatting>
        <x14:conditionalFormatting xmlns:xm="http://schemas.microsoft.com/office/excel/2006/main">
          <x14:cfRule type="dataBar" id="{88ACBF35-0576-4224-BE4B-A170913AD4B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AH82</xm:sqref>
        </x14:conditionalFormatting>
        <x14:conditionalFormatting xmlns:xm="http://schemas.microsoft.com/office/excel/2006/main">
          <x14:cfRule type="dataBar" id="{5B65FDA8-0C04-40A7-8676-E95311EFAB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AH83:AH87</xm:sqref>
        </x14:conditionalFormatting>
        <x14:conditionalFormatting xmlns:xm="http://schemas.microsoft.com/office/excel/2006/main">
          <x14:cfRule type="dataBar" id="{66383101-9451-4FAF-8972-C0B1B648694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AH115:AH136</xm:sqref>
        </x14:conditionalFormatting>
        <x14:conditionalFormatting xmlns:xm="http://schemas.microsoft.com/office/excel/2006/main">
          <x14:cfRule type="dataBar" id="{7C19F70D-8F1A-407A-8427-3C6DACB6AE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AH115:AH166</xm:sqref>
        </x14:conditionalFormatting>
        <x14:conditionalFormatting xmlns:xm="http://schemas.microsoft.com/office/excel/2006/main">
          <x14:cfRule type="dataBar" id="{2130230A-A352-4E5C-B0D6-3C077665581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AH168:AH197</xm:sqref>
        </x14:conditionalFormatting>
        <x14:conditionalFormatting xmlns:xm="http://schemas.microsoft.com/office/excel/2006/main">
          <x14:cfRule type="dataBar" id="{BD298DBB-6320-447D-95C3-5183AEA46B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AH168:AH221</xm:sqref>
        </x14:conditionalFormatting>
        <x14:conditionalFormatting xmlns:xm="http://schemas.microsoft.com/office/excel/2006/main">
          <x14:cfRule type="dataBar" id="{69344756-E0F2-496E-9895-66CB812F9D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AH223:AH244 AH247:AH275</xm:sqref>
        </x14:conditionalFormatting>
        <x14:conditionalFormatting xmlns:xm="http://schemas.microsoft.com/office/excel/2006/main">
          <x14:cfRule type="dataBar" id="{79DBC889-91B8-4116-80F0-85A75E14189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AH223:AH244</xm:sqref>
        </x14:conditionalFormatting>
        <x14:conditionalFormatting xmlns:xm="http://schemas.microsoft.com/office/excel/2006/main">
          <x14:cfRule type="dataBar" id="{82BDBADA-19F7-4491-959E-0962F460FA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AH247:AH273</xm:sqref>
        </x14:conditionalFormatting>
        <x14:conditionalFormatting xmlns:xm="http://schemas.microsoft.com/office/excel/2006/main">
          <x14:cfRule type="dataBar" id="{45A7C4F9-7857-41AB-B8E7-7B14642E141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AH277:AH294</xm:sqref>
        </x14:conditionalFormatting>
        <x14:conditionalFormatting xmlns:xm="http://schemas.microsoft.com/office/excel/2006/main">
          <x14:cfRule type="dataBar" id="{792453DA-BCFF-4360-AEBB-B586004486A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AH329:AH338</xm:sqref>
        </x14:conditionalFormatting>
        <x14:conditionalFormatting xmlns:xm="http://schemas.microsoft.com/office/excel/2006/main">
          <x14:cfRule type="dataBar" id="{B3CDE2FD-DDDF-4157-8C37-C40B5149055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AH361:AH373</xm:sqref>
        </x14:conditionalFormatting>
        <x14:conditionalFormatting xmlns:xm="http://schemas.microsoft.com/office/excel/2006/main">
          <x14:cfRule type="dataBar" id="{D6C2A97C-B063-419A-B7E2-7F20D93376B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AH388:AH400</xm:sqref>
        </x14:conditionalFormatting>
        <x14:conditionalFormatting xmlns:xm="http://schemas.microsoft.com/office/excel/2006/main">
          <x14:cfRule type="dataBar" id="{51358BC6-A641-4F8D-827A-7B02A2D8D94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AH416:AH431</xm:sqref>
        </x14:conditionalFormatting>
        <x14:conditionalFormatting xmlns:xm="http://schemas.microsoft.com/office/excel/2006/main">
          <x14:cfRule type="dataBar" id="{EDBBCCA4-234D-47DC-B96E-9C066722B2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AH432:AH441</xm:sqref>
        </x14:conditionalFormatting>
        <x14:conditionalFormatting xmlns:xm="http://schemas.microsoft.com/office/excel/2006/main">
          <x14:cfRule type="dataBar" id="{71209B49-DE3F-4899-968E-71EF679A803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AH464:AH473</xm:sqref>
        </x14:conditionalFormatting>
        <x14:conditionalFormatting xmlns:xm="http://schemas.microsoft.com/office/excel/2006/main">
          <x14:cfRule type="dataBar" id="{69F9DF89-01D3-4A18-9F93-ADB3F6154B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AH474:AH484 AD464:AD484</xm:sqref>
        </x14:conditionalFormatting>
        <x14:conditionalFormatting xmlns:xm="http://schemas.microsoft.com/office/excel/2006/main">
          <x14:cfRule type="dataBar" id="{EB20DEEE-CBB4-4D06-A3F0-5F1594EA9F1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AH486:AH501</xm:sqref>
        </x14:conditionalFormatting>
        <x14:conditionalFormatting xmlns:xm="http://schemas.microsoft.com/office/excel/2006/main">
          <x14:cfRule type="dataBar" id="{06C2B8AB-915F-4121-BD83-0C3147D9CD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AH486:AH511</xm:sqref>
        </x14:conditionalFormatting>
        <x14:conditionalFormatting xmlns:xm="http://schemas.microsoft.com/office/excel/2006/main">
          <x14:cfRule type="dataBar" id="{FB18D7C6-C238-4B75-B6E1-7C9660E2482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AH513:AH523</xm:sqref>
        </x14:conditionalFormatting>
        <x14:conditionalFormatting xmlns:xm="http://schemas.microsoft.com/office/excel/2006/main">
          <x14:cfRule type="dataBar" id="{F7D4BA19-4E54-4D88-ACEA-A1F7F4C4E0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AH513:AH535</xm:sqref>
        </x14:conditionalFormatting>
        <x14:conditionalFormatting xmlns:xm="http://schemas.microsoft.com/office/excel/2006/main">
          <x14:cfRule type="dataBar" id="{BEB6D235-D02A-4F68-BC89-583FE0639F1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AH537:AH544</xm:sqref>
        </x14:conditionalFormatting>
        <x14:conditionalFormatting xmlns:xm="http://schemas.microsoft.com/office/excel/2006/main">
          <x14:cfRule type="dataBar" id="{84EE9263-2E24-4DA3-B0F3-7792A27DD9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AH567</xm:sqref>
        </x14:conditionalFormatting>
        <x14:conditionalFormatting xmlns:xm="http://schemas.microsoft.com/office/excel/2006/main">
          <x14:cfRule type="dataBar" id="{5266E49D-5C58-46C1-839C-E46B3C7848B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AH569:AH576</xm:sqref>
        </x14:conditionalFormatting>
        <x14:conditionalFormatting xmlns:xm="http://schemas.microsoft.com/office/excel/2006/main">
          <x14:cfRule type="dataBar" id="{AF98AA2C-33E5-43FE-98D3-EFEAA612AC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AH569:AH589 AH247:AH511 AH6:AH16 AH22:AH244 AH513:AH535 AH537:AH566 AH591:AH611</xm:sqref>
        </x14:conditionalFormatting>
        <x14:conditionalFormatting xmlns:xm="http://schemas.microsoft.com/office/excel/2006/main">
          <x14:cfRule type="dataBar" id="{5414EB3E-3DAD-49E9-A862-AE0D2B6D17D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AH591:AH598</xm:sqref>
        </x14:conditionalFormatting>
        <x14:conditionalFormatting xmlns:xm="http://schemas.microsoft.com/office/excel/2006/main">
          <x14:cfRule type="dataBar" id="{FE77AC1B-93A6-4DDA-B95D-B8DD38A4127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AI6:AI22</xm:sqref>
        </x14:conditionalFormatting>
        <x14:conditionalFormatting xmlns:xm="http://schemas.microsoft.com/office/excel/2006/main">
          <x14:cfRule type="dataBar" id="{F65EBA11-B384-4F6E-9D9E-BCE14F19680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AI58:AI81</xm:sqref>
        </x14:conditionalFormatting>
        <x14:conditionalFormatting xmlns:xm="http://schemas.microsoft.com/office/excel/2006/main">
          <x14:cfRule type="dataBar" id="{BC3466A2-F6A0-4EED-9120-0EF20129589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AI82</xm:sqref>
        </x14:conditionalFormatting>
        <x14:conditionalFormatting xmlns:xm="http://schemas.microsoft.com/office/excel/2006/main">
          <x14:cfRule type="dataBar" id="{6607DED3-120E-44C0-A2D0-2E8DE7981A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AI83:AI87</xm:sqref>
        </x14:conditionalFormatting>
        <x14:conditionalFormatting xmlns:xm="http://schemas.microsoft.com/office/excel/2006/main">
          <x14:cfRule type="dataBar" id="{6DB1B3AF-1825-476B-945E-FE639F6A759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AI115:AI136</xm:sqref>
        </x14:conditionalFormatting>
        <x14:conditionalFormatting xmlns:xm="http://schemas.microsoft.com/office/excel/2006/main">
          <x14:cfRule type="dataBar" id="{B2871C73-CB04-4FED-92DC-6DC6B39132B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AI168:AI197</xm:sqref>
        </x14:conditionalFormatting>
        <x14:conditionalFormatting xmlns:xm="http://schemas.microsoft.com/office/excel/2006/main">
          <x14:cfRule type="dataBar" id="{8FA46181-06D4-492B-A0D7-11CB6335D10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AI223:AI246</xm:sqref>
        </x14:conditionalFormatting>
        <x14:conditionalFormatting xmlns:xm="http://schemas.microsoft.com/office/excel/2006/main">
          <x14:cfRule type="dataBar" id="{6F6CC7A2-E8D8-4D80-9FD4-701BBDF157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AI247:AI273</xm:sqref>
        </x14:conditionalFormatting>
        <x14:conditionalFormatting xmlns:xm="http://schemas.microsoft.com/office/excel/2006/main">
          <x14:cfRule type="dataBar" id="{9619DA28-E8B9-4B9C-8BE5-2D48CDEC090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AI277:AI294</xm:sqref>
        </x14:conditionalFormatting>
        <x14:conditionalFormatting xmlns:xm="http://schemas.microsoft.com/office/excel/2006/main">
          <x14:cfRule type="dataBar" id="{59E74B51-818E-4074-ABAB-339C46550BB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AI329:AI338</xm:sqref>
        </x14:conditionalFormatting>
        <x14:conditionalFormatting xmlns:xm="http://schemas.microsoft.com/office/excel/2006/main">
          <x14:cfRule type="dataBar" id="{4DB93B58-1913-4881-83D1-477DA9AC701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AI361:AI373</xm:sqref>
        </x14:conditionalFormatting>
        <x14:conditionalFormatting xmlns:xm="http://schemas.microsoft.com/office/excel/2006/main">
          <x14:cfRule type="dataBar" id="{E2C9F3A3-2A1F-4D28-95E5-000BE8532C3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AI388:AI400</xm:sqref>
        </x14:conditionalFormatting>
        <x14:conditionalFormatting xmlns:xm="http://schemas.microsoft.com/office/excel/2006/main">
          <x14:cfRule type="dataBar" id="{C054DDBA-73BC-4F85-A1FB-E11974D75E3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AI416:AI431</xm:sqref>
        </x14:conditionalFormatting>
        <x14:conditionalFormatting xmlns:xm="http://schemas.microsoft.com/office/excel/2006/main">
          <x14:cfRule type="dataBar" id="{4B691102-B0F4-44EA-ADF4-B0B13ECF20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AI432:AI441 X432:X441</xm:sqref>
        </x14:conditionalFormatting>
        <x14:conditionalFormatting xmlns:xm="http://schemas.microsoft.com/office/excel/2006/main">
          <x14:cfRule type="dataBar" id="{C213AE42-3581-4158-8F22-23FE53F036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AI443:AI450 X443:X450 X166 X414 AI535 AI166 AI219:AI220 AI109:AI112 AI414 AI274:AI275 AI558:AI563</xm:sqref>
        </x14:conditionalFormatting>
        <x14:conditionalFormatting xmlns:xm="http://schemas.microsoft.com/office/excel/2006/main">
          <x14:cfRule type="dataBar" id="{8A328749-CA71-4F5F-A261-A9644B130A4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AI464:AI473</xm:sqref>
        </x14:conditionalFormatting>
        <x14:conditionalFormatting xmlns:xm="http://schemas.microsoft.com/office/excel/2006/main">
          <x14:cfRule type="dataBar" id="{63984996-456B-49ED-BCE5-307752E61C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AI474:AI484</xm:sqref>
        </x14:conditionalFormatting>
        <x14:conditionalFormatting xmlns:xm="http://schemas.microsoft.com/office/excel/2006/main">
          <x14:cfRule type="dataBar" id="{6348B17C-70DE-4D41-819A-81B63208BC1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AI486:AI501</xm:sqref>
        </x14:conditionalFormatting>
        <x14:conditionalFormatting xmlns:xm="http://schemas.microsoft.com/office/excel/2006/main">
          <x14:cfRule type="dataBar" id="{F202C636-81A2-427C-B2D0-EBEE196480C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AI513:AI523</xm:sqref>
        </x14:conditionalFormatting>
        <x14:conditionalFormatting xmlns:xm="http://schemas.microsoft.com/office/excel/2006/main">
          <x14:cfRule type="dataBar" id="{29389FD3-09A2-4C5F-BAF1-3EFB6206B7E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AI537:AI544</xm:sqref>
        </x14:conditionalFormatting>
        <x14:conditionalFormatting xmlns:xm="http://schemas.microsoft.com/office/excel/2006/main">
          <x14:cfRule type="dataBar" id="{F8311E2A-F8CA-4D6D-A352-062DE03919E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AI569:AI576</xm:sqref>
        </x14:conditionalFormatting>
        <x14:conditionalFormatting xmlns:xm="http://schemas.microsoft.com/office/excel/2006/main">
          <x14:cfRule type="dataBar" id="{2C7CE4ED-1D81-414D-8A06-B1AE6D5546E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AI591:AI598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AU70"/>
  <sheetViews>
    <sheetView topLeftCell="A17" workbookViewId="0">
      <selection activeCell="G19" sqref="G19"/>
    </sheetView>
  </sheetViews>
  <sheetFormatPr baseColWidth="10" defaultRowHeight="15" x14ac:dyDescent="0.25"/>
  <sheetData>
    <row r="3" spans="2:47" x14ac:dyDescent="0.25">
      <c r="C3" s="14">
        <v>180</v>
      </c>
      <c r="D3" s="14">
        <v>360</v>
      </c>
      <c r="E3" s="14">
        <v>420</v>
      </c>
      <c r="F3" s="14">
        <v>580</v>
      </c>
      <c r="G3" s="14">
        <v>660</v>
      </c>
      <c r="H3" s="14">
        <v>720</v>
      </c>
      <c r="I3" s="14">
        <v>780</v>
      </c>
      <c r="J3" s="14">
        <v>980</v>
      </c>
      <c r="K3" s="14">
        <v>1080</v>
      </c>
      <c r="L3" s="14">
        <v>1440</v>
      </c>
      <c r="M3" s="14">
        <v>1800</v>
      </c>
      <c r="O3" s="114" t="s">
        <v>90</v>
      </c>
      <c r="P3" s="115"/>
      <c r="Q3" s="116"/>
      <c r="T3" s="14">
        <v>180</v>
      </c>
      <c r="U3" s="14">
        <v>360</v>
      </c>
      <c r="V3" s="14">
        <v>420</v>
      </c>
      <c r="W3" s="14">
        <v>580</v>
      </c>
      <c r="X3" s="14">
        <v>660</v>
      </c>
      <c r="Y3" s="14">
        <v>720</v>
      </c>
      <c r="Z3" s="14">
        <v>780</v>
      </c>
      <c r="AA3" s="14">
        <v>980</v>
      </c>
      <c r="AB3" s="14">
        <v>1080</v>
      </c>
      <c r="AC3" s="14">
        <v>1440</v>
      </c>
      <c r="AD3" s="14">
        <v>1800</v>
      </c>
      <c r="AF3" s="114" t="s">
        <v>151</v>
      </c>
      <c r="AG3" s="115"/>
      <c r="AH3" s="116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</row>
    <row r="4" spans="2:47" x14ac:dyDescent="0.25">
      <c r="B4" s="14">
        <v>180</v>
      </c>
      <c r="C4">
        <f>IFERROR(ROUND((VLOOKUP(B4,O4:P14,2,FALSE)*VLOOKUP(C3,O4:P14,2,FALSE))^0.5,2),"")</f>
        <v>0.9</v>
      </c>
      <c r="D4">
        <f>IFERROR(ROUND((VLOOKUP(B4,O4:P14,2,FALSE)*VLOOKUP(D3,O4:P14,2,FALSE))^0.5,2),"")</f>
        <v>0.9</v>
      </c>
      <c r="E4">
        <f>IFERROR(ROUND((VLOOKUP(B4,O4:P14,2,FALSE)*VLOOKUP(E3,O4:P14,2,FALSE))^0.5,2),"")</f>
        <v>0.95</v>
      </c>
      <c r="F4">
        <f>IFERROR(ROUND((VLOOKUP(B4,O4:P14,2,FALSE)*VLOOKUP(F3,O4:P14,2,FALSE))^0.5,2),"")</f>
        <v>1.08</v>
      </c>
      <c r="G4">
        <f>IFERROR(ROUND((VLOOKUP(B4,O4:P14,2,FALSE)*VLOOKUP(G3,O4:P14,2,FALSE))^0.5,2),"")</f>
        <v>1.1599999999999999</v>
      </c>
      <c r="H4">
        <f>IFERROR(ROUND((VLOOKUP(B4,O4:P14,2,FALSE)*VLOOKUP(H3,O4:P14,2,FALSE))^0.5,2),"")</f>
        <v>1.2</v>
      </c>
      <c r="I4">
        <f>IFERROR(ROUND((VLOOKUP(B4,O4:P14,2,FALSE)*VLOOKUP(I3,O4:P14,2,FALSE))^0.5,2),"")</f>
        <v>1.2</v>
      </c>
      <c r="J4">
        <f>IFERROR(ROUND((VLOOKUP(B4,O4:P14,2,FALSE)*VLOOKUP(J3,O4:P14,2,FALSE))^0.5,2),"")</f>
        <v>1.34</v>
      </c>
      <c r="K4">
        <f>IFERROR(ROUND((VLOOKUP(B4,O4:P14,2,FALSE)*VLOOKUP(K3,O4:P14,2,FALSE))^0.5,2),"")</f>
        <v>1.37</v>
      </c>
      <c r="L4">
        <f>IFERROR(ROUND((VLOOKUP(B4,O4:P14,2,FALSE)*VLOOKUP(L3,O4:P14,2,FALSE))^0.5,2),"")</f>
        <v>1.47</v>
      </c>
      <c r="M4">
        <f>IFERROR(ROUND((VLOOKUP(B4,O4:P14,2,FALSE)*VLOOKUP(M3,O4:P14,2,FALSE))^0.5,2),"")</f>
        <v>1.56</v>
      </c>
      <c r="O4" s="20">
        <v>180</v>
      </c>
      <c r="P4" s="21">
        <v>0.9</v>
      </c>
      <c r="Q4" s="22"/>
      <c r="S4" s="14">
        <v>180</v>
      </c>
      <c r="T4">
        <f>IFERROR(ROUND((VLOOKUP(S4,AF4:AG14,2,FALSE)*VLOOKUP(T3,AF4:AG14,2,FALSE))^0.5,2),"")</f>
        <v>1</v>
      </c>
      <c r="U4">
        <f>IFERROR(ROUND((VLOOKUP(S4,AF4:AG14,2,FALSE)*VLOOKUP(U3,AF4:AG14,2,FALSE))^0.5,2),"")</f>
        <v>1</v>
      </c>
      <c r="V4">
        <f>IFERROR(ROUND((VLOOKUP(S4,AF4:AG14,2,FALSE)*VLOOKUP(V3,AF4:AG14,2,FALSE))^0.5,2),"")</f>
        <v>1</v>
      </c>
      <c r="W4">
        <f>IFERROR(ROUND((VLOOKUP(S4,AF4:AG14,2,FALSE)*VLOOKUP(W3,AF4:AG14,2,FALSE))^0.5,2),"")</f>
        <v>1</v>
      </c>
      <c r="X4">
        <f>IFERROR(ROUND((VLOOKUP(S4,AF4:AG14,2,FALSE)*VLOOKUP(X3,AF4:AG14,2,FALSE))^0.5,2),"")</f>
        <v>1</v>
      </c>
      <c r="Y4">
        <f>IFERROR(ROUND((VLOOKUP(S4,AF4:AG14,2,FALSE)*VLOOKUP(Y3,AF4:AG14,2,FALSE))^0.5,2),"")</f>
        <v>1</v>
      </c>
      <c r="Z4">
        <f>IFERROR(ROUND((VLOOKUP(S4,AF4:AG14,2,FALSE)*VLOOKUP(Z3,AF4:AG14,2,FALSE))^0.5,2),"")</f>
        <v>1</v>
      </c>
      <c r="AA4">
        <f>IFERROR(ROUND((VLOOKUP(S4,AF4:AG14,2,FALSE)*VLOOKUP(AA3,AF4:AG14,2,FALSE))^0.5,2),"")</f>
        <v>1</v>
      </c>
      <c r="AB4">
        <f>IFERROR(ROUND((VLOOKUP(S4,AF4:AG14,2,FALSE)*VLOOKUP(AB3,AF4:AG14,2,FALSE))^0.5,2),"")</f>
        <v>1.22</v>
      </c>
      <c r="AC4">
        <f>IFERROR(ROUND((VLOOKUP(S4,AF4:AG14,2,FALSE)*VLOOKUP(AC3,AF4:AG14,2,FALSE))^0.5,2),"")</f>
        <v>1.26</v>
      </c>
      <c r="AD4">
        <f>IFERROR(ROUND((VLOOKUP(S4,AF4:AG14,2,FALSE)*VLOOKUP(AD3,AF4:AG14,2,FALSE))^0.5,2),"")</f>
        <v>1.3</v>
      </c>
      <c r="AF4" s="20">
        <v>180</v>
      </c>
      <c r="AG4" s="21">
        <v>1</v>
      </c>
      <c r="AH4" s="22"/>
      <c r="AJ4" s="14"/>
    </row>
    <row r="5" spans="2:47" x14ac:dyDescent="0.25">
      <c r="B5" s="14">
        <v>360</v>
      </c>
      <c r="C5">
        <f>IFERROR(ROUND((VLOOKUP(B5,O4:P14,2,FALSE)*VLOOKUP(C3,O4:P14,2,FALSE))^0.5,2),"")</f>
        <v>0.9</v>
      </c>
      <c r="D5">
        <f>IFERROR(ROUND((VLOOKUP(B5,O4:P14,2,FALSE)*VLOOKUP(D3,O4:P14,2,FALSE))^0.5,2),"")</f>
        <v>0.9</v>
      </c>
      <c r="E5">
        <f>IFERROR(ROUND((VLOOKUP(B5,O4:P14,2,FALSE)*VLOOKUP(E3,O4:P14,2,FALSE))^0.5,2),"")</f>
        <v>0.95</v>
      </c>
      <c r="F5">
        <f>IFERROR(ROUND((VLOOKUP(B5,O4:P14,2,FALSE)*VLOOKUP(F3,O4:P14,2,FALSE))^0.5,2),"")</f>
        <v>1.08</v>
      </c>
      <c r="G5">
        <f>IFERROR(ROUND((VLOOKUP(B5,O4:P14,2,FALSE)*VLOOKUP(G3,O4:P14,2,FALSE))^0.5,2),"")</f>
        <v>1.1599999999999999</v>
      </c>
      <c r="H5">
        <f>IFERROR(ROUND((VLOOKUP(B5,O4:P14,2,FALSE)*VLOOKUP(H3,O4:P14,2,FALSE))^0.5,2),"")</f>
        <v>1.2</v>
      </c>
      <c r="I5">
        <f>IFERROR(ROUND((VLOOKUP(B5,O4:P14,2,FALSE)*VLOOKUP(I3,O4:P14,2,FALSE))^0.5,2),"")</f>
        <v>1.2</v>
      </c>
      <c r="J5">
        <f>IFERROR(ROUND((VLOOKUP(B5,O4:P14,2,FALSE)*VLOOKUP(J3,O4:P14,2,FALSE))^0.5,2),"")</f>
        <v>1.34</v>
      </c>
      <c r="K5">
        <f>IFERROR(ROUND((VLOOKUP(B5,O4:P14,2,FALSE)*VLOOKUP(K3,O4:P14,2,FALSE))^0.5,2),"")</f>
        <v>1.37</v>
      </c>
      <c r="L5">
        <f>IFERROR(ROUND((VLOOKUP(B5,O4:P14,2,FALSE)*VLOOKUP(L3,O4:P14,2,FALSE))^0.5,2),"")</f>
        <v>1.47</v>
      </c>
      <c r="M5">
        <f>IFERROR(ROUND((VLOOKUP(B5,O4:P14,2,FALSE)*VLOOKUP(M3,O4:P14,2,FALSE))^0.5,2),"")</f>
        <v>1.56</v>
      </c>
      <c r="O5" s="23">
        <v>360</v>
      </c>
      <c r="P5" s="24">
        <v>0.9</v>
      </c>
      <c r="Q5" s="25">
        <f>IFERROR(P5-P4,"")</f>
        <v>0</v>
      </c>
      <c r="S5" s="14">
        <v>360</v>
      </c>
      <c r="T5">
        <f>IFERROR(ROUND((VLOOKUP(S5,AF4:AG14,2,FALSE)*VLOOKUP(T3,AF4:AG14,2,FALSE))^0.5,2),"")</f>
        <v>1</v>
      </c>
      <c r="U5">
        <f>IFERROR(ROUND((VLOOKUP(S5,AF4:AG14,2,FALSE)*VLOOKUP(U3,AF4:AG14,2,FALSE))^0.5,2),"")</f>
        <v>1</v>
      </c>
      <c r="V5">
        <f>IFERROR(ROUND((VLOOKUP(S5,AF4:AG14,2,FALSE)*VLOOKUP(V3,AF4:AG14,2,FALSE))^0.5,2),"")</f>
        <v>1</v>
      </c>
      <c r="W5">
        <f>IFERROR(ROUND((VLOOKUP(S5,AF4:AG14,2,FALSE)*VLOOKUP(W3,AF4:AG14,2,FALSE))^0.5,2),"")</f>
        <v>1</v>
      </c>
      <c r="X5">
        <f>IFERROR(ROUND((VLOOKUP(S5,AF4:AG14,2,FALSE)*VLOOKUP(X3,AF4:AG14,2,FALSE))^0.5,2),"")</f>
        <v>1</v>
      </c>
      <c r="Y5">
        <f>IFERROR(ROUND((VLOOKUP(S5,AF4:AG14,2,FALSE)*VLOOKUP(Y3,AF4:AG14,2,FALSE))^0.5,2),"")</f>
        <v>1</v>
      </c>
      <c r="Z5">
        <f>IFERROR(ROUND((VLOOKUP(S5,AF4:AG14,2,FALSE)*VLOOKUP(Z3,AF4:AG14,2,FALSE))^0.5,2),"")</f>
        <v>1</v>
      </c>
      <c r="AA5">
        <f>IFERROR(ROUND((VLOOKUP(S5,AF4:AG14,2,FALSE)*VLOOKUP(AA3,AF4:AG14,2,FALSE))^0.5,2),"")</f>
        <v>1</v>
      </c>
      <c r="AB5">
        <f>IFERROR(ROUND((VLOOKUP(S5,AF4:AG14,2,FALSE)*VLOOKUP(AB3,AF4:AG14,2,FALSE))^0.5,2),"")</f>
        <v>1.22</v>
      </c>
      <c r="AC5">
        <f>IFERROR(ROUND((VLOOKUP(S5,AF4:AG14,2,FALSE)*VLOOKUP(AC3,AF4:AG14,2,FALSE))^0.5,2),"")</f>
        <v>1.26</v>
      </c>
      <c r="AD5">
        <f>IFERROR(ROUND((VLOOKUP(S5,AF4:AG14,2,FALSE)*VLOOKUP(AD3,AF4:AG14,2,FALSE))^0.5,2),"")</f>
        <v>1.3</v>
      </c>
      <c r="AF5" s="23">
        <v>360</v>
      </c>
      <c r="AG5" s="24">
        <v>1</v>
      </c>
      <c r="AH5" s="25">
        <f>IFERROR(AG5-AG4,"")</f>
        <v>0</v>
      </c>
      <c r="AJ5" s="14"/>
    </row>
    <row r="6" spans="2:47" x14ac:dyDescent="0.25">
      <c r="B6" s="14">
        <v>420</v>
      </c>
      <c r="C6">
        <f>IFERROR(ROUND((VLOOKUP(B6,O4:P14,2,FALSE)*VLOOKUP(C3,O4:P14,2,FALSE))^0.5,2),"")</f>
        <v>0.95</v>
      </c>
      <c r="D6">
        <f>IFERROR(ROUND((VLOOKUP(B6,O4:P14,2,FALSE)*VLOOKUP(D3,O4:P14,2,FALSE))^0.5,2),"")</f>
        <v>0.95</v>
      </c>
      <c r="E6">
        <f>IFERROR(ROUND((VLOOKUP(B6,O4:P14,2,FALSE)*VLOOKUP(E3,O4:P14,2,FALSE))^0.5,2),"")</f>
        <v>1</v>
      </c>
      <c r="F6">
        <f>IFERROR(ROUND((VLOOKUP(B6,O4:P14,2,FALSE)*VLOOKUP(F3,O4:P14,2,FALSE))^0.5,2),"")</f>
        <v>1.1399999999999999</v>
      </c>
      <c r="G6">
        <f>IFERROR(ROUND((VLOOKUP(B6,O4:P14,2,FALSE)*VLOOKUP(G3,O4:P14,2,FALSE))^0.5,2),"")</f>
        <v>1.22</v>
      </c>
      <c r="H6">
        <f>IFERROR(ROUND((VLOOKUP(B6,O4:P14,2,FALSE)*VLOOKUP(H3,O4:P14,2,FALSE))^0.5,2),"")</f>
        <v>1.26</v>
      </c>
      <c r="I6">
        <f>IFERROR(ROUND((VLOOKUP(B6,O4:P14,2,FALSE)*VLOOKUP(I3,O4:P14,2,FALSE))^0.5,2),"")</f>
        <v>1.26</v>
      </c>
      <c r="J6">
        <f>IFERROR(ROUND((VLOOKUP(B6,O4:P14,2,FALSE)*VLOOKUP(J3,O4:P14,2,FALSE))^0.5,2),"")</f>
        <v>1.41</v>
      </c>
      <c r="K6">
        <f>IFERROR(ROUND((VLOOKUP(B6,O4:P14,2,FALSE)*VLOOKUP(K3,O4:P14,2,FALSE))^0.5,2),"")</f>
        <v>1.45</v>
      </c>
      <c r="L6">
        <f>IFERROR(ROUND((VLOOKUP(B6,O4:P14,2,FALSE)*VLOOKUP(L3,O4:P14,2,FALSE))^0.5,2),"")</f>
        <v>1.55</v>
      </c>
      <c r="M6">
        <f>IFERROR(ROUND((VLOOKUP(B6,O4:P14,2,FALSE)*VLOOKUP(M3,O4:P14,2,FALSE))^0.5,2),"")</f>
        <v>1.64</v>
      </c>
      <c r="O6" s="20">
        <v>420</v>
      </c>
      <c r="P6" s="21">
        <v>1</v>
      </c>
      <c r="Q6" s="22">
        <f t="shared" ref="Q6:Q14" si="0">IFERROR(P6-P5,"")</f>
        <v>9.9999999999999978E-2</v>
      </c>
      <c r="S6" s="14">
        <v>420</v>
      </c>
      <c r="T6">
        <f>IFERROR(ROUND((VLOOKUP(S6,AF4:AG14,2,FALSE)*VLOOKUP(T3,AF4:AG14,2,FALSE))^0.5,2),"")</f>
        <v>1</v>
      </c>
      <c r="U6">
        <f>IFERROR(ROUND((VLOOKUP(S6,AF4:AG14,2,FALSE)*VLOOKUP(U3,AF4:AG14,2,FALSE))^0.5,2),"")</f>
        <v>1</v>
      </c>
      <c r="V6">
        <f>IFERROR(ROUND((VLOOKUP(S6,AF4:AG14,2,FALSE)*VLOOKUP(V3,AF4:AG14,2,FALSE))^0.5,2),"")</f>
        <v>1</v>
      </c>
      <c r="W6">
        <f>IFERROR(ROUND((VLOOKUP(S6,AF4:AG14,2,FALSE)*VLOOKUP(W3,AF4:AG14,2,FALSE))^0.5,2),"")</f>
        <v>1</v>
      </c>
      <c r="X6">
        <f>IFERROR(ROUND((VLOOKUP(S6,AF4:AG14,2,FALSE)*VLOOKUP(X3,AF4:AG14,2,FALSE))^0.5,2),"")</f>
        <v>1</v>
      </c>
      <c r="Y6">
        <f>IFERROR(ROUND((VLOOKUP(S6,AF4:AG14,2,FALSE)*VLOOKUP(Y3,AF4:AG14,2,FALSE))^0.5,2),"")</f>
        <v>1</v>
      </c>
      <c r="Z6">
        <f>IFERROR(ROUND((VLOOKUP(S6,AF4:AG14,2,FALSE)*VLOOKUP(Z3,AF4:AG14,2,FALSE))^0.5,2),"")</f>
        <v>1</v>
      </c>
      <c r="AA6">
        <f>IFERROR(ROUND((VLOOKUP(S6,AF4:AG14,2,FALSE)*VLOOKUP(AA3,AF4:AG14,2,FALSE))^0.5,2),"")</f>
        <v>1</v>
      </c>
      <c r="AB6">
        <f>IFERROR(ROUND((VLOOKUP(S6,AF4:AG14,2,FALSE)*VLOOKUP(AB3,AF4:AG14,2,FALSE))^0.5,2),"")</f>
        <v>1.22</v>
      </c>
      <c r="AC6">
        <f>IFERROR(ROUND((VLOOKUP(S6,AF4:AG14,2,FALSE)*VLOOKUP(AC3,AF4:AG14,2,FALSE))^0.5,2),"")</f>
        <v>1.26</v>
      </c>
      <c r="AD6">
        <f>IFERROR(ROUND((VLOOKUP(S6,AF4:AG14,2,FALSE)*VLOOKUP(AD3,AF4:AG14,2,FALSE))^0.5,2),"")</f>
        <v>1.3</v>
      </c>
      <c r="AF6" s="20">
        <v>420</v>
      </c>
      <c r="AG6" s="21">
        <v>1</v>
      </c>
      <c r="AH6" s="22">
        <f t="shared" ref="AH6:AH14" si="1">IFERROR(AG6-AG5,"")</f>
        <v>0</v>
      </c>
      <c r="AJ6" s="14"/>
    </row>
    <row r="7" spans="2:47" x14ac:dyDescent="0.25">
      <c r="B7" s="14">
        <v>580</v>
      </c>
      <c r="C7">
        <f>IFERROR(ROUND((VLOOKUP(B7,O4:P14,2,FALSE)*VLOOKUP(C3,O4:P14,2,FALSE))^0.5,2),"")</f>
        <v>1.08</v>
      </c>
      <c r="D7">
        <f>IFERROR(ROUND((VLOOKUP(B7,O4:P14,2,FALSE)*VLOOKUP(D3,O4:P14,2,FALSE))^0.5,2),"")</f>
        <v>1.08</v>
      </c>
      <c r="E7">
        <f>IFERROR(ROUND((VLOOKUP(B7,O4:P14,2,FALSE)*VLOOKUP(E3,O4:P14,2,FALSE))^0.5,2),"")</f>
        <v>1.1399999999999999</v>
      </c>
      <c r="F7">
        <f>IFERROR(ROUND((VLOOKUP(B7,O4:P14,2,FALSE)*VLOOKUP(F3,O4:P14,2,FALSE))^0.5,2),"")</f>
        <v>1.3</v>
      </c>
      <c r="G7">
        <f>IFERROR(ROUND((VLOOKUP(B7,O4:P14,2,FALSE)*VLOOKUP(G3,O4:P14,2,FALSE))^0.5,2),"")</f>
        <v>1.4</v>
      </c>
      <c r="H7">
        <f>IFERROR(ROUND((VLOOKUP(B7,O4:P14,2,FALSE)*VLOOKUP(H3,O4:P14,2,FALSE))^0.5,2),"")</f>
        <v>1.44</v>
      </c>
      <c r="I7">
        <f>IFERROR(ROUND((VLOOKUP(B7,O4:P14,2,FALSE)*VLOOKUP(I3,O4:P14,2,FALSE))^0.5,2),"")</f>
        <v>1.44</v>
      </c>
      <c r="J7">
        <f>IFERROR(ROUND((VLOOKUP(B7,O4:P14,2,FALSE)*VLOOKUP(J3,O4:P14,2,FALSE))^0.5,2),"")</f>
        <v>1.61</v>
      </c>
      <c r="K7">
        <f>IFERROR(ROUND((VLOOKUP(B7,O4:P14,2,FALSE)*VLOOKUP(K3,O4:P14,2,FALSE))^0.5,2),"")</f>
        <v>1.65</v>
      </c>
      <c r="L7">
        <f>IFERROR(ROUND((VLOOKUP(B7,O4:P14,2,FALSE)*VLOOKUP(L3,O4:P14,2,FALSE))^0.5,2),"")</f>
        <v>1.77</v>
      </c>
      <c r="M7">
        <f>IFERROR(ROUND((VLOOKUP(B7,O4:P14,2,FALSE)*VLOOKUP(M3,O4:P14,2,FALSE))^0.5,2),"")</f>
        <v>1.87</v>
      </c>
      <c r="O7" s="23">
        <v>580</v>
      </c>
      <c r="P7" s="24">
        <v>1.3</v>
      </c>
      <c r="Q7" s="25">
        <f t="shared" si="0"/>
        <v>0.30000000000000004</v>
      </c>
      <c r="S7" s="14">
        <v>580</v>
      </c>
      <c r="T7">
        <f>IFERROR(ROUND((VLOOKUP(S7,AF4:AG14,2,FALSE)*VLOOKUP(T3,AF4:AG14,2,FALSE))^0.5,2),"")</f>
        <v>1</v>
      </c>
      <c r="U7">
        <f>IFERROR(ROUND((VLOOKUP(S7,AF4:AG14,2,FALSE)*VLOOKUP(U3,AF4:AG14,2,FALSE))^0.5,2),"")</f>
        <v>1</v>
      </c>
      <c r="V7">
        <f>IFERROR(ROUND((VLOOKUP(S7,AF4:AG14,2,FALSE)*VLOOKUP(V3,AF4:AG14,2,FALSE))^0.5,2),"")</f>
        <v>1</v>
      </c>
      <c r="W7">
        <f>IFERROR(ROUND((VLOOKUP(S7,AF4:AG14,2,FALSE)*VLOOKUP(W3,AF4:AG14,2,FALSE))^0.5,2),"")</f>
        <v>1</v>
      </c>
      <c r="X7">
        <f>IFERROR(ROUND((VLOOKUP(S7,AF4:AG14,2,FALSE)*VLOOKUP(X3,AF4:AG14,2,FALSE))^0.5,2),"")</f>
        <v>1</v>
      </c>
      <c r="Y7">
        <f>IFERROR(ROUND((VLOOKUP(S7,AF4:AG14,2,FALSE)*VLOOKUP(Y3,AF4:AG14,2,FALSE))^0.5,2),"")</f>
        <v>1</v>
      </c>
      <c r="Z7">
        <f>IFERROR(ROUND((VLOOKUP(S7,AF4:AG14,2,FALSE)*VLOOKUP(Z3,AF4:AG14,2,FALSE))^0.5,2),"")</f>
        <v>1</v>
      </c>
      <c r="AA7">
        <f>IFERROR(ROUND((VLOOKUP(S7,AF4:AG14,2,FALSE)*VLOOKUP(AA3,AF4:AG14,2,FALSE))^0.5,2),"")</f>
        <v>1</v>
      </c>
      <c r="AB7">
        <f>IFERROR(ROUND((VLOOKUP(S7,AF4:AG14,2,FALSE)*VLOOKUP(AB3,AF4:AG14,2,FALSE))^0.5,2),"")</f>
        <v>1.22</v>
      </c>
      <c r="AC7">
        <f>IFERROR(ROUND((VLOOKUP(S7,AF4:AG14,2,FALSE)*VLOOKUP(AC3,AF4:AG14,2,FALSE))^0.5,2),"")</f>
        <v>1.26</v>
      </c>
      <c r="AD7">
        <f>IFERROR(ROUND((VLOOKUP(S7,AF4:AG14,2,FALSE)*VLOOKUP(AD3,AF4:AG14,2,FALSE))^0.5,2),"")</f>
        <v>1.3</v>
      </c>
      <c r="AF7" s="23">
        <v>580</v>
      </c>
      <c r="AG7" s="24">
        <v>1</v>
      </c>
      <c r="AH7" s="25">
        <f t="shared" si="1"/>
        <v>0</v>
      </c>
      <c r="AJ7" s="14"/>
    </row>
    <row r="8" spans="2:47" x14ac:dyDescent="0.25">
      <c r="B8" s="14">
        <v>660</v>
      </c>
      <c r="C8">
        <f>IFERROR(ROUND((VLOOKUP(B8,O4:P14,2,FALSE)*VLOOKUP(C3,O4:P14,2,FALSE))^0.5,2),"")</f>
        <v>1.1599999999999999</v>
      </c>
      <c r="D8">
        <f>IFERROR(ROUND((VLOOKUP(B8,O4:P14,2,FALSE)*VLOOKUP(D3,O4:P14,2,FALSE))^0.5,2),"")</f>
        <v>1.1599999999999999</v>
      </c>
      <c r="E8">
        <f>IFERROR(ROUND((VLOOKUP(B8,O4:P14,2,FALSE)*VLOOKUP(E3,O4:P14,2,FALSE))^0.5,2),"")</f>
        <v>1.22</v>
      </c>
      <c r="F8">
        <f>IFERROR(ROUND((VLOOKUP(B8,O4:P14,2,FALSE)*VLOOKUP(F3,O4:P14,2,FALSE))^0.5,2),"")</f>
        <v>1.4</v>
      </c>
      <c r="G8">
        <f>IFERROR(ROUND((VLOOKUP(B8,O4:P14,2,FALSE)*VLOOKUP(G3,O4:P14,2,FALSE))^0.5,2),"")</f>
        <v>1.5</v>
      </c>
      <c r="H8">
        <f>IFERROR(ROUND((VLOOKUP(B8,O4:P14,2,FALSE)*VLOOKUP(H3,O4:P14,2,FALSE))^0.5,2),"")</f>
        <v>1.55</v>
      </c>
      <c r="I8">
        <f>IFERROR(ROUND((VLOOKUP(B8,O4:P14,2,FALSE)*VLOOKUP(I3,O4:P14,2,FALSE))^0.5,2),"")</f>
        <v>1.55</v>
      </c>
      <c r="J8">
        <f>IFERROR(ROUND((VLOOKUP(B8,O4:P14,2,FALSE)*VLOOKUP(J3,O4:P14,2,FALSE))^0.5,2),"")</f>
        <v>1.73</v>
      </c>
      <c r="K8">
        <f>IFERROR(ROUND((VLOOKUP(B8,O4:P14,2,FALSE)*VLOOKUP(K3,O4:P14,2,FALSE))^0.5,2),"")</f>
        <v>1.77</v>
      </c>
      <c r="L8">
        <f>IFERROR(ROUND((VLOOKUP(B8,O4:P14,2,FALSE)*VLOOKUP(L3,O4:P14,2,FALSE))^0.5,2),"")</f>
        <v>1.9</v>
      </c>
      <c r="M8">
        <f>IFERROR(ROUND((VLOOKUP(B8,O4:P14,2,FALSE)*VLOOKUP(M3,O4:P14,2,FALSE))^0.5,2),"")</f>
        <v>2.0099999999999998</v>
      </c>
      <c r="O8" s="20">
        <v>660</v>
      </c>
      <c r="P8" s="21">
        <v>1.5</v>
      </c>
      <c r="Q8" s="22">
        <f t="shared" si="0"/>
        <v>0.19999999999999996</v>
      </c>
      <c r="S8" s="14">
        <v>660</v>
      </c>
      <c r="T8">
        <f>IFERROR(ROUND((VLOOKUP(S8,AF4:AG14,2,FALSE)*VLOOKUP(T3,AF4:AG14,2,FALSE))^0.5,2),"")</f>
        <v>1</v>
      </c>
      <c r="U8">
        <f>IFERROR(ROUND((VLOOKUP(S8,AF4:AG14,2,FALSE)*VLOOKUP(U3,AF4:AG14,2,FALSE))^0.5,2),"")</f>
        <v>1</v>
      </c>
      <c r="V8">
        <f>IFERROR(ROUND((VLOOKUP(S8,AF4:AG14,2,FALSE)*VLOOKUP(V3,AF4:AG14,2,FALSE))^0.5,2),"")</f>
        <v>1</v>
      </c>
      <c r="W8">
        <f>IFERROR(ROUND((VLOOKUP(S8,AF4:AG14,2,FALSE)*VLOOKUP(W3,AF4:AG14,2,FALSE))^0.5,2),"")</f>
        <v>1</v>
      </c>
      <c r="X8">
        <f>IFERROR(ROUND((VLOOKUP(S8,AF4:AG14,2,FALSE)*VLOOKUP(X3,AF4:AG14,2,FALSE))^0.5,2),"")</f>
        <v>1</v>
      </c>
      <c r="Y8">
        <f>IFERROR(ROUND((VLOOKUP(S8,AF4:AG14,2,FALSE)*VLOOKUP(Y3,AF4:AG14,2,FALSE))^0.5,2),"")</f>
        <v>1</v>
      </c>
      <c r="Z8">
        <f>IFERROR(ROUND((VLOOKUP(S8,AF4:AG14,2,FALSE)*VLOOKUP(Z3,AF4:AG14,2,FALSE))^0.5,2),"")</f>
        <v>1</v>
      </c>
      <c r="AA8">
        <f>IFERROR(ROUND((VLOOKUP(S8,AF4:AG14,2,FALSE)*VLOOKUP(AA3,AF4:AG14,2,FALSE))^0.5,2),"")</f>
        <v>1</v>
      </c>
      <c r="AB8">
        <f>IFERROR(ROUND((VLOOKUP(S8,AF4:AG14,2,FALSE)*VLOOKUP(AB3,AF4:AG14,2,FALSE))^0.5,2),"")</f>
        <v>1.22</v>
      </c>
      <c r="AC8">
        <f>IFERROR(ROUND((VLOOKUP(S8,AF4:AG14,2,FALSE)*VLOOKUP(AC3,AF4:AG14,2,FALSE))^0.5,2),"")</f>
        <v>1.26</v>
      </c>
      <c r="AD8">
        <f>IFERROR(ROUND((VLOOKUP(S8,AF4:AG14,2,FALSE)*VLOOKUP(AD3,AF4:AG14,2,FALSE))^0.5,2),"")</f>
        <v>1.3</v>
      </c>
      <c r="AF8" s="20">
        <v>660</v>
      </c>
      <c r="AG8" s="21">
        <v>1</v>
      </c>
      <c r="AH8" s="22">
        <f t="shared" si="1"/>
        <v>0</v>
      </c>
      <c r="AJ8" s="14"/>
    </row>
    <row r="9" spans="2:47" x14ac:dyDescent="0.25">
      <c r="B9" s="14">
        <v>720</v>
      </c>
      <c r="C9">
        <f>IFERROR(ROUND((VLOOKUP(B9,O4:P14,2,FALSE)*VLOOKUP(C3,O4:P14,2,FALSE))^0.5,2),"")</f>
        <v>1.2</v>
      </c>
      <c r="D9">
        <f>IFERROR(ROUND((VLOOKUP(B9,O4:P14,2,FALSE)*VLOOKUP(D3,O4:P14,2,FALSE))^0.5,2),"")</f>
        <v>1.2</v>
      </c>
      <c r="E9">
        <f>IFERROR(ROUND((VLOOKUP(B9,O4:P14,2,FALSE)*VLOOKUP(E3,O4:P14,2,FALSE))^0.5,2),"")</f>
        <v>1.26</v>
      </c>
      <c r="F9">
        <f>IFERROR(ROUND((VLOOKUP(B9,O4:P14,2,FALSE)*VLOOKUP(F3,O4:P14,2,FALSE))^0.5,2),"")</f>
        <v>1.44</v>
      </c>
      <c r="G9">
        <f>IFERROR(ROUND((VLOOKUP(B9,O4:P14,2,FALSE)*VLOOKUP(G3,O4:P14,2,FALSE))^0.5,2),"")</f>
        <v>1.55</v>
      </c>
      <c r="H9">
        <f>IFERROR(ROUND((VLOOKUP(B9,O4:P14,2,FALSE)*VLOOKUP(H3,O4:P14,2,FALSE))^0.5,2),"")</f>
        <v>1.6</v>
      </c>
      <c r="I9">
        <f>IFERROR(ROUND((VLOOKUP(B9,O4:P14,2,FALSE)*VLOOKUP(I3,O4:P14,2,FALSE))^0.5,2),"")</f>
        <v>1.6</v>
      </c>
      <c r="J9">
        <f>IFERROR(ROUND((VLOOKUP(B9,O4:P14,2,FALSE)*VLOOKUP(J3,O4:P14,2,FALSE))^0.5,2),"")</f>
        <v>1.79</v>
      </c>
      <c r="K9">
        <f>IFERROR(ROUND((VLOOKUP(B9,O4:P14,2,FALSE)*VLOOKUP(K3,O4:P14,2,FALSE))^0.5,2),"")</f>
        <v>1.83</v>
      </c>
      <c r="L9">
        <f>IFERROR(ROUND((VLOOKUP(B9,O4:P14,2,FALSE)*VLOOKUP(L3,O4:P14,2,FALSE))^0.5,2),"")</f>
        <v>1.96</v>
      </c>
      <c r="M9">
        <f>IFERROR(ROUND((VLOOKUP(B9,O4:P14,2,FALSE)*VLOOKUP(M3,O4:P14,2,FALSE))^0.5,2),"")</f>
        <v>2.08</v>
      </c>
      <c r="O9" s="23">
        <v>720</v>
      </c>
      <c r="P9" s="24">
        <v>1.6</v>
      </c>
      <c r="Q9" s="25">
        <f t="shared" si="0"/>
        <v>0.10000000000000009</v>
      </c>
      <c r="S9" s="14">
        <v>720</v>
      </c>
      <c r="T9">
        <f>IFERROR(ROUND((VLOOKUP(S9,AF4:AG14,2,FALSE)*VLOOKUP(T3,AF4:AG14,2,FALSE))^0.5,2),"")</f>
        <v>1</v>
      </c>
      <c r="U9">
        <f>IFERROR(ROUND((VLOOKUP(S9,AF4:AG14,2,FALSE)*VLOOKUP(U3,AF4:AG14,2,FALSE))^0.5,2),"")</f>
        <v>1</v>
      </c>
      <c r="V9">
        <f>IFERROR(ROUND((VLOOKUP(S9,AF4:AG14,2,FALSE)*VLOOKUP(V3,AF4:AG14,2,FALSE))^0.5,2),"")</f>
        <v>1</v>
      </c>
      <c r="W9">
        <f>IFERROR(ROUND((VLOOKUP(S9,AF4:AG14,2,FALSE)*VLOOKUP(W3,AF4:AG14,2,FALSE))^0.5,2),"")</f>
        <v>1</v>
      </c>
      <c r="X9">
        <f>IFERROR(ROUND((VLOOKUP(S9,AF4:AG14,2,FALSE)*VLOOKUP(X3,AF4:AG14,2,FALSE))^0.5,2),"")</f>
        <v>1</v>
      </c>
      <c r="Y9">
        <f>IFERROR(ROUND((VLOOKUP(S9,AF4:AG14,2,FALSE)*VLOOKUP(Y3,AF4:AG14,2,FALSE))^0.5,2),"")</f>
        <v>1</v>
      </c>
      <c r="Z9">
        <f>IFERROR(ROUND((VLOOKUP(S9,AF4:AG14,2,FALSE)*VLOOKUP(Z3,AF4:AG14,2,FALSE))^0.5,2),"")</f>
        <v>1</v>
      </c>
      <c r="AA9">
        <f>IFERROR(ROUND((VLOOKUP(S9,AF4:AG14,2,FALSE)*VLOOKUP(AA3,AF4:AG14,2,FALSE))^0.5,2),"")</f>
        <v>1</v>
      </c>
      <c r="AB9">
        <f>IFERROR(ROUND((VLOOKUP(S9,AF4:AG14,2,FALSE)*VLOOKUP(AB3,AF4:AG14,2,FALSE))^0.5,2),"")</f>
        <v>1.22</v>
      </c>
      <c r="AC9">
        <f>IFERROR(ROUND((VLOOKUP(S9,AF4:AG14,2,FALSE)*VLOOKUP(AC3,AF4:AG14,2,FALSE))^0.5,2),"")</f>
        <v>1.26</v>
      </c>
      <c r="AD9">
        <f>IFERROR(ROUND((VLOOKUP(S9,AF4:AG14,2,FALSE)*VLOOKUP(AD3,AF4:AG14,2,FALSE))^0.5,2),"")</f>
        <v>1.3</v>
      </c>
      <c r="AF9" s="23">
        <v>720</v>
      </c>
      <c r="AG9" s="24">
        <v>1</v>
      </c>
      <c r="AH9" s="25">
        <f t="shared" si="1"/>
        <v>0</v>
      </c>
      <c r="AJ9" s="14"/>
    </row>
    <row r="10" spans="2:47" x14ac:dyDescent="0.25">
      <c r="B10" s="14">
        <v>780</v>
      </c>
      <c r="C10">
        <f>IFERROR(ROUND((VLOOKUP(B10,O4:P14,2,FALSE)*VLOOKUP(C3,O4:P14,2,FALSE))^0.5,2),"")</f>
        <v>1.2</v>
      </c>
      <c r="D10">
        <f>IFERROR(ROUND((VLOOKUP(B10,O4:P14,2,FALSE)*VLOOKUP(D3,O4:P14,2,FALSE))^0.5,2),"")</f>
        <v>1.2</v>
      </c>
      <c r="E10">
        <f>IFERROR(ROUND((VLOOKUP(B10,O4:P14,2,FALSE)*VLOOKUP(E3,O4:P14,2,FALSE))^0.5,2),"")</f>
        <v>1.26</v>
      </c>
      <c r="F10">
        <f>IFERROR(ROUND((VLOOKUP(B10,O4:P14,2,FALSE)*VLOOKUP(F3,O4:P14,2,FALSE))^0.5,2),"")</f>
        <v>1.44</v>
      </c>
      <c r="G10">
        <f>IFERROR(ROUND((VLOOKUP(B10,O4:P14,2,FALSE)*VLOOKUP(G3,O4:P14,2,FALSE))^0.5,2),"")</f>
        <v>1.55</v>
      </c>
      <c r="H10">
        <f>IFERROR(ROUND((VLOOKUP(B10,O4:P14,2,FALSE)*VLOOKUP(H3,O4:P14,2,FALSE))^0.5,2),"")</f>
        <v>1.6</v>
      </c>
      <c r="I10">
        <f>IFERROR(ROUND((VLOOKUP(B10,O4:P14,2,FALSE)*VLOOKUP(I3,O4:P14,2,FALSE))^0.5,2),"")</f>
        <v>1.6</v>
      </c>
      <c r="J10">
        <f>IFERROR(ROUND((VLOOKUP(B10,O4:P14,2,FALSE)*VLOOKUP(J3,O4:P14,2,FALSE))^0.5,2),"")</f>
        <v>1.79</v>
      </c>
      <c r="K10">
        <f>IFERROR(ROUND((VLOOKUP(B10,O4:P14,2,FALSE)*VLOOKUP(K3,O4:P14,2,FALSE))^0.5,2),"")</f>
        <v>1.83</v>
      </c>
      <c r="L10">
        <f>IFERROR(ROUND((VLOOKUP(B10,O4:P14,2,FALSE)*VLOOKUP(L3,O4:P14,2,FALSE))^0.5,2),"")</f>
        <v>1.96</v>
      </c>
      <c r="M10">
        <f>IFERROR(ROUND((VLOOKUP(B10,O4:P14,2,FALSE)*VLOOKUP(M3,O4:P14,2,FALSE))^0.5,2),"")</f>
        <v>2.08</v>
      </c>
      <c r="O10" s="20">
        <v>780</v>
      </c>
      <c r="P10" s="21">
        <v>1.6</v>
      </c>
      <c r="Q10" s="22">
        <f t="shared" si="0"/>
        <v>0</v>
      </c>
      <c r="S10" s="14">
        <v>780</v>
      </c>
      <c r="T10">
        <f>IFERROR(ROUND((VLOOKUP(S10,AF4:AG14,2,FALSE)*VLOOKUP(T3,AF4:AG14,2,FALSE))^0.5,2),"")</f>
        <v>1</v>
      </c>
      <c r="U10">
        <f>IFERROR(ROUND((VLOOKUP(S10,AF4:AG14,2,FALSE)*VLOOKUP(U3,AF4:AG14,2,FALSE))^0.5,2),"")</f>
        <v>1</v>
      </c>
      <c r="V10">
        <f>IFERROR(ROUND((VLOOKUP(S10,AF4:AG14,2,FALSE)*VLOOKUP(V3,AF4:AG14,2,FALSE))^0.5,2),"")</f>
        <v>1</v>
      </c>
      <c r="W10">
        <f>IFERROR(ROUND((VLOOKUP(S10,AF4:AG14,2,FALSE)*VLOOKUP(W3,AF4:AG14,2,FALSE))^0.5,2),"")</f>
        <v>1</v>
      </c>
      <c r="X10">
        <f>IFERROR(ROUND((VLOOKUP(S10,AF4:AG14,2,FALSE)*VLOOKUP(X3,AF4:AG14,2,FALSE))^0.5,2),"")</f>
        <v>1</v>
      </c>
      <c r="Y10">
        <f>IFERROR(ROUND((VLOOKUP(S10,AF4:AG14,2,FALSE)*VLOOKUP(Y3,AF4:AG14,2,FALSE))^0.5,2),"")</f>
        <v>1</v>
      </c>
      <c r="Z10">
        <f>IFERROR(ROUND((VLOOKUP(S10,AF4:AG14,2,FALSE)*VLOOKUP(Z3,AF4:AG14,2,FALSE))^0.5,2),"")</f>
        <v>1</v>
      </c>
      <c r="AA10">
        <f>IFERROR(ROUND((VLOOKUP(S10,AF4:AG14,2,FALSE)*VLOOKUP(AA3,AF4:AG14,2,FALSE))^0.5,2),"")</f>
        <v>1</v>
      </c>
      <c r="AB10">
        <f>IFERROR(ROUND((VLOOKUP(S10,AF4:AG14,2,FALSE)*VLOOKUP(AB3,AF4:AG14,2,FALSE))^0.5,2),"")</f>
        <v>1.22</v>
      </c>
      <c r="AC10">
        <f>IFERROR(ROUND((VLOOKUP(S10,AF4:AG14,2,FALSE)*VLOOKUP(AC3,AF4:AG14,2,FALSE))^0.5,2),"")</f>
        <v>1.26</v>
      </c>
      <c r="AD10">
        <f>IFERROR(ROUND((VLOOKUP(S10,AF4:AG14,2,FALSE)*VLOOKUP(AD3,AF4:AG14,2,FALSE))^0.5,2),"")</f>
        <v>1.3</v>
      </c>
      <c r="AF10" s="20">
        <v>780</v>
      </c>
      <c r="AG10" s="21">
        <v>1</v>
      </c>
      <c r="AH10" s="22">
        <f t="shared" si="1"/>
        <v>0</v>
      </c>
      <c r="AJ10" s="14"/>
    </row>
    <row r="11" spans="2:47" x14ac:dyDescent="0.25">
      <c r="B11" s="14">
        <v>980</v>
      </c>
      <c r="C11">
        <f>IFERROR(ROUND((VLOOKUP(B11,O4:P14,2,FALSE)*VLOOKUP(C3,O4:P14,2,FALSE))^0.5,2),"")</f>
        <v>1.34</v>
      </c>
      <c r="D11">
        <f>IFERROR(ROUND((VLOOKUP(B11,O4:P14,2,FALSE)*VLOOKUP(D3,O4:P14,2,FALSE))^0.5,2),"")</f>
        <v>1.34</v>
      </c>
      <c r="E11">
        <f>IFERROR(ROUND((VLOOKUP(B11,O4:P14,2,FALSE)*VLOOKUP(E3,O4:P14,2,FALSE))^0.5,2),"")</f>
        <v>1.41</v>
      </c>
      <c r="F11">
        <f>IFERROR(ROUND((VLOOKUP(B11,O4:P14,2,FALSE)*VLOOKUP(F3,O4:P14,2,FALSE))^0.5,2),"")</f>
        <v>1.61</v>
      </c>
      <c r="G11">
        <f>IFERROR(ROUND((VLOOKUP(B11,O4:P14,2,FALSE)*VLOOKUP(G3,O4:P14,2,FALSE))^0.5,2),"")</f>
        <v>1.73</v>
      </c>
      <c r="H11">
        <f>IFERROR(ROUND((VLOOKUP(B11,O4:P14,2,FALSE)*VLOOKUP(H3,O4:P14,2,FALSE))^0.5,2),"")</f>
        <v>1.79</v>
      </c>
      <c r="I11">
        <f>IFERROR(ROUND((VLOOKUP(B11,O4:P14,2,FALSE)*VLOOKUP(I3,O4:P14,2,FALSE))^0.5,2),"")</f>
        <v>1.79</v>
      </c>
      <c r="J11">
        <f>IFERROR(ROUND((VLOOKUP(B11,O4:P14,2,FALSE)*VLOOKUP(J3,O4:P14,2,FALSE))^0.5,2),"")</f>
        <v>2</v>
      </c>
      <c r="K11">
        <f>IFERROR(ROUND((VLOOKUP(B11,O4:P14,2,FALSE)*VLOOKUP(K3,O4:P14,2,FALSE))^0.5,2),"")</f>
        <v>2.0499999999999998</v>
      </c>
      <c r="L11">
        <f>IFERROR(ROUND((VLOOKUP(B11,O4:P14,2,FALSE)*VLOOKUP(L3,O4:P14,2,FALSE))^0.5,2),"")</f>
        <v>2.19</v>
      </c>
      <c r="M11">
        <f>IFERROR(ROUND((VLOOKUP(B11,O4:P14,2,FALSE)*VLOOKUP(M3,O4:P14,2,FALSE))^0.5,2),"")</f>
        <v>2.3199999999999998</v>
      </c>
      <c r="O11" s="26">
        <v>980</v>
      </c>
      <c r="P11" s="27">
        <v>2</v>
      </c>
      <c r="Q11" s="7">
        <f t="shared" si="0"/>
        <v>0.39999999999999991</v>
      </c>
      <c r="S11" s="14">
        <v>980</v>
      </c>
      <c r="T11">
        <f>IFERROR(ROUND((VLOOKUP(S11,AF4:AG14,2,FALSE)*VLOOKUP(T3,AF4:AG14,2,FALSE))^0.5,2),"")</f>
        <v>1</v>
      </c>
      <c r="U11">
        <f>IFERROR(ROUND((VLOOKUP(S11,AF4:AG14,2,FALSE)*VLOOKUP(U3,AF4:AG14,2,FALSE))^0.5,2),"")</f>
        <v>1</v>
      </c>
      <c r="V11">
        <f>IFERROR(ROUND((VLOOKUP(S11,AF4:AG14,2,FALSE)*VLOOKUP(V3,AF4:AG14,2,FALSE))^0.5,2),"")</f>
        <v>1</v>
      </c>
      <c r="W11">
        <f>IFERROR(ROUND((VLOOKUP(S11,AF4:AG14,2,FALSE)*VLOOKUP(W3,AF4:AG14,2,FALSE))^0.5,2),"")</f>
        <v>1</v>
      </c>
      <c r="X11">
        <f>IFERROR(ROUND((VLOOKUP(S11,AF4:AG14,2,FALSE)*VLOOKUP(X3,AF4:AG14,2,FALSE))^0.5,2),"")</f>
        <v>1</v>
      </c>
      <c r="Y11">
        <f>IFERROR(ROUND((VLOOKUP(S11,AF4:AG14,2,FALSE)*VLOOKUP(Y3,AF4:AG14,2,FALSE))^0.5,2),"")</f>
        <v>1</v>
      </c>
      <c r="Z11">
        <f>IFERROR(ROUND((VLOOKUP(S11,AF4:AG14,2,FALSE)*VLOOKUP(Z3,AF4:AG14,2,FALSE))^0.5,2),"")</f>
        <v>1</v>
      </c>
      <c r="AA11">
        <f>IFERROR(ROUND((VLOOKUP(S11,AF4:AG14,2,FALSE)*VLOOKUP(AA3,AF4:AG14,2,FALSE))^0.5,2),"")</f>
        <v>1</v>
      </c>
      <c r="AB11">
        <f>IFERROR(ROUND((VLOOKUP(S11,AF4:AG14,2,FALSE)*VLOOKUP(AB3,AF4:AG14,2,FALSE))^0.5,2),"")</f>
        <v>1.22</v>
      </c>
      <c r="AC11">
        <f>IFERROR(ROUND((VLOOKUP(S11,AF4:AG14,2,FALSE)*VLOOKUP(AC3,AF4:AG14,2,FALSE))^0.5,2),"")</f>
        <v>1.26</v>
      </c>
      <c r="AD11">
        <f>IFERROR(ROUND((VLOOKUP(S11,AF4:AG14,2,FALSE)*VLOOKUP(AD3,AF4:AG14,2,FALSE))^0.5,2),"")</f>
        <v>1.3</v>
      </c>
      <c r="AF11" s="26">
        <v>980</v>
      </c>
      <c r="AG11" s="27">
        <v>1</v>
      </c>
      <c r="AH11" s="7">
        <f t="shared" si="1"/>
        <v>0</v>
      </c>
      <c r="AJ11" s="14"/>
    </row>
    <row r="12" spans="2:47" x14ac:dyDescent="0.25">
      <c r="B12" s="14">
        <v>1080</v>
      </c>
      <c r="C12">
        <f>IFERROR(ROUND((VLOOKUP(B12,O4:P14,2,FALSE)*VLOOKUP(C3,O4:P14,2,FALSE))^0.5,2),"")</f>
        <v>1.37</v>
      </c>
      <c r="D12">
        <f>IFERROR(ROUND((VLOOKUP(B12,O4:P14,2,FALSE)*VLOOKUP(D3,O4:P14,2,FALSE))^0.5,2),"")</f>
        <v>1.37</v>
      </c>
      <c r="E12">
        <f>IFERROR(ROUND((VLOOKUP(B12,O4:P14,2,FALSE)*VLOOKUP(E3,O4:P14,2,FALSE))^0.5,2),"")</f>
        <v>1.45</v>
      </c>
      <c r="F12">
        <f>IFERROR(ROUND((VLOOKUP(B12,O4:P14,2,FALSE)*VLOOKUP(F3,O4:P14,2,FALSE))^0.5,2),"")</f>
        <v>1.65</v>
      </c>
      <c r="G12">
        <f>IFERROR(ROUND((VLOOKUP(B12,O4:P14,2,FALSE)*VLOOKUP(G3,O4:P14,2,FALSE))^0.5,2),"")</f>
        <v>1.77</v>
      </c>
      <c r="H12">
        <f>IFERROR(ROUND((VLOOKUP(B12,O4:P14,2,FALSE)*VLOOKUP(H3,O4:P14,2,FALSE))^0.5,2),"")</f>
        <v>1.83</v>
      </c>
      <c r="I12">
        <f>IFERROR(ROUND((VLOOKUP(B12,O4:P14,2,FALSE)*VLOOKUP(I3,O4:P14,2,FALSE))^0.5,2),"")</f>
        <v>1.83</v>
      </c>
      <c r="J12">
        <f>IFERROR(ROUND((VLOOKUP(B12,O4:P14,2,FALSE)*VLOOKUP(J3,O4:P14,2,FALSE))^0.5,2),"")</f>
        <v>2.0499999999999998</v>
      </c>
      <c r="K12">
        <f>IFERROR(ROUND((VLOOKUP(B12,O4:P14,2,FALSE)*VLOOKUP(K3,O4:P14,2,FALSE))^0.5,2),"")</f>
        <v>2.1</v>
      </c>
      <c r="L12">
        <f>IFERROR(ROUND((VLOOKUP(B12,O4:P14,2,FALSE)*VLOOKUP(L3,O4:P14,2,FALSE))^0.5,2),"")</f>
        <v>2.2400000000000002</v>
      </c>
      <c r="M12">
        <f>IFERROR(ROUND((VLOOKUP(B12,O4:P14,2,FALSE)*VLOOKUP(M3,O4:P14,2,FALSE))^0.5,2),"")</f>
        <v>2.38</v>
      </c>
      <c r="O12" s="20">
        <v>1080</v>
      </c>
      <c r="P12" s="21">
        <v>2.1</v>
      </c>
      <c r="Q12" s="22">
        <f t="shared" si="0"/>
        <v>0.10000000000000009</v>
      </c>
      <c r="S12" s="14">
        <v>1080</v>
      </c>
      <c r="T12">
        <f>IFERROR(ROUND((VLOOKUP(S12,AF4:AG14,2,FALSE)*VLOOKUP(T3,AF4:AG14,2,FALSE))^0.5,2),"")</f>
        <v>1.22</v>
      </c>
      <c r="U12">
        <f>IFERROR(ROUND((VLOOKUP(S12,AF4:AG14,2,FALSE)*VLOOKUP(U3,AF4:AG14,2,FALSE))^0.5,2),"")</f>
        <v>1.22</v>
      </c>
      <c r="V12">
        <f>IFERROR(ROUND((VLOOKUP(S12,AF4:AG14,2,FALSE)*VLOOKUP(V3,AF4:AG14,2,FALSE))^0.5,2),"")</f>
        <v>1.22</v>
      </c>
      <c r="W12">
        <f>IFERROR(ROUND((VLOOKUP(S12,AF4:AG14,2,FALSE)*VLOOKUP(W3,AF4:AG14,2,FALSE))^0.5,2),"")</f>
        <v>1.22</v>
      </c>
      <c r="X12">
        <f>IFERROR(ROUND((VLOOKUP(S12,AF4:AG14,2,FALSE)*VLOOKUP(X3,AF4:AG14,2,FALSE))^0.5,2),"")</f>
        <v>1.22</v>
      </c>
      <c r="Y12">
        <f>IFERROR(ROUND((VLOOKUP(S12,AF4:AG14,2,FALSE)*VLOOKUP(Y3,AF4:AG14,2,FALSE))^0.5,2),"")</f>
        <v>1.22</v>
      </c>
      <c r="Z12">
        <f>IFERROR(ROUND((VLOOKUP(S12,AF4:AG14,2,FALSE)*VLOOKUP(Z3,AF4:AG14,2,FALSE))^0.5,2),"")</f>
        <v>1.22</v>
      </c>
      <c r="AA12">
        <f>IFERROR(ROUND((VLOOKUP(S12,AF4:AG14,2,FALSE)*VLOOKUP(AA3,AF4:AG14,2,FALSE))^0.5,2),"")</f>
        <v>1.22</v>
      </c>
      <c r="AB12">
        <f>IFERROR(ROUND((VLOOKUP(S12,AF4:AG14,2,FALSE)*VLOOKUP(AB3,AF4:AG14,2,FALSE))^0.5,2),"")</f>
        <v>1.5</v>
      </c>
      <c r="AC12">
        <f>IFERROR(ROUND((VLOOKUP(S12,AF4:AG14,2,FALSE)*VLOOKUP(AC3,AF4:AG14,2,FALSE))^0.5,2),"")</f>
        <v>1.55</v>
      </c>
      <c r="AD12">
        <f>IFERROR(ROUND((VLOOKUP(S12,AF4:AG14,2,FALSE)*VLOOKUP(AD3,AF4:AG14,2,FALSE))^0.5,2),"")</f>
        <v>1.6</v>
      </c>
      <c r="AF12" s="20">
        <v>1080</v>
      </c>
      <c r="AG12" s="21">
        <v>1.5</v>
      </c>
      <c r="AH12" s="22">
        <f t="shared" si="1"/>
        <v>0.5</v>
      </c>
      <c r="AJ12" s="14"/>
    </row>
    <row r="13" spans="2:47" x14ac:dyDescent="0.25">
      <c r="B13" s="14">
        <v>1440</v>
      </c>
      <c r="C13">
        <f>IFERROR(ROUND((VLOOKUP(B13,O4:P14,2,FALSE)*VLOOKUP(C3,O4:P14,2,FALSE))^0.5,2),"")</f>
        <v>1.47</v>
      </c>
      <c r="D13">
        <f>IFERROR(ROUND((VLOOKUP(B13,O4:P14,2,FALSE)*VLOOKUP(D3,O4:P14,2,FALSE))^0.5,2),"")</f>
        <v>1.47</v>
      </c>
      <c r="E13">
        <f>IFERROR(ROUND((VLOOKUP(B13,O4:P14,2,FALSE)*VLOOKUP(E3,O4:P14,2,FALSE))^0.5,2),"")</f>
        <v>1.55</v>
      </c>
      <c r="F13">
        <f>IFERROR(ROUND((VLOOKUP(B13,O4:P14,2,FALSE)*VLOOKUP(F3,O4:P14,2,FALSE))^0.5,2),"")</f>
        <v>1.77</v>
      </c>
      <c r="G13">
        <f>IFERROR(ROUND((VLOOKUP(B13,O4:P14,2,FALSE)*VLOOKUP(G3,O4:P14,2,FALSE))^0.5,2),"")</f>
        <v>1.9</v>
      </c>
      <c r="H13">
        <f>IFERROR(ROUND((VLOOKUP(B13,O4:P14,2,FALSE)*VLOOKUP(H3,O4:P14,2,FALSE))^0.5,2),"")</f>
        <v>1.96</v>
      </c>
      <c r="I13">
        <f>IFERROR(ROUND((VLOOKUP(B13,O4:P14,2,FALSE)*VLOOKUP(I3,O4:P14,2,FALSE))^0.5,2),"")</f>
        <v>1.96</v>
      </c>
      <c r="J13">
        <f>IFERROR(ROUND((VLOOKUP(B13,O4:P14,2,FALSE)*VLOOKUP(J3,O4:P14,2,FALSE))^0.5,2),"")</f>
        <v>2.19</v>
      </c>
      <c r="K13">
        <f>IFERROR(ROUND((VLOOKUP(B13,O4:P14,2,FALSE)*VLOOKUP(K3,O4:P14,2,FALSE))^0.5,2),"")</f>
        <v>2.2400000000000002</v>
      </c>
      <c r="L13">
        <f>IFERROR(ROUND((VLOOKUP(B13,O4:P14,2,FALSE)*VLOOKUP(L3,O4:P14,2,FALSE))^0.5,2),"")</f>
        <v>2.4</v>
      </c>
      <c r="M13">
        <f>IFERROR(ROUND((VLOOKUP(B13,O4:P14,2,FALSE)*VLOOKUP(M3,O4:P14,2,FALSE))^0.5,2),"")</f>
        <v>2.5499999999999998</v>
      </c>
      <c r="O13" s="26">
        <v>1440</v>
      </c>
      <c r="P13" s="27">
        <v>2.4</v>
      </c>
      <c r="Q13" s="7">
        <f t="shared" si="0"/>
        <v>0.29999999999999982</v>
      </c>
      <c r="S13" s="14">
        <v>1440</v>
      </c>
      <c r="T13">
        <f>IFERROR(ROUND((VLOOKUP(S13,AF4:AG14,2,FALSE)*VLOOKUP(T3,AF4:AG14,2,FALSE))^0.5,2),"")</f>
        <v>1.26</v>
      </c>
      <c r="U13">
        <f>IFERROR(ROUND((VLOOKUP(S13,AF4:AG14,2,FALSE)*VLOOKUP(U3,AF4:AG14,2,FALSE))^0.5,2),"")</f>
        <v>1.26</v>
      </c>
      <c r="V13">
        <f>IFERROR(ROUND((VLOOKUP(S13,AF4:AG14,2,FALSE)*VLOOKUP(V3,AF4:AG14,2,FALSE))^0.5,2),"")</f>
        <v>1.26</v>
      </c>
      <c r="W13">
        <f>IFERROR(ROUND((VLOOKUP(S13,AF4:AG14,2,FALSE)*VLOOKUP(W3,AF4:AG14,2,FALSE))^0.5,2),"")</f>
        <v>1.26</v>
      </c>
      <c r="X13">
        <f>IFERROR(ROUND((VLOOKUP(S13,AF4:AG14,2,FALSE)*VLOOKUP(X3,AF4:AG14,2,FALSE))^0.5,2),"")</f>
        <v>1.26</v>
      </c>
      <c r="Y13">
        <f>IFERROR(ROUND((VLOOKUP(S13,AF4:AG14,2,FALSE)*VLOOKUP(Y3,AF4:AG14,2,FALSE))^0.5,2),"")</f>
        <v>1.26</v>
      </c>
      <c r="Z13">
        <f>IFERROR(ROUND((VLOOKUP(S13,AF4:AG14,2,FALSE)*VLOOKUP(Z3,AF4:AG14,2,FALSE))^0.5,2),"")</f>
        <v>1.26</v>
      </c>
      <c r="AA13">
        <f>IFERROR(ROUND((VLOOKUP(S13,AF4:AG14,2,FALSE)*VLOOKUP(AA3,AF4:AG14,2,FALSE))^0.5,2),"")</f>
        <v>1.26</v>
      </c>
      <c r="AB13">
        <f>IFERROR(ROUND((VLOOKUP(S13,AF4:AG14,2,FALSE)*VLOOKUP(AB3,AF4:AG14,2,FALSE))^0.5,2),"")</f>
        <v>1.55</v>
      </c>
      <c r="AC13">
        <f>IFERROR(ROUND((VLOOKUP(S13,AF4:AG14,2,FALSE)*VLOOKUP(AC3,AF4:AG14,2,FALSE))^0.5,2),"")</f>
        <v>1.6</v>
      </c>
      <c r="AD13">
        <f>IFERROR(ROUND((VLOOKUP(S13,AF4:AG14,2,FALSE)*VLOOKUP(AD3,AF4:AG14,2,FALSE))^0.5,2),"")</f>
        <v>1.65</v>
      </c>
      <c r="AF13" s="26">
        <v>1440</v>
      </c>
      <c r="AG13" s="27">
        <v>1.6</v>
      </c>
      <c r="AH13" s="7">
        <f t="shared" si="1"/>
        <v>0.10000000000000009</v>
      </c>
      <c r="AJ13" s="14"/>
    </row>
    <row r="14" spans="2:47" x14ac:dyDescent="0.25">
      <c r="B14" s="14">
        <v>1800</v>
      </c>
      <c r="C14">
        <f>IFERROR(ROUND((VLOOKUP(B14,O4:P14,2,FALSE)*VLOOKUP(C3,O4:P14,2,FALSE))^0.5,2),"")</f>
        <v>1.56</v>
      </c>
      <c r="D14">
        <f>IFERROR(ROUND((VLOOKUP(B14,O4:P14,2,FALSE)*VLOOKUP(D3,O4:P14,2,FALSE))^0.5,2),"")</f>
        <v>1.56</v>
      </c>
      <c r="E14">
        <f>IFERROR(ROUND((VLOOKUP(B14,O4:P14,2,FALSE)*VLOOKUP(E3,O4:P14,2,FALSE))^0.5,2),"")</f>
        <v>1.64</v>
      </c>
      <c r="F14">
        <f>IFERROR(ROUND((VLOOKUP(B14,O4:P14,2,FALSE)*VLOOKUP(F3,O4:P14,2,FALSE))^0.5,2),"")</f>
        <v>1.87</v>
      </c>
      <c r="G14">
        <f>IFERROR(ROUND((VLOOKUP(B14,O4:P14,2,FALSE)*VLOOKUP(G3,O4:P14,2,FALSE))^0.5,2),"")</f>
        <v>2.0099999999999998</v>
      </c>
      <c r="H14">
        <f>IFERROR(ROUND((VLOOKUP(B14,O4:P14,2,FALSE)*VLOOKUP(H3,O4:P14,2,FALSE))^0.5,2),"")</f>
        <v>2.08</v>
      </c>
      <c r="I14">
        <f>IFERROR(ROUND((VLOOKUP(B14,O4:P14,2,FALSE)*VLOOKUP(I3,O4:P14,2,FALSE))^0.5,2),"")</f>
        <v>2.08</v>
      </c>
      <c r="J14">
        <f>IFERROR(ROUND((VLOOKUP(B14,O4:P14,2,FALSE)*VLOOKUP(J3,O4:P14,2,FALSE))^0.5,2),"")</f>
        <v>2.3199999999999998</v>
      </c>
      <c r="K14">
        <f>IFERROR(ROUND((VLOOKUP(B14,O4:P14,2,FALSE)*VLOOKUP(K3,O4:P14,2,FALSE))^0.5,2),"")</f>
        <v>2.38</v>
      </c>
      <c r="L14">
        <f>IFERROR(ROUND((VLOOKUP(B14,O4:P14,2,FALSE)*VLOOKUP(L3,O4:P14,2,FALSE))^0.5,2),"")</f>
        <v>2.5499999999999998</v>
      </c>
      <c r="M14">
        <f>IFERROR(ROUND((VLOOKUP(B14,O4:P14,2,FALSE)*VLOOKUP(M3,O4:P14,2,FALSE))^0.5,2),"")</f>
        <v>2.7</v>
      </c>
      <c r="O14" s="23">
        <v>1800</v>
      </c>
      <c r="P14" s="24">
        <v>2.7</v>
      </c>
      <c r="Q14" s="25">
        <f t="shared" si="0"/>
        <v>0.30000000000000027</v>
      </c>
      <c r="S14" s="14">
        <v>1800</v>
      </c>
      <c r="T14">
        <f>IFERROR(ROUND((VLOOKUP(S14,AF4:AG14,2,FALSE)*VLOOKUP(T3,AF4:AG14,2,FALSE))^0.5,2),"")</f>
        <v>1.3</v>
      </c>
      <c r="U14">
        <f>IFERROR(ROUND((VLOOKUP(S14,AF4:AG14,2,FALSE)*VLOOKUP(U3,AF4:AG14,2,FALSE))^0.5,2),"")</f>
        <v>1.3</v>
      </c>
      <c r="V14">
        <f>IFERROR(ROUND((VLOOKUP(S14,AF4:AG14,2,FALSE)*VLOOKUP(V3,AF4:AG14,2,FALSE))^0.5,2),"")</f>
        <v>1.3</v>
      </c>
      <c r="W14">
        <f>IFERROR(ROUND((VLOOKUP(S14,AF4:AG14,2,FALSE)*VLOOKUP(W3,AF4:AG14,2,FALSE))^0.5,2),"")</f>
        <v>1.3</v>
      </c>
      <c r="X14">
        <f>IFERROR(ROUND((VLOOKUP(S14,AF4:AG14,2,FALSE)*VLOOKUP(X3,AF4:AG14,2,FALSE))^0.5,2),"")</f>
        <v>1.3</v>
      </c>
      <c r="Y14">
        <f>IFERROR(ROUND((VLOOKUP(S14,AF4:AG14,2,FALSE)*VLOOKUP(Y3,AF4:AG14,2,FALSE))^0.5,2),"")</f>
        <v>1.3</v>
      </c>
      <c r="Z14">
        <f>IFERROR(ROUND((VLOOKUP(S14,AF4:AG14,2,FALSE)*VLOOKUP(Z3,AF4:AG14,2,FALSE))^0.5,2),"")</f>
        <v>1.3</v>
      </c>
      <c r="AA14">
        <f>IFERROR(ROUND((VLOOKUP(S14,AF4:AG14,2,FALSE)*VLOOKUP(AA3,AF4:AG14,2,FALSE))^0.5,2),"")</f>
        <v>1.3</v>
      </c>
      <c r="AB14">
        <f>IFERROR(ROUND((VLOOKUP(S14,AF4:AG14,2,FALSE)*VLOOKUP(AB3,AF4:AG14,2,FALSE))^0.5,2),"")</f>
        <v>1.6</v>
      </c>
      <c r="AC14">
        <f>IFERROR(ROUND((VLOOKUP(S14,AF4:AG14,2,FALSE)*VLOOKUP(AC3,AF4:AG14,2,FALSE))^0.5,2),"")</f>
        <v>1.65</v>
      </c>
      <c r="AD14">
        <f>IFERROR(ROUND((VLOOKUP(S14,AF4:AG14,2,FALSE)*VLOOKUP(AD3,AF4:AG14,2,FALSE))^0.5,2),"")</f>
        <v>1.7</v>
      </c>
      <c r="AF14" s="23">
        <v>1800</v>
      </c>
      <c r="AG14" s="24">
        <v>1.7</v>
      </c>
      <c r="AH14" s="25">
        <f t="shared" si="1"/>
        <v>9.9999999999999867E-2</v>
      </c>
      <c r="AJ14" s="14"/>
    </row>
    <row r="15" spans="2:47" x14ac:dyDescent="0.25">
      <c r="B15" s="14"/>
    </row>
    <row r="17" spans="2:34" x14ac:dyDescent="0.25">
      <c r="C17" s="14">
        <v>180</v>
      </c>
      <c r="D17" s="14">
        <v>360</v>
      </c>
      <c r="E17" s="14">
        <v>420</v>
      </c>
      <c r="F17" s="14">
        <v>580</v>
      </c>
      <c r="G17" s="14">
        <v>660</v>
      </c>
      <c r="H17" s="14">
        <v>720</v>
      </c>
      <c r="I17" s="14">
        <v>780</v>
      </c>
      <c r="J17" s="14">
        <v>980</v>
      </c>
      <c r="K17" s="14">
        <v>1080</v>
      </c>
      <c r="L17" s="14">
        <v>1440</v>
      </c>
      <c r="M17" s="14">
        <v>1800</v>
      </c>
      <c r="O17" s="114" t="s">
        <v>91</v>
      </c>
      <c r="P17" s="115"/>
      <c r="Q17" s="116"/>
      <c r="T17" s="14">
        <v>180</v>
      </c>
      <c r="U17" s="14">
        <v>360</v>
      </c>
      <c r="V17" s="14">
        <v>420</v>
      </c>
      <c r="W17" s="14">
        <v>580</v>
      </c>
      <c r="X17" s="14">
        <v>660</v>
      </c>
      <c r="Y17" s="14">
        <v>720</v>
      </c>
      <c r="Z17" s="14">
        <v>780</v>
      </c>
      <c r="AA17" s="14">
        <v>980</v>
      </c>
      <c r="AB17" s="14">
        <v>1080</v>
      </c>
      <c r="AC17" s="14">
        <v>1440</v>
      </c>
      <c r="AD17" s="14">
        <v>1800</v>
      </c>
      <c r="AF17" s="114" t="s">
        <v>151</v>
      </c>
      <c r="AG17" s="115"/>
      <c r="AH17" s="116"/>
    </row>
    <row r="18" spans="2:34" x14ac:dyDescent="0.25">
      <c r="B18" s="14">
        <v>180</v>
      </c>
      <c r="C18">
        <f>IFERROR(ROUND((VLOOKUP(B18,O18:P28,2,FALSE)*VLOOKUP(C17,O18:P28,2,FALSE))^0.5,2),"")</f>
        <v>2</v>
      </c>
      <c r="D18">
        <f>IFERROR(ROUND((VLOOKUP(B18,O18:P28,2,FALSE)*VLOOKUP(D17,O18:P28,2,FALSE))^0.5,2),"")</f>
        <v>2</v>
      </c>
      <c r="E18">
        <f>IFERROR(ROUND((VLOOKUP(B18,O18:P28,2,FALSE)*VLOOKUP(E17,O18:P28,2,FALSE))^0.5,2),"")</f>
        <v>1.9</v>
      </c>
      <c r="F18">
        <f>IFERROR(ROUND((VLOOKUP(B18,O18:P28,2,FALSE)*VLOOKUP(F17,O18:P28,2,FALSE))^0.5,2),"")</f>
        <v>1.9</v>
      </c>
      <c r="G18" t="str">
        <f>IFERROR(ROUND((VLOOKUP(B18,O18:P28,2,FALSE)*VLOOKUP(G17,O18:P28,2,FALSE))^0.5,2),"")</f>
        <v/>
      </c>
      <c r="H18">
        <f>IFERROR(ROUND((VLOOKUP(B18,O18:P28,2,FALSE)*VLOOKUP(H17,O18:P28,2,FALSE))^0.5,2),"")</f>
        <v>1.73</v>
      </c>
      <c r="I18">
        <f>IFERROR(ROUND((VLOOKUP(B18,O18:P28,2,FALSE)*VLOOKUP(I17,O18:P28,2,FALSE))^0.5,2),"")</f>
        <v>1.61</v>
      </c>
      <c r="J18">
        <f>IFERROR(ROUND((VLOOKUP(B18,O18:P28,2,FALSE)*VLOOKUP(J17,O18:P28,2,FALSE))^0.5,2),"")</f>
        <v>1.61</v>
      </c>
      <c r="K18" t="str">
        <f>IFERROR(ROUND((VLOOKUP(B18,O18:P28,2,FALSE)*VLOOKUP(K17,O18:P28,2,FALSE))^0.5,2),"")</f>
        <v/>
      </c>
      <c r="L18" t="str">
        <f>IFERROR(ROUND((VLOOKUP(B18,O18:P28,2,FALSE)*VLOOKUP(L17,O18:P28,2,FALSE))^0.5,2),"")</f>
        <v/>
      </c>
      <c r="M18" t="str">
        <f>IFERROR(ROUND((VLOOKUP(B18,O18:P28,2,FALSE)*VLOOKUP(M17,O18:P28,2,FALSE))^0.5,2),"")</f>
        <v/>
      </c>
      <c r="O18" s="20">
        <v>180</v>
      </c>
      <c r="P18" s="21">
        <v>2</v>
      </c>
      <c r="Q18" s="22"/>
      <c r="S18" s="14">
        <v>180</v>
      </c>
      <c r="T18">
        <f>IFERROR(ROUND((VLOOKUP(S18,AF18:AG28,2,FALSE)*VLOOKUP(T17,AF18:AG28,2,FALSE))^0.5,2),"")</f>
        <v>2</v>
      </c>
      <c r="U18">
        <f>IFERROR(ROUND((VLOOKUP(S18,AF18:AG28,2,FALSE)*VLOOKUP(U17,AF18:AG28,2,FALSE))^0.5,2),"")</f>
        <v>2</v>
      </c>
      <c r="V18">
        <f>IFERROR(ROUND((VLOOKUP(S18,AF18:AG28,2,FALSE)*VLOOKUP(V17,AF18:AG28,2,FALSE))^0.5,2),"")</f>
        <v>1.9</v>
      </c>
      <c r="W18">
        <f>IFERROR(ROUND((VLOOKUP(S18,AF18:AG28,2,FALSE)*VLOOKUP(W17,AF18:AG28,2,FALSE))^0.5,2),"")</f>
        <v>1.9</v>
      </c>
      <c r="X18" t="str">
        <f>IFERROR(ROUND((VLOOKUP(S18,AF18:AG28,2,FALSE)*VLOOKUP(X17,AF18:AG28,2,FALSE))^0.5,2),"")</f>
        <v/>
      </c>
      <c r="Y18">
        <f>IFERROR(ROUND((VLOOKUP(S18,AF18:AG28,2,FALSE)*VLOOKUP(Y17,AF18:AG28,2,FALSE))^0.5,2),"")</f>
        <v>1.73</v>
      </c>
      <c r="Z18">
        <f>IFERROR(ROUND((VLOOKUP(S18,AF18:AG28,2,FALSE)*VLOOKUP(Z17,AF18:AG28,2,FALSE))^0.5,2),"")</f>
        <v>1.61</v>
      </c>
      <c r="AA18">
        <f>IFERROR(ROUND((VLOOKUP(S18,AF18:AG28,2,FALSE)*VLOOKUP(AA17,AF18:AG28,2,FALSE))^0.5,2),"")</f>
        <v>1.61</v>
      </c>
      <c r="AB18" t="str">
        <f>IFERROR(ROUND((VLOOKUP(S18,AF18:AG28,2,FALSE)*VLOOKUP(AB17,AF18:AG28,2,FALSE))^0.5,2),"")</f>
        <v/>
      </c>
      <c r="AC18" t="str">
        <f>IFERROR(ROUND((VLOOKUP(S18,AF18:AG28,2,FALSE)*VLOOKUP(AC17,AF18:AG28,2,FALSE))^0.5,2),"")</f>
        <v/>
      </c>
      <c r="AD18" t="str">
        <f>IFERROR(ROUND((VLOOKUP(S18,AF18:AG28,2,FALSE)*VLOOKUP(AD17,AF18:AG28,2,FALSE))^0.5,2),"")</f>
        <v/>
      </c>
      <c r="AF18" s="20">
        <v>180</v>
      </c>
      <c r="AG18" s="21">
        <v>2</v>
      </c>
      <c r="AH18" s="22"/>
    </row>
    <row r="19" spans="2:34" x14ac:dyDescent="0.25">
      <c r="B19" s="14">
        <v>360</v>
      </c>
      <c r="C19">
        <f>IFERROR(ROUND((VLOOKUP(B19,O18:P28,2,FALSE)*VLOOKUP(C17,O18:P28,2,FALSE))^0.5,2),"")</f>
        <v>2</v>
      </c>
      <c r="D19">
        <f>IFERROR(ROUND((VLOOKUP(B19,O18:P28,2,FALSE)*VLOOKUP(D17,O18:P28,2,FALSE))^0.5,2),"")</f>
        <v>2</v>
      </c>
      <c r="E19">
        <f>IFERROR(ROUND((VLOOKUP(B19,O18:P28,2,FALSE)*VLOOKUP(E17,O18:P28,2,FALSE))^0.5,2),"")</f>
        <v>1.9</v>
      </c>
      <c r="F19">
        <f>IFERROR(ROUND((VLOOKUP(B19,O18:P28,2,FALSE)*VLOOKUP(F17,O18:P28,2,FALSE))^0.5,2),"")</f>
        <v>1.9</v>
      </c>
      <c r="G19" t="str">
        <f>IFERROR(ROUND((VLOOKUP(B19,O18:P28,2,FALSE)*VLOOKUP(G17,O18:P28,2,FALSE))^0.5,2),"")</f>
        <v/>
      </c>
      <c r="H19">
        <f>IFERROR(ROUND((VLOOKUP(B19,O18:P28,2,FALSE)*VLOOKUP(H17,O18:P28,2,FALSE))^0.5,2),"")</f>
        <v>1.73</v>
      </c>
      <c r="I19">
        <f>IFERROR(ROUND((VLOOKUP(B19,O18:P28,2,FALSE)*VLOOKUP(I17,O18:P28,2,FALSE))^0.5,2),"")</f>
        <v>1.61</v>
      </c>
      <c r="J19">
        <f>IFERROR(ROUND((VLOOKUP(B19,O18:P28,2,FALSE)*VLOOKUP(J17,O18:P28,2,FALSE))^0.5,2),"")</f>
        <v>1.61</v>
      </c>
      <c r="K19" t="str">
        <f>IFERROR(ROUND((VLOOKUP(B19,O18:P28,2,FALSE)*VLOOKUP(K17,O18:P28,2,FALSE))^0.5,2),"")</f>
        <v/>
      </c>
      <c r="L19" t="str">
        <f>IFERROR(ROUND((VLOOKUP(B19,O18:P28,2,FALSE)*VLOOKUP(L17,O18:P28,2,FALSE))^0.5,2),"")</f>
        <v/>
      </c>
      <c r="M19" t="str">
        <f>IFERROR(ROUND((VLOOKUP(B19,O18:P28,2,FALSE)*VLOOKUP(M17,O18:P28,2,FALSE))^0.5,2),"")</f>
        <v/>
      </c>
      <c r="O19" s="23">
        <v>360</v>
      </c>
      <c r="P19" s="24">
        <v>2</v>
      </c>
      <c r="Q19" s="25">
        <f>IFERROR(P19-P18,"")</f>
        <v>0</v>
      </c>
      <c r="S19" s="14">
        <v>360</v>
      </c>
      <c r="T19">
        <f>IFERROR(ROUND((VLOOKUP(S19,AF18:AG28,2,FALSE)*VLOOKUP(T17,AF18:AG28,2,FALSE))^0.5,2),"")</f>
        <v>2</v>
      </c>
      <c r="U19">
        <f>IFERROR(ROUND((VLOOKUP(S19,AF18:AG28,2,FALSE)*VLOOKUP(U17,AF18:AG28,2,FALSE))^0.5,2),"")</f>
        <v>2</v>
      </c>
      <c r="V19">
        <f>IFERROR(ROUND((VLOOKUP(S19,AF18:AG28,2,FALSE)*VLOOKUP(V17,AF18:AG28,2,FALSE))^0.5,2),"")</f>
        <v>1.9</v>
      </c>
      <c r="W19">
        <f>IFERROR(ROUND((VLOOKUP(S19,AF18:AG28,2,FALSE)*VLOOKUP(W17,AF18:AG28,2,FALSE))^0.5,2),"")</f>
        <v>1.9</v>
      </c>
      <c r="X19" t="str">
        <f>IFERROR(ROUND((VLOOKUP(S19,AF18:AG28,2,FALSE)*VLOOKUP(X17,AF18:AG28,2,FALSE))^0.5,2),"")</f>
        <v/>
      </c>
      <c r="Y19">
        <f>IFERROR(ROUND((VLOOKUP(S19,AF18:AG28,2,FALSE)*VLOOKUP(Y17,AF18:AG28,2,FALSE))^0.5,2),"")</f>
        <v>1.73</v>
      </c>
      <c r="Z19">
        <f>IFERROR(ROUND((VLOOKUP(S19,AF18:AG28,2,FALSE)*VLOOKUP(Z17,AF18:AG28,2,FALSE))^0.5,2),"")</f>
        <v>1.61</v>
      </c>
      <c r="AA19">
        <f>IFERROR(ROUND((VLOOKUP(S19,AF18:AG28,2,FALSE)*VLOOKUP(AA17,AF18:AG28,2,FALSE))^0.5,2),"")</f>
        <v>1.61</v>
      </c>
      <c r="AB19" t="str">
        <f>IFERROR(ROUND((VLOOKUP(S19,AF18:AG28,2,FALSE)*VLOOKUP(AB17,AF18:AG28,2,FALSE))^0.5,2),"")</f>
        <v/>
      </c>
      <c r="AC19" t="str">
        <f>IFERROR(ROUND((VLOOKUP(S19,AF18:AG28,2,FALSE)*VLOOKUP(AC17,AF18:AG28,2,FALSE))^0.5,2),"")</f>
        <v/>
      </c>
      <c r="AD19" t="str">
        <f>IFERROR(ROUND((VLOOKUP(S19,AF18:AG28,2,FALSE)*VLOOKUP(AD17,AF18:AG28,2,FALSE))^0.5,2),"")</f>
        <v/>
      </c>
      <c r="AF19" s="23">
        <v>360</v>
      </c>
      <c r="AG19" s="24">
        <v>2</v>
      </c>
      <c r="AH19" s="25">
        <f>IFERROR(AG19-AG18,"")</f>
        <v>0</v>
      </c>
    </row>
    <row r="20" spans="2:34" x14ac:dyDescent="0.25">
      <c r="B20" s="14">
        <v>420</v>
      </c>
      <c r="C20">
        <f>IFERROR(ROUND((VLOOKUP(B20,O18:P28,2,FALSE)*VLOOKUP(C17,O18:P28,2,FALSE))^0.5,2),"")</f>
        <v>1.9</v>
      </c>
      <c r="D20">
        <f>IFERROR(ROUND((VLOOKUP(B20,O18:P28,2,FALSE)*VLOOKUP(D17,O18:P28,2,FALSE))^0.5,2),"")</f>
        <v>1.9</v>
      </c>
      <c r="E20">
        <f>IFERROR(ROUND((VLOOKUP(B20,O18:P28,2,FALSE)*VLOOKUP(E17,O18:P28,2,FALSE))^0.5,2),"")</f>
        <v>1.8</v>
      </c>
      <c r="F20">
        <f>IFERROR(ROUND((VLOOKUP(B20,O18:P28,2,FALSE)*VLOOKUP(F17,O18:P28,2,FALSE))^0.5,2),"")</f>
        <v>1.8</v>
      </c>
      <c r="G20" t="str">
        <f>IFERROR(ROUND((VLOOKUP(B20,O18:P28,2,FALSE)*VLOOKUP(G17,O18:P28,2,FALSE))^0.5,2),"")</f>
        <v/>
      </c>
      <c r="H20">
        <f>IFERROR(ROUND((VLOOKUP(B20,O18:P28,2,FALSE)*VLOOKUP(H17,O18:P28,2,FALSE))^0.5,2),"")</f>
        <v>1.64</v>
      </c>
      <c r="I20">
        <f>IFERROR(ROUND((VLOOKUP(B20,O18:P28,2,FALSE)*VLOOKUP(I17,O18:P28,2,FALSE))^0.5,2),"")</f>
        <v>1.53</v>
      </c>
      <c r="J20">
        <f>IFERROR(ROUND((VLOOKUP(B20,O18:P28,2,FALSE)*VLOOKUP(J17,O18:P28,2,FALSE))^0.5,2),"")</f>
        <v>1.53</v>
      </c>
      <c r="K20" t="str">
        <f>IFERROR(ROUND((VLOOKUP(B20,O18:P28,2,FALSE)*VLOOKUP(K17,O18:P28,2,FALSE))^0.5,2),"")</f>
        <v/>
      </c>
      <c r="L20" t="str">
        <f>IFERROR(ROUND((VLOOKUP(B20,O18:P28,2,FALSE)*VLOOKUP(L17,O18:P28,2,FALSE))^0.5,2),"")</f>
        <v/>
      </c>
      <c r="M20" t="str">
        <f>IFERROR(ROUND((VLOOKUP(B20,O18:P28,2,FALSE)*VLOOKUP(M17,O18:P28,2,FALSE))^0.5,2),"")</f>
        <v/>
      </c>
      <c r="O20" s="20">
        <v>420</v>
      </c>
      <c r="P20" s="21">
        <v>1.8</v>
      </c>
      <c r="Q20" s="22">
        <f t="shared" ref="Q20:Q28" si="2">IFERROR(P20-P19,"")</f>
        <v>-0.19999999999999996</v>
      </c>
      <c r="S20" s="14">
        <v>420</v>
      </c>
      <c r="T20">
        <f>IFERROR(ROUND((VLOOKUP(S20,AF18:AG28,2,FALSE)*VLOOKUP(T17,AF18:AG28,2,FALSE))^0.5,2),"")</f>
        <v>1.9</v>
      </c>
      <c r="U20">
        <f>IFERROR(ROUND((VLOOKUP(S20,AF18:AG28,2,FALSE)*VLOOKUP(U17,AF18:AG28,2,FALSE))^0.5,2),"")</f>
        <v>1.9</v>
      </c>
      <c r="V20">
        <f>IFERROR(ROUND((VLOOKUP(S20,AF18:AG28,2,FALSE)*VLOOKUP(V17,AF18:AG28,2,FALSE))^0.5,2),"")</f>
        <v>1.8</v>
      </c>
      <c r="W20">
        <f>IFERROR(ROUND((VLOOKUP(S20,AF18:AG28,2,FALSE)*VLOOKUP(W17,AF18:AG28,2,FALSE))^0.5,2),"")</f>
        <v>1.8</v>
      </c>
      <c r="X20" t="str">
        <f>IFERROR(ROUND((VLOOKUP(S20,AF18:AG28,2,FALSE)*VLOOKUP(X17,AF18:AG28,2,FALSE))^0.5,2),"")</f>
        <v/>
      </c>
      <c r="Y20">
        <f>IFERROR(ROUND((VLOOKUP(S20,AF18:AG28,2,FALSE)*VLOOKUP(Y17,AF18:AG28,2,FALSE))^0.5,2),"")</f>
        <v>1.64</v>
      </c>
      <c r="Z20">
        <f>IFERROR(ROUND((VLOOKUP(S20,AF18:AG28,2,FALSE)*VLOOKUP(Z17,AF18:AG28,2,FALSE))^0.5,2),"")</f>
        <v>1.53</v>
      </c>
      <c r="AA20">
        <f>IFERROR(ROUND((VLOOKUP(S20,AF18:AG28,2,FALSE)*VLOOKUP(AA17,AF18:AG28,2,FALSE))^0.5,2),"")</f>
        <v>1.53</v>
      </c>
      <c r="AB20" t="str">
        <f>IFERROR(ROUND((VLOOKUP(S20,AF18:AG28,2,FALSE)*VLOOKUP(AB17,AF18:AG28,2,FALSE))^0.5,2),"")</f>
        <v/>
      </c>
      <c r="AC20" t="str">
        <f>IFERROR(ROUND((VLOOKUP(S20,AF18:AG28,2,FALSE)*VLOOKUP(AC17,AF18:AG28,2,FALSE))^0.5,2),"")</f>
        <v/>
      </c>
      <c r="AD20" t="str">
        <f>IFERROR(ROUND((VLOOKUP(S20,AF18:AG28,2,FALSE)*VLOOKUP(AD17,AF18:AG28,2,FALSE))^0.5,2),"")</f>
        <v/>
      </c>
      <c r="AF20" s="20">
        <v>420</v>
      </c>
      <c r="AG20" s="21">
        <v>1.8</v>
      </c>
      <c r="AH20" s="22">
        <f t="shared" ref="AH20:AH28" si="3">IFERROR(AG20-AG19,"")</f>
        <v>-0.19999999999999996</v>
      </c>
    </row>
    <row r="21" spans="2:34" x14ac:dyDescent="0.25">
      <c r="B21" s="14">
        <v>580</v>
      </c>
      <c r="C21">
        <f>IFERROR(ROUND((VLOOKUP(B21,O18:P28,2,FALSE)*VLOOKUP(C17,O18:P28,2,FALSE))^0.5,2),"")</f>
        <v>1.9</v>
      </c>
      <c r="D21">
        <f>IFERROR(ROUND((VLOOKUP(B21,O18:P28,2,FALSE)*VLOOKUP(D17,O18:P28,2,FALSE))^0.5,2),"")</f>
        <v>1.9</v>
      </c>
      <c r="E21">
        <f>IFERROR(ROUND((VLOOKUP(B21,O18:P28,2,FALSE)*VLOOKUP(E17,O18:P28,2,FALSE))^0.5,2),"")</f>
        <v>1.8</v>
      </c>
      <c r="F21">
        <f>IFERROR(ROUND((VLOOKUP(B21,O18:P28,2,FALSE)*VLOOKUP(F17,O18:P28,2,FALSE))^0.5,2),"")</f>
        <v>1.8</v>
      </c>
      <c r="G21" t="str">
        <f>IFERROR(ROUND((VLOOKUP(B21,O18:P28,2,FALSE)*VLOOKUP(G17,O18:P28,2,FALSE))^0.5,2),"")</f>
        <v/>
      </c>
      <c r="H21">
        <f>IFERROR(ROUND((VLOOKUP(B21,O18:P28,2,FALSE)*VLOOKUP(H17,O18:P28,2,FALSE))^0.5,2),"")</f>
        <v>1.64</v>
      </c>
      <c r="I21">
        <f>IFERROR(ROUND((VLOOKUP(B21,O18:P28,2,FALSE)*VLOOKUP(I17,O18:P28,2,FALSE))^0.5,2),"")</f>
        <v>1.53</v>
      </c>
      <c r="J21">
        <f>IFERROR(ROUND((VLOOKUP(B21,O18:P28,2,FALSE)*VLOOKUP(J17,O18:P28,2,FALSE))^0.5,2),"")</f>
        <v>1.53</v>
      </c>
      <c r="K21" t="str">
        <f>IFERROR(ROUND((VLOOKUP(B21,O18:P28,2,FALSE)*VLOOKUP(K17,O18:P28,2,FALSE))^0.5,2),"")</f>
        <v/>
      </c>
      <c r="L21" t="str">
        <f>IFERROR(ROUND((VLOOKUP(B21,O18:P28,2,FALSE)*VLOOKUP(L17,O18:P28,2,FALSE))^0.5,2),"")</f>
        <v/>
      </c>
      <c r="M21" t="str">
        <f>IFERROR(ROUND((VLOOKUP(B21,O18:P28,2,FALSE)*VLOOKUP(M17,O18:P28,2,FALSE))^0.5,2),"")</f>
        <v/>
      </c>
      <c r="O21" s="23">
        <v>580</v>
      </c>
      <c r="P21" s="24">
        <v>1.8</v>
      </c>
      <c r="Q21" s="25">
        <f t="shared" si="2"/>
        <v>0</v>
      </c>
      <c r="S21" s="14">
        <v>580</v>
      </c>
      <c r="T21">
        <f>IFERROR(ROUND((VLOOKUP(S21,AF18:AG28,2,FALSE)*VLOOKUP(T17,AF18:AG28,2,FALSE))^0.5,2),"")</f>
        <v>1.9</v>
      </c>
      <c r="U21">
        <f>IFERROR(ROUND((VLOOKUP(S21,AF18:AG28,2,FALSE)*VLOOKUP(U17,AF18:AG28,2,FALSE))^0.5,2),"")</f>
        <v>1.9</v>
      </c>
      <c r="V21">
        <f>IFERROR(ROUND((VLOOKUP(S21,AF18:AG28,2,FALSE)*VLOOKUP(V17,AF18:AG28,2,FALSE))^0.5,2),"")</f>
        <v>1.8</v>
      </c>
      <c r="W21">
        <f>IFERROR(ROUND((VLOOKUP(S21,AF18:AG28,2,FALSE)*VLOOKUP(W17,AF18:AG28,2,FALSE))^0.5,2),"")</f>
        <v>1.8</v>
      </c>
      <c r="X21" t="str">
        <f>IFERROR(ROUND((VLOOKUP(S21,AF18:AG28,2,FALSE)*VLOOKUP(X17,AF18:AG28,2,FALSE))^0.5,2),"")</f>
        <v/>
      </c>
      <c r="Y21">
        <f>IFERROR(ROUND((VLOOKUP(S21,AF18:AG28,2,FALSE)*VLOOKUP(Y17,AF18:AG28,2,FALSE))^0.5,2),"")</f>
        <v>1.64</v>
      </c>
      <c r="Z21">
        <f>IFERROR(ROUND((VLOOKUP(S21,AF18:AG28,2,FALSE)*VLOOKUP(Z17,AF18:AG28,2,FALSE))^0.5,2),"")</f>
        <v>1.53</v>
      </c>
      <c r="AA21">
        <f>IFERROR(ROUND((VLOOKUP(S21,AF18:AG28,2,FALSE)*VLOOKUP(AA17,AF18:AG28,2,FALSE))^0.5,2),"")</f>
        <v>1.53</v>
      </c>
      <c r="AB21" t="str">
        <f>IFERROR(ROUND((VLOOKUP(S21,AF18:AG28,2,FALSE)*VLOOKUP(AB17,AF18:AG28,2,FALSE))^0.5,2),"")</f>
        <v/>
      </c>
      <c r="AC21" t="str">
        <f>IFERROR(ROUND((VLOOKUP(S21,AF18:AG28,2,FALSE)*VLOOKUP(AC17,AF18:AG28,2,FALSE))^0.5,2),"")</f>
        <v/>
      </c>
      <c r="AD21" t="str">
        <f>IFERROR(ROUND((VLOOKUP(S21,AF18:AG28,2,FALSE)*VLOOKUP(AD17,AF18:AG28,2,FALSE))^0.5,2),"")</f>
        <v/>
      </c>
      <c r="AF21" s="23">
        <v>580</v>
      </c>
      <c r="AG21" s="24">
        <v>1.8</v>
      </c>
      <c r="AH21" s="25">
        <f t="shared" si="3"/>
        <v>0</v>
      </c>
    </row>
    <row r="22" spans="2:34" x14ac:dyDescent="0.25">
      <c r="B22" s="14">
        <v>660</v>
      </c>
      <c r="C22" t="str">
        <f>IFERROR(ROUND((VLOOKUP(B22,O18:P28,2,FALSE)*VLOOKUP(C17,O18:P28,2,FALSE))^0.5,2),"")</f>
        <v/>
      </c>
      <c r="D22" t="str">
        <f>IFERROR(ROUND((VLOOKUP(B22,O18:P28,2,FALSE)*VLOOKUP(D17,O18:P28,2,FALSE))^0.5,2),"")</f>
        <v/>
      </c>
      <c r="E22" t="str">
        <f>IFERROR(ROUND((VLOOKUP(B22,O18:P28,2,FALSE)*VLOOKUP(E17,O18:P28,2,FALSE))^0.5,2),"")</f>
        <v/>
      </c>
      <c r="F22" t="str">
        <f>IFERROR(ROUND((VLOOKUP(B22,O18:P28,2,FALSE)*VLOOKUP(F17,O18:P28,2,FALSE))^0.5,2),"")</f>
        <v/>
      </c>
      <c r="G22" t="str">
        <f>IFERROR(ROUND((VLOOKUP(B22,O18:P28,2,FALSE)*VLOOKUP(G17,O18:P28,2,FALSE))^0.5,2),"")</f>
        <v/>
      </c>
      <c r="H22" t="str">
        <f>IFERROR(ROUND((VLOOKUP(B22,O18:P28,2,FALSE)*VLOOKUP(H17,O18:P28,2,FALSE))^0.5,2),"")</f>
        <v/>
      </c>
      <c r="I22" t="str">
        <f>IFERROR(ROUND((VLOOKUP(B22,O18:P28,2,FALSE)*VLOOKUP(I17,O18:P28,2,FALSE))^0.5,2),"")</f>
        <v/>
      </c>
      <c r="J22" t="str">
        <f>IFERROR(ROUND((VLOOKUP(B22,O18:P28,2,FALSE)*VLOOKUP(J17,O18:P28,2,FALSE))^0.5,2),"")</f>
        <v/>
      </c>
      <c r="K22" t="str">
        <f>IFERROR(ROUND((VLOOKUP(B22,O18:P28,2,FALSE)*VLOOKUP(K17,O18:P28,2,FALSE))^0.5,2),"")</f>
        <v/>
      </c>
      <c r="L22" t="str">
        <f>IFERROR(ROUND((VLOOKUP(B22,O18:P28,2,FALSE)*VLOOKUP(L17,O18:P28,2,FALSE))^0.5,2),"")</f>
        <v/>
      </c>
      <c r="M22" t="str">
        <f>IFERROR(ROUND((VLOOKUP(B22,O18:P28,2,FALSE)*VLOOKUP(M17,O18:P28,2,FALSE))^0.5,2),"")</f>
        <v/>
      </c>
      <c r="O22" s="20">
        <v>660</v>
      </c>
      <c r="P22" s="21" t="s">
        <v>63</v>
      </c>
      <c r="Q22" s="22" t="str">
        <f t="shared" si="2"/>
        <v/>
      </c>
      <c r="S22" s="14">
        <v>660</v>
      </c>
      <c r="T22" t="str">
        <f>IFERROR(ROUND((VLOOKUP(S22,AF18:AG28,2,FALSE)*VLOOKUP(T17,AF18:AG28,2,FALSE))^0.5,2),"")</f>
        <v/>
      </c>
      <c r="U22" t="str">
        <f>IFERROR(ROUND((VLOOKUP(S22,AF18:AG28,2,FALSE)*VLOOKUP(U17,AF18:AG28,2,FALSE))^0.5,2),"")</f>
        <v/>
      </c>
      <c r="V22" t="str">
        <f>IFERROR(ROUND((VLOOKUP(S22,AF18:AG28,2,FALSE)*VLOOKUP(V17,AF18:AG28,2,FALSE))^0.5,2),"")</f>
        <v/>
      </c>
      <c r="W22" t="str">
        <f>IFERROR(ROUND((VLOOKUP(S22,AF18:AG28,2,FALSE)*VLOOKUP(W17,AF18:AG28,2,FALSE))^0.5,2),"")</f>
        <v/>
      </c>
      <c r="X22" t="str">
        <f>IFERROR(ROUND((VLOOKUP(S22,AF18:AG28,2,FALSE)*VLOOKUP(X17,AF18:AG28,2,FALSE))^0.5,2),"")</f>
        <v/>
      </c>
      <c r="Y22" t="str">
        <f>IFERROR(ROUND((VLOOKUP(S22,AF18:AG28,2,FALSE)*VLOOKUP(Y17,AF18:AG28,2,FALSE))^0.5,2),"")</f>
        <v/>
      </c>
      <c r="Z22" t="str">
        <f>IFERROR(ROUND((VLOOKUP(S22,AF18:AG28,2,FALSE)*VLOOKUP(Z17,AF18:AG28,2,FALSE))^0.5,2),"")</f>
        <v/>
      </c>
      <c r="AA22" t="str">
        <f>IFERROR(ROUND((VLOOKUP(S22,AF18:AG28,2,FALSE)*VLOOKUP(AA17,AF18:AG28,2,FALSE))^0.5,2),"")</f>
        <v/>
      </c>
      <c r="AB22" t="str">
        <f>IFERROR(ROUND((VLOOKUP(S22,AF18:AG28,2,FALSE)*VLOOKUP(AB17,AF18:AG28,2,FALSE))^0.5,2),"")</f>
        <v/>
      </c>
      <c r="AC22" t="str">
        <f>IFERROR(ROUND((VLOOKUP(S22,AF18:AG28,2,FALSE)*VLOOKUP(AC17,AF18:AG28,2,FALSE))^0.5,2),"")</f>
        <v/>
      </c>
      <c r="AD22" t="str">
        <f>IFERROR(ROUND((VLOOKUP(S22,AF18:AG28,2,FALSE)*VLOOKUP(AD17,AF18:AG28,2,FALSE))^0.5,2),"")</f>
        <v/>
      </c>
      <c r="AF22" s="20">
        <v>660</v>
      </c>
      <c r="AG22" s="21" t="s">
        <v>63</v>
      </c>
      <c r="AH22" s="22" t="str">
        <f t="shared" si="3"/>
        <v/>
      </c>
    </row>
    <row r="23" spans="2:34" x14ac:dyDescent="0.25">
      <c r="B23" s="14">
        <v>720</v>
      </c>
      <c r="C23">
        <f>IFERROR(ROUND((VLOOKUP(B23,O18:P28,2,FALSE)*VLOOKUP(C17,O18:P28,2,FALSE))^0.5,2),"")</f>
        <v>1.73</v>
      </c>
      <c r="D23">
        <f>IFERROR(ROUND((VLOOKUP(B23,O18:P28,2,FALSE)*VLOOKUP(D17,O18:P28,2,FALSE))^0.5,2),"")</f>
        <v>1.73</v>
      </c>
      <c r="E23">
        <f>IFERROR(ROUND((VLOOKUP(B23,O18:P28,2,FALSE)*VLOOKUP(E17,O18:P28,2,FALSE))^0.5,2),"")</f>
        <v>1.64</v>
      </c>
      <c r="F23">
        <f>IFERROR(ROUND((VLOOKUP(B23,O18:P28,2,FALSE)*VLOOKUP(F17,O18:P28,2,FALSE))^0.5,2),"")</f>
        <v>1.64</v>
      </c>
      <c r="G23" t="str">
        <f>IFERROR(ROUND((VLOOKUP(B23,O18:P28,2,FALSE)*VLOOKUP(G17,O18:P28,2,FALSE))^0.5,2),"")</f>
        <v/>
      </c>
      <c r="H23">
        <f>IFERROR(ROUND((VLOOKUP(B23,O18:P28,2,FALSE)*VLOOKUP(H17,O18:P28,2,FALSE))^0.5,2),"")</f>
        <v>1.5</v>
      </c>
      <c r="I23">
        <f>IFERROR(ROUND((VLOOKUP(B23,O18:P28,2,FALSE)*VLOOKUP(I17,O18:P28,2,FALSE))^0.5,2),"")</f>
        <v>1.4</v>
      </c>
      <c r="J23">
        <f>IFERROR(ROUND((VLOOKUP(B23,O18:P28,2,FALSE)*VLOOKUP(J17,O18:P28,2,FALSE))^0.5,2),"")</f>
        <v>1.4</v>
      </c>
      <c r="K23" t="str">
        <f>IFERROR(ROUND((VLOOKUP(B23,O18:P28,2,FALSE)*VLOOKUP(K17,O18:P28,2,FALSE))^0.5,2),"")</f>
        <v/>
      </c>
      <c r="L23" t="str">
        <f>IFERROR(ROUND((VLOOKUP(B23,O18:P28,2,FALSE)*VLOOKUP(L17,O18:P28,2,FALSE))^0.5,2),"")</f>
        <v/>
      </c>
      <c r="M23" t="str">
        <f>IFERROR(ROUND((VLOOKUP(B23,O18:P28,2,FALSE)*VLOOKUP(M17,O18:P28,2,FALSE))^0.5,2),"")</f>
        <v/>
      </c>
      <c r="O23" s="23">
        <v>720</v>
      </c>
      <c r="P23" s="24">
        <v>1.5</v>
      </c>
      <c r="Q23" s="25" t="str">
        <f t="shared" si="2"/>
        <v/>
      </c>
      <c r="S23" s="14">
        <v>720</v>
      </c>
      <c r="T23">
        <f>IFERROR(ROUND((VLOOKUP(S23,AF18:AG28,2,FALSE)*VLOOKUP(T17,AF18:AG28,2,FALSE))^0.5,2),"")</f>
        <v>1.73</v>
      </c>
      <c r="U23">
        <f>IFERROR(ROUND((VLOOKUP(S23,AF18:AG28,2,FALSE)*VLOOKUP(U17,AF18:AG28,2,FALSE))^0.5,2),"")</f>
        <v>1.73</v>
      </c>
      <c r="V23">
        <f>IFERROR(ROUND((VLOOKUP(S23,AF18:AG28,2,FALSE)*VLOOKUP(V17,AF18:AG28,2,FALSE))^0.5,2),"")</f>
        <v>1.64</v>
      </c>
      <c r="W23">
        <f>IFERROR(ROUND((VLOOKUP(S23,AF18:AG28,2,FALSE)*VLOOKUP(W17,AF18:AG28,2,FALSE))^0.5,2),"")</f>
        <v>1.64</v>
      </c>
      <c r="X23" t="str">
        <f>IFERROR(ROUND((VLOOKUP(S23,AF18:AG28,2,FALSE)*VLOOKUP(X17,AF18:AG28,2,FALSE))^0.5,2),"")</f>
        <v/>
      </c>
      <c r="Y23">
        <f>IFERROR(ROUND((VLOOKUP(S23,AF18:AG28,2,FALSE)*VLOOKUP(Y17,AF18:AG28,2,FALSE))^0.5,2),"")</f>
        <v>1.5</v>
      </c>
      <c r="Z23">
        <f>IFERROR(ROUND((VLOOKUP(S23,AF18:AG28,2,FALSE)*VLOOKUP(Z17,AF18:AG28,2,FALSE))^0.5,2),"")</f>
        <v>1.4</v>
      </c>
      <c r="AA23">
        <f>IFERROR(ROUND((VLOOKUP(S23,AF18:AG28,2,FALSE)*VLOOKUP(AA17,AF18:AG28,2,FALSE))^0.5,2),"")</f>
        <v>1.4</v>
      </c>
      <c r="AB23" t="str">
        <f>IFERROR(ROUND((VLOOKUP(S23,AF18:AG28,2,FALSE)*VLOOKUP(AB17,AF18:AG28,2,FALSE))^0.5,2),"")</f>
        <v/>
      </c>
      <c r="AC23" t="str">
        <f>IFERROR(ROUND((VLOOKUP(S23,AF18:AG28,2,FALSE)*VLOOKUP(AC17,AF18:AG28,2,FALSE))^0.5,2),"")</f>
        <v/>
      </c>
      <c r="AD23" t="str">
        <f>IFERROR(ROUND((VLOOKUP(S23,AF18:AG28,2,FALSE)*VLOOKUP(AD17,AF18:AG28,2,FALSE))^0.5,2),"")</f>
        <v/>
      </c>
      <c r="AF23" s="23">
        <v>720</v>
      </c>
      <c r="AG23" s="24">
        <v>1.5</v>
      </c>
      <c r="AH23" s="25" t="str">
        <f t="shared" si="3"/>
        <v/>
      </c>
    </row>
    <row r="24" spans="2:34" x14ac:dyDescent="0.25">
      <c r="B24" s="14">
        <v>780</v>
      </c>
      <c r="C24">
        <f>IFERROR(ROUND((VLOOKUP(B24,O18:P28,2,FALSE)*VLOOKUP(C17,O18:P28,2,FALSE))^0.5,2),"")</f>
        <v>1.61</v>
      </c>
      <c r="D24">
        <f>IFERROR(ROUND((VLOOKUP(B24,O18:P28,2,FALSE)*VLOOKUP(D17,O18:P28,2,FALSE))^0.5,2),"")</f>
        <v>1.61</v>
      </c>
      <c r="E24">
        <f>IFERROR(ROUND((VLOOKUP(B24,O18:P28,2,FALSE)*VLOOKUP(E17,O18:P28,2,FALSE))^0.5,2),"")</f>
        <v>1.53</v>
      </c>
      <c r="F24">
        <f>IFERROR(ROUND((VLOOKUP(B24,O18:P28,2,FALSE)*VLOOKUP(F17,O18:P28,2,FALSE))^0.5,2),"")</f>
        <v>1.53</v>
      </c>
      <c r="G24" t="str">
        <f>IFERROR(ROUND((VLOOKUP(B24,O18:P28,2,FALSE)*VLOOKUP(G17,O18:P28,2,FALSE))^0.5,2),"")</f>
        <v/>
      </c>
      <c r="H24">
        <f>IFERROR(ROUND((VLOOKUP(B24,O18:P28,2,FALSE)*VLOOKUP(H17,O18:P28,2,FALSE))^0.5,2),"")</f>
        <v>1.4</v>
      </c>
      <c r="I24">
        <f>IFERROR(ROUND((VLOOKUP(B24,O18:P28,2,FALSE)*VLOOKUP(I17,O18:P28,2,FALSE))^0.5,2),"")</f>
        <v>1.3</v>
      </c>
      <c r="J24">
        <f>IFERROR(ROUND((VLOOKUP(B24,O18:P28,2,FALSE)*VLOOKUP(J17,O18:P28,2,FALSE))^0.5,2),"")</f>
        <v>1.3</v>
      </c>
      <c r="K24" t="str">
        <f>IFERROR(ROUND((VLOOKUP(B24,O18:P28,2,FALSE)*VLOOKUP(K17,O18:P28,2,FALSE))^0.5,2),"")</f>
        <v/>
      </c>
      <c r="L24" t="str">
        <f>IFERROR(ROUND((VLOOKUP(B24,O18:P28,2,FALSE)*VLOOKUP(L17,O18:P28,2,FALSE))^0.5,2),"")</f>
        <v/>
      </c>
      <c r="M24" t="str">
        <f>IFERROR(ROUND((VLOOKUP(B24,O18:P28,2,FALSE)*VLOOKUP(M17,O18:P28,2,FALSE))^0.5,2),"")</f>
        <v/>
      </c>
      <c r="O24" s="20">
        <v>780</v>
      </c>
      <c r="P24" s="21">
        <v>1.3</v>
      </c>
      <c r="Q24" s="22">
        <f t="shared" si="2"/>
        <v>-0.19999999999999996</v>
      </c>
      <c r="S24" s="14">
        <v>780</v>
      </c>
      <c r="T24">
        <f>IFERROR(ROUND((VLOOKUP(S24,AF18:AG28,2,FALSE)*VLOOKUP(T17,AF18:AG28,2,FALSE))^0.5,2),"")</f>
        <v>1.61</v>
      </c>
      <c r="U24">
        <f>IFERROR(ROUND((VLOOKUP(S24,AF18:AG28,2,FALSE)*VLOOKUP(U17,AF18:AG28,2,FALSE))^0.5,2),"")</f>
        <v>1.61</v>
      </c>
      <c r="V24">
        <f>IFERROR(ROUND((VLOOKUP(S24,AF18:AG28,2,FALSE)*VLOOKUP(V17,AF18:AG28,2,FALSE))^0.5,2),"")</f>
        <v>1.53</v>
      </c>
      <c r="W24">
        <f>IFERROR(ROUND((VLOOKUP(S24,AF18:AG28,2,FALSE)*VLOOKUP(W17,AF18:AG28,2,FALSE))^0.5,2),"")</f>
        <v>1.53</v>
      </c>
      <c r="X24" t="str">
        <f>IFERROR(ROUND((VLOOKUP(S24,AF18:AG28,2,FALSE)*VLOOKUP(X17,AF18:AG28,2,FALSE))^0.5,2),"")</f>
        <v/>
      </c>
      <c r="Y24">
        <f>IFERROR(ROUND((VLOOKUP(S24,AF18:AG28,2,FALSE)*VLOOKUP(Y17,AF18:AG28,2,FALSE))^0.5,2),"")</f>
        <v>1.4</v>
      </c>
      <c r="Z24">
        <f>IFERROR(ROUND((VLOOKUP(S24,AF18:AG28,2,FALSE)*VLOOKUP(Z17,AF18:AG28,2,FALSE))^0.5,2),"")</f>
        <v>1.3</v>
      </c>
      <c r="AA24">
        <f>IFERROR(ROUND((VLOOKUP(S24,AF18:AG28,2,FALSE)*VLOOKUP(AA17,AF18:AG28,2,FALSE))^0.5,2),"")</f>
        <v>1.3</v>
      </c>
      <c r="AB24" t="str">
        <f>IFERROR(ROUND((VLOOKUP(S24,AF18:AG28,2,FALSE)*VLOOKUP(AB17,AF18:AG28,2,FALSE))^0.5,2),"")</f>
        <v/>
      </c>
      <c r="AC24" t="str">
        <f>IFERROR(ROUND((VLOOKUP(S24,AF18:AG28,2,FALSE)*VLOOKUP(AC17,AF18:AG28,2,FALSE))^0.5,2),"")</f>
        <v/>
      </c>
      <c r="AD24" t="str">
        <f>IFERROR(ROUND((VLOOKUP(S24,AF18:AG28,2,FALSE)*VLOOKUP(AD17,AF18:AG28,2,FALSE))^0.5,2),"")</f>
        <v/>
      </c>
      <c r="AF24" s="20">
        <v>780</v>
      </c>
      <c r="AG24" s="21">
        <v>1.3</v>
      </c>
      <c r="AH24" s="22">
        <f t="shared" si="3"/>
        <v>-0.19999999999999996</v>
      </c>
    </row>
    <row r="25" spans="2:34" x14ac:dyDescent="0.25">
      <c r="B25" s="14">
        <v>980</v>
      </c>
      <c r="C25">
        <f>IFERROR(ROUND((VLOOKUP(B25,O18:P28,2,FALSE)*VLOOKUP(C17,O18:P28,2,FALSE))^0.5,2),"")</f>
        <v>1.61</v>
      </c>
      <c r="D25">
        <f>IFERROR(ROUND((VLOOKUP(B25,O18:P28,2,FALSE)*VLOOKUP(D17,O18:P28,2,FALSE))^0.5,2),"")</f>
        <v>1.61</v>
      </c>
      <c r="E25">
        <f>IFERROR(ROUND((VLOOKUP(B25,O18:P28,2,FALSE)*VLOOKUP(E17,O18:P28,2,FALSE))^0.5,2),"")</f>
        <v>1.53</v>
      </c>
      <c r="F25">
        <f>IFERROR(ROUND((VLOOKUP(B25,O18:P28,2,FALSE)*VLOOKUP(F17,O18:P28,2,FALSE))^0.5,2),"")</f>
        <v>1.53</v>
      </c>
      <c r="G25" t="str">
        <f>IFERROR(ROUND((VLOOKUP(B25,O18:P28,2,FALSE)*VLOOKUP(G17,O18:P28,2,FALSE))^0.5,2),"")</f>
        <v/>
      </c>
      <c r="H25">
        <f>IFERROR(ROUND((VLOOKUP(B25,O18:P28,2,FALSE)*VLOOKUP(H17,O18:P28,2,FALSE))^0.5,2),"")</f>
        <v>1.4</v>
      </c>
      <c r="I25">
        <f>IFERROR(ROUND((VLOOKUP(B25,O18:P28,2,FALSE)*VLOOKUP(I17,O18:P28,2,FALSE))^0.5,2),"")</f>
        <v>1.3</v>
      </c>
      <c r="J25">
        <f>IFERROR(ROUND((VLOOKUP(B25,O18:P28,2,FALSE)*VLOOKUP(J17,O18:P28,2,FALSE))^0.5,2),"")</f>
        <v>1.3</v>
      </c>
      <c r="K25" t="str">
        <f>IFERROR(ROUND((VLOOKUP(B25,O18:P28,2,FALSE)*VLOOKUP(K17,O18:P28,2,FALSE))^0.5,2),"")</f>
        <v/>
      </c>
      <c r="L25" t="str">
        <f>IFERROR(ROUND((VLOOKUP(B25,O18:P28,2,FALSE)*VLOOKUP(L17,O18:P28,2,FALSE))^0.5,2),"")</f>
        <v/>
      </c>
      <c r="M25" t="str">
        <f>IFERROR(ROUND((VLOOKUP(B25,O18:P28,2,FALSE)*VLOOKUP(M17,O18:P28,2,FALSE))^0.5,2),"")</f>
        <v/>
      </c>
      <c r="O25" s="26">
        <v>980</v>
      </c>
      <c r="P25" s="27">
        <v>1.3</v>
      </c>
      <c r="Q25" s="7">
        <f t="shared" si="2"/>
        <v>0</v>
      </c>
      <c r="S25" s="14">
        <v>980</v>
      </c>
      <c r="T25">
        <f>IFERROR(ROUND((VLOOKUP(S25,AF18:AG28,2,FALSE)*VLOOKUP(T17,AF18:AG28,2,FALSE))^0.5,2),"")</f>
        <v>1.61</v>
      </c>
      <c r="U25">
        <f>IFERROR(ROUND((VLOOKUP(S25,AF18:AG28,2,FALSE)*VLOOKUP(U17,AF18:AG28,2,FALSE))^0.5,2),"")</f>
        <v>1.61</v>
      </c>
      <c r="V25">
        <f>IFERROR(ROUND((VLOOKUP(S25,AF18:AG28,2,FALSE)*VLOOKUP(V17,AF18:AG28,2,FALSE))^0.5,2),"")</f>
        <v>1.53</v>
      </c>
      <c r="W25">
        <f>IFERROR(ROUND((VLOOKUP(S25,AF18:AG28,2,FALSE)*VLOOKUP(W17,AF18:AG28,2,FALSE))^0.5,2),"")</f>
        <v>1.53</v>
      </c>
      <c r="X25" t="str">
        <f>IFERROR(ROUND((VLOOKUP(S25,AF18:AG28,2,FALSE)*VLOOKUP(X17,AF18:AG28,2,FALSE))^0.5,2),"")</f>
        <v/>
      </c>
      <c r="Y25">
        <f>IFERROR(ROUND((VLOOKUP(S25,AF18:AG28,2,FALSE)*VLOOKUP(Y17,AF18:AG28,2,FALSE))^0.5,2),"")</f>
        <v>1.4</v>
      </c>
      <c r="Z25">
        <f>IFERROR(ROUND((VLOOKUP(S25,AF18:AG28,2,FALSE)*VLOOKUP(Z17,AF18:AG28,2,FALSE))^0.5,2),"")</f>
        <v>1.3</v>
      </c>
      <c r="AA25">
        <f>IFERROR(ROUND((VLOOKUP(S25,AF18:AG28,2,FALSE)*VLOOKUP(AA17,AF18:AG28,2,FALSE))^0.5,2),"")</f>
        <v>1.3</v>
      </c>
      <c r="AB25" t="str">
        <f>IFERROR(ROUND((VLOOKUP(S25,AF18:AG28,2,FALSE)*VLOOKUP(AB17,AF18:AG28,2,FALSE))^0.5,2),"")</f>
        <v/>
      </c>
      <c r="AC25" t="str">
        <f>IFERROR(ROUND((VLOOKUP(S25,AF18:AG28,2,FALSE)*VLOOKUP(AC17,AF18:AG28,2,FALSE))^0.5,2),"")</f>
        <v/>
      </c>
      <c r="AD25" t="str">
        <f>IFERROR(ROUND((VLOOKUP(S25,AF18:AG28,2,FALSE)*VLOOKUP(AD17,AF18:AG28,2,FALSE))^0.5,2),"")</f>
        <v/>
      </c>
      <c r="AF25" s="26">
        <v>980</v>
      </c>
      <c r="AG25" s="27">
        <v>1.3</v>
      </c>
      <c r="AH25" s="7">
        <f t="shared" si="3"/>
        <v>0</v>
      </c>
    </row>
    <row r="26" spans="2:34" x14ac:dyDescent="0.25">
      <c r="B26" s="14">
        <v>1080</v>
      </c>
      <c r="C26" t="str">
        <f>IFERROR(ROUND((VLOOKUP(B26,O18:P28,2,FALSE)*VLOOKUP(C17,O18:P28,2,FALSE))^0.5,2),"")</f>
        <v/>
      </c>
      <c r="D26" t="str">
        <f>IFERROR(ROUND((VLOOKUP(B26,O18:P28,2,FALSE)*VLOOKUP(D17,O18:P28,2,FALSE))^0.5,2),"")</f>
        <v/>
      </c>
      <c r="E26" t="str">
        <f>IFERROR(ROUND((VLOOKUP(B26,O18:P28,2,FALSE)*VLOOKUP(E17,O18:P28,2,FALSE))^0.5,2),"")</f>
        <v/>
      </c>
      <c r="F26" t="str">
        <f>IFERROR(ROUND((VLOOKUP(B26,O18:P28,2,FALSE)*VLOOKUP(F17,O18:P28,2,FALSE))^0.5,2),"")</f>
        <v/>
      </c>
      <c r="G26" t="str">
        <f>IFERROR(ROUND((VLOOKUP(B26,O18:P28,2,FALSE)*VLOOKUP(G17,O18:P28,2,FALSE))^0.5,2),"")</f>
        <v/>
      </c>
      <c r="H26" t="str">
        <f>IFERROR(ROUND((VLOOKUP(B26,O18:P28,2,FALSE)*VLOOKUP(H17,O18:P28,2,FALSE))^0.5,2),"")</f>
        <v/>
      </c>
      <c r="I26" t="str">
        <f>IFERROR(ROUND((VLOOKUP(B26,O18:P28,2,FALSE)*VLOOKUP(I17,O18:P28,2,FALSE))^0.5,2),"")</f>
        <v/>
      </c>
      <c r="J26" t="str">
        <f>IFERROR(ROUND((VLOOKUP(B26,O18:P28,2,FALSE)*VLOOKUP(J17,O18:P28,2,FALSE))^0.5,2),"")</f>
        <v/>
      </c>
      <c r="K26" t="str">
        <f>IFERROR(ROUND((VLOOKUP(B26,O18:P28,2,FALSE)*VLOOKUP(K17,O18:P28,2,FALSE))^0.5,2),"")</f>
        <v/>
      </c>
      <c r="L26" t="str">
        <f>IFERROR(ROUND((VLOOKUP(B26,O18:P28,2,FALSE)*VLOOKUP(L17,O18:P28,2,FALSE))^0.5,2),"")</f>
        <v/>
      </c>
      <c r="M26" t="str">
        <f>IFERROR(ROUND((VLOOKUP(B26,O18:P28,2,FALSE)*VLOOKUP(M17,O18:P28,2,FALSE))^0.5,2),"")</f>
        <v/>
      </c>
      <c r="O26" s="20">
        <v>1080</v>
      </c>
      <c r="P26" s="21" t="s">
        <v>63</v>
      </c>
      <c r="Q26" s="22" t="str">
        <f t="shared" si="2"/>
        <v/>
      </c>
      <c r="S26" s="14">
        <v>1080</v>
      </c>
      <c r="T26" t="str">
        <f>IFERROR(ROUND((VLOOKUP(S26,AF18:AG28,2,FALSE)*VLOOKUP(T17,AF18:AG28,2,FALSE))^0.5,2),"")</f>
        <v/>
      </c>
      <c r="U26" t="str">
        <f>IFERROR(ROUND((VLOOKUP(S26,AF18:AG28,2,FALSE)*VLOOKUP(U17,AF18:AG28,2,FALSE))^0.5,2),"")</f>
        <v/>
      </c>
      <c r="V26" t="str">
        <f>IFERROR(ROUND((VLOOKUP(S26,AF18:AG28,2,FALSE)*VLOOKUP(V17,AF18:AG28,2,FALSE))^0.5,2),"")</f>
        <v/>
      </c>
      <c r="W26" t="str">
        <f>IFERROR(ROUND((VLOOKUP(S26,AF18:AG28,2,FALSE)*VLOOKUP(W17,AF18:AG28,2,FALSE))^0.5,2),"")</f>
        <v/>
      </c>
      <c r="X26" t="str">
        <f>IFERROR(ROUND((VLOOKUP(S26,AF18:AG28,2,FALSE)*VLOOKUP(X17,AF18:AG28,2,FALSE))^0.5,2),"")</f>
        <v/>
      </c>
      <c r="Y26" t="str">
        <f>IFERROR(ROUND((VLOOKUP(S26,AF18:AG28,2,FALSE)*VLOOKUP(Y17,AF18:AG28,2,FALSE))^0.5,2),"")</f>
        <v/>
      </c>
      <c r="Z26" t="str">
        <f>IFERROR(ROUND((VLOOKUP(S26,AF18:AG28,2,FALSE)*VLOOKUP(Z17,AF18:AG28,2,FALSE))^0.5,2),"")</f>
        <v/>
      </c>
      <c r="AA26" t="str">
        <f>IFERROR(ROUND((VLOOKUP(S26,AF18:AG28,2,FALSE)*VLOOKUP(AA17,AF18:AG28,2,FALSE))^0.5,2),"")</f>
        <v/>
      </c>
      <c r="AB26" t="str">
        <f>IFERROR(ROUND((VLOOKUP(S26,AF18:AG28,2,FALSE)*VLOOKUP(AB17,AF18:AG28,2,FALSE))^0.5,2),"")</f>
        <v/>
      </c>
      <c r="AC26" t="str">
        <f>IFERROR(ROUND((VLOOKUP(S26,AF18:AG28,2,FALSE)*VLOOKUP(AC17,AF18:AG28,2,FALSE))^0.5,2),"")</f>
        <v/>
      </c>
      <c r="AD26" t="str">
        <f>IFERROR(ROUND((VLOOKUP(S26,AF18:AG28,2,FALSE)*VLOOKUP(AD17,AF18:AG28,2,FALSE))^0.5,2),"")</f>
        <v/>
      </c>
      <c r="AF26" s="20">
        <v>1080</v>
      </c>
      <c r="AG26" s="21" t="s">
        <v>63</v>
      </c>
      <c r="AH26" s="22" t="str">
        <f t="shared" si="3"/>
        <v/>
      </c>
    </row>
    <row r="27" spans="2:34" x14ac:dyDescent="0.25">
      <c r="B27" s="14">
        <v>1440</v>
      </c>
      <c r="C27" t="str">
        <f>IFERROR(ROUND((VLOOKUP(B27,O18:P28,2,FALSE)*VLOOKUP(C17,O18:P28,2,FALSE))^0.5,2),"")</f>
        <v/>
      </c>
      <c r="D27" t="str">
        <f>IFERROR(ROUND((VLOOKUP(B27,O18:P28,2,FALSE)*VLOOKUP(D17,O18:P28,2,FALSE))^0.5,2),"")</f>
        <v/>
      </c>
      <c r="E27" t="str">
        <f>IFERROR(ROUND((VLOOKUP(B27,O18:P28,2,FALSE)*VLOOKUP(E17,O18:P28,2,FALSE))^0.5,2),"")</f>
        <v/>
      </c>
      <c r="F27" t="str">
        <f>IFERROR(ROUND((VLOOKUP(B27,O18:P28,2,FALSE)*VLOOKUP(F17,O18:P28,2,FALSE))^0.5,2),"")</f>
        <v/>
      </c>
      <c r="G27" t="str">
        <f>IFERROR(ROUND((VLOOKUP(B27,O18:P28,2,FALSE)*VLOOKUP(G17,O18:P28,2,FALSE))^0.5,2),"")</f>
        <v/>
      </c>
      <c r="H27" t="str">
        <f>IFERROR(ROUND((VLOOKUP(B27,O18:P28,2,FALSE)*VLOOKUP(H17,O18:P28,2,FALSE))^0.5,2),"")</f>
        <v/>
      </c>
      <c r="I27" t="str">
        <f>IFERROR(ROUND((VLOOKUP(B27,O18:P28,2,FALSE)*VLOOKUP(I17,O18:P28,2,FALSE))^0.5,2),"")</f>
        <v/>
      </c>
      <c r="J27" t="str">
        <f>IFERROR(ROUND((VLOOKUP(B27,O18:P28,2,FALSE)*VLOOKUP(J17,O18:P28,2,FALSE))^0.5,2),"")</f>
        <v/>
      </c>
      <c r="K27" t="str">
        <f>IFERROR(ROUND((VLOOKUP(B27,O18:P28,2,FALSE)*VLOOKUP(K17,O18:P28,2,FALSE))^0.5,2),"")</f>
        <v/>
      </c>
      <c r="L27" t="str">
        <f>IFERROR(ROUND((VLOOKUP(B27,O18:P28,2,FALSE)*VLOOKUP(L17,O18:P28,2,FALSE))^0.5,2),"")</f>
        <v/>
      </c>
      <c r="M27" t="str">
        <f>IFERROR(ROUND((VLOOKUP(B27,O18:P28,2,FALSE)*VLOOKUP(M17,O18:P28,2,FALSE))^0.5,2),"")</f>
        <v/>
      </c>
      <c r="O27" s="26">
        <v>1440</v>
      </c>
      <c r="P27" s="27" t="s">
        <v>63</v>
      </c>
      <c r="Q27" s="7" t="str">
        <f t="shared" si="2"/>
        <v/>
      </c>
      <c r="S27" s="14">
        <v>1440</v>
      </c>
      <c r="T27" t="str">
        <f>IFERROR(ROUND((VLOOKUP(S27,AF18:AG28,2,FALSE)*VLOOKUP(T17,AF18:AG28,2,FALSE))^0.5,2),"")</f>
        <v/>
      </c>
      <c r="U27" t="str">
        <f>IFERROR(ROUND((VLOOKUP(S27,AF18:AG28,2,FALSE)*VLOOKUP(U17,AF18:AG28,2,FALSE))^0.5,2),"")</f>
        <v/>
      </c>
      <c r="V27" t="str">
        <f>IFERROR(ROUND((VLOOKUP(S27,AF18:AG28,2,FALSE)*VLOOKUP(V17,AF18:AG28,2,FALSE))^0.5,2),"")</f>
        <v/>
      </c>
      <c r="W27" t="str">
        <f>IFERROR(ROUND((VLOOKUP(S27,AF18:AG28,2,FALSE)*VLOOKUP(W17,AF18:AG28,2,FALSE))^0.5,2),"")</f>
        <v/>
      </c>
      <c r="X27" t="str">
        <f>IFERROR(ROUND((VLOOKUP(S27,AF18:AG28,2,FALSE)*VLOOKUP(X17,AF18:AG28,2,FALSE))^0.5,2),"")</f>
        <v/>
      </c>
      <c r="Y27" t="str">
        <f>IFERROR(ROUND((VLOOKUP(S27,AF18:AG28,2,FALSE)*VLOOKUP(Y17,AF18:AG28,2,FALSE))^0.5,2),"")</f>
        <v/>
      </c>
      <c r="Z27" t="str">
        <f>IFERROR(ROUND((VLOOKUP(S27,AF18:AG28,2,FALSE)*VLOOKUP(Z17,AF18:AG28,2,FALSE))^0.5,2),"")</f>
        <v/>
      </c>
      <c r="AA27" t="str">
        <f>IFERROR(ROUND((VLOOKUP(S27,AF18:AG28,2,FALSE)*VLOOKUP(AA17,AF18:AG28,2,FALSE))^0.5,2),"")</f>
        <v/>
      </c>
      <c r="AB27" t="str">
        <f>IFERROR(ROUND((VLOOKUP(S27,AF18:AG28,2,FALSE)*VLOOKUP(AB17,AF18:AG28,2,FALSE))^0.5,2),"")</f>
        <v/>
      </c>
      <c r="AC27" t="str">
        <f>IFERROR(ROUND((VLOOKUP(S27,AF18:AG28,2,FALSE)*VLOOKUP(AC17,AF18:AG28,2,FALSE))^0.5,2),"")</f>
        <v/>
      </c>
      <c r="AD27" t="str">
        <f>IFERROR(ROUND((VLOOKUP(S27,AF18:AG28,2,FALSE)*VLOOKUP(AD17,AF18:AG28,2,FALSE))^0.5,2),"")</f>
        <v/>
      </c>
      <c r="AF27" s="26">
        <v>1440</v>
      </c>
      <c r="AG27" s="27" t="s">
        <v>63</v>
      </c>
      <c r="AH27" s="7" t="str">
        <f t="shared" si="3"/>
        <v/>
      </c>
    </row>
    <row r="28" spans="2:34" x14ac:dyDescent="0.25">
      <c r="B28" s="14">
        <v>1800</v>
      </c>
      <c r="C28" t="str">
        <f>IFERROR(ROUND((VLOOKUP(B28,O18:P28,2,FALSE)*VLOOKUP(C17,O18:P28,2,FALSE))^0.5,2),"")</f>
        <v/>
      </c>
      <c r="D28" t="str">
        <f>IFERROR(ROUND((VLOOKUP(B28,O18:P28,2,FALSE)*VLOOKUP(D17,O18:P28,2,FALSE))^0.5,2),"")</f>
        <v/>
      </c>
      <c r="E28" t="str">
        <f>IFERROR(ROUND((VLOOKUP(B28,O18:P28,2,FALSE)*VLOOKUP(E17,O18:P28,2,FALSE))^0.5,2),"")</f>
        <v/>
      </c>
      <c r="F28" t="str">
        <f>IFERROR(ROUND((VLOOKUP(B28,O18:P28,2,FALSE)*VLOOKUP(F17,O18:P28,2,FALSE))^0.5,2),"")</f>
        <v/>
      </c>
      <c r="G28" t="str">
        <f>IFERROR(ROUND((VLOOKUP(B28,O18:P28,2,FALSE)*VLOOKUP(G17,O18:P28,2,FALSE))^0.5,2),"")</f>
        <v/>
      </c>
      <c r="H28" t="str">
        <f>IFERROR(ROUND((VLOOKUP(B28,O18:P28,2,FALSE)*VLOOKUP(H17,O18:P28,2,FALSE))^0.5,2),"")</f>
        <v/>
      </c>
      <c r="I28" t="str">
        <f>IFERROR(ROUND((VLOOKUP(B28,O18:P28,2,FALSE)*VLOOKUP(I17,O18:P28,2,FALSE))^0.5,2),"")</f>
        <v/>
      </c>
      <c r="J28" t="str">
        <f>IFERROR(ROUND((VLOOKUP(B28,O18:P28,2,FALSE)*VLOOKUP(J17,O18:P28,2,FALSE))^0.5,2),"")</f>
        <v/>
      </c>
      <c r="K28" t="str">
        <f>IFERROR(ROUND((VLOOKUP(B28,O18:P28,2,FALSE)*VLOOKUP(K17,O18:P28,2,FALSE))^0.5,2),"")</f>
        <v/>
      </c>
      <c r="L28" t="str">
        <f>IFERROR(ROUND((VLOOKUP(B28,O18:P28,2,FALSE)*VLOOKUP(L17,O18:P28,2,FALSE))^0.5,2),"")</f>
        <v/>
      </c>
      <c r="M28" t="str">
        <f>IFERROR(ROUND((VLOOKUP(B28,O18:P28,2,FALSE)*VLOOKUP(M17,O18:P28,2,FALSE))^0.5,2),"")</f>
        <v/>
      </c>
      <c r="O28" s="23">
        <v>1800</v>
      </c>
      <c r="P28" s="24" t="s">
        <v>63</v>
      </c>
      <c r="Q28" s="25" t="str">
        <f t="shared" si="2"/>
        <v/>
      </c>
      <c r="S28" s="14">
        <v>1800</v>
      </c>
      <c r="T28" t="str">
        <f>IFERROR(ROUND((VLOOKUP(S28,AF18:AG28,2,FALSE)*VLOOKUP(T17,AF18:AG28,2,FALSE))^0.5,2),"")</f>
        <v/>
      </c>
      <c r="U28" t="str">
        <f>IFERROR(ROUND((VLOOKUP(S28,AF18:AG28,2,FALSE)*VLOOKUP(U17,AF18:AG28,2,FALSE))^0.5,2),"")</f>
        <v/>
      </c>
      <c r="V28" t="str">
        <f>IFERROR(ROUND((VLOOKUP(S28,AF18:AG28,2,FALSE)*VLOOKUP(V17,AF18:AG28,2,FALSE))^0.5,2),"")</f>
        <v/>
      </c>
      <c r="W28" t="str">
        <f>IFERROR(ROUND((VLOOKUP(S28,AF18:AG28,2,FALSE)*VLOOKUP(W17,AF18:AG28,2,FALSE))^0.5,2),"")</f>
        <v/>
      </c>
      <c r="X28" t="str">
        <f>IFERROR(ROUND((VLOOKUP(S28,AF18:AG28,2,FALSE)*VLOOKUP(X17,AF18:AG28,2,FALSE))^0.5,2),"")</f>
        <v/>
      </c>
      <c r="Y28" t="str">
        <f>IFERROR(ROUND((VLOOKUP(S28,AF18:AG28,2,FALSE)*VLOOKUP(Y17,AF18:AG28,2,FALSE))^0.5,2),"")</f>
        <v/>
      </c>
      <c r="Z28" t="str">
        <f>IFERROR(ROUND((VLOOKUP(S28,AF18:AG28,2,FALSE)*VLOOKUP(Z17,AF18:AG28,2,FALSE))^0.5,2),"")</f>
        <v/>
      </c>
      <c r="AA28" t="str">
        <f>IFERROR(ROUND((VLOOKUP(S28,AF18:AG28,2,FALSE)*VLOOKUP(AA17,AF18:AG28,2,FALSE))^0.5,2),"")</f>
        <v/>
      </c>
      <c r="AB28" t="str">
        <f>IFERROR(ROUND((VLOOKUP(S28,AF18:AG28,2,FALSE)*VLOOKUP(AB17,AF18:AG28,2,FALSE))^0.5,2),"")</f>
        <v/>
      </c>
      <c r="AC28" t="str">
        <f>IFERROR(ROUND((VLOOKUP(S28,AF18:AG28,2,FALSE)*VLOOKUP(AC17,AF18:AG28,2,FALSE))^0.5,2),"")</f>
        <v/>
      </c>
      <c r="AD28" t="str">
        <f>IFERROR(ROUND((VLOOKUP(S28,AF18:AG28,2,FALSE)*VLOOKUP(AD17,AF18:AG28,2,FALSE))^0.5,2),"")</f>
        <v/>
      </c>
      <c r="AF28" s="23">
        <v>1800</v>
      </c>
      <c r="AG28" s="24" t="s">
        <v>63</v>
      </c>
      <c r="AH28" s="25" t="str">
        <f t="shared" si="3"/>
        <v/>
      </c>
    </row>
    <row r="31" spans="2:34" x14ac:dyDescent="0.25">
      <c r="C31" s="14">
        <v>180</v>
      </c>
      <c r="D31" s="14">
        <v>360</v>
      </c>
      <c r="E31" s="14">
        <v>420</v>
      </c>
      <c r="F31" s="14">
        <v>580</v>
      </c>
      <c r="G31" s="14">
        <v>660</v>
      </c>
      <c r="H31" s="14">
        <v>720</v>
      </c>
      <c r="I31" s="14">
        <v>780</v>
      </c>
      <c r="J31" s="14">
        <v>980</v>
      </c>
      <c r="K31" s="14">
        <v>1080</v>
      </c>
      <c r="L31" s="14">
        <v>1440</v>
      </c>
      <c r="M31" s="14">
        <v>1800</v>
      </c>
      <c r="O31" s="114" t="s">
        <v>92</v>
      </c>
      <c r="P31" s="115"/>
      <c r="Q31" s="116"/>
      <c r="T31" s="14">
        <v>180</v>
      </c>
      <c r="U31" s="14">
        <v>360</v>
      </c>
      <c r="V31" s="14">
        <v>420</v>
      </c>
      <c r="W31" s="14">
        <v>580</v>
      </c>
      <c r="X31" s="14">
        <v>660</v>
      </c>
      <c r="Y31" s="14">
        <v>720</v>
      </c>
      <c r="Z31" s="14">
        <v>780</v>
      </c>
      <c r="AA31" s="14">
        <v>980</v>
      </c>
      <c r="AB31" s="14">
        <v>1080</v>
      </c>
      <c r="AC31" s="14">
        <v>1440</v>
      </c>
      <c r="AD31" s="14">
        <v>1800</v>
      </c>
      <c r="AF31" s="114" t="s">
        <v>151</v>
      </c>
      <c r="AG31" s="115"/>
      <c r="AH31" s="116"/>
    </row>
    <row r="32" spans="2:34" x14ac:dyDescent="0.25">
      <c r="B32" s="14">
        <v>180</v>
      </c>
      <c r="C32" t="str">
        <f>IFERROR(ROUND((VLOOKUP(B32,O32:P42,2,FALSE)*VLOOKUP(C31,O32:P42,2,FALSE))^0.5,2),"")</f>
        <v/>
      </c>
      <c r="D32" t="str">
        <f>IFERROR(ROUND((VLOOKUP(B32,O32:P42,2,FALSE)*VLOOKUP(D31,O32:P42,2,FALSE))^0.5,2),"")</f>
        <v/>
      </c>
      <c r="E32" t="str">
        <f>IFERROR(ROUND((VLOOKUP(B32,O32:P42,2,FALSE)*VLOOKUP(E31,O32:P42,2,FALSE))^0.5,2),"")</f>
        <v/>
      </c>
      <c r="F32" t="str">
        <f>IFERROR(ROUND((VLOOKUP(B32,O32:P42,2,FALSE)*VLOOKUP(F31,O32:P42,2,FALSE))^0.5,2),"")</f>
        <v/>
      </c>
      <c r="G32" t="str">
        <f>IFERROR(ROUND((VLOOKUP(B32,O32:P42,2,FALSE)*VLOOKUP(G31,O32:P42,2,FALSE))^0.5,2),"")</f>
        <v/>
      </c>
      <c r="H32" t="str">
        <f>IFERROR(ROUND((VLOOKUP(B32,O32:P42,2,FALSE)*VLOOKUP(H31,O32:P42,2,FALSE))^0.5,2),"")</f>
        <v/>
      </c>
      <c r="I32" t="str">
        <f>IFERROR(ROUND((VLOOKUP(B32,O32:P42,2,FALSE)*VLOOKUP(I31,O32:P42,2,FALSE))^0.5,2),"")</f>
        <v/>
      </c>
      <c r="J32" t="str">
        <f>IFERROR(ROUND((VLOOKUP(B32,O32:P42,2,FALSE)*VLOOKUP(J31,O32:P42,2,FALSE))^0.5,2),"")</f>
        <v/>
      </c>
      <c r="K32" t="str">
        <f>IFERROR(ROUND((VLOOKUP(B32,O32:P42,2,FALSE)*VLOOKUP(K31,O32:P42,2,FALSE))^0.5,2),"")</f>
        <v/>
      </c>
      <c r="L32" t="str">
        <f>IFERROR(ROUND((VLOOKUP(B32,O32:P42,2,FALSE)*VLOOKUP(L31,O32:P42,2,FALSE))^0.5,2),"")</f>
        <v/>
      </c>
      <c r="M32" t="str">
        <f>IFERROR(ROUND((VLOOKUP(B32,O32:P42,2,FALSE)*VLOOKUP(M31,O32:P42,2,FALSE))^0.5,2),"")</f>
        <v/>
      </c>
      <c r="O32" s="20">
        <v>180</v>
      </c>
      <c r="P32" s="21" t="s">
        <v>63</v>
      </c>
      <c r="Q32" s="22"/>
      <c r="S32" s="14">
        <v>180</v>
      </c>
      <c r="T32" t="str">
        <f>IFERROR(ROUND((VLOOKUP(S32,AF32:AG42,2,FALSE)*VLOOKUP(T31,AF32:AG42,2,FALSE))^0.5,2),"")</f>
        <v/>
      </c>
      <c r="U32" t="str">
        <f>IFERROR(ROUND((VLOOKUP(S32,AF32:AG42,2,FALSE)*VLOOKUP(U31,AF32:AG42,2,FALSE))^0.5,2),"")</f>
        <v/>
      </c>
      <c r="V32" t="str">
        <f>IFERROR(ROUND((VLOOKUP(S32,AF32:AG42,2,FALSE)*VLOOKUP(V31,AF32:AG42,2,FALSE))^0.5,2),"")</f>
        <v/>
      </c>
      <c r="W32" t="str">
        <f>IFERROR(ROUND((VLOOKUP(S32,AF32:AG42,2,FALSE)*VLOOKUP(W31,AF32:AG42,2,FALSE))^0.5,2),"")</f>
        <v/>
      </c>
      <c r="X32" t="str">
        <f>IFERROR(ROUND((VLOOKUP(S32,AF32:AG42,2,FALSE)*VLOOKUP(X31,AF32:AG42,2,FALSE))^0.5,2),"")</f>
        <v/>
      </c>
      <c r="Y32" t="str">
        <f>IFERROR(ROUND((VLOOKUP(S32,AF32:AG42,2,FALSE)*VLOOKUP(Y31,AF32:AG42,2,FALSE))^0.5,2),"")</f>
        <v/>
      </c>
      <c r="Z32" t="str">
        <f>IFERROR(ROUND((VLOOKUP(S32,AF32:AG42,2,FALSE)*VLOOKUP(Z31,AF32:AG42,2,FALSE))^0.5,2),"")</f>
        <v/>
      </c>
      <c r="AA32" t="str">
        <f>IFERROR(ROUND((VLOOKUP(S32,AF32:AG42,2,FALSE)*VLOOKUP(AA31,AF32:AG42,2,FALSE))^0.5,2),"")</f>
        <v/>
      </c>
      <c r="AB32" t="str">
        <f>IFERROR(ROUND((VLOOKUP(S32,AF32:AG42,2,FALSE)*VLOOKUP(AB31,AF32:AG42,2,FALSE))^0.5,2),"")</f>
        <v/>
      </c>
      <c r="AC32" t="str">
        <f>IFERROR(ROUND((VLOOKUP(S32,AF32:AG42,2,FALSE)*VLOOKUP(AC31,AF32:AG42,2,FALSE))^0.5,2),"")</f>
        <v/>
      </c>
      <c r="AD32" t="str">
        <f>IFERROR(ROUND((VLOOKUP(S32,AF32:AG42,2,FALSE)*VLOOKUP(AD31,AF32:AG42,2,FALSE))^0.5,2),"")</f>
        <v/>
      </c>
      <c r="AF32" s="20">
        <v>180</v>
      </c>
      <c r="AG32" s="21" t="s">
        <v>63</v>
      </c>
      <c r="AH32" s="22"/>
    </row>
    <row r="33" spans="2:34" x14ac:dyDescent="0.25">
      <c r="B33" s="14">
        <v>360</v>
      </c>
      <c r="C33" t="str">
        <f>IFERROR(ROUND((VLOOKUP(B33,O32:P42,2,FALSE)*VLOOKUP(C31,O32:P42,2,FALSE))^0.5,2),"")</f>
        <v/>
      </c>
      <c r="D33">
        <f>IFERROR(ROUND((VLOOKUP(B33,O32:P42,2,FALSE)*VLOOKUP(D31,O32:P42,2,FALSE))^0.5,2),"")</f>
        <v>2</v>
      </c>
      <c r="E33">
        <f>IFERROR(ROUND((VLOOKUP(B33,O32:P42,2,FALSE)*VLOOKUP(E31,O32:P42,2,FALSE))^0.5,2),"")</f>
        <v>1.73</v>
      </c>
      <c r="F33">
        <f>IFERROR(ROUND((VLOOKUP(B33,O32:P42,2,FALSE)*VLOOKUP(F31,O32:P42,2,FALSE))^0.5,2),"")</f>
        <v>1.73</v>
      </c>
      <c r="G33">
        <f>IFERROR(ROUND((VLOOKUP(B33,O32:P42,2,FALSE)*VLOOKUP(G31,O32:P42,2,FALSE))^0.5,2),"")</f>
        <v>1.61</v>
      </c>
      <c r="H33">
        <f>IFERROR(ROUND((VLOOKUP(B33,O32:P42,2,FALSE)*VLOOKUP(H31,O32:P42,2,FALSE))^0.5,2),"")</f>
        <v>1.61</v>
      </c>
      <c r="I33">
        <f>IFERROR(ROUND((VLOOKUP(B33,O32:P42,2,FALSE)*VLOOKUP(I31,O32:P42,2,FALSE))^0.5,2),"")</f>
        <v>1.55</v>
      </c>
      <c r="J33">
        <f>IFERROR(ROUND((VLOOKUP(B33,O32:P42,2,FALSE)*VLOOKUP(J31,O32:P42,2,FALSE))^0.5,2),"")</f>
        <v>1.55</v>
      </c>
      <c r="K33">
        <f>IFERROR(ROUND((VLOOKUP(B33,O32:P42,2,FALSE)*VLOOKUP(K31,O32:P42,2,FALSE))^0.5,2),"")</f>
        <v>1.55</v>
      </c>
      <c r="L33">
        <f>IFERROR(ROUND((VLOOKUP(B33,O32:P42,2,FALSE)*VLOOKUP(L31,O32:P42,2,FALSE))^0.5,2),"")</f>
        <v>1.55</v>
      </c>
      <c r="M33">
        <f>IFERROR(ROUND((VLOOKUP(B33,O32:P42,2,FALSE)*VLOOKUP(M31,O32:P42,2,FALSE))^0.5,2),"")</f>
        <v>1.61</v>
      </c>
      <c r="O33" s="23">
        <v>360</v>
      </c>
      <c r="P33" s="24">
        <v>2</v>
      </c>
      <c r="Q33" s="25" t="str">
        <f>IFERROR(P33-P32,"")</f>
        <v/>
      </c>
      <c r="S33" s="14">
        <v>360</v>
      </c>
      <c r="T33" t="str">
        <f>IFERROR(ROUND((VLOOKUP(S33,AF32:AG42,2,FALSE)*VLOOKUP(T31,AF32:AG42,2,FALSE))^0.5,2),"")</f>
        <v/>
      </c>
      <c r="U33">
        <f>IFERROR(ROUND((VLOOKUP(S33,AF32:AG42,2,FALSE)*VLOOKUP(U31,AF32:AG42,2,FALSE))^0.5,2),"")</f>
        <v>2</v>
      </c>
      <c r="V33">
        <f>IFERROR(ROUND((VLOOKUP(S33,AF32:AG42,2,FALSE)*VLOOKUP(V31,AF32:AG42,2,FALSE))^0.5,2),"")</f>
        <v>1.73</v>
      </c>
      <c r="W33">
        <f>IFERROR(ROUND((VLOOKUP(S33,AF32:AG42,2,FALSE)*VLOOKUP(W31,AF32:AG42,2,FALSE))^0.5,2),"")</f>
        <v>1.73</v>
      </c>
      <c r="X33">
        <f>IFERROR(ROUND((VLOOKUP(S33,AF32:AG42,2,FALSE)*VLOOKUP(X31,AF32:AG42,2,FALSE))^0.5,2),"")</f>
        <v>1.61</v>
      </c>
      <c r="Y33">
        <f>IFERROR(ROUND((VLOOKUP(S33,AF32:AG42,2,FALSE)*VLOOKUP(Y31,AF32:AG42,2,FALSE))^0.5,2),"")</f>
        <v>1.61</v>
      </c>
      <c r="Z33">
        <f>IFERROR(ROUND((VLOOKUP(S33,AF32:AG42,2,FALSE)*VLOOKUP(Z31,AF32:AG42,2,FALSE))^0.5,2),"")</f>
        <v>1.55</v>
      </c>
      <c r="AA33">
        <f>IFERROR(ROUND((VLOOKUP(S33,AF32:AG42,2,FALSE)*VLOOKUP(AA31,AF32:AG42,2,FALSE))^0.5,2),"")</f>
        <v>1.55</v>
      </c>
      <c r="AB33">
        <f>IFERROR(ROUND((VLOOKUP(S33,AF32:AG42,2,FALSE)*VLOOKUP(AB31,AF32:AG42,2,FALSE))^0.5,2),"")</f>
        <v>1.55</v>
      </c>
      <c r="AC33">
        <f>IFERROR(ROUND((VLOOKUP(S33,AF32:AG42,2,FALSE)*VLOOKUP(AC31,AF32:AG42,2,FALSE))^0.5,2),"")</f>
        <v>1.55</v>
      </c>
      <c r="AD33">
        <f>IFERROR(ROUND((VLOOKUP(S33,AF32:AG42,2,FALSE)*VLOOKUP(AD31,AF32:AG42,2,FALSE))^0.5,2),"")</f>
        <v>1.61</v>
      </c>
      <c r="AF33" s="23">
        <v>360</v>
      </c>
      <c r="AG33" s="24">
        <v>2</v>
      </c>
      <c r="AH33" s="25" t="str">
        <f>IFERROR(AG33-AG32,"")</f>
        <v/>
      </c>
    </row>
    <row r="34" spans="2:34" x14ac:dyDescent="0.25">
      <c r="B34" s="14">
        <v>420</v>
      </c>
      <c r="C34" t="str">
        <f>IFERROR(ROUND((VLOOKUP(B34,O32:P42,2,FALSE)*VLOOKUP(C31,O32:P42,2,FALSE))^0.5,2),"")</f>
        <v/>
      </c>
      <c r="D34">
        <f>IFERROR(ROUND((VLOOKUP(B34,O32:P42,2,FALSE)*VLOOKUP(D31,O32:P42,2,FALSE))^0.5,2),"")</f>
        <v>1.73</v>
      </c>
      <c r="E34">
        <f>IFERROR(ROUND((VLOOKUP(B34,O32:P42,2,FALSE)*VLOOKUP(E31,O32:P42,2,FALSE))^0.5,2),"")</f>
        <v>1.5</v>
      </c>
      <c r="F34">
        <f>IFERROR(ROUND((VLOOKUP(B34,O32:P42,2,FALSE)*VLOOKUP(F31,O32:P42,2,FALSE))^0.5,2),"")</f>
        <v>1.5</v>
      </c>
      <c r="G34">
        <f>IFERROR(ROUND((VLOOKUP(B34,O32:P42,2,FALSE)*VLOOKUP(G31,O32:P42,2,FALSE))^0.5,2),"")</f>
        <v>1.4</v>
      </c>
      <c r="H34">
        <f>IFERROR(ROUND((VLOOKUP(B34,O32:P42,2,FALSE)*VLOOKUP(H31,O32:P42,2,FALSE))^0.5,2),"")</f>
        <v>1.4</v>
      </c>
      <c r="I34">
        <f>IFERROR(ROUND((VLOOKUP(B34,O32:P42,2,FALSE)*VLOOKUP(I31,O32:P42,2,FALSE))^0.5,2),"")</f>
        <v>1.34</v>
      </c>
      <c r="J34">
        <f>IFERROR(ROUND((VLOOKUP(B34,O32:P42,2,FALSE)*VLOOKUP(J31,O32:P42,2,FALSE))^0.5,2),"")</f>
        <v>1.34</v>
      </c>
      <c r="K34">
        <f>IFERROR(ROUND((VLOOKUP(B34,O32:P42,2,FALSE)*VLOOKUP(K31,O32:P42,2,FALSE))^0.5,2),"")</f>
        <v>1.34</v>
      </c>
      <c r="L34">
        <f>IFERROR(ROUND((VLOOKUP(B34,O32:P42,2,FALSE)*VLOOKUP(L31,O32:P42,2,FALSE))^0.5,2),"")</f>
        <v>1.34</v>
      </c>
      <c r="M34">
        <f>IFERROR(ROUND((VLOOKUP(B34,O32:P42,2,FALSE)*VLOOKUP(M31,O32:P42,2,FALSE))^0.5,2),"")</f>
        <v>1.4</v>
      </c>
      <c r="O34" s="20">
        <v>420</v>
      </c>
      <c r="P34" s="21">
        <v>1.5</v>
      </c>
      <c r="Q34" s="22">
        <f t="shared" ref="Q34:Q42" si="4">IFERROR(P34-P33,"")</f>
        <v>-0.5</v>
      </c>
      <c r="S34" s="14">
        <v>420</v>
      </c>
      <c r="T34" t="str">
        <f>IFERROR(ROUND((VLOOKUP(S34,AF32:AG42,2,FALSE)*VLOOKUP(T31,AF32:AG42,2,FALSE))^0.5,2),"")</f>
        <v/>
      </c>
      <c r="U34">
        <f>IFERROR(ROUND((VLOOKUP(S34,AF32:AG42,2,FALSE)*VLOOKUP(U31,AF32:AG42,2,FALSE))^0.5,2),"")</f>
        <v>1.73</v>
      </c>
      <c r="V34">
        <f>IFERROR(ROUND((VLOOKUP(S34,AF32:AG42,2,FALSE)*VLOOKUP(V31,AF32:AG42,2,FALSE))^0.5,2),"")</f>
        <v>1.5</v>
      </c>
      <c r="W34">
        <f>IFERROR(ROUND((VLOOKUP(S34,AF32:AG42,2,FALSE)*VLOOKUP(W31,AF32:AG42,2,FALSE))^0.5,2),"")</f>
        <v>1.5</v>
      </c>
      <c r="X34">
        <f>IFERROR(ROUND((VLOOKUP(S34,AF32:AG42,2,FALSE)*VLOOKUP(X31,AF32:AG42,2,FALSE))^0.5,2),"")</f>
        <v>1.4</v>
      </c>
      <c r="Y34">
        <f>IFERROR(ROUND((VLOOKUP(S34,AF32:AG42,2,FALSE)*VLOOKUP(Y31,AF32:AG42,2,FALSE))^0.5,2),"")</f>
        <v>1.4</v>
      </c>
      <c r="Z34">
        <f>IFERROR(ROUND((VLOOKUP(S34,AF32:AG42,2,FALSE)*VLOOKUP(Z31,AF32:AG42,2,FALSE))^0.5,2),"")</f>
        <v>1.34</v>
      </c>
      <c r="AA34">
        <f>IFERROR(ROUND((VLOOKUP(S34,AF32:AG42,2,FALSE)*VLOOKUP(AA31,AF32:AG42,2,FALSE))^0.5,2),"")</f>
        <v>1.34</v>
      </c>
      <c r="AB34">
        <f>IFERROR(ROUND((VLOOKUP(S34,AF32:AG42,2,FALSE)*VLOOKUP(AB31,AF32:AG42,2,FALSE))^0.5,2),"")</f>
        <v>1.34</v>
      </c>
      <c r="AC34">
        <f>IFERROR(ROUND((VLOOKUP(S34,AF32:AG42,2,FALSE)*VLOOKUP(AC31,AF32:AG42,2,FALSE))^0.5,2),"")</f>
        <v>1.34</v>
      </c>
      <c r="AD34">
        <f>IFERROR(ROUND((VLOOKUP(S34,AF32:AG42,2,FALSE)*VLOOKUP(AD31,AF32:AG42,2,FALSE))^0.5,2),"")</f>
        <v>1.4</v>
      </c>
      <c r="AF34" s="20">
        <v>420</v>
      </c>
      <c r="AG34" s="21">
        <v>1.5</v>
      </c>
      <c r="AH34" s="22">
        <f t="shared" ref="AH34:AH42" si="5">IFERROR(AG34-AG33,"")</f>
        <v>-0.5</v>
      </c>
    </row>
    <row r="35" spans="2:34" x14ac:dyDescent="0.25">
      <c r="B35" s="14">
        <v>580</v>
      </c>
      <c r="C35" t="str">
        <f>IFERROR(ROUND((VLOOKUP(B35,O32:P42,2,FALSE)*VLOOKUP(C31,O32:P42,2,FALSE))^0.5,2),"")</f>
        <v/>
      </c>
      <c r="D35">
        <f>IFERROR(ROUND((VLOOKUP(B35,O32:P42,2,FALSE)*VLOOKUP(D31,O32:P42,2,FALSE))^0.5,2),"")</f>
        <v>1.73</v>
      </c>
      <c r="E35">
        <f>IFERROR(ROUND((VLOOKUP(B35,O32:P42,2,FALSE)*VLOOKUP(E31,O32:P42,2,FALSE))^0.5,2),"")</f>
        <v>1.5</v>
      </c>
      <c r="F35">
        <f>IFERROR(ROUND((VLOOKUP(B35,O32:P42,2,FALSE)*VLOOKUP(F31,O32:P42,2,FALSE))^0.5,2),"")</f>
        <v>1.5</v>
      </c>
      <c r="G35">
        <f>IFERROR(ROUND((VLOOKUP(B35,O32:P42,2,FALSE)*VLOOKUP(G31,O32:P42,2,FALSE))^0.5,2),"")</f>
        <v>1.4</v>
      </c>
      <c r="H35">
        <f>IFERROR(ROUND((VLOOKUP(B35,O32:P42,2,FALSE)*VLOOKUP(H31,O32:P42,2,FALSE))^0.5,2),"")</f>
        <v>1.4</v>
      </c>
      <c r="I35">
        <f>IFERROR(ROUND((VLOOKUP(B35,O32:P42,2,FALSE)*VLOOKUP(I31,O32:P42,2,FALSE))^0.5,2),"")</f>
        <v>1.34</v>
      </c>
      <c r="J35">
        <f>IFERROR(ROUND((VLOOKUP(B35,O32:P42,2,FALSE)*VLOOKUP(J31,O32:P42,2,FALSE))^0.5,2),"")</f>
        <v>1.34</v>
      </c>
      <c r="K35">
        <f>IFERROR(ROUND((VLOOKUP(B35,O32:P42,2,FALSE)*VLOOKUP(K31,O32:P42,2,FALSE))^0.5,2),"")</f>
        <v>1.34</v>
      </c>
      <c r="L35">
        <f>IFERROR(ROUND((VLOOKUP(B35,O32:P42,2,FALSE)*VLOOKUP(L31,O32:P42,2,FALSE))^0.5,2),"")</f>
        <v>1.34</v>
      </c>
      <c r="M35">
        <f>IFERROR(ROUND((VLOOKUP(B35,O32:P42,2,FALSE)*VLOOKUP(M31,O32:P42,2,FALSE))^0.5,2),"")</f>
        <v>1.4</v>
      </c>
      <c r="O35" s="23">
        <v>580</v>
      </c>
      <c r="P35" s="24">
        <v>1.5</v>
      </c>
      <c r="Q35" s="25">
        <f t="shared" si="4"/>
        <v>0</v>
      </c>
      <c r="S35" s="14">
        <v>580</v>
      </c>
      <c r="T35" t="str">
        <f>IFERROR(ROUND((VLOOKUP(S35,AF32:AG42,2,FALSE)*VLOOKUP(T31,AF32:AG42,2,FALSE))^0.5,2),"")</f>
        <v/>
      </c>
      <c r="U35">
        <f>IFERROR(ROUND((VLOOKUP(S35,AF32:AG42,2,FALSE)*VLOOKUP(U31,AF32:AG42,2,FALSE))^0.5,2),"")</f>
        <v>1.73</v>
      </c>
      <c r="V35">
        <f>IFERROR(ROUND((VLOOKUP(S35,AF32:AG42,2,FALSE)*VLOOKUP(V31,AF32:AG42,2,FALSE))^0.5,2),"")</f>
        <v>1.5</v>
      </c>
      <c r="W35">
        <f>IFERROR(ROUND((VLOOKUP(S35,AF32:AG42,2,FALSE)*VLOOKUP(W31,AF32:AG42,2,FALSE))^0.5,2),"")</f>
        <v>1.5</v>
      </c>
      <c r="X35">
        <f>IFERROR(ROUND((VLOOKUP(S35,AF32:AG42,2,FALSE)*VLOOKUP(X31,AF32:AG42,2,FALSE))^0.5,2),"")</f>
        <v>1.4</v>
      </c>
      <c r="Y35">
        <f>IFERROR(ROUND((VLOOKUP(S35,AF32:AG42,2,FALSE)*VLOOKUP(Y31,AF32:AG42,2,FALSE))^0.5,2),"")</f>
        <v>1.4</v>
      </c>
      <c r="Z35">
        <f>IFERROR(ROUND((VLOOKUP(S35,AF32:AG42,2,FALSE)*VLOOKUP(Z31,AF32:AG42,2,FALSE))^0.5,2),"")</f>
        <v>1.34</v>
      </c>
      <c r="AA35">
        <f>IFERROR(ROUND((VLOOKUP(S35,AF32:AG42,2,FALSE)*VLOOKUP(AA31,AF32:AG42,2,FALSE))^0.5,2),"")</f>
        <v>1.34</v>
      </c>
      <c r="AB35">
        <f>IFERROR(ROUND((VLOOKUP(S35,AF32:AG42,2,FALSE)*VLOOKUP(AB31,AF32:AG42,2,FALSE))^0.5,2),"")</f>
        <v>1.34</v>
      </c>
      <c r="AC35">
        <f>IFERROR(ROUND((VLOOKUP(S35,AF32:AG42,2,FALSE)*VLOOKUP(AC31,AF32:AG42,2,FALSE))^0.5,2),"")</f>
        <v>1.34</v>
      </c>
      <c r="AD35">
        <f>IFERROR(ROUND((VLOOKUP(S35,AF32:AG42,2,FALSE)*VLOOKUP(AD31,AF32:AG42,2,FALSE))^0.5,2),"")</f>
        <v>1.4</v>
      </c>
      <c r="AF35" s="23">
        <v>580</v>
      </c>
      <c r="AG35" s="24">
        <v>1.5</v>
      </c>
      <c r="AH35" s="25">
        <f t="shared" si="5"/>
        <v>0</v>
      </c>
    </row>
    <row r="36" spans="2:34" x14ac:dyDescent="0.25">
      <c r="B36" s="14">
        <v>660</v>
      </c>
      <c r="C36" t="str">
        <f>IFERROR(ROUND((VLOOKUP(B36,O32:P42,2,FALSE)*VLOOKUP(C31,O32:P42,2,FALSE))^0.5,2),"")</f>
        <v/>
      </c>
      <c r="D36">
        <f>IFERROR(ROUND((VLOOKUP(B36,O32:P42,2,FALSE)*VLOOKUP(D31,O32:P42,2,FALSE))^0.5,2),"")</f>
        <v>1.61</v>
      </c>
      <c r="E36">
        <f>IFERROR(ROUND((VLOOKUP(B36,O32:P42,2,FALSE)*VLOOKUP(E31,O32:P42,2,FALSE))^0.5,2),"")</f>
        <v>1.4</v>
      </c>
      <c r="F36">
        <f>IFERROR(ROUND((VLOOKUP(B36,O32:P42,2,FALSE)*VLOOKUP(F31,O32:P42,2,FALSE))^0.5,2),"")</f>
        <v>1.4</v>
      </c>
      <c r="G36">
        <f>IFERROR(ROUND((VLOOKUP(B36,O32:P42,2,FALSE)*VLOOKUP(G31,O32:P42,2,FALSE))^0.5,2),"")</f>
        <v>1.3</v>
      </c>
      <c r="H36">
        <f>IFERROR(ROUND((VLOOKUP(B36,O32:P42,2,FALSE)*VLOOKUP(H31,O32:P42,2,FALSE))^0.5,2),"")</f>
        <v>1.3</v>
      </c>
      <c r="I36">
        <f>IFERROR(ROUND((VLOOKUP(B36,O32:P42,2,FALSE)*VLOOKUP(I31,O32:P42,2,FALSE))^0.5,2),"")</f>
        <v>1.25</v>
      </c>
      <c r="J36">
        <f>IFERROR(ROUND((VLOOKUP(B36,O32:P42,2,FALSE)*VLOOKUP(J31,O32:P42,2,FALSE))^0.5,2),"")</f>
        <v>1.25</v>
      </c>
      <c r="K36">
        <f>IFERROR(ROUND((VLOOKUP(B36,O32:P42,2,FALSE)*VLOOKUP(K31,O32:P42,2,FALSE))^0.5,2),"")</f>
        <v>1.25</v>
      </c>
      <c r="L36">
        <f>IFERROR(ROUND((VLOOKUP(B36,O32:P42,2,FALSE)*VLOOKUP(L31,O32:P42,2,FALSE))^0.5,2),"")</f>
        <v>1.25</v>
      </c>
      <c r="M36">
        <f>IFERROR(ROUND((VLOOKUP(B36,O32:P42,2,FALSE)*VLOOKUP(M31,O32:P42,2,FALSE))^0.5,2),"")</f>
        <v>1.3</v>
      </c>
      <c r="O36" s="20">
        <v>660</v>
      </c>
      <c r="P36" s="21">
        <v>1.3</v>
      </c>
      <c r="Q36" s="22">
        <f t="shared" si="4"/>
        <v>-0.19999999999999996</v>
      </c>
      <c r="S36" s="14">
        <v>660</v>
      </c>
      <c r="T36" t="str">
        <f>IFERROR(ROUND((VLOOKUP(S36,AF32:AG42,2,FALSE)*VLOOKUP(T31,AF32:AG42,2,FALSE))^0.5,2),"")</f>
        <v/>
      </c>
      <c r="U36">
        <f>IFERROR(ROUND((VLOOKUP(S36,AF32:AG42,2,FALSE)*VLOOKUP(U31,AF32:AG42,2,FALSE))^0.5,2),"")</f>
        <v>1.61</v>
      </c>
      <c r="V36">
        <f>IFERROR(ROUND((VLOOKUP(S36,AF32:AG42,2,FALSE)*VLOOKUP(V31,AF32:AG42,2,FALSE))^0.5,2),"")</f>
        <v>1.4</v>
      </c>
      <c r="W36">
        <f>IFERROR(ROUND((VLOOKUP(S36,AF32:AG42,2,FALSE)*VLOOKUP(W31,AF32:AG42,2,FALSE))^0.5,2),"")</f>
        <v>1.4</v>
      </c>
      <c r="X36">
        <f>IFERROR(ROUND((VLOOKUP(S36,AF32:AG42,2,FALSE)*VLOOKUP(X31,AF32:AG42,2,FALSE))^0.5,2),"")</f>
        <v>1.3</v>
      </c>
      <c r="Y36">
        <f>IFERROR(ROUND((VLOOKUP(S36,AF32:AG42,2,FALSE)*VLOOKUP(Y31,AF32:AG42,2,FALSE))^0.5,2),"")</f>
        <v>1.3</v>
      </c>
      <c r="Z36">
        <f>IFERROR(ROUND((VLOOKUP(S36,AF32:AG42,2,FALSE)*VLOOKUP(Z31,AF32:AG42,2,FALSE))^0.5,2),"")</f>
        <v>1.25</v>
      </c>
      <c r="AA36">
        <f>IFERROR(ROUND((VLOOKUP(S36,AF32:AG42,2,FALSE)*VLOOKUP(AA31,AF32:AG42,2,FALSE))^0.5,2),"")</f>
        <v>1.25</v>
      </c>
      <c r="AB36">
        <f>IFERROR(ROUND((VLOOKUP(S36,AF32:AG42,2,FALSE)*VLOOKUP(AB31,AF32:AG42,2,FALSE))^0.5,2),"")</f>
        <v>1.25</v>
      </c>
      <c r="AC36">
        <f>IFERROR(ROUND((VLOOKUP(S36,AF32:AG42,2,FALSE)*VLOOKUP(AC31,AF32:AG42,2,FALSE))^0.5,2),"")</f>
        <v>1.25</v>
      </c>
      <c r="AD36">
        <f>IFERROR(ROUND((VLOOKUP(S36,AF32:AG42,2,FALSE)*VLOOKUP(AD31,AF32:AG42,2,FALSE))^0.5,2),"")</f>
        <v>1.3</v>
      </c>
      <c r="AF36" s="20">
        <v>660</v>
      </c>
      <c r="AG36" s="21">
        <v>1.3</v>
      </c>
      <c r="AH36" s="22">
        <f t="shared" si="5"/>
        <v>-0.19999999999999996</v>
      </c>
    </row>
    <row r="37" spans="2:34" x14ac:dyDescent="0.25">
      <c r="B37" s="14">
        <v>720</v>
      </c>
      <c r="C37" t="str">
        <f>IFERROR(ROUND((VLOOKUP(B37,O32:P42,2,FALSE)*VLOOKUP(C31,O32:P42,2,FALSE))^0.5,2),"")</f>
        <v/>
      </c>
      <c r="D37">
        <f>IFERROR(ROUND((VLOOKUP(B37,O32:P42,2,FALSE)*VLOOKUP(D31,O32:P42,2,FALSE))^0.5,2),"")</f>
        <v>1.61</v>
      </c>
      <c r="E37">
        <f>IFERROR(ROUND((VLOOKUP(B37,O32:P42,2,FALSE)*VLOOKUP(E31,O32:P42,2,FALSE))^0.5,2),"")</f>
        <v>1.4</v>
      </c>
      <c r="F37">
        <f>IFERROR(ROUND((VLOOKUP(B37,O32:P42,2,FALSE)*VLOOKUP(F31,O32:P42,2,FALSE))^0.5,2),"")</f>
        <v>1.4</v>
      </c>
      <c r="G37">
        <f>IFERROR(ROUND((VLOOKUP(B37,O32:P42,2,FALSE)*VLOOKUP(G31,O32:P42,2,FALSE))^0.5,2),"")</f>
        <v>1.3</v>
      </c>
      <c r="H37">
        <f>IFERROR(ROUND((VLOOKUP(B37,O32:P42,2,FALSE)*VLOOKUP(H31,O32:P42,2,FALSE))^0.5,2),"")</f>
        <v>1.3</v>
      </c>
      <c r="I37">
        <f>IFERROR(ROUND((VLOOKUP(B37,O32:P42,2,FALSE)*VLOOKUP(I31,O32:P42,2,FALSE))^0.5,2),"")</f>
        <v>1.25</v>
      </c>
      <c r="J37">
        <f>IFERROR(ROUND((VLOOKUP(B37,O32:P42,2,FALSE)*VLOOKUP(J31,O32:P42,2,FALSE))^0.5,2),"")</f>
        <v>1.25</v>
      </c>
      <c r="K37">
        <f>IFERROR(ROUND((VLOOKUP(B37,O32:P42,2,FALSE)*VLOOKUP(K31,O32:P42,2,FALSE))^0.5,2),"")</f>
        <v>1.25</v>
      </c>
      <c r="L37">
        <f>IFERROR(ROUND((VLOOKUP(B37,O32:P42,2,FALSE)*VLOOKUP(L31,O32:P42,2,FALSE))^0.5,2),"")</f>
        <v>1.25</v>
      </c>
      <c r="M37">
        <f>IFERROR(ROUND((VLOOKUP(B37,O32:P42,2,FALSE)*VLOOKUP(M31,O32:P42,2,FALSE))^0.5,2),"")</f>
        <v>1.3</v>
      </c>
      <c r="O37" s="23">
        <v>720</v>
      </c>
      <c r="P37" s="24">
        <v>1.3</v>
      </c>
      <c r="Q37" s="25">
        <f t="shared" si="4"/>
        <v>0</v>
      </c>
      <c r="S37" s="14">
        <v>720</v>
      </c>
      <c r="T37" t="str">
        <f>IFERROR(ROUND((VLOOKUP(S37,AF32:AG42,2,FALSE)*VLOOKUP(T31,AF32:AG42,2,FALSE))^0.5,2),"")</f>
        <v/>
      </c>
      <c r="U37">
        <f>IFERROR(ROUND((VLOOKUP(S37,AF32:AG42,2,FALSE)*VLOOKUP(U31,AF32:AG42,2,FALSE))^0.5,2),"")</f>
        <v>1.61</v>
      </c>
      <c r="V37">
        <f>IFERROR(ROUND((VLOOKUP(S37,AF32:AG42,2,FALSE)*VLOOKUP(V31,AF32:AG42,2,FALSE))^0.5,2),"")</f>
        <v>1.4</v>
      </c>
      <c r="W37">
        <f>IFERROR(ROUND((VLOOKUP(S37,AF32:AG42,2,FALSE)*VLOOKUP(W31,AF32:AG42,2,FALSE))^0.5,2),"")</f>
        <v>1.4</v>
      </c>
      <c r="X37">
        <f>IFERROR(ROUND((VLOOKUP(S37,AF32:AG42,2,FALSE)*VLOOKUP(X31,AF32:AG42,2,FALSE))^0.5,2),"")</f>
        <v>1.3</v>
      </c>
      <c r="Y37">
        <f>IFERROR(ROUND((VLOOKUP(S37,AF32:AG42,2,FALSE)*VLOOKUP(Y31,AF32:AG42,2,FALSE))^0.5,2),"")</f>
        <v>1.3</v>
      </c>
      <c r="Z37">
        <f>IFERROR(ROUND((VLOOKUP(S37,AF32:AG42,2,FALSE)*VLOOKUP(Z31,AF32:AG42,2,FALSE))^0.5,2),"")</f>
        <v>1.25</v>
      </c>
      <c r="AA37">
        <f>IFERROR(ROUND((VLOOKUP(S37,AF32:AG42,2,FALSE)*VLOOKUP(AA31,AF32:AG42,2,FALSE))^0.5,2),"")</f>
        <v>1.25</v>
      </c>
      <c r="AB37">
        <f>IFERROR(ROUND((VLOOKUP(S37,AF32:AG42,2,FALSE)*VLOOKUP(AB31,AF32:AG42,2,FALSE))^0.5,2),"")</f>
        <v>1.25</v>
      </c>
      <c r="AC37">
        <f>IFERROR(ROUND((VLOOKUP(S37,AF32:AG42,2,FALSE)*VLOOKUP(AC31,AF32:AG42,2,FALSE))^0.5,2),"")</f>
        <v>1.25</v>
      </c>
      <c r="AD37">
        <f>IFERROR(ROUND((VLOOKUP(S37,AF32:AG42,2,FALSE)*VLOOKUP(AD31,AF32:AG42,2,FALSE))^0.5,2),"")</f>
        <v>1.3</v>
      </c>
      <c r="AF37" s="23">
        <v>720</v>
      </c>
      <c r="AG37" s="24">
        <v>1.3</v>
      </c>
      <c r="AH37" s="25">
        <f t="shared" si="5"/>
        <v>0</v>
      </c>
    </row>
    <row r="38" spans="2:34" x14ac:dyDescent="0.25">
      <c r="B38" s="14">
        <v>780</v>
      </c>
      <c r="C38" t="str">
        <f>IFERROR(ROUND((VLOOKUP(B38,O32:P42,2,FALSE)*VLOOKUP(C31,O32:P42,2,FALSE))^0.5,2),"")</f>
        <v/>
      </c>
      <c r="D38">
        <f>IFERROR(ROUND((VLOOKUP(B38,O32:P42,2,FALSE)*VLOOKUP(D31,O32:P42,2,FALSE))^0.5,2),"")</f>
        <v>1.55</v>
      </c>
      <c r="E38">
        <f>IFERROR(ROUND((VLOOKUP(B38,O32:P42,2,FALSE)*VLOOKUP(E31,O32:P42,2,FALSE))^0.5,2),"")</f>
        <v>1.34</v>
      </c>
      <c r="F38">
        <f>IFERROR(ROUND((VLOOKUP(B38,O32:P42,2,FALSE)*VLOOKUP(F31,O32:P42,2,FALSE))^0.5,2),"")</f>
        <v>1.34</v>
      </c>
      <c r="G38">
        <f>IFERROR(ROUND((VLOOKUP(B38,O32:P42,2,FALSE)*VLOOKUP(G31,O32:P42,2,FALSE))^0.5,2),"")</f>
        <v>1.25</v>
      </c>
      <c r="H38">
        <f>IFERROR(ROUND((VLOOKUP(B38,O32:P42,2,FALSE)*VLOOKUP(H31,O32:P42,2,FALSE))^0.5,2),"")</f>
        <v>1.25</v>
      </c>
      <c r="I38">
        <f>IFERROR(ROUND((VLOOKUP(B38,O32:P42,2,FALSE)*VLOOKUP(I31,O32:P42,2,FALSE))^0.5,2),"")</f>
        <v>1.2</v>
      </c>
      <c r="J38">
        <f>IFERROR(ROUND((VLOOKUP(B38,O32:P42,2,FALSE)*VLOOKUP(J31,O32:P42,2,FALSE))^0.5,2),"")</f>
        <v>1.2</v>
      </c>
      <c r="K38">
        <f>IFERROR(ROUND((VLOOKUP(B38,O32:P42,2,FALSE)*VLOOKUP(K31,O32:P42,2,FALSE))^0.5,2),"")</f>
        <v>1.2</v>
      </c>
      <c r="L38">
        <f>IFERROR(ROUND((VLOOKUP(B38,O32:P42,2,FALSE)*VLOOKUP(L31,O32:P42,2,FALSE))^0.5,2),"")</f>
        <v>1.2</v>
      </c>
      <c r="M38">
        <f>IFERROR(ROUND((VLOOKUP(B38,O32:P42,2,FALSE)*VLOOKUP(M31,O32:P42,2,FALSE))^0.5,2),"")</f>
        <v>1.25</v>
      </c>
      <c r="O38" s="20">
        <v>780</v>
      </c>
      <c r="P38" s="21">
        <v>1.2</v>
      </c>
      <c r="Q38" s="22">
        <f t="shared" si="4"/>
        <v>-0.10000000000000009</v>
      </c>
      <c r="S38" s="14">
        <v>780</v>
      </c>
      <c r="T38" t="str">
        <f>IFERROR(ROUND((VLOOKUP(S38,AF32:AG42,2,FALSE)*VLOOKUP(T31,AF32:AG42,2,FALSE))^0.5,2),"")</f>
        <v/>
      </c>
      <c r="U38">
        <f>IFERROR(ROUND((VLOOKUP(S38,AF32:AG42,2,FALSE)*VLOOKUP(U31,AF32:AG42,2,FALSE))^0.5,2),"")</f>
        <v>1.55</v>
      </c>
      <c r="V38">
        <f>IFERROR(ROUND((VLOOKUP(S38,AF32:AG42,2,FALSE)*VLOOKUP(V31,AF32:AG42,2,FALSE))^0.5,2),"")</f>
        <v>1.34</v>
      </c>
      <c r="W38">
        <f>IFERROR(ROUND((VLOOKUP(S38,AF32:AG42,2,FALSE)*VLOOKUP(W31,AF32:AG42,2,FALSE))^0.5,2),"")</f>
        <v>1.34</v>
      </c>
      <c r="X38">
        <f>IFERROR(ROUND((VLOOKUP(S38,AF32:AG42,2,FALSE)*VLOOKUP(X31,AF32:AG42,2,FALSE))^0.5,2),"")</f>
        <v>1.25</v>
      </c>
      <c r="Y38">
        <f>IFERROR(ROUND((VLOOKUP(S38,AF32:AG42,2,FALSE)*VLOOKUP(Y31,AF32:AG42,2,FALSE))^0.5,2),"")</f>
        <v>1.25</v>
      </c>
      <c r="Z38">
        <f>IFERROR(ROUND((VLOOKUP(S38,AF32:AG42,2,FALSE)*VLOOKUP(Z31,AF32:AG42,2,FALSE))^0.5,2),"")</f>
        <v>1.2</v>
      </c>
      <c r="AA38">
        <f>IFERROR(ROUND((VLOOKUP(S38,AF32:AG42,2,FALSE)*VLOOKUP(AA31,AF32:AG42,2,FALSE))^0.5,2),"")</f>
        <v>1.2</v>
      </c>
      <c r="AB38">
        <f>IFERROR(ROUND((VLOOKUP(S38,AF32:AG42,2,FALSE)*VLOOKUP(AB31,AF32:AG42,2,FALSE))^0.5,2),"")</f>
        <v>1.2</v>
      </c>
      <c r="AC38">
        <f>IFERROR(ROUND((VLOOKUP(S38,AF32:AG42,2,FALSE)*VLOOKUP(AC31,AF32:AG42,2,FALSE))^0.5,2),"")</f>
        <v>1.2</v>
      </c>
      <c r="AD38">
        <f>IFERROR(ROUND((VLOOKUP(S38,AF32:AG42,2,FALSE)*VLOOKUP(AD31,AF32:AG42,2,FALSE))^0.5,2),"")</f>
        <v>1.25</v>
      </c>
      <c r="AF38" s="20">
        <v>780</v>
      </c>
      <c r="AG38" s="21">
        <v>1.2</v>
      </c>
      <c r="AH38" s="22">
        <f t="shared" si="5"/>
        <v>-0.10000000000000009</v>
      </c>
    </row>
    <row r="39" spans="2:34" x14ac:dyDescent="0.25">
      <c r="B39" s="14">
        <v>980</v>
      </c>
      <c r="C39" t="str">
        <f>IFERROR(ROUND((VLOOKUP(B39,O32:P42,2,FALSE)*VLOOKUP(C31,O32:P42,2,FALSE))^0.5,2),"")</f>
        <v/>
      </c>
      <c r="D39">
        <f>IFERROR(ROUND((VLOOKUP(B39,O32:P42,2,FALSE)*VLOOKUP(D31,O32:P42,2,FALSE))^0.5,2),"")</f>
        <v>1.55</v>
      </c>
      <c r="E39">
        <f>IFERROR(ROUND((VLOOKUP(B39,O32:P42,2,FALSE)*VLOOKUP(E31,O32:P42,2,FALSE))^0.5,2),"")</f>
        <v>1.34</v>
      </c>
      <c r="F39">
        <f>IFERROR(ROUND((VLOOKUP(B39,O32:P42,2,FALSE)*VLOOKUP(F31,O32:P42,2,FALSE))^0.5,2),"")</f>
        <v>1.34</v>
      </c>
      <c r="G39">
        <f>IFERROR(ROUND((VLOOKUP(B39,O32:P42,2,FALSE)*VLOOKUP(G31,O32:P42,2,FALSE))^0.5,2),"")</f>
        <v>1.25</v>
      </c>
      <c r="H39">
        <f>IFERROR(ROUND((VLOOKUP(B39,O32:P42,2,FALSE)*VLOOKUP(H31,O32:P42,2,FALSE))^0.5,2),"")</f>
        <v>1.25</v>
      </c>
      <c r="I39">
        <f>IFERROR(ROUND((VLOOKUP(B39,O32:P42,2,FALSE)*VLOOKUP(I31,O32:P42,2,FALSE))^0.5,2),"")</f>
        <v>1.2</v>
      </c>
      <c r="J39">
        <f>IFERROR(ROUND((VLOOKUP(B39,O32:P42,2,FALSE)*VLOOKUP(J31,O32:P42,2,FALSE))^0.5,2),"")</f>
        <v>1.2</v>
      </c>
      <c r="K39">
        <f>IFERROR(ROUND((VLOOKUP(B39,O32:P42,2,FALSE)*VLOOKUP(K31,O32:P42,2,FALSE))^0.5,2),"")</f>
        <v>1.2</v>
      </c>
      <c r="L39">
        <f>IFERROR(ROUND((VLOOKUP(B39,O32:P42,2,FALSE)*VLOOKUP(L31,O32:P42,2,FALSE))^0.5,2),"")</f>
        <v>1.2</v>
      </c>
      <c r="M39">
        <f>IFERROR(ROUND((VLOOKUP(B39,O32:P42,2,FALSE)*VLOOKUP(M31,O32:P42,2,FALSE))^0.5,2),"")</f>
        <v>1.25</v>
      </c>
      <c r="O39" s="26">
        <v>980</v>
      </c>
      <c r="P39" s="27">
        <v>1.2</v>
      </c>
      <c r="Q39" s="7">
        <f t="shared" si="4"/>
        <v>0</v>
      </c>
      <c r="S39" s="14">
        <v>980</v>
      </c>
      <c r="T39" t="str">
        <f>IFERROR(ROUND((VLOOKUP(S39,AF32:AG42,2,FALSE)*VLOOKUP(T31,AF32:AG42,2,FALSE))^0.5,2),"")</f>
        <v/>
      </c>
      <c r="U39">
        <f>IFERROR(ROUND((VLOOKUP(S39,AF32:AG42,2,FALSE)*VLOOKUP(U31,AF32:AG42,2,FALSE))^0.5,2),"")</f>
        <v>1.55</v>
      </c>
      <c r="V39">
        <f>IFERROR(ROUND((VLOOKUP(S39,AF32:AG42,2,FALSE)*VLOOKUP(V31,AF32:AG42,2,FALSE))^0.5,2),"")</f>
        <v>1.34</v>
      </c>
      <c r="W39">
        <f>IFERROR(ROUND((VLOOKUP(S39,AF32:AG42,2,FALSE)*VLOOKUP(W31,AF32:AG42,2,FALSE))^0.5,2),"")</f>
        <v>1.34</v>
      </c>
      <c r="X39">
        <f>IFERROR(ROUND((VLOOKUP(S39,AF32:AG42,2,FALSE)*VLOOKUP(X31,AF32:AG42,2,FALSE))^0.5,2),"")</f>
        <v>1.25</v>
      </c>
      <c r="Y39">
        <f>IFERROR(ROUND((VLOOKUP(S39,AF32:AG42,2,FALSE)*VLOOKUP(Y31,AF32:AG42,2,FALSE))^0.5,2),"")</f>
        <v>1.25</v>
      </c>
      <c r="Z39">
        <f>IFERROR(ROUND((VLOOKUP(S39,AF32:AG42,2,FALSE)*VLOOKUP(Z31,AF32:AG42,2,FALSE))^0.5,2),"")</f>
        <v>1.2</v>
      </c>
      <c r="AA39">
        <f>IFERROR(ROUND((VLOOKUP(S39,AF32:AG42,2,FALSE)*VLOOKUP(AA31,AF32:AG42,2,FALSE))^0.5,2),"")</f>
        <v>1.2</v>
      </c>
      <c r="AB39">
        <f>IFERROR(ROUND((VLOOKUP(S39,AF32:AG42,2,FALSE)*VLOOKUP(AB31,AF32:AG42,2,FALSE))^0.5,2),"")</f>
        <v>1.2</v>
      </c>
      <c r="AC39">
        <f>IFERROR(ROUND((VLOOKUP(S39,AF32:AG42,2,FALSE)*VLOOKUP(AC31,AF32:AG42,2,FALSE))^0.5,2),"")</f>
        <v>1.2</v>
      </c>
      <c r="AD39">
        <f>IFERROR(ROUND((VLOOKUP(S39,AF32:AG42,2,FALSE)*VLOOKUP(AD31,AF32:AG42,2,FALSE))^0.5,2),"")</f>
        <v>1.25</v>
      </c>
      <c r="AF39" s="26">
        <v>980</v>
      </c>
      <c r="AG39" s="27">
        <v>1.2</v>
      </c>
      <c r="AH39" s="7">
        <f t="shared" si="5"/>
        <v>0</v>
      </c>
    </row>
    <row r="40" spans="2:34" x14ac:dyDescent="0.25">
      <c r="B40" s="14">
        <v>1080</v>
      </c>
      <c r="C40" t="str">
        <f>IFERROR(ROUND((VLOOKUP(B40,O32:P42,2,FALSE)*VLOOKUP(C31,O32:P42,2,FALSE))^0.5,2),"")</f>
        <v/>
      </c>
      <c r="D40">
        <f>IFERROR(ROUND((VLOOKUP(B40,O32:P42,2,FALSE)*VLOOKUP(D31,O32:P42,2,FALSE))^0.5,2),"")</f>
        <v>1.55</v>
      </c>
      <c r="E40">
        <f>IFERROR(ROUND((VLOOKUP(B40,O32:P42,2,FALSE)*VLOOKUP(E31,O32:P42,2,FALSE))^0.5,2),"")</f>
        <v>1.34</v>
      </c>
      <c r="F40">
        <f>IFERROR(ROUND((VLOOKUP(B40,O32:P42,2,FALSE)*VLOOKUP(F31,O32:P42,2,FALSE))^0.5,2),"")</f>
        <v>1.34</v>
      </c>
      <c r="G40">
        <f>IFERROR(ROUND((VLOOKUP(B40,O32:P42,2,FALSE)*VLOOKUP(G31,O32:P42,2,FALSE))^0.5,2),"")</f>
        <v>1.25</v>
      </c>
      <c r="H40">
        <f>IFERROR(ROUND((VLOOKUP(B40,O32:P42,2,FALSE)*VLOOKUP(H31,O32:P42,2,FALSE))^0.5,2),"")</f>
        <v>1.25</v>
      </c>
      <c r="I40">
        <f>IFERROR(ROUND((VLOOKUP(B40,O32:P42,2,FALSE)*VLOOKUP(I31,O32:P42,2,FALSE))^0.5,2),"")</f>
        <v>1.2</v>
      </c>
      <c r="J40">
        <f>IFERROR(ROUND((VLOOKUP(B40,O32:P42,2,FALSE)*VLOOKUP(J31,O32:P42,2,FALSE))^0.5,2),"")</f>
        <v>1.2</v>
      </c>
      <c r="K40">
        <f>IFERROR(ROUND((VLOOKUP(B40,O32:P42,2,FALSE)*VLOOKUP(K31,O32:P42,2,FALSE))^0.5,2),"")</f>
        <v>1.2</v>
      </c>
      <c r="L40">
        <f>IFERROR(ROUND((VLOOKUP(B40,O32:P42,2,FALSE)*VLOOKUP(L31,O32:P42,2,FALSE))^0.5,2),"")</f>
        <v>1.2</v>
      </c>
      <c r="M40">
        <f>IFERROR(ROUND((VLOOKUP(B40,O32:P42,2,FALSE)*VLOOKUP(M31,O32:P42,2,FALSE))^0.5,2),"")</f>
        <v>1.25</v>
      </c>
      <c r="O40" s="20">
        <v>1080</v>
      </c>
      <c r="P40" s="21">
        <v>1.2</v>
      </c>
      <c r="Q40" s="22">
        <f t="shared" si="4"/>
        <v>0</v>
      </c>
      <c r="S40" s="14">
        <v>1080</v>
      </c>
      <c r="T40" t="str">
        <f>IFERROR(ROUND((VLOOKUP(S40,AF32:AG42,2,FALSE)*VLOOKUP(T31,AF32:AG42,2,FALSE))^0.5,2),"")</f>
        <v/>
      </c>
      <c r="U40">
        <f>IFERROR(ROUND((VLOOKUP(S40,AF32:AG42,2,FALSE)*VLOOKUP(U31,AF32:AG42,2,FALSE))^0.5,2),"")</f>
        <v>1.55</v>
      </c>
      <c r="V40">
        <f>IFERROR(ROUND((VLOOKUP(S40,AF32:AG42,2,FALSE)*VLOOKUP(V31,AF32:AG42,2,FALSE))^0.5,2),"")</f>
        <v>1.34</v>
      </c>
      <c r="W40">
        <f>IFERROR(ROUND((VLOOKUP(S40,AF32:AG42,2,FALSE)*VLOOKUP(W31,AF32:AG42,2,FALSE))^0.5,2),"")</f>
        <v>1.34</v>
      </c>
      <c r="X40">
        <f>IFERROR(ROUND((VLOOKUP(S40,AF32:AG42,2,FALSE)*VLOOKUP(X31,AF32:AG42,2,FALSE))^0.5,2),"")</f>
        <v>1.25</v>
      </c>
      <c r="Y40">
        <f>IFERROR(ROUND((VLOOKUP(S40,AF32:AG42,2,FALSE)*VLOOKUP(Y31,AF32:AG42,2,FALSE))^0.5,2),"")</f>
        <v>1.25</v>
      </c>
      <c r="Z40">
        <f>IFERROR(ROUND((VLOOKUP(S40,AF32:AG42,2,FALSE)*VLOOKUP(Z31,AF32:AG42,2,FALSE))^0.5,2),"")</f>
        <v>1.2</v>
      </c>
      <c r="AA40">
        <f>IFERROR(ROUND((VLOOKUP(S40,AF32:AG42,2,FALSE)*VLOOKUP(AA31,AF32:AG42,2,FALSE))^0.5,2),"")</f>
        <v>1.2</v>
      </c>
      <c r="AB40">
        <f>IFERROR(ROUND((VLOOKUP(S40,AF32:AG42,2,FALSE)*VLOOKUP(AB31,AF32:AG42,2,FALSE))^0.5,2),"")</f>
        <v>1.2</v>
      </c>
      <c r="AC40">
        <f>IFERROR(ROUND((VLOOKUP(S40,AF32:AG42,2,FALSE)*VLOOKUP(AC31,AF32:AG42,2,FALSE))^0.5,2),"")</f>
        <v>1.2</v>
      </c>
      <c r="AD40">
        <f>IFERROR(ROUND((VLOOKUP(S40,AF32:AG42,2,FALSE)*VLOOKUP(AD31,AF32:AG42,2,FALSE))^0.5,2),"")</f>
        <v>1.25</v>
      </c>
      <c r="AF40" s="20">
        <v>1080</v>
      </c>
      <c r="AG40" s="21">
        <v>1.2</v>
      </c>
      <c r="AH40" s="22">
        <f t="shared" si="5"/>
        <v>0</v>
      </c>
    </row>
    <row r="41" spans="2:34" x14ac:dyDescent="0.25">
      <c r="B41" s="14">
        <v>1440</v>
      </c>
      <c r="C41" t="str">
        <f>IFERROR(ROUND((VLOOKUP(B41,O32:P42,2,FALSE)*VLOOKUP(C31,O32:P42,2,FALSE))^0.5,2),"")</f>
        <v/>
      </c>
      <c r="D41">
        <f>IFERROR(ROUND((VLOOKUP(B41,O32:P42,2,FALSE)*VLOOKUP(D31,O32:P42,2,FALSE))^0.5,2),"")</f>
        <v>1.55</v>
      </c>
      <c r="E41">
        <f>IFERROR(ROUND((VLOOKUP(B41,O32:P42,2,FALSE)*VLOOKUP(E31,O32:P42,2,FALSE))^0.5,2),"")</f>
        <v>1.34</v>
      </c>
      <c r="F41">
        <f>IFERROR(ROUND((VLOOKUP(B41,O32:P42,2,FALSE)*VLOOKUP(F31,O32:P42,2,FALSE))^0.5,2),"")</f>
        <v>1.34</v>
      </c>
      <c r="G41">
        <f>IFERROR(ROUND((VLOOKUP(B41,O32:P42,2,FALSE)*VLOOKUP(G31,O32:P42,2,FALSE))^0.5,2),"")</f>
        <v>1.25</v>
      </c>
      <c r="H41">
        <f>IFERROR(ROUND((VLOOKUP(B41,O32:P42,2,FALSE)*VLOOKUP(H31,O32:P42,2,FALSE))^0.5,2),"")</f>
        <v>1.25</v>
      </c>
      <c r="I41">
        <f>IFERROR(ROUND((VLOOKUP(B41,O32:P42,2,FALSE)*VLOOKUP(I31,O32:P42,2,FALSE))^0.5,2),"")</f>
        <v>1.2</v>
      </c>
      <c r="J41">
        <f>IFERROR(ROUND((VLOOKUP(B41,O32:P42,2,FALSE)*VLOOKUP(J31,O32:P42,2,FALSE))^0.5,2),"")</f>
        <v>1.2</v>
      </c>
      <c r="K41">
        <f>IFERROR(ROUND((VLOOKUP(B41,O32:P42,2,FALSE)*VLOOKUP(K31,O32:P42,2,FALSE))^0.5,2),"")</f>
        <v>1.2</v>
      </c>
      <c r="L41">
        <f>IFERROR(ROUND((VLOOKUP(B41,O32:P42,2,FALSE)*VLOOKUP(L31,O32:P42,2,FALSE))^0.5,2),"")</f>
        <v>1.2</v>
      </c>
      <c r="M41">
        <f>IFERROR(ROUND((VLOOKUP(B41,O32:P42,2,FALSE)*VLOOKUP(M31,O32:P42,2,FALSE))^0.5,2),"")</f>
        <v>1.25</v>
      </c>
      <c r="O41" s="26">
        <v>1440</v>
      </c>
      <c r="P41" s="27">
        <v>1.2</v>
      </c>
      <c r="Q41" s="7">
        <f t="shared" si="4"/>
        <v>0</v>
      </c>
      <c r="S41" s="14">
        <v>1440</v>
      </c>
      <c r="T41" t="str">
        <f>IFERROR(ROUND((VLOOKUP(S41,AF32:AG42,2,FALSE)*VLOOKUP(T31,AF32:AG42,2,FALSE))^0.5,2),"")</f>
        <v/>
      </c>
      <c r="U41">
        <f>IFERROR(ROUND((VLOOKUP(S41,AF32:AG42,2,FALSE)*VLOOKUP(U31,AF32:AG42,2,FALSE))^0.5,2),"")</f>
        <v>1.55</v>
      </c>
      <c r="V41">
        <f>IFERROR(ROUND((VLOOKUP(S41,AF32:AG42,2,FALSE)*VLOOKUP(V31,AF32:AG42,2,FALSE))^0.5,2),"")</f>
        <v>1.34</v>
      </c>
      <c r="W41">
        <f>IFERROR(ROUND((VLOOKUP(S41,AF32:AG42,2,FALSE)*VLOOKUP(W31,AF32:AG42,2,FALSE))^0.5,2),"")</f>
        <v>1.34</v>
      </c>
      <c r="X41">
        <f>IFERROR(ROUND((VLOOKUP(S41,AF32:AG42,2,FALSE)*VLOOKUP(X31,AF32:AG42,2,FALSE))^0.5,2),"")</f>
        <v>1.25</v>
      </c>
      <c r="Y41">
        <f>IFERROR(ROUND((VLOOKUP(S41,AF32:AG42,2,FALSE)*VLOOKUP(Y31,AF32:AG42,2,FALSE))^0.5,2),"")</f>
        <v>1.25</v>
      </c>
      <c r="Z41">
        <f>IFERROR(ROUND((VLOOKUP(S41,AF32:AG42,2,FALSE)*VLOOKUP(Z31,AF32:AG42,2,FALSE))^0.5,2),"")</f>
        <v>1.2</v>
      </c>
      <c r="AA41">
        <f>IFERROR(ROUND((VLOOKUP(S41,AF32:AG42,2,FALSE)*VLOOKUP(AA31,AF32:AG42,2,FALSE))^0.5,2),"")</f>
        <v>1.2</v>
      </c>
      <c r="AB41">
        <f>IFERROR(ROUND((VLOOKUP(S41,AF32:AG42,2,FALSE)*VLOOKUP(AB31,AF32:AG42,2,FALSE))^0.5,2),"")</f>
        <v>1.2</v>
      </c>
      <c r="AC41">
        <f>IFERROR(ROUND((VLOOKUP(S41,AF32:AG42,2,FALSE)*VLOOKUP(AC31,AF32:AG42,2,FALSE))^0.5,2),"")</f>
        <v>1.2</v>
      </c>
      <c r="AD41">
        <f>IFERROR(ROUND((VLOOKUP(S41,AF32:AG42,2,FALSE)*VLOOKUP(AD31,AF32:AG42,2,FALSE))^0.5,2),"")</f>
        <v>1.25</v>
      </c>
      <c r="AF41" s="26">
        <v>1440</v>
      </c>
      <c r="AG41" s="27">
        <v>1.2</v>
      </c>
      <c r="AH41" s="7">
        <f t="shared" si="5"/>
        <v>0</v>
      </c>
    </row>
    <row r="42" spans="2:34" x14ac:dyDescent="0.25">
      <c r="B42" s="14">
        <v>1800</v>
      </c>
      <c r="C42" t="str">
        <f>IFERROR(ROUND((VLOOKUP(B42,O32:P42,2,FALSE)*VLOOKUP(C31,O32:P42,2,FALSE))^0.5,2),"")</f>
        <v/>
      </c>
      <c r="D42">
        <f>IFERROR(ROUND((VLOOKUP(B42,O32:P42,2,FALSE)*VLOOKUP(D31,O32:P42,2,FALSE))^0.5,2),"")</f>
        <v>1.61</v>
      </c>
      <c r="E42">
        <f>IFERROR(ROUND((VLOOKUP(B42,O32:P42,2,FALSE)*VLOOKUP(E31,O32:P42,2,FALSE))^0.5,2),"")</f>
        <v>1.4</v>
      </c>
      <c r="F42">
        <f>IFERROR(ROUND((VLOOKUP(B42,O32:P42,2,FALSE)*VLOOKUP(F31,O32:P42,2,FALSE))^0.5,2),"")</f>
        <v>1.4</v>
      </c>
      <c r="G42">
        <f>IFERROR(ROUND((VLOOKUP(B42,O32:P42,2,FALSE)*VLOOKUP(G31,O32:P42,2,FALSE))^0.5,2),"")</f>
        <v>1.3</v>
      </c>
      <c r="H42">
        <f>IFERROR(ROUND((VLOOKUP(B42,O32:P42,2,FALSE)*VLOOKUP(H31,O32:P42,2,FALSE))^0.5,2),"")</f>
        <v>1.3</v>
      </c>
      <c r="I42">
        <f>IFERROR(ROUND((VLOOKUP(B42,O32:P42,2,FALSE)*VLOOKUP(I31,O32:P42,2,FALSE))^0.5,2),"")</f>
        <v>1.25</v>
      </c>
      <c r="J42">
        <f>IFERROR(ROUND((VLOOKUP(B42,O32:P42,2,FALSE)*VLOOKUP(J31,O32:P42,2,FALSE))^0.5,2),"")</f>
        <v>1.25</v>
      </c>
      <c r="K42">
        <f>IFERROR(ROUND((VLOOKUP(B42,O32:P42,2,FALSE)*VLOOKUP(K31,O32:P42,2,FALSE))^0.5,2),"")</f>
        <v>1.25</v>
      </c>
      <c r="L42">
        <f>IFERROR(ROUND((VLOOKUP(B42,O32:P42,2,FALSE)*VLOOKUP(L31,O32:P42,2,FALSE))^0.5,2),"")</f>
        <v>1.25</v>
      </c>
      <c r="M42">
        <f>IFERROR(ROUND((VLOOKUP(B42,O32:P42,2,FALSE)*VLOOKUP(M31,O32:P42,2,FALSE))^0.5,2),"")</f>
        <v>1.3</v>
      </c>
      <c r="O42" s="23">
        <v>1800</v>
      </c>
      <c r="P42" s="24">
        <v>1.3</v>
      </c>
      <c r="Q42" s="25">
        <f t="shared" si="4"/>
        <v>0.10000000000000009</v>
      </c>
      <c r="S42" s="14">
        <v>1800</v>
      </c>
      <c r="T42" t="str">
        <f>IFERROR(ROUND((VLOOKUP(S42,AF32:AG42,2,FALSE)*VLOOKUP(T31,AF32:AG42,2,FALSE))^0.5,2),"")</f>
        <v/>
      </c>
      <c r="U42">
        <f>IFERROR(ROUND((VLOOKUP(S42,AF32:AG42,2,FALSE)*VLOOKUP(U31,AF32:AG42,2,FALSE))^0.5,2),"")</f>
        <v>1.61</v>
      </c>
      <c r="V42">
        <f>IFERROR(ROUND((VLOOKUP(S42,AF32:AG42,2,FALSE)*VLOOKUP(V31,AF32:AG42,2,FALSE))^0.5,2),"")</f>
        <v>1.4</v>
      </c>
      <c r="W42">
        <f>IFERROR(ROUND((VLOOKUP(S42,AF32:AG42,2,FALSE)*VLOOKUP(W31,AF32:AG42,2,FALSE))^0.5,2),"")</f>
        <v>1.4</v>
      </c>
      <c r="X42">
        <f>IFERROR(ROUND((VLOOKUP(S42,AF32:AG42,2,FALSE)*VLOOKUP(X31,AF32:AG42,2,FALSE))^0.5,2),"")</f>
        <v>1.3</v>
      </c>
      <c r="Y42">
        <f>IFERROR(ROUND((VLOOKUP(S42,AF32:AG42,2,FALSE)*VLOOKUP(Y31,AF32:AG42,2,FALSE))^0.5,2),"")</f>
        <v>1.3</v>
      </c>
      <c r="Z42">
        <f>IFERROR(ROUND((VLOOKUP(S42,AF32:AG42,2,FALSE)*VLOOKUP(Z31,AF32:AG42,2,FALSE))^0.5,2),"")</f>
        <v>1.25</v>
      </c>
      <c r="AA42">
        <f>IFERROR(ROUND((VLOOKUP(S42,AF32:AG42,2,FALSE)*VLOOKUP(AA31,AF32:AG42,2,FALSE))^0.5,2),"")</f>
        <v>1.25</v>
      </c>
      <c r="AB42">
        <f>IFERROR(ROUND((VLOOKUP(S42,AF32:AG42,2,FALSE)*VLOOKUP(AB31,AF32:AG42,2,FALSE))^0.5,2),"")</f>
        <v>1.25</v>
      </c>
      <c r="AC42">
        <f>IFERROR(ROUND((VLOOKUP(S42,AF32:AG42,2,FALSE)*VLOOKUP(AC31,AF32:AG42,2,FALSE))^0.5,2),"")</f>
        <v>1.25</v>
      </c>
      <c r="AD42">
        <f>IFERROR(ROUND((VLOOKUP(S42,AF32:AG42,2,FALSE)*VLOOKUP(AD31,AF32:AG42,2,FALSE))^0.5,2),"")</f>
        <v>1.3</v>
      </c>
      <c r="AF42" s="23">
        <v>1800</v>
      </c>
      <c r="AG42" s="24">
        <v>1.3</v>
      </c>
      <c r="AH42" s="25">
        <f t="shared" si="5"/>
        <v>0.10000000000000009</v>
      </c>
    </row>
    <row r="45" spans="2:34" x14ac:dyDescent="0.25">
      <c r="C45" s="14">
        <v>180</v>
      </c>
      <c r="D45" s="14">
        <v>360</v>
      </c>
      <c r="E45" s="14">
        <v>420</v>
      </c>
      <c r="F45" s="14">
        <v>580</v>
      </c>
      <c r="G45" s="14">
        <v>660</v>
      </c>
      <c r="H45" s="14">
        <v>720</v>
      </c>
      <c r="I45" s="14">
        <v>780</v>
      </c>
      <c r="J45" s="14">
        <v>980</v>
      </c>
      <c r="K45" s="14">
        <v>1080</v>
      </c>
      <c r="L45" s="14">
        <v>1440</v>
      </c>
      <c r="M45" s="14">
        <v>1800</v>
      </c>
      <c r="O45" s="114" t="s">
        <v>135</v>
      </c>
      <c r="P45" s="115"/>
      <c r="Q45" s="116"/>
      <c r="T45" s="14">
        <v>180</v>
      </c>
      <c r="U45" s="14">
        <v>360</v>
      </c>
      <c r="V45" s="14">
        <v>420</v>
      </c>
      <c r="W45" s="14">
        <v>580</v>
      </c>
      <c r="X45" s="14">
        <v>660</v>
      </c>
      <c r="Y45" s="14">
        <v>720</v>
      </c>
      <c r="Z45" s="14">
        <v>780</v>
      </c>
      <c r="AA45" s="14">
        <v>980</v>
      </c>
      <c r="AB45" s="14">
        <v>1080</v>
      </c>
      <c r="AC45" s="14">
        <v>1440</v>
      </c>
      <c r="AD45" s="14">
        <v>1800</v>
      </c>
      <c r="AF45" s="114" t="s">
        <v>151</v>
      </c>
      <c r="AG45" s="115"/>
      <c r="AH45" s="116"/>
    </row>
    <row r="46" spans="2:34" x14ac:dyDescent="0.25">
      <c r="B46" s="14">
        <v>180</v>
      </c>
      <c r="C46" t="str">
        <f>IFERROR(ROUND((VLOOKUP(B46,O46:P56,2,FALSE)*VLOOKUP(C45,O46:P56,2,FALSE))^0.5,2),"")</f>
        <v/>
      </c>
      <c r="D46" t="str">
        <f>IFERROR(ROUND((VLOOKUP(B46,O46:P56,2,FALSE)*VLOOKUP(D45,O46:P56,2,FALSE))^0.5,2),"")</f>
        <v/>
      </c>
      <c r="E46" t="str">
        <f>IFERROR(ROUND((VLOOKUP(B46,O46:P56,2,FALSE)*VLOOKUP(E45,O46:P56,2,FALSE))^0.5,2),"")</f>
        <v/>
      </c>
      <c r="F46" t="str">
        <f>IFERROR(ROUND((VLOOKUP(B46,O46:P56,2,FALSE)*VLOOKUP(F45,O46:P56,2,FALSE))^0.5,2),"")</f>
        <v/>
      </c>
      <c r="G46" t="str">
        <f>IFERROR(ROUND((VLOOKUP(B46,O46:P56,2,FALSE)*VLOOKUP(G45,O46:P56,2,FALSE))^0.5,2),"")</f>
        <v/>
      </c>
      <c r="H46" t="str">
        <f>IFERROR(ROUND((VLOOKUP(B46,O46:P56,2,FALSE)*VLOOKUP(H45,O46:P56,2,FALSE))^0.5,2),"")</f>
        <v/>
      </c>
      <c r="I46" t="str">
        <f>IFERROR(ROUND((VLOOKUP(B46,O46:P56,2,FALSE)*VLOOKUP(I45,O46:P56,2,FALSE))^0.5,2),"")</f>
        <v/>
      </c>
      <c r="J46" t="str">
        <f>IFERROR(ROUND((VLOOKUP(B46,O46:P56,2,FALSE)*VLOOKUP(J45,O46:P56,2,FALSE))^0.5,2),"")</f>
        <v/>
      </c>
      <c r="K46" t="str">
        <f>IFERROR(ROUND((VLOOKUP(B46,O46:P56,2,FALSE)*VLOOKUP(K45,O46:P56,2,FALSE))^0.5,2),"")</f>
        <v/>
      </c>
      <c r="L46" t="str">
        <f>IFERROR(ROUND((VLOOKUP(B46,O46:P56,2,FALSE)*VLOOKUP(L45,O46:P56,2,FALSE))^0.5,2),"")</f>
        <v/>
      </c>
      <c r="M46" t="str">
        <f>IFERROR(ROUND((VLOOKUP(B46,O46:P56,2,FALSE)*VLOOKUP(M45,O46:P56,2,FALSE))^0.5,2),"")</f>
        <v/>
      </c>
      <c r="O46" s="20">
        <v>180</v>
      </c>
      <c r="P46" s="21" t="s">
        <v>63</v>
      </c>
      <c r="Q46" s="22"/>
      <c r="S46" s="14">
        <v>180</v>
      </c>
      <c r="T46" t="str">
        <f>IFERROR(ROUND((VLOOKUP(S46,AF46:AG56,2,FALSE)*VLOOKUP(T45,AF46:AG56,2,FALSE))^0.5,2),"")</f>
        <v/>
      </c>
      <c r="U46" t="str">
        <f>IFERROR(ROUND((VLOOKUP(S46,AF46:AG56,2,FALSE)*VLOOKUP(U45,AF46:AG56,2,FALSE))^0.5,2),"")</f>
        <v/>
      </c>
      <c r="V46" t="str">
        <f>IFERROR(ROUND((VLOOKUP(S46,AF46:AG56,2,FALSE)*VLOOKUP(V45,AF46:AG56,2,FALSE))^0.5,2),"")</f>
        <v/>
      </c>
      <c r="W46" t="str">
        <f>IFERROR(ROUND((VLOOKUP(S46,AF46:AG56,2,FALSE)*VLOOKUP(W45,AF46:AG56,2,FALSE))^0.5,2),"")</f>
        <v/>
      </c>
      <c r="X46" t="str">
        <f>IFERROR(ROUND((VLOOKUP(S46,AF46:AG56,2,FALSE)*VLOOKUP(X45,AF46:AG56,2,FALSE))^0.5,2),"")</f>
        <v/>
      </c>
      <c r="Y46" t="str">
        <f>IFERROR(ROUND((VLOOKUP(S46,AF46:AG56,2,FALSE)*VLOOKUP(Y45,AF46:AG56,2,FALSE))^0.5,2),"")</f>
        <v/>
      </c>
      <c r="Z46" t="str">
        <f>IFERROR(ROUND((VLOOKUP(S46,AF46:AG56,2,FALSE)*VLOOKUP(Z45,AF46:AG56,2,FALSE))^0.5,2),"")</f>
        <v/>
      </c>
      <c r="AA46" t="str">
        <f>IFERROR(ROUND((VLOOKUP(S46,AF46:AG56,2,FALSE)*VLOOKUP(AA45,AF46:AG56,2,FALSE))^0.5,2),"")</f>
        <v/>
      </c>
      <c r="AB46" t="str">
        <f>IFERROR(ROUND((VLOOKUP(S46,AF46:AG56,2,FALSE)*VLOOKUP(AB45,AF46:AG56,2,FALSE))^0.5,2),"")</f>
        <v/>
      </c>
      <c r="AC46" t="str">
        <f>IFERROR(ROUND((VLOOKUP(S46,AF46:AG56,2,FALSE)*VLOOKUP(AC45,AF46:AG56,2,FALSE))^0.5,2),"")</f>
        <v/>
      </c>
      <c r="AD46" t="str">
        <f>IFERROR(ROUND((VLOOKUP(S46,AF46:AG56,2,FALSE)*VLOOKUP(AD45,AF46:AG56,2,FALSE))^0.5,2),"")</f>
        <v/>
      </c>
      <c r="AF46" s="20">
        <v>180</v>
      </c>
      <c r="AG46" s="21" t="s">
        <v>63</v>
      </c>
      <c r="AH46" s="22"/>
    </row>
    <row r="47" spans="2:34" x14ac:dyDescent="0.25">
      <c r="B47" s="14">
        <v>360</v>
      </c>
      <c r="C47" t="str">
        <f>IFERROR(ROUND((VLOOKUP(B47,O46:P56,2,FALSE)*VLOOKUP(C45,O46:P56,2,FALSE))^0.5,2),"")</f>
        <v/>
      </c>
      <c r="D47">
        <f>IFERROR(ROUND((VLOOKUP(B47,O46:P56,2,FALSE)*VLOOKUP(D45,O46:P56,2,FALSE))^0.5,2),"")</f>
        <v>1.7</v>
      </c>
      <c r="E47">
        <f>IFERROR(ROUND((VLOOKUP(B47,O46:P56,2,FALSE)*VLOOKUP(E45,O46:P56,2,FALSE))^0.5,2),"")</f>
        <v>1.7</v>
      </c>
      <c r="F47">
        <f>IFERROR(ROUND((VLOOKUP(B47,O46:P56,2,FALSE)*VLOOKUP(F45,O46:P56,2,FALSE))^0.5,2),"")</f>
        <v>1.7</v>
      </c>
      <c r="G47">
        <f>IFERROR(ROUND((VLOOKUP(B47,O46:P56,2,FALSE)*VLOOKUP(G45,O46:P56,2,FALSE))^0.5,2),"")</f>
        <v>1.7</v>
      </c>
      <c r="H47">
        <f>IFERROR(ROUND((VLOOKUP(B47,O46:P56,2,FALSE)*VLOOKUP(H45,O46:P56,2,FALSE))^0.5,2),"")</f>
        <v>1.7</v>
      </c>
      <c r="I47">
        <f>IFERROR(ROUND((VLOOKUP(B47,O46:P56,2,FALSE)*VLOOKUP(I45,O46:P56,2,FALSE))^0.5,2),"")</f>
        <v>1.7</v>
      </c>
      <c r="J47">
        <f>IFERROR(ROUND((VLOOKUP(B47,O46:P56,2,FALSE)*VLOOKUP(J45,O46:P56,2,FALSE))^0.5,2),"")</f>
        <v>1.7</v>
      </c>
      <c r="K47">
        <f>IFERROR(ROUND((VLOOKUP(B47,O46:P56,2,FALSE)*VLOOKUP(K45,O46:P56,2,FALSE))^0.5,2),"")</f>
        <v>1.75</v>
      </c>
      <c r="L47">
        <f>IFERROR(ROUND((VLOOKUP(B47,O46:P56,2,FALSE)*VLOOKUP(L45,O46:P56,2,FALSE))^0.5,2),"")</f>
        <v>1.75</v>
      </c>
      <c r="M47">
        <f>IFERROR(ROUND((VLOOKUP(B47,O46:P56,2,FALSE)*VLOOKUP(M45,O46:P56,2,FALSE))^0.5,2),"")</f>
        <v>1.75</v>
      </c>
      <c r="O47" s="23">
        <v>360</v>
      </c>
      <c r="P47" s="24">
        <v>1.7</v>
      </c>
      <c r="Q47" s="25" t="str">
        <f>IFERROR(P47-P46,"")</f>
        <v/>
      </c>
      <c r="S47" s="14">
        <v>360</v>
      </c>
      <c r="T47" t="str">
        <f>IFERROR(ROUND((VLOOKUP(S47,AF46:AG56,2,FALSE)*VLOOKUP(T45,AF46:AG56,2,FALSE))^0.5,2),"")</f>
        <v/>
      </c>
      <c r="U47">
        <f>IFERROR(ROUND((VLOOKUP(S47,AF46:AG56,2,FALSE)*VLOOKUP(U45,AF46:AG56,2,FALSE))^0.5,2),"")</f>
        <v>1.7</v>
      </c>
      <c r="V47">
        <f>IFERROR(ROUND((VLOOKUP(S47,AF46:AG56,2,FALSE)*VLOOKUP(V45,AF46:AG56,2,FALSE))^0.5,2),"")</f>
        <v>1.7</v>
      </c>
      <c r="W47">
        <f>IFERROR(ROUND((VLOOKUP(S47,AF46:AG56,2,FALSE)*VLOOKUP(W45,AF46:AG56,2,FALSE))^0.5,2),"")</f>
        <v>1.7</v>
      </c>
      <c r="X47">
        <f>IFERROR(ROUND((VLOOKUP(S47,AF46:AG56,2,FALSE)*VLOOKUP(X45,AF46:AG56,2,FALSE))^0.5,2),"")</f>
        <v>1.7</v>
      </c>
      <c r="Y47">
        <f>IFERROR(ROUND((VLOOKUP(S47,AF46:AG56,2,FALSE)*VLOOKUP(Y45,AF46:AG56,2,FALSE))^0.5,2),"")</f>
        <v>1.7</v>
      </c>
      <c r="Z47">
        <f>IFERROR(ROUND((VLOOKUP(S47,AF46:AG56,2,FALSE)*VLOOKUP(Z45,AF46:AG56,2,FALSE))^0.5,2),"")</f>
        <v>1.7</v>
      </c>
      <c r="AA47">
        <f>IFERROR(ROUND((VLOOKUP(S47,AF46:AG56,2,FALSE)*VLOOKUP(AA45,AF46:AG56,2,FALSE))^0.5,2),"")</f>
        <v>1.7</v>
      </c>
      <c r="AB47">
        <f>IFERROR(ROUND((VLOOKUP(S47,AF46:AG56,2,FALSE)*VLOOKUP(AB45,AF46:AG56,2,FALSE))^0.5,2),"")</f>
        <v>1.75</v>
      </c>
      <c r="AC47">
        <f>IFERROR(ROUND((VLOOKUP(S47,AF46:AG56,2,FALSE)*VLOOKUP(AC45,AF46:AG56,2,FALSE))^0.5,2),"")</f>
        <v>1.75</v>
      </c>
      <c r="AD47">
        <f>IFERROR(ROUND((VLOOKUP(S47,AF46:AG56,2,FALSE)*VLOOKUP(AD45,AF46:AG56,2,FALSE))^0.5,2),"")</f>
        <v>1.75</v>
      </c>
      <c r="AF47" s="23">
        <v>360</v>
      </c>
      <c r="AG47" s="24">
        <v>1.7</v>
      </c>
      <c r="AH47" s="25" t="str">
        <f>IFERROR(AG47-AG46,"")</f>
        <v/>
      </c>
    </row>
    <row r="48" spans="2:34" x14ac:dyDescent="0.25">
      <c r="B48" s="14">
        <v>420</v>
      </c>
      <c r="C48" t="str">
        <f>IFERROR(ROUND((VLOOKUP(B48,O46:P56,2,FALSE)*VLOOKUP(C45,O46:P56,2,FALSE))^0.5,2),"")</f>
        <v/>
      </c>
      <c r="D48">
        <f>IFERROR(ROUND((VLOOKUP(B48,O46:P56,2,FALSE)*VLOOKUP(D45,O46:P56,2,FALSE))^0.5,2),"")</f>
        <v>1.7</v>
      </c>
      <c r="E48">
        <f>IFERROR(ROUND((VLOOKUP(B48,O46:P56,2,FALSE)*VLOOKUP(E45,O46:P56,2,FALSE))^0.5,2),"")</f>
        <v>1.7</v>
      </c>
      <c r="F48">
        <f>IFERROR(ROUND((VLOOKUP(B48,O46:P56,2,FALSE)*VLOOKUP(F45,O46:P56,2,FALSE))^0.5,2),"")</f>
        <v>1.7</v>
      </c>
      <c r="G48">
        <f>IFERROR(ROUND((VLOOKUP(B48,O46:P56,2,FALSE)*VLOOKUP(G45,O46:P56,2,FALSE))^0.5,2),"")</f>
        <v>1.7</v>
      </c>
      <c r="H48">
        <f>IFERROR(ROUND((VLOOKUP(B48,O46:P56,2,FALSE)*VLOOKUP(H45,O46:P56,2,FALSE))^0.5,2),"")</f>
        <v>1.7</v>
      </c>
      <c r="I48">
        <f>IFERROR(ROUND((VLOOKUP(B48,O46:P56,2,FALSE)*VLOOKUP(I45,O46:P56,2,FALSE))^0.5,2),"")</f>
        <v>1.7</v>
      </c>
      <c r="J48">
        <f>IFERROR(ROUND((VLOOKUP(B48,O46:P56,2,FALSE)*VLOOKUP(J45,O46:P56,2,FALSE))^0.5,2),"")</f>
        <v>1.7</v>
      </c>
      <c r="K48">
        <f>IFERROR(ROUND((VLOOKUP(B48,O46:P56,2,FALSE)*VLOOKUP(K45,O46:P56,2,FALSE))^0.5,2),"")</f>
        <v>1.75</v>
      </c>
      <c r="L48">
        <f>IFERROR(ROUND((VLOOKUP(B48,O46:P56,2,FALSE)*VLOOKUP(L45,O46:P56,2,FALSE))^0.5,2),"")</f>
        <v>1.75</v>
      </c>
      <c r="M48">
        <f>IFERROR(ROUND((VLOOKUP(B48,O46:P56,2,FALSE)*VLOOKUP(M45,O46:P56,2,FALSE))^0.5,2),"")</f>
        <v>1.75</v>
      </c>
      <c r="O48" s="20">
        <v>420</v>
      </c>
      <c r="P48" s="21">
        <v>1.7</v>
      </c>
      <c r="Q48" s="22">
        <f t="shared" ref="Q48:Q56" si="6">IFERROR(P48-P47,"")</f>
        <v>0</v>
      </c>
      <c r="S48" s="14">
        <v>420</v>
      </c>
      <c r="T48" t="str">
        <f>IFERROR(ROUND((VLOOKUP(S48,AF46:AG56,2,FALSE)*VLOOKUP(T45,AF46:AG56,2,FALSE))^0.5,2),"")</f>
        <v/>
      </c>
      <c r="U48">
        <f>IFERROR(ROUND((VLOOKUP(S48,AF46:AG56,2,FALSE)*VLOOKUP(U45,AF46:AG56,2,FALSE))^0.5,2),"")</f>
        <v>1.7</v>
      </c>
      <c r="V48">
        <f>IFERROR(ROUND((VLOOKUP(S48,AF46:AG56,2,FALSE)*VLOOKUP(V45,AF46:AG56,2,FALSE))^0.5,2),"")</f>
        <v>1.7</v>
      </c>
      <c r="W48">
        <f>IFERROR(ROUND((VLOOKUP(S48,AF46:AG56,2,FALSE)*VLOOKUP(W45,AF46:AG56,2,FALSE))^0.5,2),"")</f>
        <v>1.7</v>
      </c>
      <c r="X48">
        <f>IFERROR(ROUND((VLOOKUP(S48,AF46:AG56,2,FALSE)*VLOOKUP(X45,AF46:AG56,2,FALSE))^0.5,2),"")</f>
        <v>1.7</v>
      </c>
      <c r="Y48">
        <f>IFERROR(ROUND((VLOOKUP(S48,AF46:AG56,2,FALSE)*VLOOKUP(Y45,AF46:AG56,2,FALSE))^0.5,2),"")</f>
        <v>1.7</v>
      </c>
      <c r="Z48">
        <f>IFERROR(ROUND((VLOOKUP(S48,AF46:AG56,2,FALSE)*VLOOKUP(Z45,AF46:AG56,2,FALSE))^0.5,2),"")</f>
        <v>1.7</v>
      </c>
      <c r="AA48">
        <f>IFERROR(ROUND((VLOOKUP(S48,AF46:AG56,2,FALSE)*VLOOKUP(AA45,AF46:AG56,2,FALSE))^0.5,2),"")</f>
        <v>1.7</v>
      </c>
      <c r="AB48">
        <f>IFERROR(ROUND((VLOOKUP(S48,AF46:AG56,2,FALSE)*VLOOKUP(AB45,AF46:AG56,2,FALSE))^0.5,2),"")</f>
        <v>1.75</v>
      </c>
      <c r="AC48">
        <f>IFERROR(ROUND((VLOOKUP(S48,AF46:AG56,2,FALSE)*VLOOKUP(AC45,AF46:AG56,2,FALSE))^0.5,2),"")</f>
        <v>1.75</v>
      </c>
      <c r="AD48">
        <f>IFERROR(ROUND((VLOOKUP(S48,AF46:AG56,2,FALSE)*VLOOKUP(AD45,AF46:AG56,2,FALSE))^0.5,2),"")</f>
        <v>1.75</v>
      </c>
      <c r="AF48" s="20">
        <v>420</v>
      </c>
      <c r="AG48" s="21">
        <v>1.7</v>
      </c>
      <c r="AH48" s="22">
        <f t="shared" ref="AH48:AH56" si="7">IFERROR(AG48-AG47,"")</f>
        <v>0</v>
      </c>
    </row>
    <row r="49" spans="2:34" x14ac:dyDescent="0.25">
      <c r="B49" s="14">
        <v>580</v>
      </c>
      <c r="C49" t="str">
        <f>IFERROR(ROUND((VLOOKUP(B49,O46:P56,2,FALSE)*VLOOKUP(C45,O46:P56,2,FALSE))^0.5,2),"")</f>
        <v/>
      </c>
      <c r="D49">
        <f>IFERROR(ROUND((VLOOKUP(B49,O46:P56,2,FALSE)*VLOOKUP(D45,O46:P56,2,FALSE))^0.5,2),"")</f>
        <v>1.7</v>
      </c>
      <c r="E49">
        <f>IFERROR(ROUND((VLOOKUP(B49,O46:P56,2,FALSE)*VLOOKUP(E45,O46:P56,2,FALSE))^0.5,2),"")</f>
        <v>1.7</v>
      </c>
      <c r="F49">
        <f>IFERROR(ROUND((VLOOKUP(B49,O46:P56,2,FALSE)*VLOOKUP(F45,O46:P56,2,FALSE))^0.5,2),"")</f>
        <v>1.7</v>
      </c>
      <c r="G49">
        <f>IFERROR(ROUND((VLOOKUP(B49,O46:P56,2,FALSE)*VLOOKUP(G45,O46:P56,2,FALSE))^0.5,2),"")</f>
        <v>1.7</v>
      </c>
      <c r="H49">
        <f>IFERROR(ROUND((VLOOKUP(B49,O46:P56,2,FALSE)*VLOOKUP(H45,O46:P56,2,FALSE))^0.5,2),"")</f>
        <v>1.7</v>
      </c>
      <c r="I49">
        <f>IFERROR(ROUND((VLOOKUP(B49,O46:P56,2,FALSE)*VLOOKUP(I45,O46:P56,2,FALSE))^0.5,2),"")</f>
        <v>1.7</v>
      </c>
      <c r="J49">
        <f>IFERROR(ROUND((VLOOKUP(B49,O46:P56,2,FALSE)*VLOOKUP(J45,O46:P56,2,FALSE))^0.5,2),"")</f>
        <v>1.7</v>
      </c>
      <c r="K49">
        <f>IFERROR(ROUND((VLOOKUP(B49,O46:P56,2,FALSE)*VLOOKUP(K45,O46:P56,2,FALSE))^0.5,2),"")</f>
        <v>1.75</v>
      </c>
      <c r="L49">
        <f>IFERROR(ROUND((VLOOKUP(B49,O46:P56,2,FALSE)*VLOOKUP(L45,O46:P56,2,FALSE))^0.5,2),"")</f>
        <v>1.75</v>
      </c>
      <c r="M49">
        <f>IFERROR(ROUND((VLOOKUP(B49,O46:P56,2,FALSE)*VLOOKUP(M45,O46:P56,2,FALSE))^0.5,2),"")</f>
        <v>1.75</v>
      </c>
      <c r="O49" s="23">
        <v>580</v>
      </c>
      <c r="P49" s="24">
        <v>1.7</v>
      </c>
      <c r="Q49" s="25">
        <f t="shared" si="6"/>
        <v>0</v>
      </c>
      <c r="S49" s="14">
        <v>580</v>
      </c>
      <c r="T49" t="str">
        <f>IFERROR(ROUND((VLOOKUP(S49,AF46:AG56,2,FALSE)*VLOOKUP(T45,AF46:AG56,2,FALSE))^0.5,2),"")</f>
        <v/>
      </c>
      <c r="U49">
        <f>IFERROR(ROUND((VLOOKUP(S49,AF46:AG56,2,FALSE)*VLOOKUP(U45,AF46:AG56,2,FALSE))^0.5,2),"")</f>
        <v>1.7</v>
      </c>
      <c r="V49">
        <f>IFERROR(ROUND((VLOOKUP(S49,AF46:AG56,2,FALSE)*VLOOKUP(V45,AF46:AG56,2,FALSE))^0.5,2),"")</f>
        <v>1.7</v>
      </c>
      <c r="W49">
        <f>IFERROR(ROUND((VLOOKUP(S49,AF46:AG56,2,FALSE)*VLOOKUP(W45,AF46:AG56,2,FALSE))^0.5,2),"")</f>
        <v>1.7</v>
      </c>
      <c r="X49">
        <f>IFERROR(ROUND((VLOOKUP(S49,AF46:AG56,2,FALSE)*VLOOKUP(X45,AF46:AG56,2,FALSE))^0.5,2),"")</f>
        <v>1.7</v>
      </c>
      <c r="Y49">
        <f>IFERROR(ROUND((VLOOKUP(S49,AF46:AG56,2,FALSE)*VLOOKUP(Y45,AF46:AG56,2,FALSE))^0.5,2),"")</f>
        <v>1.7</v>
      </c>
      <c r="Z49">
        <f>IFERROR(ROUND((VLOOKUP(S49,AF46:AG56,2,FALSE)*VLOOKUP(Z45,AF46:AG56,2,FALSE))^0.5,2),"")</f>
        <v>1.7</v>
      </c>
      <c r="AA49">
        <f>IFERROR(ROUND((VLOOKUP(S49,AF46:AG56,2,FALSE)*VLOOKUP(AA45,AF46:AG56,2,FALSE))^0.5,2),"")</f>
        <v>1.7</v>
      </c>
      <c r="AB49">
        <f>IFERROR(ROUND((VLOOKUP(S49,AF46:AG56,2,FALSE)*VLOOKUP(AB45,AF46:AG56,2,FALSE))^0.5,2),"")</f>
        <v>1.75</v>
      </c>
      <c r="AC49">
        <f>IFERROR(ROUND((VLOOKUP(S49,AF46:AG56,2,FALSE)*VLOOKUP(AC45,AF46:AG56,2,FALSE))^0.5,2),"")</f>
        <v>1.75</v>
      </c>
      <c r="AD49">
        <f>IFERROR(ROUND((VLOOKUP(S49,AF46:AG56,2,FALSE)*VLOOKUP(AD45,AF46:AG56,2,FALSE))^0.5,2),"")</f>
        <v>1.75</v>
      </c>
      <c r="AF49" s="23">
        <v>580</v>
      </c>
      <c r="AG49" s="24">
        <v>1.7</v>
      </c>
      <c r="AH49" s="25">
        <f t="shared" si="7"/>
        <v>0</v>
      </c>
    </row>
    <row r="50" spans="2:34" x14ac:dyDescent="0.25">
      <c r="B50" s="14">
        <v>660</v>
      </c>
      <c r="C50" t="str">
        <f>IFERROR(ROUND((VLOOKUP(B50,O46:P56,2,FALSE)*VLOOKUP(C45,O46:P56,2,FALSE))^0.5,2),"")</f>
        <v/>
      </c>
      <c r="D50">
        <f>IFERROR(ROUND((VLOOKUP(B50,O46:P56,2,FALSE)*VLOOKUP(D45,O46:P56,2,FALSE))^0.5,2),"")</f>
        <v>1.7</v>
      </c>
      <c r="E50">
        <f>IFERROR(ROUND((VLOOKUP(B50,O46:P56,2,FALSE)*VLOOKUP(E45,O46:P56,2,FALSE))^0.5,2),"")</f>
        <v>1.7</v>
      </c>
      <c r="F50">
        <f>IFERROR(ROUND((VLOOKUP(B50,O46:P56,2,FALSE)*VLOOKUP(F45,O46:P56,2,FALSE))^0.5,2),"")</f>
        <v>1.7</v>
      </c>
      <c r="G50">
        <f>IFERROR(ROUND((VLOOKUP(B50,O46:P56,2,FALSE)*VLOOKUP(G45,O46:P56,2,FALSE))^0.5,2),"")</f>
        <v>1.7</v>
      </c>
      <c r="H50">
        <f>IFERROR(ROUND((VLOOKUP(B50,O46:P56,2,FALSE)*VLOOKUP(H45,O46:P56,2,FALSE))^0.5,2),"")</f>
        <v>1.7</v>
      </c>
      <c r="I50">
        <f>IFERROR(ROUND((VLOOKUP(B50,O46:P56,2,FALSE)*VLOOKUP(I45,O46:P56,2,FALSE))^0.5,2),"")</f>
        <v>1.7</v>
      </c>
      <c r="J50">
        <f>IFERROR(ROUND((VLOOKUP(B50,O46:P56,2,FALSE)*VLOOKUP(J45,O46:P56,2,FALSE))^0.5,2),"")</f>
        <v>1.7</v>
      </c>
      <c r="K50">
        <f>IFERROR(ROUND((VLOOKUP(B50,O46:P56,2,FALSE)*VLOOKUP(K45,O46:P56,2,FALSE))^0.5,2),"")</f>
        <v>1.75</v>
      </c>
      <c r="L50">
        <f>IFERROR(ROUND((VLOOKUP(B50,O46:P56,2,FALSE)*VLOOKUP(L45,O46:P56,2,FALSE))^0.5,2),"")</f>
        <v>1.75</v>
      </c>
      <c r="M50">
        <f>IFERROR(ROUND((VLOOKUP(B50,O46:P56,2,FALSE)*VLOOKUP(M45,O46:P56,2,FALSE))^0.5,2),"")</f>
        <v>1.75</v>
      </c>
      <c r="O50" s="20">
        <v>660</v>
      </c>
      <c r="P50" s="21">
        <v>1.7</v>
      </c>
      <c r="Q50" s="22">
        <f t="shared" si="6"/>
        <v>0</v>
      </c>
      <c r="S50" s="14">
        <v>660</v>
      </c>
      <c r="T50" t="str">
        <f>IFERROR(ROUND((VLOOKUP(S50,AF46:AG56,2,FALSE)*VLOOKUP(T45,AF46:AG56,2,FALSE))^0.5,2),"")</f>
        <v/>
      </c>
      <c r="U50">
        <f>IFERROR(ROUND((VLOOKUP(S50,AF46:AG56,2,FALSE)*VLOOKUP(U45,AF46:AG56,2,FALSE))^0.5,2),"")</f>
        <v>1.7</v>
      </c>
      <c r="V50">
        <f>IFERROR(ROUND((VLOOKUP(S50,AF46:AG56,2,FALSE)*VLOOKUP(V45,AF46:AG56,2,FALSE))^0.5,2),"")</f>
        <v>1.7</v>
      </c>
      <c r="W50">
        <f>IFERROR(ROUND((VLOOKUP(S50,AF46:AG56,2,FALSE)*VLOOKUP(W45,AF46:AG56,2,FALSE))^0.5,2),"")</f>
        <v>1.7</v>
      </c>
      <c r="X50">
        <f>IFERROR(ROUND((VLOOKUP(S50,AF46:AG56,2,FALSE)*VLOOKUP(X45,AF46:AG56,2,FALSE))^0.5,2),"")</f>
        <v>1.7</v>
      </c>
      <c r="Y50">
        <f>IFERROR(ROUND((VLOOKUP(S50,AF46:AG56,2,FALSE)*VLOOKUP(Y45,AF46:AG56,2,FALSE))^0.5,2),"")</f>
        <v>1.7</v>
      </c>
      <c r="Z50">
        <f>IFERROR(ROUND((VLOOKUP(S50,AF46:AG56,2,FALSE)*VLOOKUP(Z45,AF46:AG56,2,FALSE))^0.5,2),"")</f>
        <v>1.7</v>
      </c>
      <c r="AA50">
        <f>IFERROR(ROUND((VLOOKUP(S50,AF46:AG56,2,FALSE)*VLOOKUP(AA45,AF46:AG56,2,FALSE))^0.5,2),"")</f>
        <v>1.7</v>
      </c>
      <c r="AB50">
        <f>IFERROR(ROUND((VLOOKUP(S50,AF46:AG56,2,FALSE)*VLOOKUP(AB45,AF46:AG56,2,FALSE))^0.5,2),"")</f>
        <v>1.75</v>
      </c>
      <c r="AC50">
        <f>IFERROR(ROUND((VLOOKUP(S50,AF46:AG56,2,FALSE)*VLOOKUP(AC45,AF46:AG56,2,FALSE))^0.5,2),"")</f>
        <v>1.75</v>
      </c>
      <c r="AD50">
        <f>IFERROR(ROUND((VLOOKUP(S50,AF46:AG56,2,FALSE)*VLOOKUP(AD45,AF46:AG56,2,FALSE))^0.5,2),"")</f>
        <v>1.75</v>
      </c>
      <c r="AF50" s="20">
        <v>660</v>
      </c>
      <c r="AG50" s="21">
        <v>1.7</v>
      </c>
      <c r="AH50" s="22">
        <f t="shared" si="7"/>
        <v>0</v>
      </c>
    </row>
    <row r="51" spans="2:34" x14ac:dyDescent="0.25">
      <c r="B51" s="14">
        <v>720</v>
      </c>
      <c r="C51" t="str">
        <f>IFERROR(ROUND((VLOOKUP(B51,O46:P56,2,FALSE)*VLOOKUP(C45,O46:P56,2,FALSE))^0.5,2),"")</f>
        <v/>
      </c>
      <c r="D51">
        <f>IFERROR(ROUND((VLOOKUP(B51,O46:P56,2,FALSE)*VLOOKUP(D45,O46:P56,2,FALSE))^0.5,2),"")</f>
        <v>1.7</v>
      </c>
      <c r="E51">
        <f>IFERROR(ROUND((VLOOKUP(B51,O46:P56,2,FALSE)*VLOOKUP(E45,O46:P56,2,FALSE))^0.5,2),"")</f>
        <v>1.7</v>
      </c>
      <c r="F51">
        <f>IFERROR(ROUND((VLOOKUP(B51,O46:P56,2,FALSE)*VLOOKUP(F45,O46:P56,2,FALSE))^0.5,2),"")</f>
        <v>1.7</v>
      </c>
      <c r="G51">
        <f>IFERROR(ROUND((VLOOKUP(B51,O46:P56,2,FALSE)*VLOOKUP(G45,O46:P56,2,FALSE))^0.5,2),"")</f>
        <v>1.7</v>
      </c>
      <c r="H51">
        <f>IFERROR(ROUND((VLOOKUP(B51,O46:P56,2,FALSE)*VLOOKUP(H45,O46:P56,2,FALSE))^0.5,2),"")</f>
        <v>1.7</v>
      </c>
      <c r="I51">
        <f>IFERROR(ROUND((VLOOKUP(B51,O46:P56,2,FALSE)*VLOOKUP(I45,O46:P56,2,FALSE))^0.5,2),"")</f>
        <v>1.7</v>
      </c>
      <c r="J51">
        <f>IFERROR(ROUND((VLOOKUP(B51,O46:P56,2,FALSE)*VLOOKUP(J45,O46:P56,2,FALSE))^0.5,2),"")</f>
        <v>1.7</v>
      </c>
      <c r="K51">
        <f>IFERROR(ROUND((VLOOKUP(B51,O46:P56,2,FALSE)*VLOOKUP(K45,O46:P56,2,FALSE))^0.5,2),"")</f>
        <v>1.75</v>
      </c>
      <c r="L51">
        <f>IFERROR(ROUND((VLOOKUP(B51,O46:P56,2,FALSE)*VLOOKUP(L45,O46:P56,2,FALSE))^0.5,2),"")</f>
        <v>1.75</v>
      </c>
      <c r="M51">
        <f>IFERROR(ROUND((VLOOKUP(B51,O46:P56,2,FALSE)*VLOOKUP(M45,O46:P56,2,FALSE))^0.5,2),"")</f>
        <v>1.75</v>
      </c>
      <c r="O51" s="23">
        <v>720</v>
      </c>
      <c r="P51" s="24">
        <v>1.7</v>
      </c>
      <c r="Q51" s="25">
        <f t="shared" si="6"/>
        <v>0</v>
      </c>
      <c r="S51" s="14">
        <v>720</v>
      </c>
      <c r="T51" t="str">
        <f>IFERROR(ROUND((VLOOKUP(S51,AF46:AG56,2,FALSE)*VLOOKUP(T45,AF46:AG56,2,FALSE))^0.5,2),"")</f>
        <v/>
      </c>
      <c r="U51">
        <f>IFERROR(ROUND((VLOOKUP(S51,AF46:AG56,2,FALSE)*VLOOKUP(U45,AF46:AG56,2,FALSE))^0.5,2),"")</f>
        <v>1.7</v>
      </c>
      <c r="V51">
        <f>IFERROR(ROUND((VLOOKUP(S51,AF46:AG56,2,FALSE)*VLOOKUP(V45,AF46:AG56,2,FALSE))^0.5,2),"")</f>
        <v>1.7</v>
      </c>
      <c r="W51">
        <f>IFERROR(ROUND((VLOOKUP(S51,AF46:AG56,2,FALSE)*VLOOKUP(W45,AF46:AG56,2,FALSE))^0.5,2),"")</f>
        <v>1.7</v>
      </c>
      <c r="X51">
        <f>IFERROR(ROUND((VLOOKUP(S51,AF46:AG56,2,FALSE)*VLOOKUP(X45,AF46:AG56,2,FALSE))^0.5,2),"")</f>
        <v>1.7</v>
      </c>
      <c r="Y51">
        <f>IFERROR(ROUND((VLOOKUP(S51,AF46:AG56,2,FALSE)*VLOOKUP(Y45,AF46:AG56,2,FALSE))^0.5,2),"")</f>
        <v>1.7</v>
      </c>
      <c r="Z51">
        <f>IFERROR(ROUND((VLOOKUP(S51,AF46:AG56,2,FALSE)*VLOOKUP(Z45,AF46:AG56,2,FALSE))^0.5,2),"")</f>
        <v>1.7</v>
      </c>
      <c r="AA51">
        <f>IFERROR(ROUND((VLOOKUP(S51,AF46:AG56,2,FALSE)*VLOOKUP(AA45,AF46:AG56,2,FALSE))^0.5,2),"")</f>
        <v>1.7</v>
      </c>
      <c r="AB51">
        <f>IFERROR(ROUND((VLOOKUP(S51,AF46:AG56,2,FALSE)*VLOOKUP(AB45,AF46:AG56,2,FALSE))^0.5,2),"")</f>
        <v>1.75</v>
      </c>
      <c r="AC51">
        <f>IFERROR(ROUND((VLOOKUP(S51,AF46:AG56,2,FALSE)*VLOOKUP(AC45,AF46:AG56,2,FALSE))^0.5,2),"")</f>
        <v>1.75</v>
      </c>
      <c r="AD51">
        <f>IFERROR(ROUND((VLOOKUP(S51,AF46:AG56,2,FALSE)*VLOOKUP(AD45,AF46:AG56,2,FALSE))^0.5,2),"")</f>
        <v>1.75</v>
      </c>
      <c r="AF51" s="23">
        <v>720</v>
      </c>
      <c r="AG51" s="24">
        <v>1.7</v>
      </c>
      <c r="AH51" s="25">
        <f t="shared" si="7"/>
        <v>0</v>
      </c>
    </row>
    <row r="52" spans="2:34" x14ac:dyDescent="0.25">
      <c r="B52" s="14">
        <v>780</v>
      </c>
      <c r="C52" t="str">
        <f>IFERROR(ROUND((VLOOKUP(B52,O46:P56,2,FALSE)*VLOOKUP(C45,O46:P56,2,FALSE))^0.5,2),"")</f>
        <v/>
      </c>
      <c r="D52">
        <f>IFERROR(ROUND((VLOOKUP(B52,O46:P56,2,FALSE)*VLOOKUP(D45,O46:P56,2,FALSE))^0.5,2),"")</f>
        <v>1.7</v>
      </c>
      <c r="E52">
        <f>IFERROR(ROUND((VLOOKUP(B52,O46:P56,2,FALSE)*VLOOKUP(E45,O46:P56,2,FALSE))^0.5,2),"")</f>
        <v>1.7</v>
      </c>
      <c r="F52">
        <f>IFERROR(ROUND((VLOOKUP(B52,O46:P56,2,FALSE)*VLOOKUP(F45,O46:P56,2,FALSE))^0.5,2),"")</f>
        <v>1.7</v>
      </c>
      <c r="G52">
        <f>IFERROR(ROUND((VLOOKUP(B52,O46:P56,2,FALSE)*VLOOKUP(G45,O46:P56,2,FALSE))^0.5,2),"")</f>
        <v>1.7</v>
      </c>
      <c r="H52">
        <f>IFERROR(ROUND((VLOOKUP(B52,O46:P56,2,FALSE)*VLOOKUP(H45,O46:P56,2,FALSE))^0.5,2),"")</f>
        <v>1.7</v>
      </c>
      <c r="I52">
        <f>IFERROR(ROUND((VLOOKUP(B52,O46:P56,2,FALSE)*VLOOKUP(I45,O46:P56,2,FALSE))^0.5,2),"")</f>
        <v>1.7</v>
      </c>
      <c r="J52">
        <f>IFERROR(ROUND((VLOOKUP(B52,O46:P56,2,FALSE)*VLOOKUP(J45,O46:P56,2,FALSE))^0.5,2),"")</f>
        <v>1.7</v>
      </c>
      <c r="K52">
        <f>IFERROR(ROUND((VLOOKUP(B52,O46:P56,2,FALSE)*VLOOKUP(K45,O46:P56,2,FALSE))^0.5,2),"")</f>
        <v>1.75</v>
      </c>
      <c r="L52">
        <f>IFERROR(ROUND((VLOOKUP(B52,O46:P56,2,FALSE)*VLOOKUP(L45,O46:P56,2,FALSE))^0.5,2),"")</f>
        <v>1.75</v>
      </c>
      <c r="M52">
        <f>IFERROR(ROUND((VLOOKUP(B52,O46:P56,2,FALSE)*VLOOKUP(M45,O46:P56,2,FALSE))^0.5,2),"")</f>
        <v>1.75</v>
      </c>
      <c r="O52" s="20">
        <v>780</v>
      </c>
      <c r="P52" s="21">
        <v>1.7</v>
      </c>
      <c r="Q52" s="22">
        <f t="shared" si="6"/>
        <v>0</v>
      </c>
      <c r="S52" s="14">
        <v>780</v>
      </c>
      <c r="T52" t="str">
        <f>IFERROR(ROUND((VLOOKUP(S52,AF46:AG56,2,FALSE)*VLOOKUP(T45,AF46:AG56,2,FALSE))^0.5,2),"")</f>
        <v/>
      </c>
      <c r="U52">
        <f>IFERROR(ROUND((VLOOKUP(S52,AF46:AG56,2,FALSE)*VLOOKUP(U45,AF46:AG56,2,FALSE))^0.5,2),"")</f>
        <v>1.7</v>
      </c>
      <c r="V52">
        <f>IFERROR(ROUND((VLOOKUP(S52,AF46:AG56,2,FALSE)*VLOOKUP(V45,AF46:AG56,2,FALSE))^0.5,2),"")</f>
        <v>1.7</v>
      </c>
      <c r="W52">
        <f>IFERROR(ROUND((VLOOKUP(S52,AF46:AG56,2,FALSE)*VLOOKUP(W45,AF46:AG56,2,FALSE))^0.5,2),"")</f>
        <v>1.7</v>
      </c>
      <c r="X52">
        <f>IFERROR(ROUND((VLOOKUP(S52,AF46:AG56,2,FALSE)*VLOOKUP(X45,AF46:AG56,2,FALSE))^0.5,2),"")</f>
        <v>1.7</v>
      </c>
      <c r="Y52">
        <f>IFERROR(ROUND((VLOOKUP(S52,AF46:AG56,2,FALSE)*VLOOKUP(Y45,AF46:AG56,2,FALSE))^0.5,2),"")</f>
        <v>1.7</v>
      </c>
      <c r="Z52">
        <f>IFERROR(ROUND((VLOOKUP(S52,AF46:AG56,2,FALSE)*VLOOKUP(Z45,AF46:AG56,2,FALSE))^0.5,2),"")</f>
        <v>1.7</v>
      </c>
      <c r="AA52">
        <f>IFERROR(ROUND((VLOOKUP(S52,AF46:AG56,2,FALSE)*VLOOKUP(AA45,AF46:AG56,2,FALSE))^0.5,2),"")</f>
        <v>1.7</v>
      </c>
      <c r="AB52">
        <f>IFERROR(ROUND((VLOOKUP(S52,AF46:AG56,2,FALSE)*VLOOKUP(AB45,AF46:AG56,2,FALSE))^0.5,2),"")</f>
        <v>1.75</v>
      </c>
      <c r="AC52">
        <f>IFERROR(ROUND((VLOOKUP(S52,AF46:AG56,2,FALSE)*VLOOKUP(AC45,AF46:AG56,2,FALSE))^0.5,2),"")</f>
        <v>1.75</v>
      </c>
      <c r="AD52">
        <f>IFERROR(ROUND((VLOOKUP(S52,AF46:AG56,2,FALSE)*VLOOKUP(AD45,AF46:AG56,2,FALSE))^0.5,2),"")</f>
        <v>1.75</v>
      </c>
      <c r="AF52" s="20">
        <v>780</v>
      </c>
      <c r="AG52" s="21">
        <v>1.7</v>
      </c>
      <c r="AH52" s="22">
        <f t="shared" si="7"/>
        <v>0</v>
      </c>
    </row>
    <row r="53" spans="2:34" x14ac:dyDescent="0.25">
      <c r="B53" s="14">
        <v>980</v>
      </c>
      <c r="C53" t="str">
        <f>IFERROR(ROUND((VLOOKUP(B53,O46:P56,2,FALSE)*VLOOKUP(C45,O46:P56,2,FALSE))^0.5,2),"")</f>
        <v/>
      </c>
      <c r="D53">
        <f>IFERROR(ROUND((VLOOKUP(B53,O46:P56,2,FALSE)*VLOOKUP(D45,O46:P56,2,FALSE))^0.5,2),"")</f>
        <v>1.7</v>
      </c>
      <c r="E53">
        <f>IFERROR(ROUND((VLOOKUP(B53,O46:P56,2,FALSE)*VLOOKUP(E45,O46:P56,2,FALSE))^0.5,2),"")</f>
        <v>1.7</v>
      </c>
      <c r="F53">
        <f>IFERROR(ROUND((VLOOKUP(B53,O46:P56,2,FALSE)*VLOOKUP(F45,O46:P56,2,FALSE))^0.5,2),"")</f>
        <v>1.7</v>
      </c>
      <c r="G53">
        <f>IFERROR(ROUND((VLOOKUP(B53,O46:P56,2,FALSE)*VLOOKUP(G45,O46:P56,2,FALSE))^0.5,2),"")</f>
        <v>1.7</v>
      </c>
      <c r="H53">
        <f>IFERROR(ROUND((VLOOKUP(B53,O46:P56,2,FALSE)*VLOOKUP(H45,O46:P56,2,FALSE))^0.5,2),"")</f>
        <v>1.7</v>
      </c>
      <c r="I53">
        <f>IFERROR(ROUND((VLOOKUP(B53,O46:P56,2,FALSE)*VLOOKUP(I45,O46:P56,2,FALSE))^0.5,2),"")</f>
        <v>1.7</v>
      </c>
      <c r="J53">
        <f>IFERROR(ROUND((VLOOKUP(B53,O46:P56,2,FALSE)*VLOOKUP(J45,O46:P56,2,FALSE))^0.5,2),"")</f>
        <v>1.7</v>
      </c>
      <c r="K53">
        <f>IFERROR(ROUND((VLOOKUP(B53,O46:P56,2,FALSE)*VLOOKUP(K45,O46:P56,2,FALSE))^0.5,2),"")</f>
        <v>1.75</v>
      </c>
      <c r="L53">
        <f>IFERROR(ROUND((VLOOKUP(B53,O46:P56,2,FALSE)*VLOOKUP(L45,O46:P56,2,FALSE))^0.5,2),"")</f>
        <v>1.75</v>
      </c>
      <c r="M53">
        <f>IFERROR(ROUND((VLOOKUP(B53,O46:P56,2,FALSE)*VLOOKUP(M45,O46:P56,2,FALSE))^0.5,2),"")</f>
        <v>1.75</v>
      </c>
      <c r="O53" s="26">
        <v>980</v>
      </c>
      <c r="P53" s="27">
        <v>1.7</v>
      </c>
      <c r="Q53" s="7">
        <f t="shared" si="6"/>
        <v>0</v>
      </c>
      <c r="S53" s="14">
        <v>980</v>
      </c>
      <c r="T53" t="str">
        <f>IFERROR(ROUND((VLOOKUP(S53,AF46:AG56,2,FALSE)*VLOOKUP(T45,AF46:AG56,2,FALSE))^0.5,2),"")</f>
        <v/>
      </c>
      <c r="U53">
        <f>IFERROR(ROUND((VLOOKUP(S53,AF46:AG56,2,FALSE)*VLOOKUP(U45,AF46:AG56,2,FALSE))^0.5,2),"")</f>
        <v>1.7</v>
      </c>
      <c r="V53">
        <f>IFERROR(ROUND((VLOOKUP(S53,AF46:AG56,2,FALSE)*VLOOKUP(V45,AF46:AG56,2,FALSE))^0.5,2),"")</f>
        <v>1.7</v>
      </c>
      <c r="W53">
        <f>IFERROR(ROUND((VLOOKUP(S53,AF46:AG56,2,FALSE)*VLOOKUP(W45,AF46:AG56,2,FALSE))^0.5,2),"")</f>
        <v>1.7</v>
      </c>
      <c r="X53">
        <f>IFERROR(ROUND((VLOOKUP(S53,AF46:AG56,2,FALSE)*VLOOKUP(X45,AF46:AG56,2,FALSE))^0.5,2),"")</f>
        <v>1.7</v>
      </c>
      <c r="Y53">
        <f>IFERROR(ROUND((VLOOKUP(S53,AF46:AG56,2,FALSE)*VLOOKUP(Y45,AF46:AG56,2,FALSE))^0.5,2),"")</f>
        <v>1.7</v>
      </c>
      <c r="Z53">
        <f>IFERROR(ROUND((VLOOKUP(S53,AF46:AG56,2,FALSE)*VLOOKUP(Z45,AF46:AG56,2,FALSE))^0.5,2),"")</f>
        <v>1.7</v>
      </c>
      <c r="AA53">
        <f>IFERROR(ROUND((VLOOKUP(S53,AF46:AG56,2,FALSE)*VLOOKUP(AA45,AF46:AG56,2,FALSE))^0.5,2),"")</f>
        <v>1.7</v>
      </c>
      <c r="AB53">
        <f>IFERROR(ROUND((VLOOKUP(S53,AF46:AG56,2,FALSE)*VLOOKUP(AB45,AF46:AG56,2,FALSE))^0.5,2),"")</f>
        <v>1.75</v>
      </c>
      <c r="AC53">
        <f>IFERROR(ROUND((VLOOKUP(S53,AF46:AG56,2,FALSE)*VLOOKUP(AC45,AF46:AG56,2,FALSE))^0.5,2),"")</f>
        <v>1.75</v>
      </c>
      <c r="AD53">
        <f>IFERROR(ROUND((VLOOKUP(S53,AF46:AG56,2,FALSE)*VLOOKUP(AD45,AF46:AG56,2,FALSE))^0.5,2),"")</f>
        <v>1.75</v>
      </c>
      <c r="AF53" s="26">
        <v>980</v>
      </c>
      <c r="AG53" s="27">
        <v>1.7</v>
      </c>
      <c r="AH53" s="7">
        <f t="shared" si="7"/>
        <v>0</v>
      </c>
    </row>
    <row r="54" spans="2:34" x14ac:dyDescent="0.25">
      <c r="B54" s="14">
        <v>1080</v>
      </c>
      <c r="C54" t="str">
        <f>IFERROR(ROUND((VLOOKUP(B54,O46:P56,2,FALSE)*VLOOKUP(C45,O46:P56,2,FALSE))^0.5,2),"")</f>
        <v/>
      </c>
      <c r="D54">
        <f>IFERROR(ROUND((VLOOKUP(B54,O46:P56,2,FALSE)*VLOOKUP(D45,O46:P56,2,FALSE))^0.5,2),"")</f>
        <v>1.75</v>
      </c>
      <c r="E54">
        <f>IFERROR(ROUND((VLOOKUP(B54,O46:P56,2,FALSE)*VLOOKUP(E45,O46:P56,2,FALSE))^0.5,2),"")</f>
        <v>1.75</v>
      </c>
      <c r="F54">
        <f>IFERROR(ROUND((VLOOKUP(B54,O46:P56,2,FALSE)*VLOOKUP(F45,O46:P56,2,FALSE))^0.5,2),"")</f>
        <v>1.75</v>
      </c>
      <c r="G54">
        <f>IFERROR(ROUND((VLOOKUP(B54,O46:P56,2,FALSE)*VLOOKUP(G45,O46:P56,2,FALSE))^0.5,2),"")</f>
        <v>1.75</v>
      </c>
      <c r="H54">
        <f>IFERROR(ROUND((VLOOKUP(B54,O46:P56,2,FALSE)*VLOOKUP(H45,O46:P56,2,FALSE))^0.5,2),"")</f>
        <v>1.75</v>
      </c>
      <c r="I54">
        <f>IFERROR(ROUND((VLOOKUP(B54,O46:P56,2,FALSE)*VLOOKUP(I45,O46:P56,2,FALSE))^0.5,2),"")</f>
        <v>1.75</v>
      </c>
      <c r="J54">
        <f>IFERROR(ROUND((VLOOKUP(B54,O46:P56,2,FALSE)*VLOOKUP(J45,O46:P56,2,FALSE))^0.5,2),"")</f>
        <v>1.75</v>
      </c>
      <c r="K54">
        <f>IFERROR(ROUND((VLOOKUP(B54,O46:P56,2,FALSE)*VLOOKUP(K45,O46:P56,2,FALSE))^0.5,2),"")</f>
        <v>1.8</v>
      </c>
      <c r="L54">
        <f>IFERROR(ROUND((VLOOKUP(B54,O46:P56,2,FALSE)*VLOOKUP(L45,O46:P56,2,FALSE))^0.5,2),"")</f>
        <v>1.8</v>
      </c>
      <c r="M54">
        <f>IFERROR(ROUND((VLOOKUP(B54,O46:P56,2,FALSE)*VLOOKUP(M45,O46:P56,2,FALSE))^0.5,2),"")</f>
        <v>1.8</v>
      </c>
      <c r="O54" s="20">
        <v>1080</v>
      </c>
      <c r="P54" s="21">
        <v>1.8</v>
      </c>
      <c r="Q54" s="22">
        <f t="shared" si="6"/>
        <v>0.10000000000000009</v>
      </c>
      <c r="S54" s="14">
        <v>1080</v>
      </c>
      <c r="T54" t="str">
        <f>IFERROR(ROUND((VLOOKUP(S54,AF46:AG56,2,FALSE)*VLOOKUP(T45,AF46:AG56,2,FALSE))^0.5,2),"")</f>
        <v/>
      </c>
      <c r="U54">
        <f>IFERROR(ROUND((VLOOKUP(S54,AF46:AG56,2,FALSE)*VLOOKUP(U45,AF46:AG56,2,FALSE))^0.5,2),"")</f>
        <v>1.75</v>
      </c>
      <c r="V54">
        <f>IFERROR(ROUND((VLOOKUP(S54,AF46:AG56,2,FALSE)*VLOOKUP(V45,AF46:AG56,2,FALSE))^0.5,2),"")</f>
        <v>1.75</v>
      </c>
      <c r="W54">
        <f>IFERROR(ROUND((VLOOKUP(S54,AF46:AG56,2,FALSE)*VLOOKUP(W45,AF46:AG56,2,FALSE))^0.5,2),"")</f>
        <v>1.75</v>
      </c>
      <c r="X54">
        <f>IFERROR(ROUND((VLOOKUP(S54,AF46:AG56,2,FALSE)*VLOOKUP(X45,AF46:AG56,2,FALSE))^0.5,2),"")</f>
        <v>1.75</v>
      </c>
      <c r="Y54">
        <f>IFERROR(ROUND((VLOOKUP(S54,AF46:AG56,2,FALSE)*VLOOKUP(Y45,AF46:AG56,2,FALSE))^0.5,2),"")</f>
        <v>1.75</v>
      </c>
      <c r="Z54">
        <f>IFERROR(ROUND((VLOOKUP(S54,AF46:AG56,2,FALSE)*VLOOKUP(Z45,AF46:AG56,2,FALSE))^0.5,2),"")</f>
        <v>1.75</v>
      </c>
      <c r="AA54">
        <f>IFERROR(ROUND((VLOOKUP(S54,AF46:AG56,2,FALSE)*VLOOKUP(AA45,AF46:AG56,2,FALSE))^0.5,2),"")</f>
        <v>1.75</v>
      </c>
      <c r="AB54">
        <f>IFERROR(ROUND((VLOOKUP(S54,AF46:AG56,2,FALSE)*VLOOKUP(AB45,AF46:AG56,2,FALSE))^0.5,2),"")</f>
        <v>1.8</v>
      </c>
      <c r="AC54">
        <f>IFERROR(ROUND((VLOOKUP(S54,AF46:AG56,2,FALSE)*VLOOKUP(AC45,AF46:AG56,2,FALSE))^0.5,2),"")</f>
        <v>1.8</v>
      </c>
      <c r="AD54">
        <f>IFERROR(ROUND((VLOOKUP(S54,AF46:AG56,2,FALSE)*VLOOKUP(AD45,AF46:AG56,2,FALSE))^0.5,2),"")</f>
        <v>1.8</v>
      </c>
      <c r="AF54" s="20">
        <v>1080</v>
      </c>
      <c r="AG54" s="21">
        <v>1.8</v>
      </c>
      <c r="AH54" s="22">
        <f t="shared" si="7"/>
        <v>0.10000000000000009</v>
      </c>
    </row>
    <row r="55" spans="2:34" x14ac:dyDescent="0.25">
      <c r="B55" s="14">
        <v>1440</v>
      </c>
      <c r="C55" t="str">
        <f>IFERROR(ROUND((VLOOKUP(B55,O46:P56,2,FALSE)*VLOOKUP(C45,O46:P56,2,FALSE))^0.5,2),"")</f>
        <v/>
      </c>
      <c r="D55">
        <f>IFERROR(ROUND((VLOOKUP(B55,O46:P56,2,FALSE)*VLOOKUP(D45,O46:P56,2,FALSE))^0.5,2),"")</f>
        <v>1.75</v>
      </c>
      <c r="E55">
        <f>IFERROR(ROUND((VLOOKUP(B55,O46:P56,2,FALSE)*VLOOKUP(E45,O46:P56,2,FALSE))^0.5,2),"")</f>
        <v>1.75</v>
      </c>
      <c r="F55">
        <f>IFERROR(ROUND((VLOOKUP(B55,O46:P56,2,FALSE)*VLOOKUP(F45,O46:P56,2,FALSE))^0.5,2),"")</f>
        <v>1.75</v>
      </c>
      <c r="G55">
        <f>IFERROR(ROUND((VLOOKUP(B55,O46:P56,2,FALSE)*VLOOKUP(G45,O46:P56,2,FALSE))^0.5,2),"")</f>
        <v>1.75</v>
      </c>
      <c r="H55">
        <f>IFERROR(ROUND((VLOOKUP(B55,O46:P56,2,FALSE)*VLOOKUP(H45,O46:P56,2,FALSE))^0.5,2),"")</f>
        <v>1.75</v>
      </c>
      <c r="I55">
        <f>IFERROR(ROUND((VLOOKUP(B55,O46:P56,2,FALSE)*VLOOKUP(I45,O46:P56,2,FALSE))^0.5,2),"")</f>
        <v>1.75</v>
      </c>
      <c r="J55">
        <f>IFERROR(ROUND((VLOOKUP(B55,O46:P56,2,FALSE)*VLOOKUP(J45,O46:P56,2,FALSE))^0.5,2),"")</f>
        <v>1.75</v>
      </c>
      <c r="K55">
        <f>IFERROR(ROUND((VLOOKUP(B55,O46:P56,2,FALSE)*VLOOKUP(K45,O46:P56,2,FALSE))^0.5,2),"")</f>
        <v>1.8</v>
      </c>
      <c r="L55">
        <f>IFERROR(ROUND((VLOOKUP(B55,O46:P56,2,FALSE)*VLOOKUP(L45,O46:P56,2,FALSE))^0.5,2),"")</f>
        <v>1.8</v>
      </c>
      <c r="M55">
        <f>IFERROR(ROUND((VLOOKUP(B55,O46:P56,2,FALSE)*VLOOKUP(M45,O46:P56,2,FALSE))^0.5,2),"")</f>
        <v>1.8</v>
      </c>
      <c r="O55" s="26">
        <v>1440</v>
      </c>
      <c r="P55" s="27">
        <v>1.8</v>
      </c>
      <c r="Q55" s="7">
        <f t="shared" si="6"/>
        <v>0</v>
      </c>
      <c r="S55" s="14">
        <v>1440</v>
      </c>
      <c r="T55" t="str">
        <f>IFERROR(ROUND((VLOOKUP(S55,AF46:AG56,2,FALSE)*VLOOKUP(T45,AF46:AG56,2,FALSE))^0.5,2),"")</f>
        <v/>
      </c>
      <c r="U55">
        <f>IFERROR(ROUND((VLOOKUP(S55,AF46:AG56,2,FALSE)*VLOOKUP(U45,AF46:AG56,2,FALSE))^0.5,2),"")</f>
        <v>1.75</v>
      </c>
      <c r="V55">
        <f>IFERROR(ROUND((VLOOKUP(S55,AF46:AG56,2,FALSE)*VLOOKUP(V45,AF46:AG56,2,FALSE))^0.5,2),"")</f>
        <v>1.75</v>
      </c>
      <c r="W55">
        <f>IFERROR(ROUND((VLOOKUP(S55,AF46:AG56,2,FALSE)*VLOOKUP(W45,AF46:AG56,2,FALSE))^0.5,2),"")</f>
        <v>1.75</v>
      </c>
      <c r="X55">
        <f>IFERROR(ROUND((VLOOKUP(S55,AF46:AG56,2,FALSE)*VLOOKUP(X45,AF46:AG56,2,FALSE))^0.5,2),"")</f>
        <v>1.75</v>
      </c>
      <c r="Y55">
        <f>IFERROR(ROUND((VLOOKUP(S55,AF46:AG56,2,FALSE)*VLOOKUP(Y45,AF46:AG56,2,FALSE))^0.5,2),"")</f>
        <v>1.75</v>
      </c>
      <c r="Z55">
        <f>IFERROR(ROUND((VLOOKUP(S55,AF46:AG56,2,FALSE)*VLOOKUP(Z45,AF46:AG56,2,FALSE))^0.5,2),"")</f>
        <v>1.75</v>
      </c>
      <c r="AA55">
        <f>IFERROR(ROUND((VLOOKUP(S55,AF46:AG56,2,FALSE)*VLOOKUP(AA45,AF46:AG56,2,FALSE))^0.5,2),"")</f>
        <v>1.75</v>
      </c>
      <c r="AB55">
        <f>IFERROR(ROUND((VLOOKUP(S55,AF46:AG56,2,FALSE)*VLOOKUP(AB45,AF46:AG56,2,FALSE))^0.5,2),"")</f>
        <v>1.8</v>
      </c>
      <c r="AC55">
        <f>IFERROR(ROUND((VLOOKUP(S55,AF46:AG56,2,FALSE)*VLOOKUP(AC45,AF46:AG56,2,FALSE))^0.5,2),"")</f>
        <v>1.8</v>
      </c>
      <c r="AD55">
        <f>IFERROR(ROUND((VLOOKUP(S55,AF46:AG56,2,FALSE)*VLOOKUP(AD45,AF46:AG56,2,FALSE))^0.5,2),"")</f>
        <v>1.8</v>
      </c>
      <c r="AF55" s="26">
        <v>1440</v>
      </c>
      <c r="AG55" s="27">
        <v>1.8</v>
      </c>
      <c r="AH55" s="7">
        <f t="shared" si="7"/>
        <v>0</v>
      </c>
    </row>
    <row r="56" spans="2:34" x14ac:dyDescent="0.25">
      <c r="B56" s="14">
        <v>1800</v>
      </c>
      <c r="C56" t="str">
        <f>IFERROR(ROUND((VLOOKUP(B56,O46:P56,2,FALSE)*VLOOKUP(C45,O46:P56,2,FALSE))^0.5,2),"")</f>
        <v/>
      </c>
      <c r="D56">
        <f>IFERROR(ROUND((VLOOKUP(B56,O46:P56,2,FALSE)*VLOOKUP(D45,O46:P56,2,FALSE))^0.5,2),"")</f>
        <v>1.75</v>
      </c>
      <c r="E56">
        <f>IFERROR(ROUND((VLOOKUP(B56,O46:P56,2,FALSE)*VLOOKUP(E45,O46:P56,2,FALSE))^0.5,2),"")</f>
        <v>1.75</v>
      </c>
      <c r="F56">
        <f>IFERROR(ROUND((VLOOKUP(B56,O46:P56,2,FALSE)*VLOOKUP(F45,O46:P56,2,FALSE))^0.5,2),"")</f>
        <v>1.75</v>
      </c>
      <c r="G56">
        <f>IFERROR(ROUND((VLOOKUP(B56,O46:P56,2,FALSE)*VLOOKUP(G45,O46:P56,2,FALSE))^0.5,2),"")</f>
        <v>1.75</v>
      </c>
      <c r="H56">
        <f>IFERROR(ROUND((VLOOKUP(B56,O46:P56,2,FALSE)*VLOOKUP(H45,O46:P56,2,FALSE))^0.5,2),"")</f>
        <v>1.75</v>
      </c>
      <c r="I56">
        <f>IFERROR(ROUND((VLOOKUP(B56,O46:P56,2,FALSE)*VLOOKUP(I45,O46:P56,2,FALSE))^0.5,2),"")</f>
        <v>1.75</v>
      </c>
      <c r="J56">
        <f>IFERROR(ROUND((VLOOKUP(B56,O46:P56,2,FALSE)*VLOOKUP(J45,O46:P56,2,FALSE))^0.5,2),"")</f>
        <v>1.75</v>
      </c>
      <c r="K56">
        <f>IFERROR(ROUND((VLOOKUP(B56,O46:P56,2,FALSE)*VLOOKUP(K45,O46:P56,2,FALSE))^0.5,2),"")</f>
        <v>1.8</v>
      </c>
      <c r="L56">
        <f>IFERROR(ROUND((VLOOKUP(B56,O46:P56,2,FALSE)*VLOOKUP(L45,O46:P56,2,FALSE))^0.5,2),"")</f>
        <v>1.8</v>
      </c>
      <c r="M56">
        <f>IFERROR(ROUND((VLOOKUP(B56,O46:P56,2,FALSE)*VLOOKUP(M45,O46:P56,2,FALSE))^0.5,2),"")</f>
        <v>1.8</v>
      </c>
      <c r="O56" s="23">
        <v>1800</v>
      </c>
      <c r="P56" s="24">
        <v>1.8</v>
      </c>
      <c r="Q56" s="25">
        <f t="shared" si="6"/>
        <v>0</v>
      </c>
      <c r="S56" s="14">
        <v>1800</v>
      </c>
      <c r="T56" t="str">
        <f>IFERROR(ROUND((VLOOKUP(S56,AF46:AG56,2,FALSE)*VLOOKUP(T45,AF46:AG56,2,FALSE))^0.5,2),"")</f>
        <v/>
      </c>
      <c r="U56">
        <f>IFERROR(ROUND((VLOOKUP(S56,AF46:AG56,2,FALSE)*VLOOKUP(U45,AF46:AG56,2,FALSE))^0.5,2),"")</f>
        <v>1.75</v>
      </c>
      <c r="V56">
        <f>IFERROR(ROUND((VLOOKUP(S56,AF46:AG56,2,FALSE)*VLOOKUP(V45,AF46:AG56,2,FALSE))^0.5,2),"")</f>
        <v>1.75</v>
      </c>
      <c r="W56">
        <f>IFERROR(ROUND((VLOOKUP(S56,AF46:AG56,2,FALSE)*VLOOKUP(W45,AF46:AG56,2,FALSE))^0.5,2),"")</f>
        <v>1.75</v>
      </c>
      <c r="X56">
        <f>IFERROR(ROUND((VLOOKUP(S56,AF46:AG56,2,FALSE)*VLOOKUP(X45,AF46:AG56,2,FALSE))^0.5,2),"")</f>
        <v>1.75</v>
      </c>
      <c r="Y56">
        <f>IFERROR(ROUND((VLOOKUP(S56,AF46:AG56,2,FALSE)*VLOOKUP(Y45,AF46:AG56,2,FALSE))^0.5,2),"")</f>
        <v>1.75</v>
      </c>
      <c r="Z56">
        <f>IFERROR(ROUND((VLOOKUP(S56,AF46:AG56,2,FALSE)*VLOOKUP(Z45,AF46:AG56,2,FALSE))^0.5,2),"")</f>
        <v>1.75</v>
      </c>
      <c r="AA56">
        <f>IFERROR(ROUND((VLOOKUP(S56,AF46:AG56,2,FALSE)*VLOOKUP(AA45,AF46:AG56,2,FALSE))^0.5,2),"")</f>
        <v>1.75</v>
      </c>
      <c r="AB56">
        <f>IFERROR(ROUND((VLOOKUP(S56,AF46:AG56,2,FALSE)*VLOOKUP(AB45,AF46:AG56,2,FALSE))^0.5,2),"")</f>
        <v>1.8</v>
      </c>
      <c r="AC56">
        <f>IFERROR(ROUND((VLOOKUP(S56,AF46:AG56,2,FALSE)*VLOOKUP(AC45,AF46:AG56,2,FALSE))^0.5,2),"")</f>
        <v>1.8</v>
      </c>
      <c r="AD56">
        <f>IFERROR(ROUND((VLOOKUP(S56,AF46:AG56,2,FALSE)*VLOOKUP(AD45,AF46:AG56,2,FALSE))^0.5,2),"")</f>
        <v>1.8</v>
      </c>
      <c r="AF56" s="23">
        <v>1800</v>
      </c>
      <c r="AG56" s="24">
        <v>1.8</v>
      </c>
      <c r="AH56" s="25">
        <f t="shared" si="7"/>
        <v>0</v>
      </c>
    </row>
    <row r="59" spans="2:34" x14ac:dyDescent="0.25">
      <c r="C59" s="14">
        <v>180</v>
      </c>
      <c r="D59" s="14">
        <v>360</v>
      </c>
      <c r="E59" s="14">
        <v>420</v>
      </c>
      <c r="F59" s="14">
        <v>580</v>
      </c>
      <c r="G59" s="14">
        <v>660</v>
      </c>
      <c r="H59" s="14">
        <v>720</v>
      </c>
      <c r="I59" s="14">
        <v>780</v>
      </c>
      <c r="J59" s="14">
        <v>980</v>
      </c>
      <c r="K59" s="14">
        <v>1080</v>
      </c>
      <c r="L59" s="14">
        <v>1440</v>
      </c>
      <c r="M59" s="14">
        <v>1800</v>
      </c>
      <c r="O59" s="114" t="s">
        <v>93</v>
      </c>
      <c r="P59" s="115"/>
      <c r="Q59" s="116"/>
      <c r="T59" s="14">
        <v>180</v>
      </c>
      <c r="U59" s="14">
        <v>360</v>
      </c>
      <c r="V59" s="14">
        <v>420</v>
      </c>
      <c r="W59" s="14">
        <v>580</v>
      </c>
      <c r="X59" s="14">
        <v>660</v>
      </c>
      <c r="Y59" s="14">
        <v>720</v>
      </c>
      <c r="Z59" s="14">
        <v>780</v>
      </c>
      <c r="AA59" s="14">
        <v>980</v>
      </c>
      <c r="AB59" s="14">
        <v>1080</v>
      </c>
      <c r="AC59" s="14">
        <v>1440</v>
      </c>
      <c r="AD59" s="14">
        <v>1800</v>
      </c>
      <c r="AF59" s="114" t="s">
        <v>151</v>
      </c>
      <c r="AG59" s="115"/>
      <c r="AH59" s="116"/>
    </row>
    <row r="60" spans="2:34" x14ac:dyDescent="0.25">
      <c r="B60" s="14">
        <v>180</v>
      </c>
      <c r="C60">
        <f>IFERROR(ROUND((VLOOKUP(B60,O60:P70,2,FALSE)*VLOOKUP(C59,O60:P70,2,FALSE))^0.5,2),"")</f>
        <v>2.5</v>
      </c>
      <c r="D60">
        <f>IFERROR(ROUND((VLOOKUP(B60,O60:P70,2,FALSE)*VLOOKUP(D59,O60:P70,2,FALSE))^0.5,2),"")</f>
        <v>2.5</v>
      </c>
      <c r="E60">
        <f>IFERROR(ROUND((VLOOKUP(B60,O60:P70,2,FALSE)*VLOOKUP(E59,O60:P70,2,FALSE))^0.5,2),"")</f>
        <v>2.4</v>
      </c>
      <c r="F60">
        <f>IFERROR(ROUND((VLOOKUP(B60,O60:P70,2,FALSE)*VLOOKUP(F59,O60:P70,2,FALSE))^0.5,2),"")</f>
        <v>2.4</v>
      </c>
      <c r="G60">
        <f>IFERROR(ROUND((VLOOKUP(B60,O60:P70,2,FALSE)*VLOOKUP(G59,O60:P70,2,FALSE))^0.5,2),"")</f>
        <v>1.94</v>
      </c>
      <c r="H60">
        <f>IFERROR(ROUND((VLOOKUP(B60,O60:P70,2,FALSE)*VLOOKUP(H59,O60:P70,2,FALSE))^0.5,2),"")</f>
        <v>1.94</v>
      </c>
      <c r="I60">
        <f>IFERROR(ROUND((VLOOKUP(B60,O60:P70,2,FALSE)*VLOOKUP(I59,O60:P70,2,FALSE))^0.5,2),"")</f>
        <v>1.94</v>
      </c>
      <c r="J60">
        <f>IFERROR(ROUND((VLOOKUP(B60,O60:P70,2,FALSE)*VLOOKUP(J59,O60:P70,2,FALSE))^0.5,2),"")</f>
        <v>1.94</v>
      </c>
      <c r="K60" t="str">
        <f>IFERROR(ROUND((VLOOKUP(B60,O60:P70,2,FALSE)*VLOOKUP(K59,O60:P70,2,FALSE))^0.5,2),"")</f>
        <v/>
      </c>
      <c r="L60" t="str">
        <f>IFERROR(ROUND((VLOOKUP(B60,O60:P70,2,FALSE)*VLOOKUP(L59,O60:P70,2,FALSE))^0.5,2),"")</f>
        <v/>
      </c>
      <c r="M60" t="str">
        <f>IFERROR(ROUND((VLOOKUP(B60,O60:P70,2,FALSE)*VLOOKUP(M59,O60:P70,2,FALSE))^0.5,2),"")</f>
        <v/>
      </c>
      <c r="O60" s="20">
        <v>180</v>
      </c>
      <c r="P60" s="21">
        <v>2.5</v>
      </c>
      <c r="Q60" s="22"/>
      <c r="S60" s="14">
        <v>180</v>
      </c>
      <c r="T60">
        <f>IFERROR(ROUND((VLOOKUP(S60,AF60:AG70,2,FALSE)*VLOOKUP(T59,AF60:AG70,2,FALSE))^0.5,2),"")</f>
        <v>2.5</v>
      </c>
      <c r="U60">
        <f>IFERROR(ROUND((VLOOKUP(S60,AF60:AG70,2,FALSE)*VLOOKUP(U59,AF60:AG70,2,FALSE))^0.5,2),"")</f>
        <v>2.5</v>
      </c>
      <c r="V60">
        <f>IFERROR(ROUND((VLOOKUP(S60,AF60:AG70,2,FALSE)*VLOOKUP(V59,AF60:AG70,2,FALSE))^0.5,2),"")</f>
        <v>2.4</v>
      </c>
      <c r="W60">
        <f>IFERROR(ROUND((VLOOKUP(S60,AF60:AG70,2,FALSE)*VLOOKUP(W59,AF60:AG70,2,FALSE))^0.5,2),"")</f>
        <v>2.4</v>
      </c>
      <c r="X60">
        <f>IFERROR(ROUND((VLOOKUP(S60,AF60:AG70,2,FALSE)*VLOOKUP(X59,AF60:AG70,2,FALSE))^0.5,2),"")</f>
        <v>1.94</v>
      </c>
      <c r="Y60">
        <f>IFERROR(ROUND((VLOOKUP(S60,AF60:AG70,2,FALSE)*VLOOKUP(Y59,AF60:AG70,2,FALSE))^0.5,2),"")</f>
        <v>1.94</v>
      </c>
      <c r="Z60">
        <f>IFERROR(ROUND((VLOOKUP(S60,AF60:AG70,2,FALSE)*VLOOKUP(Z59,AF60:AG70,2,FALSE))^0.5,2),"")</f>
        <v>1.94</v>
      </c>
      <c r="AA60">
        <f>IFERROR(ROUND((VLOOKUP(S60,AF60:AG70,2,FALSE)*VLOOKUP(AA59,AF60:AG70,2,FALSE))^0.5,2),"")</f>
        <v>1.94</v>
      </c>
      <c r="AB60" t="str">
        <f>IFERROR(ROUND((VLOOKUP(S60,AF60:AG70,2,FALSE)*VLOOKUP(AB59,AF60:AG70,2,FALSE))^0.5,2),"")</f>
        <v/>
      </c>
      <c r="AC60" t="str">
        <f>IFERROR(ROUND((VLOOKUP(S60,AF60:AG70,2,FALSE)*VLOOKUP(AC59,AF60:AG70,2,FALSE))^0.5,2),"")</f>
        <v/>
      </c>
      <c r="AD60" t="str">
        <f>IFERROR(ROUND((VLOOKUP(S60,AF60:AG70,2,FALSE)*VLOOKUP(AD59,AF60:AG70,2,FALSE))^0.5,2),"")</f>
        <v/>
      </c>
      <c r="AF60" s="20">
        <v>180</v>
      </c>
      <c r="AG60" s="21">
        <v>2.5</v>
      </c>
      <c r="AH60" s="22"/>
    </row>
    <row r="61" spans="2:34" x14ac:dyDescent="0.25">
      <c r="B61" s="14">
        <v>360</v>
      </c>
      <c r="C61">
        <f>IFERROR(ROUND((VLOOKUP(B61,O60:P70,2,FALSE)*VLOOKUP(C59,O60:P70,2,FALSE))^0.5,2),"")</f>
        <v>2.5</v>
      </c>
      <c r="D61">
        <f>IFERROR(ROUND((VLOOKUP(B61,O60:P70,2,FALSE)*VLOOKUP(D59,O60:P70,2,FALSE))^0.5,2),"")</f>
        <v>2.5</v>
      </c>
      <c r="E61">
        <f>IFERROR(ROUND((VLOOKUP(B61,O60:P70,2,FALSE)*VLOOKUP(E59,O60:P70,2,FALSE))^0.5,2),"")</f>
        <v>2.4</v>
      </c>
      <c r="F61">
        <f>IFERROR(ROUND((VLOOKUP(B61,O60:P70,2,FALSE)*VLOOKUP(F59,O60:P70,2,FALSE))^0.5,2),"")</f>
        <v>2.4</v>
      </c>
      <c r="G61">
        <f>IFERROR(ROUND((VLOOKUP(B61,O60:P70,2,FALSE)*VLOOKUP(G59,O60:P70,2,FALSE))^0.5,2),"")</f>
        <v>1.94</v>
      </c>
      <c r="H61">
        <f>IFERROR(ROUND((VLOOKUP(B61,O60:P70,2,FALSE)*VLOOKUP(H59,O60:P70,2,FALSE))^0.5,2),"")</f>
        <v>1.94</v>
      </c>
      <c r="I61">
        <f>IFERROR(ROUND((VLOOKUP(B61,O60:P70,2,FALSE)*VLOOKUP(I59,O60:P70,2,FALSE))^0.5,2),"")</f>
        <v>1.94</v>
      </c>
      <c r="J61">
        <f>IFERROR(ROUND((VLOOKUP(B61,O60:P70,2,FALSE)*VLOOKUP(J59,O60:P70,2,FALSE))^0.5,2),"")</f>
        <v>1.94</v>
      </c>
      <c r="K61" t="str">
        <f>IFERROR(ROUND((VLOOKUP(B61,O60:P70,2,FALSE)*VLOOKUP(K59,O60:P70,2,FALSE))^0.5,2),"")</f>
        <v/>
      </c>
      <c r="L61" t="str">
        <f>IFERROR(ROUND((VLOOKUP(B61,O60:P70,2,FALSE)*VLOOKUP(L59,O60:P70,2,FALSE))^0.5,2),"")</f>
        <v/>
      </c>
      <c r="M61" t="str">
        <f>IFERROR(ROUND((VLOOKUP(B61,O60:P70,2,FALSE)*VLOOKUP(M59,O60:P70,2,FALSE))^0.5,2),"")</f>
        <v/>
      </c>
      <c r="O61" s="23">
        <v>360</v>
      </c>
      <c r="P61" s="24">
        <v>2.5</v>
      </c>
      <c r="Q61" s="25">
        <f>IFERROR(P61-P60,"")</f>
        <v>0</v>
      </c>
      <c r="S61" s="14">
        <v>360</v>
      </c>
      <c r="T61">
        <f>IFERROR(ROUND((VLOOKUP(S61,AF60:AG70,2,FALSE)*VLOOKUP(T59,AF60:AG70,2,FALSE))^0.5,2),"")</f>
        <v>2.5</v>
      </c>
      <c r="U61">
        <f>IFERROR(ROUND((VLOOKUP(S61,AF60:AG70,2,FALSE)*VLOOKUP(U59,AF60:AG70,2,FALSE))^0.5,2),"")</f>
        <v>2.5</v>
      </c>
      <c r="V61">
        <f>IFERROR(ROUND((VLOOKUP(S61,AF60:AG70,2,FALSE)*VLOOKUP(V59,AF60:AG70,2,FALSE))^0.5,2),"")</f>
        <v>2.4</v>
      </c>
      <c r="W61">
        <f>IFERROR(ROUND((VLOOKUP(S61,AF60:AG70,2,FALSE)*VLOOKUP(W59,AF60:AG70,2,FALSE))^0.5,2),"")</f>
        <v>2.4</v>
      </c>
      <c r="X61">
        <f>IFERROR(ROUND((VLOOKUP(S61,AF60:AG70,2,FALSE)*VLOOKUP(X59,AF60:AG70,2,FALSE))^0.5,2),"")</f>
        <v>1.94</v>
      </c>
      <c r="Y61">
        <f>IFERROR(ROUND((VLOOKUP(S61,AF60:AG70,2,FALSE)*VLOOKUP(Y59,AF60:AG70,2,FALSE))^0.5,2),"")</f>
        <v>1.94</v>
      </c>
      <c r="Z61">
        <f>IFERROR(ROUND((VLOOKUP(S61,AF60:AG70,2,FALSE)*VLOOKUP(Z59,AF60:AG70,2,FALSE))^0.5,2),"")</f>
        <v>1.94</v>
      </c>
      <c r="AA61">
        <f>IFERROR(ROUND((VLOOKUP(S61,AF60:AG70,2,FALSE)*VLOOKUP(AA59,AF60:AG70,2,FALSE))^0.5,2),"")</f>
        <v>1.94</v>
      </c>
      <c r="AB61" t="str">
        <f>IFERROR(ROUND((VLOOKUP(S61,AF60:AG70,2,FALSE)*VLOOKUP(AB59,AF60:AG70,2,FALSE))^0.5,2),"")</f>
        <v/>
      </c>
      <c r="AC61" t="str">
        <f>IFERROR(ROUND((VLOOKUP(S61,AF60:AG70,2,FALSE)*VLOOKUP(AC59,AF60:AG70,2,FALSE))^0.5,2),"")</f>
        <v/>
      </c>
      <c r="AD61" t="str">
        <f>IFERROR(ROUND((VLOOKUP(S61,AF60:AG70,2,FALSE)*VLOOKUP(AD59,AF60:AG70,2,FALSE))^0.5,2),"")</f>
        <v/>
      </c>
      <c r="AF61" s="23">
        <v>360</v>
      </c>
      <c r="AG61" s="24">
        <v>2.5</v>
      </c>
      <c r="AH61" s="25">
        <f>IFERROR(AG61-AG60,"")</f>
        <v>0</v>
      </c>
    </row>
    <row r="62" spans="2:34" x14ac:dyDescent="0.25">
      <c r="B62" s="14">
        <v>420</v>
      </c>
      <c r="C62">
        <f>IFERROR(ROUND((VLOOKUP(B62,O60:P70,2,FALSE)*VLOOKUP(C59,O60:P70,2,FALSE))^0.5,2),"")</f>
        <v>2.4</v>
      </c>
      <c r="D62">
        <f>IFERROR(ROUND((VLOOKUP(B62,O60:P70,2,FALSE)*VLOOKUP(D59,O60:P70,2,FALSE))^0.5,2),"")</f>
        <v>2.4</v>
      </c>
      <c r="E62">
        <f>IFERROR(ROUND((VLOOKUP(B62,O60:P70,2,FALSE)*VLOOKUP(E59,O60:P70,2,FALSE))^0.5,2),"")</f>
        <v>2.2999999999999998</v>
      </c>
      <c r="F62">
        <f>IFERROR(ROUND((VLOOKUP(B62,O60:P70,2,FALSE)*VLOOKUP(F59,O60:P70,2,FALSE))^0.5,2),"")</f>
        <v>2.2999999999999998</v>
      </c>
      <c r="G62">
        <f>IFERROR(ROUND((VLOOKUP(B62,O60:P70,2,FALSE)*VLOOKUP(G59,O60:P70,2,FALSE))^0.5,2),"")</f>
        <v>1.86</v>
      </c>
      <c r="H62">
        <f>IFERROR(ROUND((VLOOKUP(B62,O60:P70,2,FALSE)*VLOOKUP(H59,O60:P70,2,FALSE))^0.5,2),"")</f>
        <v>1.86</v>
      </c>
      <c r="I62">
        <f>IFERROR(ROUND((VLOOKUP(B62,O60:P70,2,FALSE)*VLOOKUP(I59,O60:P70,2,FALSE))^0.5,2),"")</f>
        <v>1.86</v>
      </c>
      <c r="J62">
        <f>IFERROR(ROUND((VLOOKUP(B62,O60:P70,2,FALSE)*VLOOKUP(J59,O60:P70,2,FALSE))^0.5,2),"")</f>
        <v>1.86</v>
      </c>
      <c r="K62" t="str">
        <f>IFERROR(ROUND((VLOOKUP(B62,O60:P70,2,FALSE)*VLOOKUP(K59,O60:P70,2,FALSE))^0.5,2),"")</f>
        <v/>
      </c>
      <c r="L62" t="str">
        <f>IFERROR(ROUND((VLOOKUP(B62,O60:P70,2,FALSE)*VLOOKUP(L59,O60:P70,2,FALSE))^0.5,2),"")</f>
        <v/>
      </c>
      <c r="M62" t="str">
        <f>IFERROR(ROUND((VLOOKUP(B62,O60:P70,2,FALSE)*VLOOKUP(M59,O60:P70,2,FALSE))^0.5,2),"")</f>
        <v/>
      </c>
      <c r="O62" s="20">
        <v>420</v>
      </c>
      <c r="P62" s="21">
        <v>2.2999999999999998</v>
      </c>
      <c r="Q62" s="22">
        <f t="shared" ref="Q62:Q70" si="8">IFERROR(P62-P61,"")</f>
        <v>-0.20000000000000018</v>
      </c>
      <c r="S62" s="14">
        <v>420</v>
      </c>
      <c r="T62">
        <f>IFERROR(ROUND((VLOOKUP(S62,AF60:AG70,2,FALSE)*VLOOKUP(T59,AF60:AG70,2,FALSE))^0.5,2),"")</f>
        <v>2.4</v>
      </c>
      <c r="U62">
        <f>IFERROR(ROUND((VLOOKUP(S62,AF60:AG70,2,FALSE)*VLOOKUP(U59,AF60:AG70,2,FALSE))^0.5,2),"")</f>
        <v>2.4</v>
      </c>
      <c r="V62">
        <f>IFERROR(ROUND((VLOOKUP(S62,AF60:AG70,2,FALSE)*VLOOKUP(V59,AF60:AG70,2,FALSE))^0.5,2),"")</f>
        <v>2.2999999999999998</v>
      </c>
      <c r="W62">
        <f>IFERROR(ROUND((VLOOKUP(S62,AF60:AG70,2,FALSE)*VLOOKUP(W59,AF60:AG70,2,FALSE))^0.5,2),"")</f>
        <v>2.2999999999999998</v>
      </c>
      <c r="X62">
        <f>IFERROR(ROUND((VLOOKUP(S62,AF60:AG70,2,FALSE)*VLOOKUP(X59,AF60:AG70,2,FALSE))^0.5,2),"")</f>
        <v>1.86</v>
      </c>
      <c r="Y62">
        <f>IFERROR(ROUND((VLOOKUP(S62,AF60:AG70,2,FALSE)*VLOOKUP(Y59,AF60:AG70,2,FALSE))^0.5,2),"")</f>
        <v>1.86</v>
      </c>
      <c r="Z62">
        <f>IFERROR(ROUND((VLOOKUP(S62,AF60:AG70,2,FALSE)*VLOOKUP(Z59,AF60:AG70,2,FALSE))^0.5,2),"")</f>
        <v>1.86</v>
      </c>
      <c r="AA62">
        <f>IFERROR(ROUND((VLOOKUP(S62,AF60:AG70,2,FALSE)*VLOOKUP(AA59,AF60:AG70,2,FALSE))^0.5,2),"")</f>
        <v>1.86</v>
      </c>
      <c r="AB62" t="str">
        <f>IFERROR(ROUND((VLOOKUP(S62,AF60:AG70,2,FALSE)*VLOOKUP(AB59,AF60:AG70,2,FALSE))^0.5,2),"")</f>
        <v/>
      </c>
      <c r="AC62" t="str">
        <f>IFERROR(ROUND((VLOOKUP(S62,AF60:AG70,2,FALSE)*VLOOKUP(AC59,AF60:AG70,2,FALSE))^0.5,2),"")</f>
        <v/>
      </c>
      <c r="AD62" t="str">
        <f>IFERROR(ROUND((VLOOKUP(S62,AF60:AG70,2,FALSE)*VLOOKUP(AD59,AF60:AG70,2,FALSE))^0.5,2),"")</f>
        <v/>
      </c>
      <c r="AF62" s="20">
        <v>420</v>
      </c>
      <c r="AG62" s="21">
        <v>2.2999999999999998</v>
      </c>
      <c r="AH62" s="22">
        <f t="shared" ref="AH62:AH70" si="9">IFERROR(AG62-AG61,"")</f>
        <v>-0.20000000000000018</v>
      </c>
    </row>
    <row r="63" spans="2:34" x14ac:dyDescent="0.25">
      <c r="B63" s="14">
        <v>580</v>
      </c>
      <c r="C63">
        <f>IFERROR(ROUND((VLOOKUP(B63,O60:P70,2,FALSE)*VLOOKUP(C59,O60:P70,2,FALSE))^0.5,2),"")</f>
        <v>2.4</v>
      </c>
      <c r="D63">
        <f>IFERROR(ROUND((VLOOKUP(B63,O60:P70,2,FALSE)*VLOOKUP(D59,O60:P70,2,FALSE))^0.5,2),"")</f>
        <v>2.4</v>
      </c>
      <c r="E63">
        <f>IFERROR(ROUND((VLOOKUP(B63,O60:P70,2,FALSE)*VLOOKUP(E59,O60:P70,2,FALSE))^0.5,2),"")</f>
        <v>2.2999999999999998</v>
      </c>
      <c r="F63">
        <f>IFERROR(ROUND((VLOOKUP(B63,O60:P70,2,FALSE)*VLOOKUP(F59,O60:P70,2,FALSE))^0.5,2),"")</f>
        <v>2.2999999999999998</v>
      </c>
      <c r="G63">
        <f>IFERROR(ROUND((VLOOKUP(B63,O60:P70,2,FALSE)*VLOOKUP(G59,O60:P70,2,FALSE))^0.5,2),"")</f>
        <v>1.86</v>
      </c>
      <c r="H63">
        <f>IFERROR(ROUND((VLOOKUP(B63,O60:P70,2,FALSE)*VLOOKUP(H59,O60:P70,2,FALSE))^0.5,2),"")</f>
        <v>1.86</v>
      </c>
      <c r="I63">
        <f>IFERROR(ROUND((VLOOKUP(B63,O60:P70,2,FALSE)*VLOOKUP(I59,O60:P70,2,FALSE))^0.5,2),"")</f>
        <v>1.86</v>
      </c>
      <c r="J63">
        <f>IFERROR(ROUND((VLOOKUP(B63,O60:P70,2,FALSE)*VLOOKUP(J59,O60:P70,2,FALSE))^0.5,2),"")</f>
        <v>1.86</v>
      </c>
      <c r="K63" t="str">
        <f>IFERROR(ROUND((VLOOKUP(B63,O60:P70,2,FALSE)*VLOOKUP(K59,O60:P70,2,FALSE))^0.5,2),"")</f>
        <v/>
      </c>
      <c r="L63" t="str">
        <f>IFERROR(ROUND((VLOOKUP(B63,O60:P70,2,FALSE)*VLOOKUP(L59,O60:P70,2,FALSE))^0.5,2),"")</f>
        <v/>
      </c>
      <c r="M63" t="str">
        <f>IFERROR(ROUND((VLOOKUP(B63,O60:P70,2,FALSE)*VLOOKUP(M59,O60:P70,2,FALSE))^0.5,2),"")</f>
        <v/>
      </c>
      <c r="O63" s="23">
        <v>580</v>
      </c>
      <c r="P63" s="24">
        <v>2.2999999999999998</v>
      </c>
      <c r="Q63" s="25">
        <f t="shared" si="8"/>
        <v>0</v>
      </c>
      <c r="S63" s="14">
        <v>580</v>
      </c>
      <c r="T63">
        <f>IFERROR(ROUND((VLOOKUP(S63,AF60:AG70,2,FALSE)*VLOOKUP(T59,AF60:AG70,2,FALSE))^0.5,2),"")</f>
        <v>2.4</v>
      </c>
      <c r="U63">
        <f>IFERROR(ROUND((VLOOKUP(S63,AF60:AG70,2,FALSE)*VLOOKUP(U59,AF60:AG70,2,FALSE))^0.5,2),"")</f>
        <v>2.4</v>
      </c>
      <c r="V63">
        <f>IFERROR(ROUND((VLOOKUP(S63,AF60:AG70,2,FALSE)*VLOOKUP(V59,AF60:AG70,2,FALSE))^0.5,2),"")</f>
        <v>2.2999999999999998</v>
      </c>
      <c r="W63">
        <f>IFERROR(ROUND((VLOOKUP(S63,AF60:AG70,2,FALSE)*VLOOKUP(W59,AF60:AG70,2,FALSE))^0.5,2),"")</f>
        <v>2.2999999999999998</v>
      </c>
      <c r="X63">
        <f>IFERROR(ROUND((VLOOKUP(S63,AF60:AG70,2,FALSE)*VLOOKUP(X59,AF60:AG70,2,FALSE))^0.5,2),"")</f>
        <v>1.86</v>
      </c>
      <c r="Y63">
        <f>IFERROR(ROUND((VLOOKUP(S63,AF60:AG70,2,FALSE)*VLOOKUP(Y59,AF60:AG70,2,FALSE))^0.5,2),"")</f>
        <v>1.86</v>
      </c>
      <c r="Z63">
        <f>IFERROR(ROUND((VLOOKUP(S63,AF60:AG70,2,FALSE)*VLOOKUP(Z59,AF60:AG70,2,FALSE))^0.5,2),"")</f>
        <v>1.86</v>
      </c>
      <c r="AA63">
        <f>IFERROR(ROUND((VLOOKUP(S63,AF60:AG70,2,FALSE)*VLOOKUP(AA59,AF60:AG70,2,FALSE))^0.5,2),"")</f>
        <v>1.86</v>
      </c>
      <c r="AB63" t="str">
        <f>IFERROR(ROUND((VLOOKUP(S63,AF60:AG70,2,FALSE)*VLOOKUP(AB59,AF60:AG70,2,FALSE))^0.5,2),"")</f>
        <v/>
      </c>
      <c r="AC63" t="str">
        <f>IFERROR(ROUND((VLOOKUP(S63,AF60:AG70,2,FALSE)*VLOOKUP(AC59,AF60:AG70,2,FALSE))^0.5,2),"")</f>
        <v/>
      </c>
      <c r="AD63" t="str">
        <f>IFERROR(ROUND((VLOOKUP(S63,AF60:AG70,2,FALSE)*VLOOKUP(AD59,AF60:AG70,2,FALSE))^0.5,2),"")</f>
        <v/>
      </c>
      <c r="AF63" s="23">
        <v>580</v>
      </c>
      <c r="AG63" s="24">
        <v>2.2999999999999998</v>
      </c>
      <c r="AH63" s="25">
        <f t="shared" si="9"/>
        <v>0</v>
      </c>
    </row>
    <row r="64" spans="2:34" x14ac:dyDescent="0.25">
      <c r="B64" s="14">
        <v>660</v>
      </c>
      <c r="C64">
        <f>IFERROR(ROUND((VLOOKUP(B64,O60:P70,2,FALSE)*VLOOKUP(C59,O60:P70,2,FALSE))^0.5,2),"")</f>
        <v>1.94</v>
      </c>
      <c r="D64">
        <f>IFERROR(ROUND((VLOOKUP(B64,O60:P70,2,FALSE)*VLOOKUP(D59,O60:P70,2,FALSE))^0.5,2),"")</f>
        <v>1.94</v>
      </c>
      <c r="E64">
        <f>IFERROR(ROUND((VLOOKUP(B64,O60:P70,2,FALSE)*VLOOKUP(E59,O60:P70,2,FALSE))^0.5,2),"")</f>
        <v>1.86</v>
      </c>
      <c r="F64">
        <f>IFERROR(ROUND((VLOOKUP(B64,O60:P70,2,FALSE)*VLOOKUP(F59,O60:P70,2,FALSE))^0.5,2),"")</f>
        <v>1.86</v>
      </c>
      <c r="G64">
        <f>IFERROR(ROUND((VLOOKUP(B64,O60:P70,2,FALSE)*VLOOKUP(G59,O60:P70,2,FALSE))^0.5,2),"")</f>
        <v>1.5</v>
      </c>
      <c r="H64">
        <f>IFERROR(ROUND((VLOOKUP(B64,O60:P70,2,FALSE)*VLOOKUP(H59,O60:P70,2,FALSE))^0.5,2),"")</f>
        <v>1.5</v>
      </c>
      <c r="I64">
        <f>IFERROR(ROUND((VLOOKUP(B64,O60:P70,2,FALSE)*VLOOKUP(I59,O60:P70,2,FALSE))^0.5,2),"")</f>
        <v>1.5</v>
      </c>
      <c r="J64">
        <f>IFERROR(ROUND((VLOOKUP(B64,O60:P70,2,FALSE)*VLOOKUP(J59,O60:P70,2,FALSE))^0.5,2),"")</f>
        <v>1.5</v>
      </c>
      <c r="K64" t="str">
        <f>IFERROR(ROUND((VLOOKUP(B64,O60:P70,2,FALSE)*VLOOKUP(K59,O60:P70,2,FALSE))^0.5,2),"")</f>
        <v/>
      </c>
      <c r="L64" t="str">
        <f>IFERROR(ROUND((VLOOKUP(B64,O60:P70,2,FALSE)*VLOOKUP(L59,O60:P70,2,FALSE))^0.5,2),"")</f>
        <v/>
      </c>
      <c r="M64" t="str">
        <f>IFERROR(ROUND((VLOOKUP(B64,O60:P70,2,FALSE)*VLOOKUP(M59,O60:P70,2,FALSE))^0.5,2),"")</f>
        <v/>
      </c>
      <c r="O64" s="20">
        <v>660</v>
      </c>
      <c r="P64" s="21">
        <v>1.5</v>
      </c>
      <c r="Q64" s="22">
        <f t="shared" si="8"/>
        <v>-0.79999999999999982</v>
      </c>
      <c r="S64" s="14">
        <v>660</v>
      </c>
      <c r="T64">
        <f>IFERROR(ROUND((VLOOKUP(S64,AF60:AG70,2,FALSE)*VLOOKUP(T59,AF60:AG70,2,FALSE))^0.5,2),"")</f>
        <v>1.94</v>
      </c>
      <c r="U64">
        <f>IFERROR(ROUND((VLOOKUP(S64,AF60:AG70,2,FALSE)*VLOOKUP(U59,AF60:AG70,2,FALSE))^0.5,2),"")</f>
        <v>1.94</v>
      </c>
      <c r="V64">
        <f>IFERROR(ROUND((VLOOKUP(S64,AF60:AG70,2,FALSE)*VLOOKUP(V59,AF60:AG70,2,FALSE))^0.5,2),"")</f>
        <v>1.86</v>
      </c>
      <c r="W64">
        <f>IFERROR(ROUND((VLOOKUP(S64,AF60:AG70,2,FALSE)*VLOOKUP(W59,AF60:AG70,2,FALSE))^0.5,2),"")</f>
        <v>1.86</v>
      </c>
      <c r="X64">
        <f>IFERROR(ROUND((VLOOKUP(S64,AF60:AG70,2,FALSE)*VLOOKUP(X59,AF60:AG70,2,FALSE))^0.5,2),"")</f>
        <v>1.5</v>
      </c>
      <c r="Y64">
        <f>IFERROR(ROUND((VLOOKUP(S64,AF60:AG70,2,FALSE)*VLOOKUP(Y59,AF60:AG70,2,FALSE))^0.5,2),"")</f>
        <v>1.5</v>
      </c>
      <c r="Z64">
        <f>IFERROR(ROUND((VLOOKUP(S64,AF60:AG70,2,FALSE)*VLOOKUP(Z59,AF60:AG70,2,FALSE))^0.5,2),"")</f>
        <v>1.5</v>
      </c>
      <c r="AA64">
        <f>IFERROR(ROUND((VLOOKUP(S64,AF60:AG70,2,FALSE)*VLOOKUP(AA59,AF60:AG70,2,FALSE))^0.5,2),"")</f>
        <v>1.5</v>
      </c>
      <c r="AB64" t="str">
        <f>IFERROR(ROUND((VLOOKUP(S64,AF60:AG70,2,FALSE)*VLOOKUP(AB59,AF60:AG70,2,FALSE))^0.5,2),"")</f>
        <v/>
      </c>
      <c r="AC64" t="str">
        <f>IFERROR(ROUND((VLOOKUP(S64,AF60:AG70,2,FALSE)*VLOOKUP(AC59,AF60:AG70,2,FALSE))^0.5,2),"")</f>
        <v/>
      </c>
      <c r="AD64" t="str">
        <f>IFERROR(ROUND((VLOOKUP(S64,AF60:AG70,2,FALSE)*VLOOKUP(AD59,AF60:AG70,2,FALSE))^0.5,2),"")</f>
        <v/>
      </c>
      <c r="AF64" s="20">
        <v>660</v>
      </c>
      <c r="AG64" s="21">
        <v>1.5</v>
      </c>
      <c r="AH64" s="22">
        <f t="shared" si="9"/>
        <v>-0.79999999999999982</v>
      </c>
    </row>
    <row r="65" spans="2:34" x14ac:dyDescent="0.25">
      <c r="B65" s="14">
        <v>720</v>
      </c>
      <c r="C65">
        <f>IFERROR(ROUND((VLOOKUP(B65,O60:P70,2,FALSE)*VLOOKUP(C59,O60:P70,2,FALSE))^0.5,2),"")</f>
        <v>1.94</v>
      </c>
      <c r="D65">
        <f>IFERROR(ROUND((VLOOKUP(B65,O60:P70,2,FALSE)*VLOOKUP(D59,O60:P70,2,FALSE))^0.5,2),"")</f>
        <v>1.94</v>
      </c>
      <c r="E65">
        <f>IFERROR(ROUND((VLOOKUP(B65,O60:P70,2,FALSE)*VLOOKUP(E59,O60:P70,2,FALSE))^0.5,2),"")</f>
        <v>1.86</v>
      </c>
      <c r="F65">
        <f>IFERROR(ROUND((VLOOKUP(B65,O60:P70,2,FALSE)*VLOOKUP(F59,O60:P70,2,FALSE))^0.5,2),"")</f>
        <v>1.86</v>
      </c>
      <c r="G65">
        <f>IFERROR(ROUND((VLOOKUP(B65,O60:P70,2,FALSE)*VLOOKUP(G59,O60:P70,2,FALSE))^0.5,2),"")</f>
        <v>1.5</v>
      </c>
      <c r="H65">
        <f>IFERROR(ROUND((VLOOKUP(B65,O60:P70,2,FALSE)*VLOOKUP(H59,O60:P70,2,FALSE))^0.5,2),"")</f>
        <v>1.5</v>
      </c>
      <c r="I65">
        <f>IFERROR(ROUND((VLOOKUP(B65,O60:P70,2,FALSE)*VLOOKUP(I59,O60:P70,2,FALSE))^0.5,2),"")</f>
        <v>1.5</v>
      </c>
      <c r="J65">
        <f>IFERROR(ROUND((VLOOKUP(B65,O60:P70,2,FALSE)*VLOOKUP(J59,O60:P70,2,FALSE))^0.5,2),"")</f>
        <v>1.5</v>
      </c>
      <c r="K65" t="str">
        <f>IFERROR(ROUND((VLOOKUP(B65,O60:P70,2,FALSE)*VLOOKUP(K59,O60:P70,2,FALSE))^0.5,2),"")</f>
        <v/>
      </c>
      <c r="L65" t="str">
        <f>IFERROR(ROUND((VLOOKUP(B65,O60:P70,2,FALSE)*VLOOKUP(L59,O60:P70,2,FALSE))^0.5,2),"")</f>
        <v/>
      </c>
      <c r="M65" t="str">
        <f>IFERROR(ROUND((VLOOKUP(B65,O60:P70,2,FALSE)*VLOOKUP(M59,O60:P70,2,FALSE))^0.5,2),"")</f>
        <v/>
      </c>
      <c r="O65" s="23">
        <v>720</v>
      </c>
      <c r="P65" s="24">
        <v>1.5</v>
      </c>
      <c r="Q65" s="25">
        <f t="shared" si="8"/>
        <v>0</v>
      </c>
      <c r="S65" s="14">
        <v>720</v>
      </c>
      <c r="T65">
        <f>IFERROR(ROUND((VLOOKUP(S65,AF60:AG70,2,FALSE)*VLOOKUP(T59,AF60:AG70,2,FALSE))^0.5,2),"")</f>
        <v>1.94</v>
      </c>
      <c r="U65">
        <f>IFERROR(ROUND((VLOOKUP(S65,AF60:AG70,2,FALSE)*VLOOKUP(U59,AF60:AG70,2,FALSE))^0.5,2),"")</f>
        <v>1.94</v>
      </c>
      <c r="V65">
        <f>IFERROR(ROUND((VLOOKUP(S65,AF60:AG70,2,FALSE)*VLOOKUP(V59,AF60:AG70,2,FALSE))^0.5,2),"")</f>
        <v>1.86</v>
      </c>
      <c r="W65">
        <f>IFERROR(ROUND((VLOOKUP(S65,AF60:AG70,2,FALSE)*VLOOKUP(W59,AF60:AG70,2,FALSE))^0.5,2),"")</f>
        <v>1.86</v>
      </c>
      <c r="X65">
        <f>IFERROR(ROUND((VLOOKUP(S65,AF60:AG70,2,FALSE)*VLOOKUP(X59,AF60:AG70,2,FALSE))^0.5,2),"")</f>
        <v>1.5</v>
      </c>
      <c r="Y65">
        <f>IFERROR(ROUND((VLOOKUP(S65,AF60:AG70,2,FALSE)*VLOOKUP(Y59,AF60:AG70,2,FALSE))^0.5,2),"")</f>
        <v>1.5</v>
      </c>
      <c r="Z65">
        <f>IFERROR(ROUND((VLOOKUP(S65,AF60:AG70,2,FALSE)*VLOOKUP(Z59,AF60:AG70,2,FALSE))^0.5,2),"")</f>
        <v>1.5</v>
      </c>
      <c r="AA65">
        <f>IFERROR(ROUND((VLOOKUP(S65,AF60:AG70,2,FALSE)*VLOOKUP(AA59,AF60:AG70,2,FALSE))^0.5,2),"")</f>
        <v>1.5</v>
      </c>
      <c r="AB65" t="str">
        <f>IFERROR(ROUND((VLOOKUP(S65,AF60:AG70,2,FALSE)*VLOOKUP(AB59,AF60:AG70,2,FALSE))^0.5,2),"")</f>
        <v/>
      </c>
      <c r="AC65" t="str">
        <f>IFERROR(ROUND((VLOOKUP(S65,AF60:AG70,2,FALSE)*VLOOKUP(AC59,AF60:AG70,2,FALSE))^0.5,2),"")</f>
        <v/>
      </c>
      <c r="AD65" t="str">
        <f>IFERROR(ROUND((VLOOKUP(S65,AF60:AG70,2,FALSE)*VLOOKUP(AD59,AF60:AG70,2,FALSE))^0.5,2),"")</f>
        <v/>
      </c>
      <c r="AF65" s="23">
        <v>720</v>
      </c>
      <c r="AG65" s="24">
        <v>1.5</v>
      </c>
      <c r="AH65" s="25">
        <f t="shared" si="9"/>
        <v>0</v>
      </c>
    </row>
    <row r="66" spans="2:34" x14ac:dyDescent="0.25">
      <c r="B66" s="14">
        <v>780</v>
      </c>
      <c r="C66">
        <f>IFERROR(ROUND((VLOOKUP(B66,O60:P70,2,FALSE)*VLOOKUP(C59,O60:P70,2,FALSE))^0.5,2),"")</f>
        <v>1.94</v>
      </c>
      <c r="D66">
        <f>IFERROR(ROUND((VLOOKUP(B66,O60:P70,2,FALSE)*VLOOKUP(D59,O60:P70,2,FALSE))^0.5,2),"")</f>
        <v>1.94</v>
      </c>
      <c r="E66">
        <f>IFERROR(ROUND((VLOOKUP(B66,O60:P70,2,FALSE)*VLOOKUP(E59,O60:P70,2,FALSE))^0.5,2),"")</f>
        <v>1.86</v>
      </c>
      <c r="F66">
        <f>IFERROR(ROUND((VLOOKUP(B66,O60:P70,2,FALSE)*VLOOKUP(F59,O60:P70,2,FALSE))^0.5,2),"")</f>
        <v>1.86</v>
      </c>
      <c r="G66">
        <f>IFERROR(ROUND((VLOOKUP(B66,O60:P70,2,FALSE)*VLOOKUP(G59,O60:P70,2,FALSE))^0.5,2),"")</f>
        <v>1.5</v>
      </c>
      <c r="H66">
        <f>IFERROR(ROUND((VLOOKUP(B66,O60:P70,2,FALSE)*VLOOKUP(H59,O60:P70,2,FALSE))^0.5,2),"")</f>
        <v>1.5</v>
      </c>
      <c r="I66">
        <f>IFERROR(ROUND((VLOOKUP(B66,O60:P70,2,FALSE)*VLOOKUP(I59,O60:P70,2,FALSE))^0.5,2),"")</f>
        <v>1.5</v>
      </c>
      <c r="J66">
        <f>IFERROR(ROUND((VLOOKUP(B66,O60:P70,2,FALSE)*VLOOKUP(J59,O60:P70,2,FALSE))^0.5,2),"")</f>
        <v>1.5</v>
      </c>
      <c r="K66" t="str">
        <f>IFERROR(ROUND((VLOOKUP(B66,O60:P70,2,FALSE)*VLOOKUP(K59,O60:P70,2,FALSE))^0.5,2),"")</f>
        <v/>
      </c>
      <c r="L66" t="str">
        <f>IFERROR(ROUND((VLOOKUP(B66,O60:P70,2,FALSE)*VLOOKUP(L59,O60:P70,2,FALSE))^0.5,2),"")</f>
        <v/>
      </c>
      <c r="M66" t="str">
        <f>IFERROR(ROUND((VLOOKUP(B66,O60:P70,2,FALSE)*VLOOKUP(M59,O60:P70,2,FALSE))^0.5,2),"")</f>
        <v/>
      </c>
      <c r="O66" s="20">
        <v>780</v>
      </c>
      <c r="P66" s="21">
        <v>1.5</v>
      </c>
      <c r="Q66" s="22">
        <f t="shared" si="8"/>
        <v>0</v>
      </c>
      <c r="S66" s="14">
        <v>780</v>
      </c>
      <c r="T66">
        <f>IFERROR(ROUND((VLOOKUP(S66,AF60:AG70,2,FALSE)*VLOOKUP(T59,AF60:AG70,2,FALSE))^0.5,2),"")</f>
        <v>1.94</v>
      </c>
      <c r="U66">
        <f>IFERROR(ROUND((VLOOKUP(S66,AF60:AG70,2,FALSE)*VLOOKUP(U59,AF60:AG70,2,FALSE))^0.5,2),"")</f>
        <v>1.94</v>
      </c>
      <c r="V66">
        <f>IFERROR(ROUND((VLOOKUP(S66,AF60:AG70,2,FALSE)*VLOOKUP(V59,AF60:AG70,2,FALSE))^0.5,2),"")</f>
        <v>1.86</v>
      </c>
      <c r="W66">
        <f>IFERROR(ROUND((VLOOKUP(S66,AF60:AG70,2,FALSE)*VLOOKUP(W59,AF60:AG70,2,FALSE))^0.5,2),"")</f>
        <v>1.86</v>
      </c>
      <c r="X66">
        <f>IFERROR(ROUND((VLOOKUP(S66,AF60:AG70,2,FALSE)*VLOOKUP(X59,AF60:AG70,2,FALSE))^0.5,2),"")</f>
        <v>1.5</v>
      </c>
      <c r="Y66">
        <f>IFERROR(ROUND((VLOOKUP(S66,AF60:AG70,2,FALSE)*VLOOKUP(Y59,AF60:AG70,2,FALSE))^0.5,2),"")</f>
        <v>1.5</v>
      </c>
      <c r="Z66">
        <f>IFERROR(ROUND((VLOOKUP(S66,AF60:AG70,2,FALSE)*VLOOKUP(Z59,AF60:AG70,2,FALSE))^0.5,2),"")</f>
        <v>1.5</v>
      </c>
      <c r="AA66">
        <f>IFERROR(ROUND((VLOOKUP(S66,AF60:AG70,2,FALSE)*VLOOKUP(AA59,AF60:AG70,2,FALSE))^0.5,2),"")</f>
        <v>1.5</v>
      </c>
      <c r="AB66" t="str">
        <f>IFERROR(ROUND((VLOOKUP(S66,AF60:AG70,2,FALSE)*VLOOKUP(AB59,AF60:AG70,2,FALSE))^0.5,2),"")</f>
        <v/>
      </c>
      <c r="AC66" t="str">
        <f>IFERROR(ROUND((VLOOKUP(S66,AF60:AG70,2,FALSE)*VLOOKUP(AC59,AF60:AG70,2,FALSE))^0.5,2),"")</f>
        <v/>
      </c>
      <c r="AD66" t="str">
        <f>IFERROR(ROUND((VLOOKUP(S66,AF60:AG70,2,FALSE)*VLOOKUP(AD59,AF60:AG70,2,FALSE))^0.5,2),"")</f>
        <v/>
      </c>
      <c r="AF66" s="20">
        <v>780</v>
      </c>
      <c r="AG66" s="21">
        <v>1.5</v>
      </c>
      <c r="AH66" s="22">
        <f t="shared" si="9"/>
        <v>0</v>
      </c>
    </row>
    <row r="67" spans="2:34" x14ac:dyDescent="0.25">
      <c r="B67" s="14">
        <v>980</v>
      </c>
      <c r="C67">
        <f>IFERROR(ROUND((VLOOKUP(B67,O60:P70,2,FALSE)*VLOOKUP(C59,O60:P70,2,FALSE))^0.5,2),"")</f>
        <v>1.94</v>
      </c>
      <c r="D67">
        <f>IFERROR(ROUND((VLOOKUP(B67,O60:P70,2,FALSE)*VLOOKUP(D59,O60:P70,2,FALSE))^0.5,2),"")</f>
        <v>1.94</v>
      </c>
      <c r="E67">
        <f>IFERROR(ROUND((VLOOKUP(B67,O60:P70,2,FALSE)*VLOOKUP(E59,O60:P70,2,FALSE))^0.5,2),"")</f>
        <v>1.86</v>
      </c>
      <c r="F67">
        <f>IFERROR(ROUND((VLOOKUP(B67,O60:P70,2,FALSE)*VLOOKUP(F59,O60:P70,2,FALSE))^0.5,2),"")</f>
        <v>1.86</v>
      </c>
      <c r="G67">
        <f>IFERROR(ROUND((VLOOKUP(B67,O60:P70,2,FALSE)*VLOOKUP(G59,O60:P70,2,FALSE))^0.5,2),"")</f>
        <v>1.5</v>
      </c>
      <c r="H67">
        <f>IFERROR(ROUND((VLOOKUP(B67,O60:P70,2,FALSE)*VLOOKUP(H59,O60:P70,2,FALSE))^0.5,2),"")</f>
        <v>1.5</v>
      </c>
      <c r="I67">
        <f>IFERROR(ROUND((VLOOKUP(B67,O60:P70,2,FALSE)*VLOOKUP(I59,O60:P70,2,FALSE))^0.5,2),"")</f>
        <v>1.5</v>
      </c>
      <c r="J67">
        <f>IFERROR(ROUND((VLOOKUP(B67,O60:P70,2,FALSE)*VLOOKUP(J59,O60:P70,2,FALSE))^0.5,2),"")</f>
        <v>1.5</v>
      </c>
      <c r="K67" t="str">
        <f>IFERROR(ROUND((VLOOKUP(B67,O60:P70,2,FALSE)*VLOOKUP(K59,O60:P70,2,FALSE))^0.5,2),"")</f>
        <v/>
      </c>
      <c r="L67" t="str">
        <f>IFERROR(ROUND((VLOOKUP(B67,O60:P70,2,FALSE)*VLOOKUP(L59,O60:P70,2,FALSE))^0.5,2),"")</f>
        <v/>
      </c>
      <c r="M67" t="str">
        <f>IFERROR(ROUND((VLOOKUP(B67,O60:P70,2,FALSE)*VLOOKUP(M59,O60:P70,2,FALSE))^0.5,2),"")</f>
        <v/>
      </c>
      <c r="O67" s="26">
        <v>980</v>
      </c>
      <c r="P67" s="27">
        <v>1.5</v>
      </c>
      <c r="Q67" s="7">
        <f t="shared" si="8"/>
        <v>0</v>
      </c>
      <c r="S67" s="14">
        <v>980</v>
      </c>
      <c r="T67">
        <f>IFERROR(ROUND((VLOOKUP(S67,AF60:AG70,2,FALSE)*VLOOKUP(T59,AF60:AG70,2,FALSE))^0.5,2),"")</f>
        <v>1.94</v>
      </c>
      <c r="U67">
        <f>IFERROR(ROUND((VLOOKUP(S67,AF60:AG70,2,FALSE)*VLOOKUP(U59,AF60:AG70,2,FALSE))^0.5,2),"")</f>
        <v>1.94</v>
      </c>
      <c r="V67">
        <f>IFERROR(ROUND((VLOOKUP(S67,AF60:AG70,2,FALSE)*VLOOKUP(V59,AF60:AG70,2,FALSE))^0.5,2),"")</f>
        <v>1.86</v>
      </c>
      <c r="W67">
        <f>IFERROR(ROUND((VLOOKUP(S67,AF60:AG70,2,FALSE)*VLOOKUP(W59,AF60:AG70,2,FALSE))^0.5,2),"")</f>
        <v>1.86</v>
      </c>
      <c r="X67">
        <f>IFERROR(ROUND((VLOOKUP(S67,AF60:AG70,2,FALSE)*VLOOKUP(X59,AF60:AG70,2,FALSE))^0.5,2),"")</f>
        <v>1.5</v>
      </c>
      <c r="Y67">
        <f>IFERROR(ROUND((VLOOKUP(S67,AF60:AG70,2,FALSE)*VLOOKUP(Y59,AF60:AG70,2,FALSE))^0.5,2),"")</f>
        <v>1.5</v>
      </c>
      <c r="Z67">
        <f>IFERROR(ROUND((VLOOKUP(S67,AF60:AG70,2,FALSE)*VLOOKUP(Z59,AF60:AG70,2,FALSE))^0.5,2),"")</f>
        <v>1.5</v>
      </c>
      <c r="AA67">
        <f>IFERROR(ROUND((VLOOKUP(S67,AF60:AG70,2,FALSE)*VLOOKUP(AA59,AF60:AG70,2,FALSE))^0.5,2),"")</f>
        <v>1.5</v>
      </c>
      <c r="AB67" t="str">
        <f>IFERROR(ROUND((VLOOKUP(S67,AF60:AG70,2,FALSE)*VLOOKUP(AB59,AF60:AG70,2,FALSE))^0.5,2),"")</f>
        <v/>
      </c>
      <c r="AC67" t="str">
        <f>IFERROR(ROUND((VLOOKUP(S67,AF60:AG70,2,FALSE)*VLOOKUP(AC59,AF60:AG70,2,FALSE))^0.5,2),"")</f>
        <v/>
      </c>
      <c r="AD67" t="str">
        <f>IFERROR(ROUND((VLOOKUP(S67,AF60:AG70,2,FALSE)*VLOOKUP(AD59,AF60:AG70,2,FALSE))^0.5,2),"")</f>
        <v/>
      </c>
      <c r="AF67" s="26">
        <v>980</v>
      </c>
      <c r="AG67" s="27">
        <v>1.5</v>
      </c>
      <c r="AH67" s="7">
        <f t="shared" si="9"/>
        <v>0</v>
      </c>
    </row>
    <row r="68" spans="2:34" x14ac:dyDescent="0.25">
      <c r="B68" s="14">
        <v>1080</v>
      </c>
      <c r="C68" t="str">
        <f>IFERROR(ROUND((VLOOKUP(B68,O60:P70,2,FALSE)*VLOOKUP(C59,O60:P70,2,FALSE))^0.5,2),"")</f>
        <v/>
      </c>
      <c r="D68" t="str">
        <f>IFERROR(ROUND((VLOOKUP(B68,O60:P70,2,FALSE)*VLOOKUP(D59,O60:P70,2,FALSE))^0.5,2),"")</f>
        <v/>
      </c>
      <c r="E68" t="str">
        <f>IFERROR(ROUND((VLOOKUP(B68,O60:P70,2,FALSE)*VLOOKUP(E59,O60:P70,2,FALSE))^0.5,2),"")</f>
        <v/>
      </c>
      <c r="F68" t="str">
        <f>IFERROR(ROUND((VLOOKUP(B68,O60:P70,2,FALSE)*VLOOKUP(F59,O60:P70,2,FALSE))^0.5,2),"")</f>
        <v/>
      </c>
      <c r="G68" t="str">
        <f>IFERROR(ROUND((VLOOKUP(B68,O60:P70,2,FALSE)*VLOOKUP(G59,O60:P70,2,FALSE))^0.5,2),"")</f>
        <v/>
      </c>
      <c r="H68" t="str">
        <f>IFERROR(ROUND((VLOOKUP(B68,O60:P70,2,FALSE)*VLOOKUP(H59,O60:P70,2,FALSE))^0.5,2),"")</f>
        <v/>
      </c>
      <c r="I68" t="str">
        <f>IFERROR(ROUND((VLOOKUP(B68,O60:P70,2,FALSE)*VLOOKUP(I59,O60:P70,2,FALSE))^0.5,2),"")</f>
        <v/>
      </c>
      <c r="J68" t="str">
        <f>IFERROR(ROUND((VLOOKUP(B68,O60:P70,2,FALSE)*VLOOKUP(J59,O60:P70,2,FALSE))^0.5,2),"")</f>
        <v/>
      </c>
      <c r="K68" t="str">
        <f>IFERROR(ROUND((VLOOKUP(B68,O60:P70,2,FALSE)*VLOOKUP(K59,O60:P70,2,FALSE))^0.5,2),"")</f>
        <v/>
      </c>
      <c r="L68" t="str">
        <f>IFERROR(ROUND((VLOOKUP(B68,O60:P70,2,FALSE)*VLOOKUP(L59,O60:P70,2,FALSE))^0.5,2),"")</f>
        <v/>
      </c>
      <c r="M68" t="str">
        <f>IFERROR(ROUND((VLOOKUP(B68,O60:P70,2,FALSE)*VLOOKUP(M59,O60:P70,2,FALSE))^0.5,2),"")</f>
        <v/>
      </c>
      <c r="O68" s="20">
        <v>1080</v>
      </c>
      <c r="P68" s="21" t="s">
        <v>63</v>
      </c>
      <c r="Q68" s="22" t="str">
        <f t="shared" si="8"/>
        <v/>
      </c>
      <c r="S68" s="14">
        <v>1080</v>
      </c>
      <c r="T68" t="str">
        <f>IFERROR(ROUND((VLOOKUP(S68,AF60:AG70,2,FALSE)*VLOOKUP(T59,AF60:AG70,2,FALSE))^0.5,2),"")</f>
        <v/>
      </c>
      <c r="U68" t="str">
        <f>IFERROR(ROUND((VLOOKUP(S68,AF60:AG70,2,FALSE)*VLOOKUP(U59,AF60:AG70,2,FALSE))^0.5,2),"")</f>
        <v/>
      </c>
      <c r="V68" t="str">
        <f>IFERROR(ROUND((VLOOKUP(S68,AF60:AG70,2,FALSE)*VLOOKUP(V59,AF60:AG70,2,FALSE))^0.5,2),"")</f>
        <v/>
      </c>
      <c r="W68" t="str">
        <f>IFERROR(ROUND((VLOOKUP(S68,AF60:AG70,2,FALSE)*VLOOKUP(W59,AF60:AG70,2,FALSE))^0.5,2),"")</f>
        <v/>
      </c>
      <c r="X68" t="str">
        <f>IFERROR(ROUND((VLOOKUP(S68,AF60:AG70,2,FALSE)*VLOOKUP(X59,AF60:AG70,2,FALSE))^0.5,2),"")</f>
        <v/>
      </c>
      <c r="Y68" t="str">
        <f>IFERROR(ROUND((VLOOKUP(S68,AF60:AG70,2,FALSE)*VLOOKUP(Y59,AF60:AG70,2,FALSE))^0.5,2),"")</f>
        <v/>
      </c>
      <c r="Z68" t="str">
        <f>IFERROR(ROUND((VLOOKUP(S68,AF60:AG70,2,FALSE)*VLOOKUP(Z59,AF60:AG70,2,FALSE))^0.5,2),"")</f>
        <v/>
      </c>
      <c r="AA68" t="str">
        <f>IFERROR(ROUND((VLOOKUP(S68,AF60:AG70,2,FALSE)*VLOOKUP(AA59,AF60:AG70,2,FALSE))^0.5,2),"")</f>
        <v/>
      </c>
      <c r="AB68" t="str">
        <f>IFERROR(ROUND((VLOOKUP(S68,AF60:AG70,2,FALSE)*VLOOKUP(AB59,AF60:AG70,2,FALSE))^0.5,2),"")</f>
        <v/>
      </c>
      <c r="AC68" t="str">
        <f>IFERROR(ROUND((VLOOKUP(S68,AF60:AG70,2,FALSE)*VLOOKUP(AC59,AF60:AG70,2,FALSE))^0.5,2),"")</f>
        <v/>
      </c>
      <c r="AD68" t="str">
        <f>IFERROR(ROUND((VLOOKUP(S68,AF60:AG70,2,FALSE)*VLOOKUP(AD59,AF60:AG70,2,FALSE))^0.5,2),"")</f>
        <v/>
      </c>
      <c r="AF68" s="20">
        <v>1080</v>
      </c>
      <c r="AG68" s="21" t="s">
        <v>63</v>
      </c>
      <c r="AH68" s="22" t="str">
        <f t="shared" si="9"/>
        <v/>
      </c>
    </row>
    <row r="69" spans="2:34" x14ac:dyDescent="0.25">
      <c r="B69" s="14">
        <v>1440</v>
      </c>
      <c r="C69" t="str">
        <f>IFERROR(ROUND((VLOOKUP(B69,O60:P70,2,FALSE)*VLOOKUP(C59,O60:P70,2,FALSE))^0.5,2),"")</f>
        <v/>
      </c>
      <c r="D69" t="str">
        <f>IFERROR(ROUND((VLOOKUP(B69,O60:P70,2,FALSE)*VLOOKUP(D59,O60:P70,2,FALSE))^0.5,2),"")</f>
        <v/>
      </c>
      <c r="E69" t="str">
        <f>IFERROR(ROUND((VLOOKUP(B69,O60:P70,2,FALSE)*VLOOKUP(E59,O60:P70,2,FALSE))^0.5,2),"")</f>
        <v/>
      </c>
      <c r="F69" t="str">
        <f>IFERROR(ROUND((VLOOKUP(B69,O60:P70,2,FALSE)*VLOOKUP(F59,O60:P70,2,FALSE))^0.5,2),"")</f>
        <v/>
      </c>
      <c r="G69" t="str">
        <f>IFERROR(ROUND((VLOOKUP(B69,O60:P70,2,FALSE)*VLOOKUP(G59,O60:P70,2,FALSE))^0.5,2),"")</f>
        <v/>
      </c>
      <c r="H69" t="str">
        <f>IFERROR(ROUND((VLOOKUP(B69,O60:P70,2,FALSE)*VLOOKUP(H59,O60:P70,2,FALSE))^0.5,2),"")</f>
        <v/>
      </c>
      <c r="I69" t="str">
        <f>IFERROR(ROUND((VLOOKUP(B69,O60:P70,2,FALSE)*VLOOKUP(I59,O60:P70,2,FALSE))^0.5,2),"")</f>
        <v/>
      </c>
      <c r="J69" t="str">
        <f>IFERROR(ROUND((VLOOKUP(B69,O60:P70,2,FALSE)*VLOOKUP(J59,O60:P70,2,FALSE))^0.5,2),"")</f>
        <v/>
      </c>
      <c r="K69" t="str">
        <f>IFERROR(ROUND((VLOOKUP(B69,O60:P70,2,FALSE)*VLOOKUP(K59,O60:P70,2,FALSE))^0.5,2),"")</f>
        <v/>
      </c>
      <c r="L69" t="str">
        <f>IFERROR(ROUND((VLOOKUP(B69,O60:P70,2,FALSE)*VLOOKUP(L59,O60:P70,2,FALSE))^0.5,2),"")</f>
        <v/>
      </c>
      <c r="M69" t="str">
        <f>IFERROR(ROUND((VLOOKUP(B69,O60:P70,2,FALSE)*VLOOKUP(M59,O60:P70,2,FALSE))^0.5,2),"")</f>
        <v/>
      </c>
      <c r="O69" s="26">
        <v>1440</v>
      </c>
      <c r="P69" s="27" t="s">
        <v>63</v>
      </c>
      <c r="Q69" s="7" t="str">
        <f t="shared" si="8"/>
        <v/>
      </c>
      <c r="S69" s="14">
        <v>1440</v>
      </c>
      <c r="T69" t="str">
        <f>IFERROR(ROUND((VLOOKUP(S69,AF60:AG70,2,FALSE)*VLOOKUP(T59,AF60:AG70,2,FALSE))^0.5,2),"")</f>
        <v/>
      </c>
      <c r="U69" t="str">
        <f>IFERROR(ROUND((VLOOKUP(S69,AF60:AG70,2,FALSE)*VLOOKUP(U59,AF60:AG70,2,FALSE))^0.5,2),"")</f>
        <v/>
      </c>
      <c r="V69" t="str">
        <f>IFERROR(ROUND((VLOOKUP(S69,AF60:AG70,2,FALSE)*VLOOKUP(V59,AF60:AG70,2,FALSE))^0.5,2),"")</f>
        <v/>
      </c>
      <c r="W69" t="str">
        <f>IFERROR(ROUND((VLOOKUP(S69,AF60:AG70,2,FALSE)*VLOOKUP(W59,AF60:AG70,2,FALSE))^0.5,2),"")</f>
        <v/>
      </c>
      <c r="X69" t="str">
        <f>IFERROR(ROUND((VLOOKUP(S69,AF60:AG70,2,FALSE)*VLOOKUP(X59,AF60:AG70,2,FALSE))^0.5,2),"")</f>
        <v/>
      </c>
      <c r="Y69" t="str">
        <f>IFERROR(ROUND((VLOOKUP(S69,AF60:AG70,2,FALSE)*VLOOKUP(Y59,AF60:AG70,2,FALSE))^0.5,2),"")</f>
        <v/>
      </c>
      <c r="Z69" t="str">
        <f>IFERROR(ROUND((VLOOKUP(S69,AF60:AG70,2,FALSE)*VLOOKUP(Z59,AF60:AG70,2,FALSE))^0.5,2),"")</f>
        <v/>
      </c>
      <c r="AA69" t="str">
        <f>IFERROR(ROUND((VLOOKUP(S69,AF60:AG70,2,FALSE)*VLOOKUP(AA59,AF60:AG70,2,FALSE))^0.5,2),"")</f>
        <v/>
      </c>
      <c r="AB69" t="str">
        <f>IFERROR(ROUND((VLOOKUP(S69,AF60:AG70,2,FALSE)*VLOOKUP(AB59,AF60:AG70,2,FALSE))^0.5,2),"")</f>
        <v/>
      </c>
      <c r="AC69" t="str">
        <f>IFERROR(ROUND((VLOOKUP(S69,AF60:AG70,2,FALSE)*VLOOKUP(AC59,AF60:AG70,2,FALSE))^0.5,2),"")</f>
        <v/>
      </c>
      <c r="AD69" t="str">
        <f>IFERROR(ROUND((VLOOKUP(S69,AF60:AG70,2,FALSE)*VLOOKUP(AD59,AF60:AG70,2,FALSE))^0.5,2),"")</f>
        <v/>
      </c>
      <c r="AF69" s="26">
        <v>1440</v>
      </c>
      <c r="AG69" s="27" t="s">
        <v>63</v>
      </c>
      <c r="AH69" s="7" t="str">
        <f t="shared" si="9"/>
        <v/>
      </c>
    </row>
    <row r="70" spans="2:34" x14ac:dyDescent="0.25">
      <c r="B70" s="14">
        <v>1800</v>
      </c>
      <c r="C70" t="str">
        <f>IFERROR(ROUND((VLOOKUP(B70,O60:P70,2,FALSE)*VLOOKUP(C59,O60:P70,2,FALSE))^0.5,2),"")</f>
        <v/>
      </c>
      <c r="D70" t="str">
        <f>IFERROR(ROUND((VLOOKUP(B70,O60:P70,2,FALSE)*VLOOKUP(D59,O60:P70,2,FALSE))^0.5,2),"")</f>
        <v/>
      </c>
      <c r="E70" t="str">
        <f>IFERROR(ROUND((VLOOKUP(B70,O60:P70,2,FALSE)*VLOOKUP(E59,O60:P70,2,FALSE))^0.5,2),"")</f>
        <v/>
      </c>
      <c r="F70" t="str">
        <f>IFERROR(ROUND((VLOOKUP(B70,O60:P70,2,FALSE)*VLOOKUP(F59,O60:P70,2,FALSE))^0.5,2),"")</f>
        <v/>
      </c>
      <c r="G70" t="str">
        <f>IFERROR(ROUND((VLOOKUP(B70,O60:P70,2,FALSE)*VLOOKUP(G59,O60:P70,2,FALSE))^0.5,2),"")</f>
        <v/>
      </c>
      <c r="H70" t="str">
        <f>IFERROR(ROUND((VLOOKUP(B70,O60:P70,2,FALSE)*VLOOKUP(H59,O60:P70,2,FALSE))^0.5,2),"")</f>
        <v/>
      </c>
      <c r="I70" t="str">
        <f>IFERROR(ROUND((VLOOKUP(B70,O60:P70,2,FALSE)*VLOOKUP(I59,O60:P70,2,FALSE))^0.5,2),"")</f>
        <v/>
      </c>
      <c r="J70" t="str">
        <f>IFERROR(ROUND((VLOOKUP(B70,O60:P70,2,FALSE)*VLOOKUP(J59,O60:P70,2,FALSE))^0.5,2),"")</f>
        <v/>
      </c>
      <c r="K70" t="str">
        <f>IFERROR(ROUND((VLOOKUP(B70,O60:P70,2,FALSE)*VLOOKUP(K59,O60:P70,2,FALSE))^0.5,2),"")</f>
        <v/>
      </c>
      <c r="L70" t="str">
        <f>IFERROR(ROUND((VLOOKUP(B70,O60:P70,2,FALSE)*VLOOKUP(L59,O60:P70,2,FALSE))^0.5,2),"")</f>
        <v/>
      </c>
      <c r="M70" t="str">
        <f>IFERROR(ROUND((VLOOKUP(B70,O60:P70,2,FALSE)*VLOOKUP(M59,O60:P70,2,FALSE))^0.5,2),"")</f>
        <v/>
      </c>
      <c r="O70" s="23">
        <v>1800</v>
      </c>
      <c r="P70" s="24" t="s">
        <v>63</v>
      </c>
      <c r="Q70" s="25" t="str">
        <f t="shared" si="8"/>
        <v/>
      </c>
      <c r="S70" s="14">
        <v>1800</v>
      </c>
      <c r="T70" t="str">
        <f>IFERROR(ROUND((VLOOKUP(S70,AF60:AG70,2,FALSE)*VLOOKUP(T59,AF60:AG70,2,FALSE))^0.5,2),"")</f>
        <v/>
      </c>
      <c r="U70" t="str">
        <f>IFERROR(ROUND((VLOOKUP(S70,AF60:AG70,2,FALSE)*VLOOKUP(U59,AF60:AG70,2,FALSE))^0.5,2),"")</f>
        <v/>
      </c>
      <c r="V70" t="str">
        <f>IFERROR(ROUND((VLOOKUP(S70,AF60:AG70,2,FALSE)*VLOOKUP(V59,AF60:AG70,2,FALSE))^0.5,2),"")</f>
        <v/>
      </c>
      <c r="W70" t="str">
        <f>IFERROR(ROUND((VLOOKUP(S70,AF60:AG70,2,FALSE)*VLOOKUP(W59,AF60:AG70,2,FALSE))^0.5,2),"")</f>
        <v/>
      </c>
      <c r="X70" t="str">
        <f>IFERROR(ROUND((VLOOKUP(S70,AF60:AG70,2,FALSE)*VLOOKUP(X59,AF60:AG70,2,FALSE))^0.5,2),"")</f>
        <v/>
      </c>
      <c r="Y70" t="str">
        <f>IFERROR(ROUND((VLOOKUP(S70,AF60:AG70,2,FALSE)*VLOOKUP(Y59,AF60:AG70,2,FALSE))^0.5,2),"")</f>
        <v/>
      </c>
      <c r="Z70" t="str">
        <f>IFERROR(ROUND((VLOOKUP(S70,AF60:AG70,2,FALSE)*VLOOKUP(Z59,AF60:AG70,2,FALSE))^0.5,2),"")</f>
        <v/>
      </c>
      <c r="AA70" t="str">
        <f>IFERROR(ROUND((VLOOKUP(S70,AF60:AG70,2,FALSE)*VLOOKUP(AA59,AF60:AG70,2,FALSE))^0.5,2),"")</f>
        <v/>
      </c>
      <c r="AB70" t="str">
        <f>IFERROR(ROUND((VLOOKUP(S70,AF60:AG70,2,FALSE)*VLOOKUP(AB59,AF60:AG70,2,FALSE))^0.5,2),"")</f>
        <v/>
      </c>
      <c r="AC70" t="str">
        <f>IFERROR(ROUND((VLOOKUP(S70,AF60:AG70,2,FALSE)*VLOOKUP(AC59,AF60:AG70,2,FALSE))^0.5,2),"")</f>
        <v/>
      </c>
      <c r="AD70" t="str">
        <f>IFERROR(ROUND((VLOOKUP(S70,AF60:AG70,2,FALSE)*VLOOKUP(AD59,AF60:AG70,2,FALSE))^0.5,2),"")</f>
        <v/>
      </c>
      <c r="AF70" s="23">
        <v>1800</v>
      </c>
      <c r="AG70" s="24" t="s">
        <v>63</v>
      </c>
      <c r="AH70" s="25" t="str">
        <f t="shared" si="9"/>
        <v/>
      </c>
    </row>
  </sheetData>
  <mergeCells count="10">
    <mergeCell ref="O31:Q31"/>
    <mergeCell ref="O59:Q59"/>
    <mergeCell ref="O3:Q3"/>
    <mergeCell ref="O17:Q17"/>
    <mergeCell ref="O45:Q45"/>
    <mergeCell ref="AF3:AH3"/>
    <mergeCell ref="AF17:AH17"/>
    <mergeCell ref="AF31:AH31"/>
    <mergeCell ref="AF45:AH45"/>
    <mergeCell ref="AF59:AH59"/>
  </mergeCells>
  <conditionalFormatting sqref="C4:M14">
    <cfRule type="expression" dxfId="9" priority="19">
      <formula>C4=""</formula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5:M15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M28">
    <cfRule type="expression" dxfId="8" priority="17">
      <formula>C18=""</formula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2:M42">
    <cfRule type="expression" dxfId="7" priority="15">
      <formula>C32=""</formula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6:M56">
    <cfRule type="expression" dxfId="6" priority="11">
      <formula>C46=""</formula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0:M70">
    <cfRule type="expression" dxfId="5" priority="13">
      <formula>C60=""</formula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:AD14">
    <cfRule type="expression" dxfId="4" priority="9">
      <formula>T4=""</formula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8:AD28">
    <cfRule type="expression" dxfId="3" priority="7">
      <formula>T18=""</formula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2:AD42">
    <cfRule type="expression" dxfId="2" priority="5">
      <formula>T32=""</formula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6:AD56">
    <cfRule type="expression" dxfId="1" priority="3">
      <formula>T46=""</formula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0:AD70">
    <cfRule type="expression" dxfId="0" priority="1">
      <formula>T60=""</formula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B1:G109"/>
  <sheetViews>
    <sheetView workbookViewId="0">
      <selection activeCell="G76" sqref="G76"/>
    </sheetView>
  </sheetViews>
  <sheetFormatPr baseColWidth="10" defaultRowHeight="15" outlineLevelRow="1" x14ac:dyDescent="0.25"/>
  <cols>
    <col min="3" max="3" width="28.7109375" bestFit="1" customWidth="1"/>
    <col min="5" max="5" width="11.85546875" bestFit="1" customWidth="1"/>
  </cols>
  <sheetData>
    <row r="1" spans="2:7" x14ac:dyDescent="0.25">
      <c r="B1" s="89">
        <v>0.15</v>
      </c>
    </row>
    <row r="2" spans="2:7" s="74" customFormat="1" ht="15.75" thickBot="1" x14ac:dyDescent="0.3">
      <c r="B2" s="88" t="s">
        <v>59</v>
      </c>
      <c r="C2" s="88" t="s">
        <v>58</v>
      </c>
      <c r="D2" s="88" t="s">
        <v>52</v>
      </c>
      <c r="E2" s="88" t="s">
        <v>52</v>
      </c>
    </row>
    <row r="3" spans="2:7" s="74" customFormat="1" outlineLevel="1" x14ac:dyDescent="0.25">
      <c r="B3" s="84"/>
      <c r="C3" s="84" t="s">
        <v>133</v>
      </c>
      <c r="D3" s="84" t="s">
        <v>132</v>
      </c>
      <c r="E3" s="84" t="s">
        <v>60</v>
      </c>
    </row>
    <row r="4" spans="2:7" s="74" customFormat="1" outlineLevel="1" x14ac:dyDescent="0.25">
      <c r="B4" s="8">
        <v>1000</v>
      </c>
      <c r="C4" s="6" t="s">
        <v>131</v>
      </c>
      <c r="D4" s="86">
        <v>6</v>
      </c>
      <c r="E4" s="85">
        <f t="shared" ref="E4:E9" si="0">ROUND(D4*(1+$B$1),0)</f>
        <v>7</v>
      </c>
    </row>
    <row r="5" spans="2:7" s="74" customFormat="1" outlineLevel="1" x14ac:dyDescent="0.25">
      <c r="B5" s="87">
        <v>1001</v>
      </c>
      <c r="C5" s="6" t="s">
        <v>131</v>
      </c>
      <c r="D5" s="86">
        <v>6</v>
      </c>
      <c r="E5" s="85">
        <f t="shared" si="0"/>
        <v>7</v>
      </c>
    </row>
    <row r="6" spans="2:7" s="74" customFormat="1" outlineLevel="1" x14ac:dyDescent="0.25">
      <c r="B6" s="87">
        <v>1002</v>
      </c>
      <c r="C6" s="6" t="s">
        <v>131</v>
      </c>
      <c r="D6" s="86">
        <v>6</v>
      </c>
      <c r="E6" s="85">
        <f t="shared" si="0"/>
        <v>7</v>
      </c>
    </row>
    <row r="7" spans="2:7" s="74" customFormat="1" outlineLevel="1" x14ac:dyDescent="0.25">
      <c r="B7" s="8">
        <v>1100</v>
      </c>
      <c r="C7" s="6" t="s">
        <v>130</v>
      </c>
      <c r="D7" s="86">
        <v>6</v>
      </c>
      <c r="E7" s="85">
        <f t="shared" si="0"/>
        <v>7</v>
      </c>
    </row>
    <row r="8" spans="2:7" s="74" customFormat="1" outlineLevel="1" x14ac:dyDescent="0.25">
      <c r="B8" s="87">
        <v>1101</v>
      </c>
      <c r="C8" s="6" t="s">
        <v>130</v>
      </c>
      <c r="D8" s="86">
        <v>6</v>
      </c>
      <c r="E8" s="85">
        <f t="shared" si="0"/>
        <v>7</v>
      </c>
    </row>
    <row r="9" spans="2:7" s="74" customFormat="1" ht="15.75" outlineLevel="1" thickBot="1" x14ac:dyDescent="0.3">
      <c r="B9" s="87">
        <v>1102</v>
      </c>
      <c r="C9" s="6" t="s">
        <v>130</v>
      </c>
      <c r="D9" s="86">
        <v>6</v>
      </c>
      <c r="E9" s="85">
        <f t="shared" si="0"/>
        <v>7</v>
      </c>
    </row>
    <row r="10" spans="2:7" s="74" customFormat="1" outlineLevel="1" x14ac:dyDescent="0.25">
      <c r="B10" s="84"/>
      <c r="C10" s="84" t="s">
        <v>129</v>
      </c>
      <c r="D10" s="83"/>
      <c r="E10" s="82"/>
      <c r="G10"/>
    </row>
    <row r="11" spans="2:7" s="74" customFormat="1" outlineLevel="1" x14ac:dyDescent="0.25">
      <c r="B11" s="8">
        <v>2000</v>
      </c>
      <c r="C11" t="s">
        <v>128</v>
      </c>
      <c r="D11" s="78">
        <v>80</v>
      </c>
      <c r="E11" s="80">
        <f t="shared" ref="E11:E24" si="1">ROUND(D11*(1+$B$1),0)</f>
        <v>92</v>
      </c>
      <c r="G11" s="81"/>
    </row>
    <row r="12" spans="2:7" s="74" customFormat="1" outlineLevel="1" x14ac:dyDescent="0.25">
      <c r="B12">
        <v>2001</v>
      </c>
      <c r="C12" t="s">
        <v>128</v>
      </c>
      <c r="D12" s="78">
        <v>40</v>
      </c>
      <c r="E12" s="80">
        <f t="shared" si="1"/>
        <v>46</v>
      </c>
    </row>
    <row r="13" spans="2:7" s="74" customFormat="1" outlineLevel="1" x14ac:dyDescent="0.25">
      <c r="B13" s="8">
        <v>2005</v>
      </c>
      <c r="C13" t="s">
        <v>136</v>
      </c>
      <c r="D13" s="79">
        <v>20</v>
      </c>
      <c r="E13" s="77">
        <f t="shared" si="1"/>
        <v>23</v>
      </c>
    </row>
    <row r="14" spans="2:7" s="74" customFormat="1" outlineLevel="1" x14ac:dyDescent="0.25">
      <c r="B14">
        <v>2010</v>
      </c>
      <c r="C14" t="s">
        <v>137</v>
      </c>
      <c r="D14" s="79">
        <v>20</v>
      </c>
      <c r="E14" s="77">
        <f t="shared" si="1"/>
        <v>23</v>
      </c>
    </row>
    <row r="15" spans="2:7" s="74" customFormat="1" outlineLevel="1" x14ac:dyDescent="0.25">
      <c r="B15">
        <v>2015</v>
      </c>
      <c r="C15" t="s">
        <v>138</v>
      </c>
      <c r="D15" s="79">
        <v>20</v>
      </c>
      <c r="E15" s="77">
        <f t="shared" si="1"/>
        <v>23</v>
      </c>
    </row>
    <row r="16" spans="2:7" s="74" customFormat="1" outlineLevel="1" x14ac:dyDescent="0.25">
      <c r="B16">
        <v>2020</v>
      </c>
      <c r="C16" t="s">
        <v>139</v>
      </c>
      <c r="D16" s="79">
        <v>22</v>
      </c>
      <c r="E16" s="77">
        <f t="shared" si="1"/>
        <v>25</v>
      </c>
    </row>
    <row r="17" spans="2:5" s="74" customFormat="1" outlineLevel="1" x14ac:dyDescent="0.25">
      <c r="B17">
        <v>2021</v>
      </c>
      <c r="C17" t="s">
        <v>140</v>
      </c>
      <c r="D17" s="79">
        <v>22</v>
      </c>
      <c r="E17" s="77">
        <f t="shared" si="1"/>
        <v>25</v>
      </c>
    </row>
    <row r="18" spans="2:5" s="74" customFormat="1" outlineLevel="1" x14ac:dyDescent="0.25">
      <c r="B18">
        <v>2025</v>
      </c>
      <c r="C18" t="s">
        <v>141</v>
      </c>
      <c r="D18" s="79">
        <v>25</v>
      </c>
      <c r="E18" s="77">
        <f t="shared" si="1"/>
        <v>29</v>
      </c>
    </row>
    <row r="19" spans="2:5" s="74" customFormat="1" outlineLevel="1" x14ac:dyDescent="0.25">
      <c r="B19">
        <v>2030</v>
      </c>
      <c r="C19" t="s">
        <v>142</v>
      </c>
      <c r="D19" s="79">
        <v>25</v>
      </c>
      <c r="E19" s="77">
        <f t="shared" si="1"/>
        <v>29</v>
      </c>
    </row>
    <row r="20" spans="2:5" s="74" customFormat="1" outlineLevel="1" x14ac:dyDescent="0.25">
      <c r="B20">
        <v>2035</v>
      </c>
      <c r="C20" t="s">
        <v>143</v>
      </c>
      <c r="D20" s="79">
        <v>27</v>
      </c>
      <c r="E20" s="77">
        <f t="shared" si="1"/>
        <v>31</v>
      </c>
    </row>
    <row r="21" spans="2:5" s="74" customFormat="1" outlineLevel="1" x14ac:dyDescent="0.25">
      <c r="B21">
        <v>2040</v>
      </c>
      <c r="C21" t="s">
        <v>144</v>
      </c>
      <c r="D21" s="79">
        <v>29</v>
      </c>
      <c r="E21" s="77">
        <f t="shared" si="1"/>
        <v>33</v>
      </c>
    </row>
    <row r="22" spans="2:5" s="74" customFormat="1" outlineLevel="1" x14ac:dyDescent="0.25">
      <c r="B22">
        <v>2045</v>
      </c>
      <c r="C22" t="s">
        <v>145</v>
      </c>
      <c r="D22" s="79">
        <v>35</v>
      </c>
      <c r="E22" s="77">
        <f t="shared" si="1"/>
        <v>40</v>
      </c>
    </row>
    <row r="23" spans="2:5" s="74" customFormat="1" outlineLevel="1" x14ac:dyDescent="0.25">
      <c r="B23">
        <v>2050</v>
      </c>
      <c r="C23" t="s">
        <v>146</v>
      </c>
      <c r="D23" s="79">
        <v>39</v>
      </c>
      <c r="E23" s="77">
        <f t="shared" si="1"/>
        <v>45</v>
      </c>
    </row>
    <row r="24" spans="2:5" s="74" customFormat="1" ht="15.75" outlineLevel="1" thickBot="1" x14ac:dyDescent="0.3">
      <c r="B24" s="8">
        <v>2300</v>
      </c>
      <c r="C24" t="s">
        <v>127</v>
      </c>
      <c r="D24" s="79">
        <v>100</v>
      </c>
      <c r="E24" s="77">
        <f t="shared" si="1"/>
        <v>115</v>
      </c>
    </row>
    <row r="25" spans="2:5" x14ac:dyDescent="0.25">
      <c r="B25" s="76"/>
      <c r="C25" s="76" t="s">
        <v>115</v>
      </c>
      <c r="D25" s="76"/>
      <c r="E25" s="76"/>
    </row>
    <row r="26" spans="2:5" x14ac:dyDescent="0.25">
      <c r="B26" s="5"/>
      <c r="C26" s="5" t="s">
        <v>126</v>
      </c>
      <c r="D26" s="5"/>
      <c r="E26" s="69">
        <v>0</v>
      </c>
    </row>
    <row r="27" spans="2:5" x14ac:dyDescent="0.25">
      <c r="B27" s="8">
        <v>8000</v>
      </c>
      <c r="C27" s="75" t="s">
        <v>126</v>
      </c>
      <c r="D27" t="s">
        <v>152</v>
      </c>
      <c r="E27" s="65" t="s">
        <v>152</v>
      </c>
    </row>
    <row r="28" spans="2:5" x14ac:dyDescent="0.25">
      <c r="B28">
        <v>8001</v>
      </c>
      <c r="C28" s="75" t="s">
        <v>126</v>
      </c>
      <c r="D28" t="s">
        <v>152</v>
      </c>
      <c r="E28" s="65" t="s">
        <v>152</v>
      </c>
    </row>
    <row r="29" spans="2:5" x14ac:dyDescent="0.25">
      <c r="B29" s="5"/>
      <c r="C29" s="5" t="s">
        <v>125</v>
      </c>
      <c r="D29" s="5"/>
      <c r="E29" s="69">
        <v>0</v>
      </c>
    </row>
    <row r="30" spans="2:5" x14ac:dyDescent="0.25">
      <c r="B30" s="8">
        <v>8120</v>
      </c>
      <c r="C30" s="72" t="s">
        <v>153</v>
      </c>
      <c r="D30" t="s">
        <v>152</v>
      </c>
      <c r="E30" s="65" t="s">
        <v>152</v>
      </c>
    </row>
    <row r="31" spans="2:5" x14ac:dyDescent="0.25">
      <c r="B31">
        <v>8121</v>
      </c>
      <c r="C31" s="72" t="s">
        <v>154</v>
      </c>
      <c r="D31" t="s">
        <v>152</v>
      </c>
      <c r="E31" s="65" t="s">
        <v>152</v>
      </c>
    </row>
    <row r="32" spans="2:5" x14ac:dyDescent="0.25">
      <c r="B32">
        <v>8122</v>
      </c>
      <c r="C32" s="96" t="s">
        <v>155</v>
      </c>
      <c r="D32" t="s">
        <v>152</v>
      </c>
      <c r="E32" s="65" t="s">
        <v>152</v>
      </c>
    </row>
    <row r="33" spans="2:5" x14ac:dyDescent="0.25">
      <c r="B33">
        <v>8123</v>
      </c>
      <c r="C33" s="96" t="s">
        <v>156</v>
      </c>
      <c r="D33" t="s">
        <v>152</v>
      </c>
      <c r="E33" s="65" t="s">
        <v>152</v>
      </c>
    </row>
    <row r="34" spans="2:5" x14ac:dyDescent="0.25">
      <c r="B34">
        <v>8124</v>
      </c>
      <c r="C34" s="96" t="s">
        <v>157</v>
      </c>
      <c r="D34" t="s">
        <v>152</v>
      </c>
      <c r="E34" s="65" t="s">
        <v>152</v>
      </c>
    </row>
    <row r="35" spans="2:5" x14ac:dyDescent="0.25">
      <c r="B35">
        <v>8125</v>
      </c>
      <c r="C35" s="96" t="s">
        <v>158</v>
      </c>
      <c r="D35" t="s">
        <v>152</v>
      </c>
      <c r="E35" s="65" t="s">
        <v>152</v>
      </c>
    </row>
    <row r="36" spans="2:5" x14ac:dyDescent="0.25">
      <c r="B36">
        <v>8126</v>
      </c>
      <c r="C36" s="96" t="s">
        <v>159</v>
      </c>
      <c r="D36" t="s">
        <v>152</v>
      </c>
      <c r="E36" s="65" t="s">
        <v>152</v>
      </c>
    </row>
    <row r="37" spans="2:5" x14ac:dyDescent="0.25">
      <c r="B37">
        <v>8127</v>
      </c>
      <c r="C37" s="96" t="s">
        <v>160</v>
      </c>
      <c r="D37" t="s">
        <v>152</v>
      </c>
      <c r="E37" s="65" t="s">
        <v>152</v>
      </c>
    </row>
    <row r="38" spans="2:5" x14ac:dyDescent="0.25">
      <c r="B38">
        <v>8128</v>
      </c>
      <c r="C38" s="96" t="s">
        <v>161</v>
      </c>
      <c r="D38" t="s">
        <v>152</v>
      </c>
      <c r="E38" s="65" t="s">
        <v>152</v>
      </c>
    </row>
    <row r="39" spans="2:5" x14ac:dyDescent="0.25">
      <c r="B39" s="5"/>
      <c r="C39" s="5" t="s">
        <v>124</v>
      </c>
      <c r="D39" s="5"/>
      <c r="E39" s="69">
        <v>0</v>
      </c>
    </row>
    <row r="40" spans="2:5" x14ac:dyDescent="0.25">
      <c r="B40" s="8">
        <v>8140</v>
      </c>
      <c r="C40" s="72" t="s">
        <v>123</v>
      </c>
      <c r="D40" s="68">
        <v>180</v>
      </c>
      <c r="E40" s="65">
        <v>200</v>
      </c>
    </row>
    <row r="41" spans="2:5" x14ac:dyDescent="0.25">
      <c r="B41">
        <v>8141</v>
      </c>
      <c r="C41" s="72" t="s">
        <v>123</v>
      </c>
      <c r="E41" s="65">
        <v>0</v>
      </c>
    </row>
    <row r="42" spans="2:5" x14ac:dyDescent="0.25">
      <c r="B42">
        <v>8142</v>
      </c>
      <c r="C42" s="72" t="s">
        <v>123</v>
      </c>
      <c r="E42" s="65">
        <v>0</v>
      </c>
    </row>
    <row r="43" spans="2:5" x14ac:dyDescent="0.25">
      <c r="B43" s="5"/>
      <c r="C43" s="5" t="s">
        <v>101</v>
      </c>
      <c r="D43" s="5"/>
      <c r="E43" s="69">
        <v>0</v>
      </c>
    </row>
    <row r="44" spans="2:5" x14ac:dyDescent="0.25">
      <c r="B44" s="8">
        <v>8160</v>
      </c>
      <c r="C44" s="72" t="s">
        <v>122</v>
      </c>
      <c r="E44" s="65">
        <v>0</v>
      </c>
    </row>
    <row r="45" spans="2:5" x14ac:dyDescent="0.25">
      <c r="B45">
        <v>8161</v>
      </c>
      <c r="C45" s="72" t="s">
        <v>122</v>
      </c>
      <c r="E45" s="65">
        <v>0</v>
      </c>
    </row>
    <row r="46" spans="2:5" x14ac:dyDescent="0.25">
      <c r="B46">
        <v>8162</v>
      </c>
      <c r="C46" s="72" t="s">
        <v>122</v>
      </c>
      <c r="E46" s="65">
        <v>0</v>
      </c>
    </row>
    <row r="47" spans="2:5" x14ac:dyDescent="0.25">
      <c r="B47">
        <v>8163</v>
      </c>
      <c r="C47" s="72" t="s">
        <v>122</v>
      </c>
      <c r="E47" s="65">
        <v>0</v>
      </c>
    </row>
    <row r="48" spans="2:5" x14ac:dyDescent="0.25">
      <c r="B48">
        <v>8164</v>
      </c>
      <c r="C48" s="72" t="s">
        <v>122</v>
      </c>
      <c r="E48" s="65">
        <v>0</v>
      </c>
    </row>
    <row r="49" spans="2:7" x14ac:dyDescent="0.25">
      <c r="B49">
        <v>8165</v>
      </c>
      <c r="C49" s="72" t="s">
        <v>122</v>
      </c>
      <c r="E49" s="65">
        <v>0</v>
      </c>
    </row>
    <row r="50" spans="2:7" x14ac:dyDescent="0.25">
      <c r="B50" s="5"/>
      <c r="C50" s="5" t="s">
        <v>121</v>
      </c>
      <c r="D50" s="5"/>
      <c r="E50" s="69">
        <v>0</v>
      </c>
    </row>
    <row r="51" spans="2:7" x14ac:dyDescent="0.25">
      <c r="B51" s="8">
        <v>8200</v>
      </c>
      <c r="C51" s="72" t="s">
        <v>120</v>
      </c>
      <c r="E51" s="65">
        <v>0</v>
      </c>
    </row>
    <row r="52" spans="2:7" x14ac:dyDescent="0.25">
      <c r="B52">
        <v>8201</v>
      </c>
      <c r="C52" s="72" t="s">
        <v>120</v>
      </c>
      <c r="E52" s="65">
        <v>0</v>
      </c>
    </row>
    <row r="53" spans="2:7" x14ac:dyDescent="0.25">
      <c r="B53">
        <v>8202</v>
      </c>
      <c r="C53" s="72" t="s">
        <v>120</v>
      </c>
      <c r="E53" s="65">
        <v>0</v>
      </c>
    </row>
    <row r="54" spans="2:7" x14ac:dyDescent="0.25">
      <c r="B54">
        <v>8203</v>
      </c>
      <c r="C54" s="72" t="s">
        <v>120</v>
      </c>
      <c r="E54" s="65">
        <v>0</v>
      </c>
    </row>
    <row r="55" spans="2:7" x14ac:dyDescent="0.25">
      <c r="B55" s="5"/>
      <c r="C55" s="5" t="s">
        <v>119</v>
      </c>
      <c r="D55" s="5"/>
      <c r="E55" s="69">
        <v>0</v>
      </c>
    </row>
    <row r="56" spans="2:7" x14ac:dyDescent="0.25">
      <c r="B56" s="8">
        <v>8250</v>
      </c>
      <c r="C56" s="72" t="s">
        <v>118</v>
      </c>
      <c r="E56" s="65">
        <v>0</v>
      </c>
    </row>
    <row r="57" spans="2:7" x14ac:dyDescent="0.25">
      <c r="B57">
        <v>8251</v>
      </c>
      <c r="C57" s="72" t="s">
        <v>118</v>
      </c>
      <c r="E57" s="65">
        <v>0</v>
      </c>
    </row>
    <row r="58" spans="2:7" x14ac:dyDescent="0.25">
      <c r="B58">
        <v>8252</v>
      </c>
      <c r="C58" s="72" t="s">
        <v>118</v>
      </c>
      <c r="E58" s="65">
        <v>0</v>
      </c>
    </row>
    <row r="59" spans="2:7" x14ac:dyDescent="0.25">
      <c r="B59">
        <v>8253</v>
      </c>
      <c r="C59" s="72" t="s">
        <v>118</v>
      </c>
      <c r="E59" s="65">
        <v>0</v>
      </c>
    </row>
    <row r="60" spans="2:7" x14ac:dyDescent="0.25">
      <c r="B60">
        <v>8254</v>
      </c>
      <c r="C60" s="72" t="s">
        <v>118</v>
      </c>
      <c r="E60" s="65">
        <v>0</v>
      </c>
    </row>
    <row r="61" spans="2:7" x14ac:dyDescent="0.25">
      <c r="B61">
        <v>8255</v>
      </c>
      <c r="C61" s="72" t="s">
        <v>118</v>
      </c>
      <c r="E61" s="65">
        <v>0</v>
      </c>
    </row>
    <row r="62" spans="2:7" x14ac:dyDescent="0.25">
      <c r="B62" s="5"/>
      <c r="C62" s="5" t="s">
        <v>117</v>
      </c>
      <c r="D62" s="5"/>
      <c r="E62" s="69">
        <v>0</v>
      </c>
    </row>
    <row r="63" spans="2:7" x14ac:dyDescent="0.25">
      <c r="B63" s="8">
        <v>8300</v>
      </c>
      <c r="C63" s="72" t="s">
        <v>177</v>
      </c>
      <c r="D63" s="68">
        <v>25</v>
      </c>
      <c r="E63" s="77">
        <f t="shared" ref="E63:E78" si="2">ROUND(D63*(1+$B$1),0)</f>
        <v>29</v>
      </c>
      <c r="F63">
        <f>ROUND(D63*1.19,2)</f>
        <v>29.75</v>
      </c>
      <c r="G63">
        <f>ROUND(E63*1.081,2)</f>
        <v>31.35</v>
      </c>
    </row>
    <row r="64" spans="2:7" x14ac:dyDescent="0.25">
      <c r="B64">
        <v>8301</v>
      </c>
      <c r="C64" s="6" t="s">
        <v>162</v>
      </c>
      <c r="D64" s="97">
        <v>29</v>
      </c>
      <c r="E64" s="77">
        <f t="shared" si="2"/>
        <v>33</v>
      </c>
      <c r="F64">
        <f t="shared" ref="F64:F78" si="3">ROUND(D64*1.19,2)</f>
        <v>34.51</v>
      </c>
      <c r="G64">
        <f t="shared" ref="G64:G78" si="4">ROUND(E64*1.081,2)</f>
        <v>35.67</v>
      </c>
    </row>
    <row r="65" spans="2:7" x14ac:dyDescent="0.25">
      <c r="B65">
        <v>8302</v>
      </c>
      <c r="C65" s="6" t="s">
        <v>163</v>
      </c>
      <c r="D65" s="97">
        <v>17</v>
      </c>
      <c r="E65" s="77">
        <f t="shared" si="2"/>
        <v>20</v>
      </c>
      <c r="F65">
        <f t="shared" si="3"/>
        <v>20.23</v>
      </c>
      <c r="G65">
        <f t="shared" si="4"/>
        <v>21.62</v>
      </c>
    </row>
    <row r="66" spans="2:7" x14ac:dyDescent="0.25">
      <c r="B66">
        <v>8303</v>
      </c>
      <c r="C66" s="6" t="s">
        <v>164</v>
      </c>
      <c r="D66" s="97">
        <v>10</v>
      </c>
      <c r="E66" s="77">
        <f t="shared" si="2"/>
        <v>12</v>
      </c>
      <c r="F66">
        <f t="shared" si="3"/>
        <v>11.9</v>
      </c>
      <c r="G66">
        <f t="shared" si="4"/>
        <v>12.97</v>
      </c>
    </row>
    <row r="67" spans="2:7" x14ac:dyDescent="0.25">
      <c r="B67">
        <v>8304</v>
      </c>
      <c r="C67" s="6" t="s">
        <v>165</v>
      </c>
      <c r="D67" s="97">
        <v>29</v>
      </c>
      <c r="E67" s="77">
        <f t="shared" si="2"/>
        <v>33</v>
      </c>
      <c r="F67">
        <f t="shared" si="3"/>
        <v>34.51</v>
      </c>
      <c r="G67">
        <f t="shared" si="4"/>
        <v>35.67</v>
      </c>
    </row>
    <row r="68" spans="2:7" x14ac:dyDescent="0.25">
      <c r="B68">
        <v>8305</v>
      </c>
      <c r="C68" s="6" t="s">
        <v>166</v>
      </c>
      <c r="D68" s="97">
        <v>41</v>
      </c>
      <c r="E68" s="77">
        <f t="shared" si="2"/>
        <v>47</v>
      </c>
      <c r="F68">
        <f t="shared" si="3"/>
        <v>48.79</v>
      </c>
      <c r="G68">
        <f t="shared" si="4"/>
        <v>50.81</v>
      </c>
    </row>
    <row r="69" spans="2:7" x14ac:dyDescent="0.25">
      <c r="B69">
        <v>8306</v>
      </c>
      <c r="C69" s="6" t="s">
        <v>167</v>
      </c>
      <c r="D69" s="97">
        <v>19</v>
      </c>
      <c r="E69" s="77">
        <f t="shared" si="2"/>
        <v>22</v>
      </c>
      <c r="F69">
        <f t="shared" si="3"/>
        <v>22.61</v>
      </c>
      <c r="G69">
        <f t="shared" si="4"/>
        <v>23.78</v>
      </c>
    </row>
    <row r="70" spans="2:7" x14ac:dyDescent="0.25">
      <c r="B70">
        <v>8307</v>
      </c>
      <c r="C70" s="6" t="s">
        <v>168</v>
      </c>
      <c r="D70" s="97">
        <v>12</v>
      </c>
      <c r="E70" s="77">
        <f t="shared" si="2"/>
        <v>14</v>
      </c>
      <c r="F70">
        <f t="shared" si="3"/>
        <v>14.28</v>
      </c>
      <c r="G70">
        <f t="shared" si="4"/>
        <v>15.13</v>
      </c>
    </row>
    <row r="71" spans="2:7" x14ac:dyDescent="0.25">
      <c r="B71">
        <v>8308</v>
      </c>
      <c r="C71" s="6" t="s">
        <v>169</v>
      </c>
      <c r="D71" s="97">
        <v>15</v>
      </c>
      <c r="E71" s="77">
        <f t="shared" si="2"/>
        <v>17</v>
      </c>
      <c r="F71">
        <f t="shared" si="3"/>
        <v>17.850000000000001</v>
      </c>
      <c r="G71">
        <f t="shared" si="4"/>
        <v>18.38</v>
      </c>
    </row>
    <row r="72" spans="2:7" x14ac:dyDescent="0.25">
      <c r="B72">
        <v>8309</v>
      </c>
      <c r="C72" s="6" t="s">
        <v>170</v>
      </c>
      <c r="D72" s="97">
        <v>18</v>
      </c>
      <c r="E72" s="77">
        <f t="shared" si="2"/>
        <v>21</v>
      </c>
      <c r="F72">
        <f t="shared" si="3"/>
        <v>21.42</v>
      </c>
      <c r="G72">
        <f t="shared" si="4"/>
        <v>22.7</v>
      </c>
    </row>
    <row r="73" spans="2:7" x14ac:dyDescent="0.25">
      <c r="B73" s="8">
        <v>8310</v>
      </c>
      <c r="C73" s="6" t="s">
        <v>171</v>
      </c>
      <c r="D73" s="97">
        <v>39</v>
      </c>
      <c r="E73" s="77">
        <f t="shared" si="2"/>
        <v>45</v>
      </c>
      <c r="F73">
        <f t="shared" si="3"/>
        <v>46.41</v>
      </c>
      <c r="G73">
        <f t="shared" si="4"/>
        <v>48.65</v>
      </c>
    </row>
    <row r="74" spans="2:7" x14ac:dyDescent="0.25">
      <c r="B74">
        <v>8311</v>
      </c>
      <c r="C74" s="6" t="s">
        <v>172</v>
      </c>
      <c r="D74" s="97">
        <v>44</v>
      </c>
      <c r="E74" s="77">
        <f t="shared" si="2"/>
        <v>51</v>
      </c>
      <c r="F74">
        <f t="shared" si="3"/>
        <v>52.36</v>
      </c>
      <c r="G74">
        <f t="shared" si="4"/>
        <v>55.13</v>
      </c>
    </row>
    <row r="75" spans="2:7" x14ac:dyDescent="0.25">
      <c r="B75">
        <v>8312</v>
      </c>
      <c r="C75" s="6" t="s">
        <v>173</v>
      </c>
      <c r="D75" s="97">
        <v>38</v>
      </c>
      <c r="E75" s="77">
        <f t="shared" si="2"/>
        <v>44</v>
      </c>
      <c r="F75">
        <f t="shared" si="3"/>
        <v>45.22</v>
      </c>
      <c r="G75">
        <f t="shared" si="4"/>
        <v>47.56</v>
      </c>
    </row>
    <row r="76" spans="2:7" x14ac:dyDescent="0.25">
      <c r="B76">
        <v>8313</v>
      </c>
      <c r="C76" s="6" t="s">
        <v>174</v>
      </c>
      <c r="D76" s="97">
        <v>19</v>
      </c>
      <c r="E76" s="77">
        <f t="shared" si="2"/>
        <v>22</v>
      </c>
      <c r="F76">
        <f t="shared" si="3"/>
        <v>22.61</v>
      </c>
      <c r="G76">
        <f t="shared" si="4"/>
        <v>23.78</v>
      </c>
    </row>
    <row r="77" spans="2:7" x14ac:dyDescent="0.25">
      <c r="B77">
        <v>8314</v>
      </c>
      <c r="C77" s="6" t="s">
        <v>175</v>
      </c>
      <c r="D77" s="97">
        <v>22</v>
      </c>
      <c r="E77" s="77">
        <f t="shared" si="2"/>
        <v>25</v>
      </c>
      <c r="F77">
        <f t="shared" si="3"/>
        <v>26.18</v>
      </c>
      <c r="G77">
        <f t="shared" si="4"/>
        <v>27.03</v>
      </c>
    </row>
    <row r="78" spans="2:7" x14ac:dyDescent="0.25">
      <c r="B78">
        <v>8315</v>
      </c>
      <c r="C78" s="6" t="s">
        <v>176</v>
      </c>
      <c r="D78" s="97">
        <v>29</v>
      </c>
      <c r="E78" s="77">
        <f t="shared" si="2"/>
        <v>33</v>
      </c>
      <c r="F78">
        <f t="shared" si="3"/>
        <v>34.51</v>
      </c>
      <c r="G78">
        <f t="shared" si="4"/>
        <v>35.67</v>
      </c>
    </row>
    <row r="79" spans="2:7" x14ac:dyDescent="0.25">
      <c r="B79" s="5"/>
      <c r="C79" s="5" t="s">
        <v>116</v>
      </c>
      <c r="D79" s="5"/>
      <c r="E79" s="69">
        <v>0</v>
      </c>
    </row>
    <row r="80" spans="2:7" x14ac:dyDescent="0.25">
      <c r="B80" s="8">
        <v>8500</v>
      </c>
      <c r="C80" s="72" t="s">
        <v>116</v>
      </c>
      <c r="E80" s="65">
        <v>0</v>
      </c>
    </row>
    <row r="81" spans="2:5" x14ac:dyDescent="0.25">
      <c r="B81">
        <v>8501</v>
      </c>
      <c r="C81" s="72" t="s">
        <v>116</v>
      </c>
      <c r="E81" s="65">
        <v>0</v>
      </c>
    </row>
    <row r="82" spans="2:5" x14ac:dyDescent="0.25">
      <c r="B82">
        <v>8502</v>
      </c>
      <c r="C82" s="72" t="s">
        <v>116</v>
      </c>
      <c r="E82" s="65">
        <v>0</v>
      </c>
    </row>
    <row r="83" spans="2:5" x14ac:dyDescent="0.25">
      <c r="B83" s="3">
        <v>8503</v>
      </c>
      <c r="C83" s="72" t="s">
        <v>116</v>
      </c>
      <c r="D83" s="68">
        <v>262</v>
      </c>
      <c r="E83" s="67">
        <v>288</v>
      </c>
    </row>
    <row r="84" spans="2:5" x14ac:dyDescent="0.25">
      <c r="B84" s="3">
        <v>8504</v>
      </c>
      <c r="C84" s="72" t="s">
        <v>116</v>
      </c>
      <c r="D84" s="68">
        <v>263</v>
      </c>
      <c r="E84" s="67">
        <v>289</v>
      </c>
    </row>
    <row r="85" spans="2:5" x14ac:dyDescent="0.25">
      <c r="B85" s="3">
        <v>8505</v>
      </c>
      <c r="C85" s="72" t="s">
        <v>116</v>
      </c>
      <c r="D85" s="68">
        <v>265</v>
      </c>
      <c r="E85" s="67">
        <v>292</v>
      </c>
    </row>
    <row r="86" spans="2:5" x14ac:dyDescent="0.25">
      <c r="B86" s="3">
        <v>8506</v>
      </c>
      <c r="C86" s="72" t="s">
        <v>116</v>
      </c>
      <c r="D86" s="68">
        <v>319</v>
      </c>
      <c r="E86" s="67">
        <v>351</v>
      </c>
    </row>
    <row r="87" spans="2:5" x14ac:dyDescent="0.25">
      <c r="B87" s="5"/>
      <c r="C87" s="5" t="s">
        <v>115</v>
      </c>
      <c r="D87" s="5"/>
      <c r="E87" s="69">
        <v>0</v>
      </c>
    </row>
    <row r="88" spans="2:5" x14ac:dyDescent="0.25">
      <c r="B88" s="8">
        <v>8050</v>
      </c>
      <c r="C88" s="73" t="s">
        <v>114</v>
      </c>
      <c r="D88" s="68">
        <v>5</v>
      </c>
      <c r="E88" s="67">
        <v>6</v>
      </c>
    </row>
    <row r="89" spans="2:5" x14ac:dyDescent="0.25">
      <c r="B89">
        <v>8051</v>
      </c>
      <c r="C89" s="73" t="s">
        <v>113</v>
      </c>
      <c r="D89" s="68">
        <v>5</v>
      </c>
      <c r="E89" s="67">
        <v>6</v>
      </c>
    </row>
    <row r="90" spans="2:5" x14ac:dyDescent="0.25">
      <c r="B90" s="8">
        <v>8080</v>
      </c>
      <c r="C90" s="72" t="s">
        <v>112</v>
      </c>
      <c r="D90" s="68">
        <v>8</v>
      </c>
      <c r="E90" s="67">
        <v>10</v>
      </c>
    </row>
    <row r="91" spans="2:5" x14ac:dyDescent="0.25">
      <c r="B91">
        <v>8081</v>
      </c>
      <c r="C91" s="72" t="s">
        <v>111</v>
      </c>
      <c r="D91" s="68">
        <v>6</v>
      </c>
      <c r="E91" s="67">
        <v>7</v>
      </c>
    </row>
    <row r="92" spans="2:5" x14ac:dyDescent="0.25">
      <c r="B92" s="8">
        <v>8100</v>
      </c>
      <c r="C92" s="72" t="s">
        <v>110</v>
      </c>
      <c r="E92" s="65">
        <v>0</v>
      </c>
    </row>
    <row r="93" spans="2:5" x14ac:dyDescent="0.25">
      <c r="B93">
        <v>8101</v>
      </c>
      <c r="C93" s="72" t="s">
        <v>110</v>
      </c>
      <c r="E93" s="65">
        <v>0</v>
      </c>
    </row>
    <row r="94" spans="2:5" x14ac:dyDescent="0.25">
      <c r="B94" s="8">
        <v>8150</v>
      </c>
      <c r="C94" s="72" t="s">
        <v>109</v>
      </c>
      <c r="E94" s="65">
        <v>0</v>
      </c>
    </row>
    <row r="95" spans="2:5" x14ac:dyDescent="0.25">
      <c r="B95">
        <v>8151</v>
      </c>
      <c r="C95" s="72" t="s">
        <v>109</v>
      </c>
      <c r="E95" s="65">
        <v>0</v>
      </c>
    </row>
    <row r="96" spans="2:5" x14ac:dyDescent="0.25">
      <c r="B96" s="66">
        <v>8152</v>
      </c>
      <c r="C96" s="72" t="s">
        <v>108</v>
      </c>
      <c r="D96" s="71">
        <v>70</v>
      </c>
      <c r="E96" s="70">
        <v>77</v>
      </c>
    </row>
    <row r="97" spans="2:5" x14ac:dyDescent="0.25">
      <c r="B97" s="5"/>
      <c r="C97" s="5" t="s">
        <v>107</v>
      </c>
      <c r="D97" s="5"/>
      <c r="E97" s="69">
        <v>0</v>
      </c>
    </row>
    <row r="98" spans="2:5" x14ac:dyDescent="0.25">
      <c r="B98" s="3">
        <v>8401</v>
      </c>
      <c r="C98" t="s">
        <v>106</v>
      </c>
      <c r="E98" s="65">
        <v>0</v>
      </c>
    </row>
    <row r="99" spans="2:5" x14ac:dyDescent="0.25">
      <c r="B99" s="66">
        <v>8402</v>
      </c>
      <c r="C99" t="s">
        <v>105</v>
      </c>
      <c r="E99" s="65">
        <v>0</v>
      </c>
    </row>
    <row r="100" spans="2:5" x14ac:dyDescent="0.25">
      <c r="B100" s="3">
        <v>8403</v>
      </c>
      <c r="C100" t="s">
        <v>104</v>
      </c>
      <c r="E100" s="65">
        <v>0</v>
      </c>
    </row>
    <row r="101" spans="2:5" x14ac:dyDescent="0.25">
      <c r="B101" s="66">
        <v>8404</v>
      </c>
      <c r="C101" t="s">
        <v>103</v>
      </c>
      <c r="E101" s="65">
        <v>0</v>
      </c>
    </row>
    <row r="102" spans="2:5" x14ac:dyDescent="0.25">
      <c r="B102" s="3">
        <v>8405</v>
      </c>
      <c r="C102" t="s">
        <v>102</v>
      </c>
      <c r="E102" s="65">
        <v>0</v>
      </c>
    </row>
    <row r="103" spans="2:5" x14ac:dyDescent="0.25">
      <c r="B103" s="66">
        <v>8406</v>
      </c>
      <c r="C103" t="s">
        <v>101</v>
      </c>
      <c r="E103" s="65">
        <v>0</v>
      </c>
    </row>
    <row r="104" spans="2:5" x14ac:dyDescent="0.25">
      <c r="B104" s="3">
        <v>8407</v>
      </c>
      <c r="C104" t="s">
        <v>100</v>
      </c>
      <c r="E104" s="65">
        <v>0</v>
      </c>
    </row>
    <row r="105" spans="2:5" x14ac:dyDescent="0.25">
      <c r="B105" s="66">
        <v>8408</v>
      </c>
      <c r="C105" t="s">
        <v>99</v>
      </c>
      <c r="E105" s="65">
        <v>0</v>
      </c>
    </row>
    <row r="106" spans="2:5" x14ac:dyDescent="0.25">
      <c r="B106" s="3">
        <v>8409</v>
      </c>
      <c r="C106" t="s">
        <v>98</v>
      </c>
      <c r="E106" s="65">
        <v>0</v>
      </c>
    </row>
    <row r="107" spans="2:5" x14ac:dyDescent="0.25">
      <c r="B107" s="66">
        <v>8410</v>
      </c>
      <c r="C107" t="s">
        <v>97</v>
      </c>
      <c r="E107" s="65">
        <v>0</v>
      </c>
    </row>
    <row r="108" spans="2:5" x14ac:dyDescent="0.25">
      <c r="B108" s="3">
        <v>8411</v>
      </c>
      <c r="C108" t="s">
        <v>96</v>
      </c>
      <c r="D108" s="68">
        <v>500</v>
      </c>
      <c r="E108" s="67">
        <f>+D108*1.1</f>
        <v>550</v>
      </c>
    </row>
    <row r="109" spans="2:5" x14ac:dyDescent="0.25">
      <c r="B109" s="66">
        <v>8412</v>
      </c>
      <c r="C109" t="s">
        <v>95</v>
      </c>
      <c r="E109" s="65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"/>
  <sheetViews>
    <sheetView workbookViewId="0">
      <selection activeCell="A8" sqref="A8:A20"/>
    </sheetView>
  </sheetViews>
  <sheetFormatPr baseColWidth="10" defaultRowHeight="15" x14ac:dyDescent="0.25"/>
  <cols>
    <col min="1" max="1" width="160.140625" customWidth="1"/>
  </cols>
  <sheetData>
    <row r="1" spans="1:1" ht="15.75" thickBot="1" x14ac:dyDescent="0.3">
      <c r="A1" s="42" t="s">
        <v>82</v>
      </c>
    </row>
    <row r="2" spans="1:1" x14ac:dyDescent="0.25">
      <c r="A2" t="s">
        <v>83</v>
      </c>
    </row>
    <row r="3" spans="1:1" x14ac:dyDescent="0.25">
      <c r="A3" t="s">
        <v>84</v>
      </c>
    </row>
    <row r="4" spans="1:1" x14ac:dyDescent="0.25">
      <c r="A4" t="s">
        <v>85</v>
      </c>
    </row>
    <row r="5" spans="1:1" x14ac:dyDescent="0.25">
      <c r="A5" t="s">
        <v>86</v>
      </c>
    </row>
    <row r="6" spans="1:1" x14ac:dyDescent="0.25">
      <c r="A6" t="s">
        <v>87</v>
      </c>
    </row>
    <row r="7" spans="1:1" x14ac:dyDescent="0.25">
      <c r="A7" t="s">
        <v>88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B05E-5D35-4974-B4D1-F93BF0E16DD9}">
  <dimension ref="A1:R309"/>
  <sheetViews>
    <sheetView tabSelected="1" workbookViewId="0">
      <selection activeCell="G5" sqref="G5"/>
    </sheetView>
  </sheetViews>
  <sheetFormatPr baseColWidth="10" defaultRowHeight="15" x14ac:dyDescent="0.25"/>
  <cols>
    <col min="1" max="1" width="21" customWidth="1"/>
    <col min="2" max="2" width="13.28515625" customWidth="1"/>
    <col min="3" max="3" width="24.7109375" customWidth="1"/>
    <col min="4" max="4" width="47.5703125" customWidth="1"/>
    <col min="5" max="6" width="13.28515625" customWidth="1"/>
    <col min="7" max="8" width="17.140625" customWidth="1"/>
    <col min="9" max="9" width="19" customWidth="1"/>
    <col min="10" max="13" width="17.140625" customWidth="1"/>
    <col min="14" max="14" width="19" customWidth="1"/>
    <col min="15" max="15" width="17.140625" customWidth="1"/>
    <col min="17" max="18" width="28.5703125" customWidth="1"/>
  </cols>
  <sheetData>
    <row r="1" spans="1:18" ht="18.75" x14ac:dyDescent="0.3">
      <c r="A1" s="104" t="s">
        <v>188</v>
      </c>
      <c r="B1" s="104" t="s">
        <v>198</v>
      </c>
      <c r="C1" s="104" t="s">
        <v>189</v>
      </c>
      <c r="D1" s="104" t="s">
        <v>190</v>
      </c>
      <c r="E1" s="104" t="s">
        <v>191</v>
      </c>
      <c r="F1" s="104" t="s">
        <v>192</v>
      </c>
      <c r="G1" s="104" t="s">
        <v>193</v>
      </c>
      <c r="H1" s="104" t="s">
        <v>194</v>
      </c>
      <c r="I1" s="104" t="s">
        <v>195</v>
      </c>
      <c r="J1" s="104" t="s">
        <v>196</v>
      </c>
      <c r="K1" s="104" t="s">
        <v>197</v>
      </c>
      <c r="L1" s="104" t="s">
        <v>460</v>
      </c>
      <c r="M1" s="104" t="s">
        <v>461</v>
      </c>
      <c r="N1" s="104" t="s">
        <v>462</v>
      </c>
      <c r="O1" s="104" t="s">
        <v>463</v>
      </c>
      <c r="Q1" s="109" t="s">
        <v>465</v>
      </c>
      <c r="R1" s="109"/>
    </row>
    <row r="2" spans="1:18" x14ac:dyDescent="0.25">
      <c r="A2">
        <v>3000</v>
      </c>
      <c r="B2" t="s">
        <v>200</v>
      </c>
      <c r="C2" t="s">
        <v>38</v>
      </c>
      <c r="D2" t="s">
        <v>199</v>
      </c>
      <c r="E2">
        <v>360</v>
      </c>
      <c r="F2">
        <v>360</v>
      </c>
      <c r="G2" s="106">
        <v>34</v>
      </c>
      <c r="H2" s="106">
        <v>114</v>
      </c>
      <c r="I2" s="106">
        <v>89</v>
      </c>
      <c r="J2" s="106">
        <v>177</v>
      </c>
      <c r="L2" s="106">
        <f t="shared" ref="L2:L65" si="0">IF(G2="","",ROUND(G2*1.15,0))</f>
        <v>39</v>
      </c>
      <c r="M2" s="106">
        <f t="shared" ref="M2:M65" si="1">IF(H2="","",ROUND(H2*1.15,0))</f>
        <v>131</v>
      </c>
      <c r="N2" s="106">
        <f t="shared" ref="N2:N65" si="2">IF(I2="","",ROUND(I2*1.15,0))</f>
        <v>102</v>
      </c>
      <c r="O2" s="106">
        <f t="shared" ref="O2:O65" si="3">IF(J2="","",ROUND(J2*1.15,0))</f>
        <v>204</v>
      </c>
      <c r="Q2" s="14" t="s">
        <v>466</v>
      </c>
      <c r="R2" t="s">
        <v>467</v>
      </c>
    </row>
    <row r="3" spans="1:18" x14ac:dyDescent="0.25">
      <c r="A3">
        <v>3001</v>
      </c>
      <c r="B3" t="s">
        <v>200</v>
      </c>
      <c r="C3" t="s">
        <v>38</v>
      </c>
      <c r="D3" t="s">
        <v>201</v>
      </c>
      <c r="E3">
        <v>420</v>
      </c>
      <c r="F3">
        <v>360</v>
      </c>
      <c r="G3" s="106">
        <v>34</v>
      </c>
      <c r="H3" s="106">
        <v>121</v>
      </c>
      <c r="I3" s="106">
        <v>92</v>
      </c>
      <c r="J3" s="106">
        <v>178</v>
      </c>
      <c r="L3" s="106">
        <f t="shared" si="0"/>
        <v>39</v>
      </c>
      <c r="M3" s="106">
        <f t="shared" si="1"/>
        <v>139</v>
      </c>
      <c r="N3" s="106">
        <f t="shared" si="2"/>
        <v>106</v>
      </c>
      <c r="O3" s="106">
        <f t="shared" si="3"/>
        <v>205</v>
      </c>
      <c r="Q3" s="14" t="s">
        <v>468</v>
      </c>
      <c r="R3">
        <f>COUNTIF(B:B,"Platte")</f>
        <v>258</v>
      </c>
    </row>
    <row r="4" spans="1:18" x14ac:dyDescent="0.25">
      <c r="A4">
        <v>3002</v>
      </c>
      <c r="B4" t="s">
        <v>200</v>
      </c>
      <c r="C4" t="s">
        <v>38</v>
      </c>
      <c r="D4" t="s">
        <v>202</v>
      </c>
      <c r="E4">
        <v>580</v>
      </c>
      <c r="F4">
        <v>360</v>
      </c>
      <c r="G4" s="106">
        <v>43</v>
      </c>
      <c r="H4" s="106">
        <v>161</v>
      </c>
      <c r="I4" s="106">
        <v>130</v>
      </c>
      <c r="J4" s="106">
        <v>185</v>
      </c>
      <c r="L4" s="106">
        <f t="shared" si="0"/>
        <v>49</v>
      </c>
      <c r="M4" s="106">
        <f t="shared" si="1"/>
        <v>185</v>
      </c>
      <c r="N4" s="106">
        <f t="shared" si="2"/>
        <v>150</v>
      </c>
      <c r="O4" s="106">
        <f t="shared" si="3"/>
        <v>213</v>
      </c>
      <c r="Q4" s="14" t="s">
        <v>469</v>
      </c>
      <c r="R4">
        <f>COUNTIF(B:B,"Zubehör")</f>
        <v>47</v>
      </c>
    </row>
    <row r="5" spans="1:18" x14ac:dyDescent="0.25">
      <c r="A5">
        <v>3003</v>
      </c>
      <c r="B5" t="s">
        <v>200</v>
      </c>
      <c r="C5" t="s">
        <v>38</v>
      </c>
      <c r="D5" t="s">
        <v>203</v>
      </c>
      <c r="E5">
        <v>780</v>
      </c>
      <c r="F5">
        <v>360</v>
      </c>
      <c r="G5" s="106">
        <v>56</v>
      </c>
      <c r="H5" s="106">
        <v>185</v>
      </c>
      <c r="I5" s="106">
        <v>144</v>
      </c>
      <c r="J5" s="106">
        <v>190</v>
      </c>
      <c r="L5" s="106">
        <f t="shared" si="0"/>
        <v>64</v>
      </c>
      <c r="M5" s="106">
        <f t="shared" si="1"/>
        <v>213</v>
      </c>
      <c r="N5" s="106">
        <f t="shared" si="2"/>
        <v>166</v>
      </c>
      <c r="O5" s="106">
        <f t="shared" si="3"/>
        <v>219</v>
      </c>
      <c r="Q5" s="14" t="s">
        <v>474</v>
      </c>
      <c r="R5" t="s">
        <v>475</v>
      </c>
    </row>
    <row r="6" spans="1:18" x14ac:dyDescent="0.25">
      <c r="A6">
        <v>3004</v>
      </c>
      <c r="B6" t="s">
        <v>200</v>
      </c>
      <c r="C6" t="s">
        <v>38</v>
      </c>
      <c r="D6" t="s">
        <v>204</v>
      </c>
      <c r="E6">
        <v>980</v>
      </c>
      <c r="F6">
        <v>360</v>
      </c>
      <c r="G6" s="106">
        <v>70</v>
      </c>
      <c r="H6" s="106">
        <v>223</v>
      </c>
      <c r="I6" s="106">
        <v>174</v>
      </c>
      <c r="J6" s="106">
        <v>209</v>
      </c>
      <c r="L6" s="106">
        <f t="shared" si="0"/>
        <v>81</v>
      </c>
      <c r="M6" s="106">
        <f t="shared" si="1"/>
        <v>256</v>
      </c>
      <c r="N6" s="106">
        <f t="shared" si="2"/>
        <v>200</v>
      </c>
      <c r="O6" s="106">
        <f t="shared" si="3"/>
        <v>240</v>
      </c>
      <c r="Q6" s="14" t="s">
        <v>470</v>
      </c>
      <c r="R6">
        <f>COUNTIF(K:K,"*nicht OK*")</f>
        <v>10</v>
      </c>
    </row>
    <row r="7" spans="1:18" x14ac:dyDescent="0.25">
      <c r="A7">
        <v>3005</v>
      </c>
      <c r="B7" t="s">
        <v>200</v>
      </c>
      <c r="C7" t="s">
        <v>38</v>
      </c>
      <c r="D7" t="s">
        <v>205</v>
      </c>
      <c r="E7">
        <v>360</v>
      </c>
      <c r="F7">
        <v>580</v>
      </c>
      <c r="G7" s="106">
        <v>43</v>
      </c>
      <c r="H7" s="106">
        <v>161</v>
      </c>
      <c r="I7" s="106">
        <v>130</v>
      </c>
      <c r="J7" s="106">
        <v>185</v>
      </c>
      <c r="L7" s="106">
        <f t="shared" si="0"/>
        <v>49</v>
      </c>
      <c r="M7" s="106">
        <f t="shared" si="1"/>
        <v>185</v>
      </c>
      <c r="N7" s="106">
        <f t="shared" si="2"/>
        <v>150</v>
      </c>
      <c r="O7" s="106">
        <f t="shared" si="3"/>
        <v>213</v>
      </c>
      <c r="Q7" s="14" t="s">
        <v>471</v>
      </c>
      <c r="R7">
        <v>1.1499999999999999</v>
      </c>
    </row>
    <row r="8" spans="1:18" x14ac:dyDescent="0.25">
      <c r="A8">
        <v>3006</v>
      </c>
      <c r="B8" t="s">
        <v>200</v>
      </c>
      <c r="C8" t="s">
        <v>38</v>
      </c>
      <c r="D8" t="s">
        <v>206</v>
      </c>
      <c r="E8">
        <v>420</v>
      </c>
      <c r="F8">
        <v>580</v>
      </c>
      <c r="G8" s="106">
        <v>49</v>
      </c>
      <c r="H8" s="106">
        <v>181</v>
      </c>
      <c r="I8" s="106">
        <v>147</v>
      </c>
      <c r="J8" s="106">
        <v>186</v>
      </c>
      <c r="L8" s="106">
        <f t="shared" si="0"/>
        <v>56</v>
      </c>
      <c r="M8" s="106">
        <f t="shared" si="1"/>
        <v>208</v>
      </c>
      <c r="N8" s="106">
        <f t="shared" si="2"/>
        <v>169</v>
      </c>
      <c r="O8" s="106">
        <f t="shared" si="3"/>
        <v>214</v>
      </c>
      <c r="Q8" s="14" t="s">
        <v>472</v>
      </c>
      <c r="R8" t="s">
        <v>473</v>
      </c>
    </row>
    <row r="9" spans="1:18" x14ac:dyDescent="0.25">
      <c r="A9">
        <v>3007</v>
      </c>
      <c r="B9" t="s">
        <v>200</v>
      </c>
      <c r="C9" t="s">
        <v>38</v>
      </c>
      <c r="D9" t="s">
        <v>207</v>
      </c>
      <c r="E9">
        <v>580</v>
      </c>
      <c r="F9">
        <v>580</v>
      </c>
      <c r="G9" s="106">
        <v>67</v>
      </c>
      <c r="H9" s="106">
        <v>228</v>
      </c>
      <c r="I9" s="106">
        <v>183</v>
      </c>
      <c r="J9" s="106">
        <v>191</v>
      </c>
      <c r="L9" s="106">
        <f t="shared" si="0"/>
        <v>77</v>
      </c>
      <c r="M9" s="106">
        <f t="shared" si="1"/>
        <v>262</v>
      </c>
      <c r="N9" s="106">
        <f t="shared" si="2"/>
        <v>210</v>
      </c>
      <c r="O9" s="106">
        <f t="shared" si="3"/>
        <v>220</v>
      </c>
    </row>
    <row r="10" spans="1:18" x14ac:dyDescent="0.25">
      <c r="A10">
        <v>3008</v>
      </c>
      <c r="B10" t="s">
        <v>200</v>
      </c>
      <c r="C10" t="s">
        <v>38</v>
      </c>
      <c r="D10" t="s">
        <v>208</v>
      </c>
      <c r="E10">
        <v>780</v>
      </c>
      <c r="F10">
        <v>580</v>
      </c>
      <c r="G10" s="106">
        <v>87</v>
      </c>
      <c r="H10" s="106">
        <v>275</v>
      </c>
      <c r="I10" s="106">
        <v>225</v>
      </c>
      <c r="J10" s="106">
        <v>237</v>
      </c>
      <c r="L10" s="106">
        <f t="shared" si="0"/>
        <v>100</v>
      </c>
      <c r="M10" s="106">
        <f t="shared" si="1"/>
        <v>316</v>
      </c>
      <c r="N10" s="106">
        <f t="shared" si="2"/>
        <v>259</v>
      </c>
      <c r="O10" s="106">
        <f t="shared" si="3"/>
        <v>273</v>
      </c>
    </row>
    <row r="11" spans="1:18" x14ac:dyDescent="0.25">
      <c r="A11">
        <v>3009</v>
      </c>
      <c r="B11" t="s">
        <v>200</v>
      </c>
      <c r="C11" t="s">
        <v>38</v>
      </c>
      <c r="D11" t="s">
        <v>209</v>
      </c>
      <c r="E11">
        <v>980</v>
      </c>
      <c r="F11">
        <v>580</v>
      </c>
      <c r="G11" s="106">
        <v>110</v>
      </c>
      <c r="H11" s="106">
        <v>355</v>
      </c>
      <c r="I11" s="106">
        <v>286</v>
      </c>
      <c r="J11" s="106">
        <v>276</v>
      </c>
      <c r="L11" s="106">
        <f t="shared" si="0"/>
        <v>127</v>
      </c>
      <c r="M11" s="106">
        <f t="shared" si="1"/>
        <v>408</v>
      </c>
      <c r="N11" s="106">
        <f t="shared" si="2"/>
        <v>329</v>
      </c>
      <c r="O11" s="106">
        <f t="shared" si="3"/>
        <v>317</v>
      </c>
    </row>
    <row r="12" spans="1:18" x14ac:dyDescent="0.25">
      <c r="A12">
        <v>3010</v>
      </c>
      <c r="B12" t="s">
        <v>200</v>
      </c>
      <c r="C12" t="s">
        <v>38</v>
      </c>
      <c r="D12" t="s">
        <v>210</v>
      </c>
      <c r="E12">
        <v>780</v>
      </c>
      <c r="F12">
        <v>780</v>
      </c>
      <c r="G12" s="106">
        <v>113</v>
      </c>
      <c r="H12" s="106">
        <v>302</v>
      </c>
      <c r="I12" s="106">
        <v>272</v>
      </c>
      <c r="J12" s="106">
        <v>295</v>
      </c>
      <c r="L12" s="106">
        <f t="shared" si="0"/>
        <v>130</v>
      </c>
      <c r="M12" s="106">
        <f t="shared" si="1"/>
        <v>347</v>
      </c>
      <c r="N12" s="106">
        <f t="shared" si="2"/>
        <v>313</v>
      </c>
      <c r="O12" s="106">
        <f t="shared" si="3"/>
        <v>339</v>
      </c>
    </row>
    <row r="13" spans="1:18" x14ac:dyDescent="0.25">
      <c r="A13">
        <v>3011</v>
      </c>
      <c r="B13" t="s">
        <v>200</v>
      </c>
      <c r="C13" t="s">
        <v>38</v>
      </c>
      <c r="D13" t="s">
        <v>211</v>
      </c>
      <c r="E13">
        <v>980</v>
      </c>
      <c r="F13">
        <v>780</v>
      </c>
      <c r="G13" s="106">
        <v>139</v>
      </c>
      <c r="H13" s="106">
        <v>416</v>
      </c>
      <c r="I13" s="106">
        <v>216</v>
      </c>
      <c r="J13" s="106">
        <v>406</v>
      </c>
      <c r="L13" s="106">
        <f t="shared" si="0"/>
        <v>160</v>
      </c>
      <c r="M13" s="106">
        <f t="shared" si="1"/>
        <v>478</v>
      </c>
      <c r="N13" s="106">
        <f t="shared" si="2"/>
        <v>248</v>
      </c>
      <c r="O13" s="106">
        <f t="shared" si="3"/>
        <v>467</v>
      </c>
    </row>
    <row r="14" spans="1:18" x14ac:dyDescent="0.25">
      <c r="A14">
        <v>3012</v>
      </c>
      <c r="B14" t="s">
        <v>200</v>
      </c>
      <c r="C14" t="s">
        <v>38</v>
      </c>
      <c r="D14" t="s">
        <v>212</v>
      </c>
      <c r="E14">
        <v>980</v>
      </c>
      <c r="F14">
        <v>980</v>
      </c>
      <c r="G14" s="106">
        <v>180</v>
      </c>
      <c r="H14" s="106">
        <v>496</v>
      </c>
      <c r="I14" s="106">
        <v>257</v>
      </c>
      <c r="J14" s="106">
        <v>483</v>
      </c>
      <c r="L14" s="106">
        <f t="shared" si="0"/>
        <v>207</v>
      </c>
      <c r="M14" s="106">
        <f t="shared" si="1"/>
        <v>570</v>
      </c>
      <c r="N14" s="106">
        <f t="shared" si="2"/>
        <v>296</v>
      </c>
      <c r="O14" s="106">
        <f t="shared" si="3"/>
        <v>555</v>
      </c>
    </row>
    <row r="15" spans="1:18" x14ac:dyDescent="0.25">
      <c r="A15">
        <v>3013</v>
      </c>
      <c r="B15" t="s">
        <v>200</v>
      </c>
      <c r="C15" t="s">
        <v>38</v>
      </c>
      <c r="D15" t="s">
        <v>213</v>
      </c>
      <c r="E15">
        <v>420</v>
      </c>
      <c r="F15">
        <v>780</v>
      </c>
      <c r="G15" s="106">
        <v>71</v>
      </c>
      <c r="H15" s="106">
        <v>219</v>
      </c>
      <c r="I15" s="106">
        <v>113</v>
      </c>
      <c r="J15" s="106">
        <v>213</v>
      </c>
      <c r="L15" s="106">
        <f t="shared" si="0"/>
        <v>82</v>
      </c>
      <c r="M15" s="106">
        <f t="shared" si="1"/>
        <v>252</v>
      </c>
      <c r="N15" s="106">
        <f t="shared" si="2"/>
        <v>130</v>
      </c>
      <c r="O15" s="106">
        <f t="shared" si="3"/>
        <v>245</v>
      </c>
    </row>
    <row r="16" spans="1:18" x14ac:dyDescent="0.25">
      <c r="A16">
        <v>3014</v>
      </c>
      <c r="B16" t="s">
        <v>200</v>
      </c>
      <c r="C16" t="s">
        <v>38</v>
      </c>
      <c r="D16" t="s">
        <v>214</v>
      </c>
      <c r="E16">
        <v>420</v>
      </c>
      <c r="F16">
        <v>980</v>
      </c>
      <c r="G16" s="106">
        <v>88</v>
      </c>
      <c r="H16" s="106">
        <v>247</v>
      </c>
      <c r="I16" s="106">
        <v>128</v>
      </c>
      <c r="J16" s="106">
        <v>241</v>
      </c>
      <c r="L16" s="106">
        <f t="shared" si="0"/>
        <v>101</v>
      </c>
      <c r="M16" s="106">
        <f t="shared" si="1"/>
        <v>284</v>
      </c>
      <c r="N16" s="106">
        <f t="shared" si="2"/>
        <v>147</v>
      </c>
      <c r="O16" s="106">
        <f t="shared" si="3"/>
        <v>277</v>
      </c>
    </row>
    <row r="17" spans="1:15" x14ac:dyDescent="0.25">
      <c r="A17" t="s">
        <v>39</v>
      </c>
      <c r="B17" t="s">
        <v>200</v>
      </c>
      <c r="C17" t="s">
        <v>38</v>
      </c>
      <c r="D17" t="s">
        <v>215</v>
      </c>
      <c r="E17">
        <v>420</v>
      </c>
      <c r="F17">
        <v>420</v>
      </c>
      <c r="G17" s="106">
        <v>56</v>
      </c>
      <c r="H17" s="106">
        <v>134</v>
      </c>
      <c r="I17" s="106">
        <v>69</v>
      </c>
      <c r="J17" s="106">
        <v>130</v>
      </c>
      <c r="L17" s="106">
        <f t="shared" si="0"/>
        <v>64</v>
      </c>
      <c r="M17" s="106">
        <f t="shared" si="1"/>
        <v>154</v>
      </c>
      <c r="N17" s="106">
        <f t="shared" si="2"/>
        <v>79</v>
      </c>
      <c r="O17" s="106">
        <f t="shared" si="3"/>
        <v>150</v>
      </c>
    </row>
    <row r="18" spans="1:15" x14ac:dyDescent="0.25">
      <c r="A18">
        <v>3100</v>
      </c>
      <c r="B18" t="s">
        <v>200</v>
      </c>
      <c r="C18" t="s">
        <v>7</v>
      </c>
      <c r="D18" t="s">
        <v>216</v>
      </c>
      <c r="E18">
        <v>360</v>
      </c>
      <c r="F18">
        <v>180</v>
      </c>
      <c r="G18" s="106">
        <v>34</v>
      </c>
      <c r="H18" s="106">
        <v>114</v>
      </c>
      <c r="I18" s="106">
        <v>89</v>
      </c>
      <c r="J18" s="106">
        <v>201</v>
      </c>
      <c r="L18" s="106">
        <f t="shared" si="0"/>
        <v>39</v>
      </c>
      <c r="M18" s="106">
        <f t="shared" si="1"/>
        <v>131</v>
      </c>
      <c r="N18" s="106">
        <f t="shared" si="2"/>
        <v>102</v>
      </c>
      <c r="O18" s="106">
        <f t="shared" si="3"/>
        <v>231</v>
      </c>
    </row>
    <row r="19" spans="1:15" x14ac:dyDescent="0.25">
      <c r="A19">
        <v>3101</v>
      </c>
      <c r="B19" t="s">
        <v>200</v>
      </c>
      <c r="C19" t="s">
        <v>7</v>
      </c>
      <c r="D19" t="s">
        <v>217</v>
      </c>
      <c r="E19">
        <v>360</v>
      </c>
      <c r="F19">
        <v>360</v>
      </c>
      <c r="G19" s="106">
        <v>34</v>
      </c>
      <c r="H19" s="106">
        <v>114</v>
      </c>
      <c r="I19" s="106">
        <v>89</v>
      </c>
      <c r="J19" s="106">
        <v>177</v>
      </c>
      <c r="L19" s="106">
        <f t="shared" si="0"/>
        <v>39</v>
      </c>
      <c r="M19" s="106">
        <f t="shared" si="1"/>
        <v>131</v>
      </c>
      <c r="N19" s="106">
        <f t="shared" si="2"/>
        <v>102</v>
      </c>
      <c r="O19" s="106">
        <f t="shared" si="3"/>
        <v>204</v>
      </c>
    </row>
    <row r="20" spans="1:15" x14ac:dyDescent="0.25">
      <c r="A20">
        <v>3102</v>
      </c>
      <c r="B20" t="s">
        <v>200</v>
      </c>
      <c r="C20" t="s">
        <v>7</v>
      </c>
      <c r="D20" t="s">
        <v>218</v>
      </c>
      <c r="E20">
        <v>360</v>
      </c>
      <c r="F20">
        <v>720</v>
      </c>
      <c r="G20" s="106">
        <v>52</v>
      </c>
      <c r="H20" s="106">
        <v>181</v>
      </c>
      <c r="I20" s="106">
        <v>143</v>
      </c>
      <c r="J20" s="106">
        <v>212</v>
      </c>
      <c r="L20" s="106">
        <f t="shared" si="0"/>
        <v>60</v>
      </c>
      <c r="M20" s="106">
        <f t="shared" si="1"/>
        <v>208</v>
      </c>
      <c r="N20" s="106">
        <f t="shared" si="2"/>
        <v>164</v>
      </c>
      <c r="O20" s="106">
        <f t="shared" si="3"/>
        <v>244</v>
      </c>
    </row>
    <row r="21" spans="1:15" x14ac:dyDescent="0.25">
      <c r="A21">
        <v>3103</v>
      </c>
      <c r="B21" t="s">
        <v>200</v>
      </c>
      <c r="C21" t="s">
        <v>7</v>
      </c>
      <c r="D21" t="s">
        <v>219</v>
      </c>
      <c r="E21">
        <v>360</v>
      </c>
      <c r="F21">
        <v>1080</v>
      </c>
      <c r="G21" s="106">
        <v>76</v>
      </c>
      <c r="H21" s="106">
        <v>267</v>
      </c>
      <c r="I21" s="106">
        <v>222</v>
      </c>
      <c r="J21" s="106">
        <v>240</v>
      </c>
      <c r="L21" s="106">
        <f t="shared" si="0"/>
        <v>87</v>
      </c>
      <c r="M21" s="106">
        <f t="shared" si="1"/>
        <v>307</v>
      </c>
      <c r="N21" s="106">
        <f t="shared" si="2"/>
        <v>255</v>
      </c>
      <c r="O21" s="106">
        <f t="shared" si="3"/>
        <v>276</v>
      </c>
    </row>
    <row r="22" spans="1:15" x14ac:dyDescent="0.25">
      <c r="A22">
        <v>3104</v>
      </c>
      <c r="B22" t="s">
        <v>200</v>
      </c>
      <c r="C22" t="s">
        <v>7</v>
      </c>
      <c r="D22" t="s">
        <v>220</v>
      </c>
      <c r="E22">
        <v>360</v>
      </c>
      <c r="F22">
        <v>1440</v>
      </c>
      <c r="G22" s="106">
        <v>100</v>
      </c>
      <c r="H22" s="106">
        <v>336</v>
      </c>
      <c r="I22" s="106">
        <v>281</v>
      </c>
      <c r="J22" s="106">
        <v>529</v>
      </c>
      <c r="L22" s="106">
        <f t="shared" si="0"/>
        <v>115</v>
      </c>
      <c r="M22" s="106">
        <f t="shared" si="1"/>
        <v>386</v>
      </c>
      <c r="N22" s="106">
        <f t="shared" si="2"/>
        <v>323</v>
      </c>
      <c r="O22" s="106">
        <f t="shared" si="3"/>
        <v>608</v>
      </c>
    </row>
    <row r="23" spans="1:15" x14ac:dyDescent="0.25">
      <c r="A23">
        <v>3105</v>
      </c>
      <c r="B23" t="s">
        <v>200</v>
      </c>
      <c r="C23" t="s">
        <v>7</v>
      </c>
      <c r="D23" t="s">
        <v>221</v>
      </c>
      <c r="E23">
        <v>360</v>
      </c>
      <c r="F23">
        <v>1800</v>
      </c>
      <c r="G23" s="106">
        <v>125</v>
      </c>
      <c r="H23" s="106">
        <v>246</v>
      </c>
      <c r="I23" s="106">
        <v>343</v>
      </c>
      <c r="J23" s="106">
        <v>645</v>
      </c>
      <c r="L23" s="106">
        <f t="shared" si="0"/>
        <v>144</v>
      </c>
      <c r="M23" s="106">
        <f t="shared" si="1"/>
        <v>283</v>
      </c>
      <c r="N23" s="106">
        <f t="shared" si="2"/>
        <v>394</v>
      </c>
      <c r="O23" s="106">
        <f t="shared" si="3"/>
        <v>742</v>
      </c>
    </row>
    <row r="24" spans="1:15" x14ac:dyDescent="0.25">
      <c r="A24">
        <v>3106</v>
      </c>
      <c r="B24" t="s">
        <v>200</v>
      </c>
      <c r="C24" t="s">
        <v>7</v>
      </c>
      <c r="D24" t="s">
        <v>222</v>
      </c>
      <c r="E24">
        <v>580</v>
      </c>
      <c r="F24">
        <v>180</v>
      </c>
      <c r="G24" s="106">
        <v>43</v>
      </c>
      <c r="H24" s="106">
        <v>161</v>
      </c>
      <c r="I24" s="106">
        <v>130</v>
      </c>
      <c r="J24" s="106">
        <v>208</v>
      </c>
      <c r="L24" s="106">
        <f t="shared" si="0"/>
        <v>49</v>
      </c>
      <c r="M24" s="106">
        <f t="shared" si="1"/>
        <v>185</v>
      </c>
      <c r="N24" s="106">
        <f t="shared" si="2"/>
        <v>150</v>
      </c>
      <c r="O24" s="106">
        <f t="shared" si="3"/>
        <v>239</v>
      </c>
    </row>
    <row r="25" spans="1:15" x14ac:dyDescent="0.25">
      <c r="A25">
        <v>3107</v>
      </c>
      <c r="B25" t="s">
        <v>200</v>
      </c>
      <c r="C25" t="s">
        <v>7</v>
      </c>
      <c r="D25" t="s">
        <v>223</v>
      </c>
      <c r="E25">
        <v>580</v>
      </c>
      <c r="F25">
        <v>360</v>
      </c>
      <c r="G25" s="106">
        <v>43</v>
      </c>
      <c r="H25" s="106">
        <v>161</v>
      </c>
      <c r="I25" s="106">
        <v>130</v>
      </c>
      <c r="J25" s="106">
        <v>185</v>
      </c>
      <c r="L25" s="106">
        <f t="shared" si="0"/>
        <v>49</v>
      </c>
      <c r="M25" s="106">
        <f t="shared" si="1"/>
        <v>185</v>
      </c>
      <c r="N25" s="106">
        <f t="shared" si="2"/>
        <v>150</v>
      </c>
      <c r="O25" s="106">
        <f t="shared" si="3"/>
        <v>213</v>
      </c>
    </row>
    <row r="26" spans="1:15" x14ac:dyDescent="0.25">
      <c r="A26">
        <v>3108</v>
      </c>
      <c r="B26" t="s">
        <v>200</v>
      </c>
      <c r="C26" t="s">
        <v>7</v>
      </c>
      <c r="D26" t="s">
        <v>224</v>
      </c>
      <c r="E26">
        <v>580</v>
      </c>
      <c r="F26">
        <v>720</v>
      </c>
      <c r="G26" s="106">
        <v>82</v>
      </c>
      <c r="H26" s="106">
        <v>262</v>
      </c>
      <c r="I26" s="106">
        <v>216</v>
      </c>
      <c r="J26" s="106">
        <v>245</v>
      </c>
      <c r="L26" s="106">
        <f t="shared" si="0"/>
        <v>94</v>
      </c>
      <c r="M26" s="106">
        <f t="shared" si="1"/>
        <v>301</v>
      </c>
      <c r="N26" s="106">
        <f t="shared" si="2"/>
        <v>248</v>
      </c>
      <c r="O26" s="106">
        <f t="shared" si="3"/>
        <v>282</v>
      </c>
    </row>
    <row r="27" spans="1:15" x14ac:dyDescent="0.25">
      <c r="A27">
        <v>3109</v>
      </c>
      <c r="B27" t="s">
        <v>200</v>
      </c>
      <c r="C27" t="s">
        <v>7</v>
      </c>
      <c r="D27" t="s">
        <v>225</v>
      </c>
      <c r="E27">
        <v>580</v>
      </c>
      <c r="F27">
        <v>1080</v>
      </c>
      <c r="G27" s="106">
        <v>119</v>
      </c>
      <c r="H27" s="106">
        <v>377</v>
      </c>
      <c r="I27" s="106">
        <v>300</v>
      </c>
      <c r="J27" s="106">
        <v>307</v>
      </c>
      <c r="L27" s="106">
        <f t="shared" si="0"/>
        <v>137</v>
      </c>
      <c r="M27" s="106">
        <f t="shared" si="1"/>
        <v>434</v>
      </c>
      <c r="N27" s="106">
        <f t="shared" si="2"/>
        <v>345</v>
      </c>
      <c r="O27" s="106">
        <f t="shared" si="3"/>
        <v>353</v>
      </c>
    </row>
    <row r="28" spans="1:15" x14ac:dyDescent="0.25">
      <c r="A28">
        <v>3110</v>
      </c>
      <c r="B28" t="s">
        <v>200</v>
      </c>
      <c r="C28" t="s">
        <v>7</v>
      </c>
      <c r="D28" t="s">
        <v>226</v>
      </c>
      <c r="E28">
        <v>580</v>
      </c>
      <c r="F28">
        <v>1440</v>
      </c>
      <c r="G28" s="106">
        <v>158</v>
      </c>
      <c r="H28" s="106">
        <v>484</v>
      </c>
      <c r="I28" s="106">
        <v>400</v>
      </c>
      <c r="J28" s="106">
        <v>752</v>
      </c>
      <c r="L28" s="106">
        <f t="shared" si="0"/>
        <v>182</v>
      </c>
      <c r="M28" s="106">
        <f t="shared" si="1"/>
        <v>557</v>
      </c>
      <c r="N28" s="106">
        <f t="shared" si="2"/>
        <v>460</v>
      </c>
      <c r="O28" s="106">
        <f t="shared" si="3"/>
        <v>865</v>
      </c>
    </row>
    <row r="29" spans="1:15" x14ac:dyDescent="0.25">
      <c r="A29">
        <v>3111</v>
      </c>
      <c r="B29" t="s">
        <v>200</v>
      </c>
      <c r="C29" t="s">
        <v>7</v>
      </c>
      <c r="D29" t="s">
        <v>227</v>
      </c>
      <c r="E29">
        <v>580</v>
      </c>
      <c r="F29">
        <v>1800</v>
      </c>
      <c r="G29" s="106">
        <v>197</v>
      </c>
      <c r="H29" s="106">
        <v>388</v>
      </c>
      <c r="I29" s="106">
        <v>467</v>
      </c>
      <c r="J29" s="106">
        <v>879</v>
      </c>
      <c r="L29" s="106">
        <f t="shared" si="0"/>
        <v>227</v>
      </c>
      <c r="M29" s="106">
        <f t="shared" si="1"/>
        <v>446</v>
      </c>
      <c r="N29" s="106">
        <f t="shared" si="2"/>
        <v>537</v>
      </c>
      <c r="O29" s="106">
        <f t="shared" si="3"/>
        <v>1011</v>
      </c>
    </row>
    <row r="30" spans="1:15" x14ac:dyDescent="0.25">
      <c r="A30">
        <v>3112</v>
      </c>
      <c r="B30" t="s">
        <v>200</v>
      </c>
      <c r="C30" t="s">
        <v>7</v>
      </c>
      <c r="D30" t="s">
        <v>228</v>
      </c>
      <c r="E30">
        <v>180</v>
      </c>
      <c r="F30">
        <v>780</v>
      </c>
      <c r="G30" s="106">
        <v>56</v>
      </c>
      <c r="H30" s="106">
        <v>185</v>
      </c>
      <c r="I30" s="106">
        <v>144</v>
      </c>
      <c r="J30" s="106">
        <v>212</v>
      </c>
      <c r="L30" s="106">
        <f t="shared" si="0"/>
        <v>64</v>
      </c>
      <c r="M30" s="106">
        <f t="shared" si="1"/>
        <v>213</v>
      </c>
      <c r="N30" s="106">
        <f t="shared" si="2"/>
        <v>166</v>
      </c>
      <c r="O30" s="106">
        <f t="shared" si="3"/>
        <v>244</v>
      </c>
    </row>
    <row r="31" spans="1:15" x14ac:dyDescent="0.25">
      <c r="A31">
        <v>3113</v>
      </c>
      <c r="B31" t="s">
        <v>200</v>
      </c>
      <c r="C31" t="s">
        <v>7</v>
      </c>
      <c r="D31" t="s">
        <v>229</v>
      </c>
      <c r="E31">
        <v>180</v>
      </c>
      <c r="F31">
        <v>980</v>
      </c>
      <c r="G31" s="106">
        <v>70</v>
      </c>
      <c r="H31" s="106">
        <v>223</v>
      </c>
      <c r="I31" s="106">
        <v>174</v>
      </c>
      <c r="J31" s="106">
        <v>229</v>
      </c>
      <c r="L31" s="106">
        <f t="shared" si="0"/>
        <v>81</v>
      </c>
      <c r="M31" s="106">
        <f t="shared" si="1"/>
        <v>256</v>
      </c>
      <c r="N31" s="106">
        <f t="shared" si="2"/>
        <v>200</v>
      </c>
      <c r="O31" s="106">
        <f t="shared" si="3"/>
        <v>263</v>
      </c>
    </row>
    <row r="32" spans="1:15" x14ac:dyDescent="0.25">
      <c r="A32">
        <v>3114</v>
      </c>
      <c r="B32" t="s">
        <v>200</v>
      </c>
      <c r="C32" t="s">
        <v>7</v>
      </c>
      <c r="D32" t="s">
        <v>230</v>
      </c>
      <c r="E32">
        <v>360</v>
      </c>
      <c r="F32">
        <v>780</v>
      </c>
      <c r="G32" s="106">
        <v>56</v>
      </c>
      <c r="H32" s="106">
        <v>185</v>
      </c>
      <c r="I32" s="106">
        <v>144</v>
      </c>
      <c r="J32" s="106">
        <v>190</v>
      </c>
      <c r="L32" s="106">
        <f t="shared" si="0"/>
        <v>64</v>
      </c>
      <c r="M32" s="106">
        <f t="shared" si="1"/>
        <v>213</v>
      </c>
      <c r="N32" s="106">
        <f t="shared" si="2"/>
        <v>166</v>
      </c>
      <c r="O32" s="106">
        <f t="shared" si="3"/>
        <v>219</v>
      </c>
    </row>
    <row r="33" spans="1:15" x14ac:dyDescent="0.25">
      <c r="A33">
        <v>3115</v>
      </c>
      <c r="B33" t="s">
        <v>200</v>
      </c>
      <c r="C33" t="s">
        <v>7</v>
      </c>
      <c r="D33" t="s">
        <v>231</v>
      </c>
      <c r="E33">
        <v>360</v>
      </c>
      <c r="F33">
        <v>980</v>
      </c>
      <c r="G33" s="106">
        <v>70</v>
      </c>
      <c r="H33" s="106">
        <v>223</v>
      </c>
      <c r="I33" s="106">
        <v>174</v>
      </c>
      <c r="J33" s="106">
        <v>209</v>
      </c>
      <c r="L33" s="106">
        <f t="shared" si="0"/>
        <v>81</v>
      </c>
      <c r="M33" s="106">
        <f t="shared" si="1"/>
        <v>256</v>
      </c>
      <c r="N33" s="106">
        <f t="shared" si="2"/>
        <v>200</v>
      </c>
      <c r="O33" s="106">
        <f t="shared" si="3"/>
        <v>240</v>
      </c>
    </row>
    <row r="34" spans="1:15" x14ac:dyDescent="0.25">
      <c r="A34">
        <v>3116</v>
      </c>
      <c r="B34" t="s">
        <v>200</v>
      </c>
      <c r="C34" t="s">
        <v>7</v>
      </c>
      <c r="D34" t="s">
        <v>232</v>
      </c>
      <c r="E34">
        <v>720</v>
      </c>
      <c r="F34">
        <v>780</v>
      </c>
      <c r="G34" s="106">
        <v>107</v>
      </c>
      <c r="H34" s="106">
        <v>355</v>
      </c>
      <c r="I34" s="106">
        <v>277</v>
      </c>
      <c r="J34" s="106">
        <v>268</v>
      </c>
      <c r="L34" s="106">
        <f t="shared" si="0"/>
        <v>123</v>
      </c>
      <c r="M34" s="106">
        <f t="shared" si="1"/>
        <v>408</v>
      </c>
      <c r="N34" s="106">
        <f t="shared" si="2"/>
        <v>319</v>
      </c>
      <c r="O34" s="106">
        <f t="shared" si="3"/>
        <v>308</v>
      </c>
    </row>
    <row r="35" spans="1:15" x14ac:dyDescent="0.25">
      <c r="A35">
        <v>3117</v>
      </c>
      <c r="B35" t="s">
        <v>200</v>
      </c>
      <c r="C35" t="s">
        <v>7</v>
      </c>
      <c r="D35" t="s">
        <v>233</v>
      </c>
      <c r="E35">
        <v>720</v>
      </c>
      <c r="F35">
        <v>980</v>
      </c>
      <c r="G35" s="106">
        <v>134</v>
      </c>
      <c r="H35" s="106">
        <v>406</v>
      </c>
      <c r="I35" s="106">
        <v>320</v>
      </c>
      <c r="J35" s="106">
        <v>329</v>
      </c>
      <c r="L35" s="106">
        <f t="shared" si="0"/>
        <v>154</v>
      </c>
      <c r="M35" s="106">
        <f t="shared" si="1"/>
        <v>467</v>
      </c>
      <c r="N35" s="106">
        <f t="shared" si="2"/>
        <v>368</v>
      </c>
      <c r="O35" s="106">
        <f t="shared" si="3"/>
        <v>378</v>
      </c>
    </row>
    <row r="36" spans="1:15" x14ac:dyDescent="0.25">
      <c r="A36">
        <v>3118</v>
      </c>
      <c r="B36" t="s">
        <v>200</v>
      </c>
      <c r="C36" t="s">
        <v>7</v>
      </c>
      <c r="D36" t="s">
        <v>234</v>
      </c>
      <c r="E36">
        <v>1080</v>
      </c>
      <c r="F36">
        <v>780</v>
      </c>
      <c r="G36" s="106">
        <v>161</v>
      </c>
      <c r="H36" s="106">
        <v>517</v>
      </c>
      <c r="I36" s="106">
        <v>409</v>
      </c>
      <c r="J36" s="106">
        <v>385</v>
      </c>
      <c r="L36" s="106">
        <f t="shared" si="0"/>
        <v>185</v>
      </c>
      <c r="M36" s="106">
        <f t="shared" si="1"/>
        <v>595</v>
      </c>
      <c r="N36" s="106">
        <f t="shared" si="2"/>
        <v>470</v>
      </c>
      <c r="O36" s="106">
        <f t="shared" si="3"/>
        <v>443</v>
      </c>
    </row>
    <row r="37" spans="1:15" x14ac:dyDescent="0.25">
      <c r="A37">
        <v>3119</v>
      </c>
      <c r="B37" t="s">
        <v>200</v>
      </c>
      <c r="C37" t="s">
        <v>7</v>
      </c>
      <c r="D37" t="s">
        <v>235</v>
      </c>
      <c r="E37">
        <v>1080</v>
      </c>
      <c r="F37">
        <v>980</v>
      </c>
      <c r="G37" s="106">
        <v>200</v>
      </c>
      <c r="H37" s="106">
        <v>626</v>
      </c>
      <c r="I37" s="106">
        <v>474</v>
      </c>
      <c r="J37" s="106">
        <v>431</v>
      </c>
      <c r="L37" s="106">
        <f t="shared" si="0"/>
        <v>230</v>
      </c>
      <c r="M37" s="106">
        <f t="shared" si="1"/>
        <v>720</v>
      </c>
      <c r="N37" s="106">
        <f t="shared" si="2"/>
        <v>545</v>
      </c>
      <c r="O37" s="106">
        <f t="shared" si="3"/>
        <v>496</v>
      </c>
    </row>
    <row r="38" spans="1:15" x14ac:dyDescent="0.25">
      <c r="A38">
        <v>3120</v>
      </c>
      <c r="B38" t="s">
        <v>200</v>
      </c>
      <c r="C38" t="s">
        <v>7</v>
      </c>
      <c r="D38" t="s">
        <v>236</v>
      </c>
      <c r="E38">
        <v>1440</v>
      </c>
      <c r="F38">
        <v>780</v>
      </c>
      <c r="G38" s="106">
        <v>211</v>
      </c>
      <c r="H38" s="106">
        <v>630</v>
      </c>
      <c r="I38" s="106">
        <v>499</v>
      </c>
      <c r="J38" s="106">
        <v>939</v>
      </c>
      <c r="L38" s="106">
        <f t="shared" si="0"/>
        <v>243</v>
      </c>
      <c r="M38" s="106">
        <f t="shared" si="1"/>
        <v>725</v>
      </c>
      <c r="N38" s="106">
        <f t="shared" si="2"/>
        <v>574</v>
      </c>
      <c r="O38" s="106">
        <f t="shared" si="3"/>
        <v>1080</v>
      </c>
    </row>
    <row r="39" spans="1:15" x14ac:dyDescent="0.25">
      <c r="A39">
        <v>3121</v>
      </c>
      <c r="B39" t="s">
        <v>200</v>
      </c>
      <c r="C39" t="s">
        <v>7</v>
      </c>
      <c r="D39" t="s">
        <v>237</v>
      </c>
      <c r="E39">
        <v>1440</v>
      </c>
      <c r="F39">
        <v>980</v>
      </c>
      <c r="G39" s="106">
        <v>264</v>
      </c>
      <c r="H39" s="106">
        <v>778</v>
      </c>
      <c r="I39" s="106">
        <v>616</v>
      </c>
      <c r="J39" s="106">
        <v>1159</v>
      </c>
      <c r="L39" s="106">
        <f t="shared" si="0"/>
        <v>304</v>
      </c>
      <c r="M39" s="106">
        <f t="shared" si="1"/>
        <v>895</v>
      </c>
      <c r="N39" s="106">
        <f t="shared" si="2"/>
        <v>708</v>
      </c>
      <c r="O39" s="106">
        <f t="shared" si="3"/>
        <v>1333</v>
      </c>
    </row>
    <row r="40" spans="1:15" x14ac:dyDescent="0.25">
      <c r="A40">
        <v>3122</v>
      </c>
      <c r="B40" t="s">
        <v>200</v>
      </c>
      <c r="C40" t="s">
        <v>7</v>
      </c>
      <c r="D40" t="s">
        <v>238</v>
      </c>
      <c r="E40">
        <v>1800</v>
      </c>
      <c r="F40">
        <v>780</v>
      </c>
      <c r="G40" s="106">
        <v>264</v>
      </c>
      <c r="H40" s="106">
        <v>520</v>
      </c>
      <c r="I40" s="106">
        <v>612</v>
      </c>
      <c r="J40" s="106">
        <v>1151</v>
      </c>
      <c r="L40" s="106">
        <f t="shared" si="0"/>
        <v>304</v>
      </c>
      <c r="M40" s="106">
        <f t="shared" si="1"/>
        <v>598</v>
      </c>
      <c r="N40" s="106">
        <f t="shared" si="2"/>
        <v>704</v>
      </c>
      <c r="O40" s="106">
        <f t="shared" si="3"/>
        <v>1324</v>
      </c>
    </row>
    <row r="41" spans="1:15" x14ac:dyDescent="0.25">
      <c r="A41">
        <v>3123</v>
      </c>
      <c r="B41" t="s">
        <v>200</v>
      </c>
      <c r="C41" t="s">
        <v>7</v>
      </c>
      <c r="D41" t="s">
        <v>239</v>
      </c>
      <c r="E41">
        <v>1800</v>
      </c>
      <c r="F41">
        <v>980</v>
      </c>
      <c r="G41" s="106">
        <v>329</v>
      </c>
      <c r="H41" s="106">
        <v>648</v>
      </c>
      <c r="I41" s="106">
        <v>753</v>
      </c>
      <c r="J41" s="106">
        <v>1417</v>
      </c>
      <c r="L41" s="106">
        <f t="shared" si="0"/>
        <v>378</v>
      </c>
      <c r="M41" s="106">
        <f t="shared" si="1"/>
        <v>745</v>
      </c>
      <c r="N41" s="106">
        <f t="shared" si="2"/>
        <v>866</v>
      </c>
      <c r="O41" s="106">
        <f t="shared" si="3"/>
        <v>1630</v>
      </c>
    </row>
    <row r="42" spans="1:15" x14ac:dyDescent="0.25">
      <c r="A42">
        <v>3124</v>
      </c>
      <c r="B42" t="s">
        <v>200</v>
      </c>
      <c r="C42" t="s">
        <v>7</v>
      </c>
      <c r="D42" t="s">
        <v>240</v>
      </c>
      <c r="E42">
        <v>580</v>
      </c>
      <c r="F42">
        <v>580</v>
      </c>
      <c r="G42" s="106">
        <v>67</v>
      </c>
      <c r="H42" s="106">
        <v>228</v>
      </c>
      <c r="I42" s="106">
        <v>183</v>
      </c>
      <c r="J42" s="106">
        <v>191</v>
      </c>
      <c r="L42" s="106">
        <f t="shared" si="0"/>
        <v>77</v>
      </c>
      <c r="M42" s="106">
        <f t="shared" si="1"/>
        <v>262</v>
      </c>
      <c r="N42" s="106">
        <f t="shared" si="2"/>
        <v>210</v>
      </c>
      <c r="O42" s="106">
        <f t="shared" si="3"/>
        <v>220</v>
      </c>
    </row>
    <row r="43" spans="1:15" x14ac:dyDescent="0.25">
      <c r="A43" t="s">
        <v>15</v>
      </c>
      <c r="B43" t="s">
        <v>200</v>
      </c>
      <c r="C43" t="s">
        <v>7</v>
      </c>
      <c r="D43" t="s">
        <v>241</v>
      </c>
      <c r="E43">
        <v>660</v>
      </c>
      <c r="F43">
        <v>360</v>
      </c>
      <c r="G43" s="106">
        <v>162</v>
      </c>
      <c r="H43" s="106">
        <v>319</v>
      </c>
      <c r="I43" s="106">
        <v>165</v>
      </c>
      <c r="J43" s="106">
        <v>310</v>
      </c>
      <c r="L43" s="106">
        <f t="shared" si="0"/>
        <v>186</v>
      </c>
      <c r="M43" s="106">
        <f t="shared" si="1"/>
        <v>367</v>
      </c>
      <c r="N43" s="106">
        <f t="shared" si="2"/>
        <v>190</v>
      </c>
      <c r="O43" s="106">
        <f t="shared" si="3"/>
        <v>357</v>
      </c>
    </row>
    <row r="44" spans="1:15" x14ac:dyDescent="0.25">
      <c r="A44">
        <v>3200</v>
      </c>
      <c r="B44" t="s">
        <v>200</v>
      </c>
      <c r="C44" t="s">
        <v>48</v>
      </c>
      <c r="D44" t="s">
        <v>242</v>
      </c>
      <c r="E44">
        <v>360</v>
      </c>
      <c r="F44">
        <v>360</v>
      </c>
      <c r="G44" s="106">
        <v>34</v>
      </c>
      <c r="H44" s="106">
        <v>114</v>
      </c>
      <c r="I44" s="106">
        <v>89</v>
      </c>
      <c r="J44" s="106">
        <v>177</v>
      </c>
      <c r="L44" s="106">
        <f t="shared" si="0"/>
        <v>39</v>
      </c>
      <c r="M44" s="106">
        <f t="shared" si="1"/>
        <v>131</v>
      </c>
      <c r="N44" s="106">
        <f t="shared" si="2"/>
        <v>102</v>
      </c>
      <c r="O44" s="106">
        <f t="shared" si="3"/>
        <v>204</v>
      </c>
    </row>
    <row r="45" spans="1:15" x14ac:dyDescent="0.25">
      <c r="A45">
        <v>3201</v>
      </c>
      <c r="B45" t="s">
        <v>200</v>
      </c>
      <c r="C45" t="s">
        <v>48</v>
      </c>
      <c r="D45" t="s">
        <v>243</v>
      </c>
      <c r="E45">
        <v>360</v>
      </c>
      <c r="F45">
        <v>720</v>
      </c>
      <c r="G45" s="106">
        <v>52</v>
      </c>
      <c r="H45" s="106">
        <v>181</v>
      </c>
      <c r="I45" s="106">
        <v>143</v>
      </c>
      <c r="J45" s="106">
        <v>212</v>
      </c>
      <c r="L45" s="106">
        <f t="shared" si="0"/>
        <v>60</v>
      </c>
      <c r="M45" s="106">
        <f t="shared" si="1"/>
        <v>208</v>
      </c>
      <c r="N45" s="106">
        <f t="shared" si="2"/>
        <v>164</v>
      </c>
      <c r="O45" s="106">
        <f t="shared" si="3"/>
        <v>244</v>
      </c>
    </row>
    <row r="46" spans="1:15" x14ac:dyDescent="0.25">
      <c r="A46">
        <v>3202</v>
      </c>
      <c r="B46" t="s">
        <v>200</v>
      </c>
      <c r="C46" t="s">
        <v>48</v>
      </c>
      <c r="D46" t="s">
        <v>244</v>
      </c>
      <c r="E46">
        <v>360</v>
      </c>
      <c r="F46">
        <v>1080</v>
      </c>
      <c r="G46" s="106">
        <v>76</v>
      </c>
      <c r="H46" s="106">
        <v>267</v>
      </c>
      <c r="I46" s="106">
        <v>222</v>
      </c>
      <c r="J46" s="106">
        <v>240</v>
      </c>
      <c r="L46" s="106">
        <f t="shared" si="0"/>
        <v>87</v>
      </c>
      <c r="M46" s="106">
        <f t="shared" si="1"/>
        <v>307</v>
      </c>
      <c r="N46" s="106">
        <f t="shared" si="2"/>
        <v>255</v>
      </c>
      <c r="O46" s="106">
        <f t="shared" si="3"/>
        <v>276</v>
      </c>
    </row>
    <row r="47" spans="1:15" x14ac:dyDescent="0.25">
      <c r="A47">
        <v>3203</v>
      </c>
      <c r="B47" t="s">
        <v>200</v>
      </c>
      <c r="C47" t="s">
        <v>48</v>
      </c>
      <c r="D47" t="s">
        <v>245</v>
      </c>
      <c r="E47">
        <v>360</v>
      </c>
      <c r="F47">
        <v>1440</v>
      </c>
      <c r="G47" s="106">
        <v>100</v>
      </c>
      <c r="H47" s="106">
        <v>336</v>
      </c>
      <c r="I47" s="106">
        <v>281</v>
      </c>
      <c r="J47" s="106">
        <v>529</v>
      </c>
      <c r="L47" s="106">
        <f t="shared" si="0"/>
        <v>115</v>
      </c>
      <c r="M47" s="106">
        <f t="shared" si="1"/>
        <v>386</v>
      </c>
      <c r="N47" s="106">
        <f t="shared" si="2"/>
        <v>323</v>
      </c>
      <c r="O47" s="106">
        <f t="shared" si="3"/>
        <v>608</v>
      </c>
    </row>
    <row r="48" spans="1:15" x14ac:dyDescent="0.25">
      <c r="A48">
        <v>3204</v>
      </c>
      <c r="B48" t="s">
        <v>200</v>
      </c>
      <c r="C48" t="s">
        <v>48</v>
      </c>
      <c r="D48" t="s">
        <v>246</v>
      </c>
      <c r="E48">
        <v>360</v>
      </c>
      <c r="F48">
        <v>1800</v>
      </c>
      <c r="G48" s="106">
        <v>125</v>
      </c>
      <c r="H48" s="106">
        <v>246</v>
      </c>
      <c r="I48" s="106">
        <v>343</v>
      </c>
      <c r="J48" s="106">
        <v>645</v>
      </c>
      <c r="L48" s="106">
        <f t="shared" si="0"/>
        <v>144</v>
      </c>
      <c r="M48" s="106">
        <f t="shared" si="1"/>
        <v>283</v>
      </c>
      <c r="N48" s="106">
        <f t="shared" si="2"/>
        <v>394</v>
      </c>
      <c r="O48" s="106">
        <f t="shared" si="3"/>
        <v>742</v>
      </c>
    </row>
    <row r="49" spans="1:15" x14ac:dyDescent="0.25">
      <c r="A49">
        <v>3205</v>
      </c>
      <c r="B49" t="s">
        <v>200</v>
      </c>
      <c r="C49" t="s">
        <v>48</v>
      </c>
      <c r="D49" t="s">
        <v>247</v>
      </c>
      <c r="E49">
        <v>580</v>
      </c>
      <c r="F49">
        <v>360</v>
      </c>
      <c r="G49" s="106">
        <v>43</v>
      </c>
      <c r="H49" s="106">
        <v>161</v>
      </c>
      <c r="I49" s="106">
        <v>130</v>
      </c>
      <c r="J49" s="106">
        <v>185</v>
      </c>
      <c r="L49" s="106">
        <f t="shared" si="0"/>
        <v>49</v>
      </c>
      <c r="M49" s="106">
        <f t="shared" si="1"/>
        <v>185</v>
      </c>
      <c r="N49" s="106">
        <f t="shared" si="2"/>
        <v>150</v>
      </c>
      <c r="O49" s="106">
        <f t="shared" si="3"/>
        <v>213</v>
      </c>
    </row>
    <row r="50" spans="1:15" x14ac:dyDescent="0.25">
      <c r="A50">
        <v>3206</v>
      </c>
      <c r="B50" t="s">
        <v>200</v>
      </c>
      <c r="C50" t="s">
        <v>48</v>
      </c>
      <c r="D50" t="s">
        <v>248</v>
      </c>
      <c r="E50">
        <v>580</v>
      </c>
      <c r="F50">
        <v>720</v>
      </c>
      <c r="G50" s="106">
        <v>82</v>
      </c>
      <c r="H50" s="106">
        <v>262</v>
      </c>
      <c r="I50" s="106">
        <v>216</v>
      </c>
      <c r="J50" s="106">
        <v>245</v>
      </c>
      <c r="L50" s="106">
        <f t="shared" si="0"/>
        <v>94</v>
      </c>
      <c r="M50" s="106">
        <f t="shared" si="1"/>
        <v>301</v>
      </c>
      <c r="N50" s="106">
        <f t="shared" si="2"/>
        <v>248</v>
      </c>
      <c r="O50" s="106">
        <f t="shared" si="3"/>
        <v>282</v>
      </c>
    </row>
    <row r="51" spans="1:15" x14ac:dyDescent="0.25">
      <c r="A51">
        <v>3207</v>
      </c>
      <c r="B51" t="s">
        <v>200</v>
      </c>
      <c r="C51" t="s">
        <v>48</v>
      </c>
      <c r="D51" t="s">
        <v>249</v>
      </c>
      <c r="E51">
        <v>580</v>
      </c>
      <c r="F51">
        <v>1080</v>
      </c>
      <c r="G51" s="106">
        <v>119</v>
      </c>
      <c r="H51" s="106">
        <v>377</v>
      </c>
      <c r="I51" s="106">
        <v>300</v>
      </c>
      <c r="J51" s="106">
        <v>307</v>
      </c>
      <c r="L51" s="106">
        <f t="shared" si="0"/>
        <v>137</v>
      </c>
      <c r="M51" s="106">
        <f t="shared" si="1"/>
        <v>434</v>
      </c>
      <c r="N51" s="106">
        <f t="shared" si="2"/>
        <v>345</v>
      </c>
      <c r="O51" s="106">
        <f t="shared" si="3"/>
        <v>353</v>
      </c>
    </row>
    <row r="52" spans="1:15" x14ac:dyDescent="0.25">
      <c r="A52">
        <v>3208</v>
      </c>
      <c r="B52" t="s">
        <v>200</v>
      </c>
      <c r="C52" t="s">
        <v>48</v>
      </c>
      <c r="D52" t="s">
        <v>250</v>
      </c>
      <c r="E52">
        <v>580</v>
      </c>
      <c r="F52">
        <v>1440</v>
      </c>
      <c r="G52" s="106">
        <v>158</v>
      </c>
      <c r="H52" s="106">
        <v>484</v>
      </c>
      <c r="I52" s="106">
        <v>400</v>
      </c>
      <c r="J52" s="106">
        <v>752</v>
      </c>
      <c r="L52" s="106">
        <f t="shared" si="0"/>
        <v>182</v>
      </c>
      <c r="M52" s="106">
        <f t="shared" si="1"/>
        <v>557</v>
      </c>
      <c r="N52" s="106">
        <f t="shared" si="2"/>
        <v>460</v>
      </c>
      <c r="O52" s="106">
        <f t="shared" si="3"/>
        <v>865</v>
      </c>
    </row>
    <row r="53" spans="1:15" x14ac:dyDescent="0.25">
      <c r="A53">
        <v>3209</v>
      </c>
      <c r="B53" t="s">
        <v>200</v>
      </c>
      <c r="C53" t="s">
        <v>48</v>
      </c>
      <c r="D53" t="s">
        <v>251</v>
      </c>
      <c r="E53">
        <v>580</v>
      </c>
      <c r="F53">
        <v>1800</v>
      </c>
      <c r="G53" s="106">
        <v>197</v>
      </c>
      <c r="H53" s="106">
        <v>388</v>
      </c>
      <c r="I53" s="106">
        <v>467</v>
      </c>
      <c r="J53" s="106">
        <v>879</v>
      </c>
      <c r="L53" s="106">
        <f t="shared" si="0"/>
        <v>227</v>
      </c>
      <c r="M53" s="106">
        <f t="shared" si="1"/>
        <v>446</v>
      </c>
      <c r="N53" s="106">
        <f t="shared" si="2"/>
        <v>537</v>
      </c>
      <c r="O53" s="106">
        <f t="shared" si="3"/>
        <v>1011</v>
      </c>
    </row>
    <row r="54" spans="1:15" x14ac:dyDescent="0.25">
      <c r="A54">
        <v>3210</v>
      </c>
      <c r="B54" t="s">
        <v>200</v>
      </c>
      <c r="C54" t="s">
        <v>48</v>
      </c>
      <c r="D54" t="s">
        <v>252</v>
      </c>
      <c r="E54">
        <v>180</v>
      </c>
      <c r="F54">
        <v>780</v>
      </c>
      <c r="G54" s="106">
        <v>56</v>
      </c>
      <c r="H54" s="106">
        <v>185</v>
      </c>
      <c r="I54" s="106">
        <v>144</v>
      </c>
      <c r="J54" s="106">
        <v>212</v>
      </c>
      <c r="L54" s="106">
        <f t="shared" si="0"/>
        <v>64</v>
      </c>
      <c r="M54" s="106">
        <f t="shared" si="1"/>
        <v>213</v>
      </c>
      <c r="N54" s="106">
        <f t="shared" si="2"/>
        <v>166</v>
      </c>
      <c r="O54" s="106">
        <f t="shared" si="3"/>
        <v>244</v>
      </c>
    </row>
    <row r="55" spans="1:15" x14ac:dyDescent="0.25">
      <c r="A55">
        <v>3211</v>
      </c>
      <c r="B55" t="s">
        <v>200</v>
      </c>
      <c r="C55" t="s">
        <v>48</v>
      </c>
      <c r="D55" t="s">
        <v>253</v>
      </c>
      <c r="E55">
        <v>180</v>
      </c>
      <c r="F55">
        <v>980</v>
      </c>
      <c r="G55" s="106">
        <v>70</v>
      </c>
      <c r="H55" s="106">
        <v>223</v>
      </c>
      <c r="I55" s="106">
        <v>174</v>
      </c>
      <c r="J55" s="106">
        <v>229</v>
      </c>
      <c r="L55" s="106">
        <f t="shared" si="0"/>
        <v>81</v>
      </c>
      <c r="M55" s="106">
        <f t="shared" si="1"/>
        <v>256</v>
      </c>
      <c r="N55" s="106">
        <f t="shared" si="2"/>
        <v>200</v>
      </c>
      <c r="O55" s="106">
        <f t="shared" si="3"/>
        <v>263</v>
      </c>
    </row>
    <row r="56" spans="1:15" x14ac:dyDescent="0.25">
      <c r="A56">
        <v>3212</v>
      </c>
      <c r="B56" t="s">
        <v>200</v>
      </c>
      <c r="C56" t="s">
        <v>48</v>
      </c>
      <c r="D56" t="s">
        <v>254</v>
      </c>
      <c r="E56">
        <v>360</v>
      </c>
      <c r="F56">
        <v>780</v>
      </c>
      <c r="G56" s="106">
        <v>56</v>
      </c>
      <c r="H56" s="106">
        <v>185</v>
      </c>
      <c r="I56" s="106">
        <v>144</v>
      </c>
      <c r="J56" s="106">
        <v>190</v>
      </c>
      <c r="L56" s="106">
        <f t="shared" si="0"/>
        <v>64</v>
      </c>
      <c r="M56" s="106">
        <f t="shared" si="1"/>
        <v>213</v>
      </c>
      <c r="N56" s="106">
        <f t="shared" si="2"/>
        <v>166</v>
      </c>
      <c r="O56" s="106">
        <f t="shared" si="3"/>
        <v>219</v>
      </c>
    </row>
    <row r="57" spans="1:15" x14ac:dyDescent="0.25">
      <c r="A57">
        <v>3213</v>
      </c>
      <c r="B57" t="s">
        <v>200</v>
      </c>
      <c r="C57" t="s">
        <v>48</v>
      </c>
      <c r="D57" t="s">
        <v>255</v>
      </c>
      <c r="E57">
        <v>360</v>
      </c>
      <c r="F57">
        <v>980</v>
      </c>
      <c r="G57" s="106">
        <v>70</v>
      </c>
      <c r="H57" s="106">
        <v>223</v>
      </c>
      <c r="I57" s="106">
        <v>174</v>
      </c>
      <c r="J57" s="106">
        <v>209</v>
      </c>
      <c r="L57" s="106">
        <f t="shared" si="0"/>
        <v>81</v>
      </c>
      <c r="M57" s="106">
        <f t="shared" si="1"/>
        <v>256</v>
      </c>
      <c r="N57" s="106">
        <f t="shared" si="2"/>
        <v>200</v>
      </c>
      <c r="O57" s="106">
        <f t="shared" si="3"/>
        <v>240</v>
      </c>
    </row>
    <row r="58" spans="1:15" x14ac:dyDescent="0.25">
      <c r="A58">
        <v>3214</v>
      </c>
      <c r="B58" t="s">
        <v>200</v>
      </c>
      <c r="C58" t="s">
        <v>48</v>
      </c>
      <c r="D58" t="s">
        <v>256</v>
      </c>
      <c r="E58">
        <v>720</v>
      </c>
      <c r="F58">
        <v>780</v>
      </c>
      <c r="G58" s="106">
        <v>107</v>
      </c>
      <c r="H58" s="106">
        <v>355</v>
      </c>
      <c r="I58" s="106">
        <v>277</v>
      </c>
      <c r="J58" s="106">
        <v>268</v>
      </c>
      <c r="L58" s="106">
        <f t="shared" si="0"/>
        <v>123</v>
      </c>
      <c r="M58" s="106">
        <f t="shared" si="1"/>
        <v>408</v>
      </c>
      <c r="N58" s="106">
        <f t="shared" si="2"/>
        <v>319</v>
      </c>
      <c r="O58" s="106">
        <f t="shared" si="3"/>
        <v>308</v>
      </c>
    </row>
    <row r="59" spans="1:15" x14ac:dyDescent="0.25">
      <c r="A59">
        <v>3215</v>
      </c>
      <c r="B59" t="s">
        <v>200</v>
      </c>
      <c r="C59" t="s">
        <v>48</v>
      </c>
      <c r="D59" t="s">
        <v>257</v>
      </c>
      <c r="E59">
        <v>720</v>
      </c>
      <c r="F59">
        <v>980</v>
      </c>
      <c r="G59" s="106">
        <v>134</v>
      </c>
      <c r="H59" s="106">
        <v>406</v>
      </c>
      <c r="I59" s="106">
        <v>320</v>
      </c>
      <c r="J59" s="106">
        <v>329</v>
      </c>
      <c r="L59" s="106">
        <f t="shared" si="0"/>
        <v>154</v>
      </c>
      <c r="M59" s="106">
        <f t="shared" si="1"/>
        <v>467</v>
      </c>
      <c r="N59" s="106">
        <f t="shared" si="2"/>
        <v>368</v>
      </c>
      <c r="O59" s="106">
        <f t="shared" si="3"/>
        <v>378</v>
      </c>
    </row>
    <row r="60" spans="1:15" x14ac:dyDescent="0.25">
      <c r="A60">
        <v>3216</v>
      </c>
      <c r="B60" t="s">
        <v>200</v>
      </c>
      <c r="C60" t="s">
        <v>48</v>
      </c>
      <c r="D60" t="s">
        <v>258</v>
      </c>
      <c r="E60">
        <v>1080</v>
      </c>
      <c r="F60">
        <v>780</v>
      </c>
      <c r="G60" s="106">
        <v>161</v>
      </c>
      <c r="H60" s="106">
        <v>517</v>
      </c>
      <c r="I60" s="106">
        <v>409</v>
      </c>
      <c r="J60" s="106">
        <v>385</v>
      </c>
      <c r="L60" s="106">
        <f t="shared" si="0"/>
        <v>185</v>
      </c>
      <c r="M60" s="106">
        <f t="shared" si="1"/>
        <v>595</v>
      </c>
      <c r="N60" s="106">
        <f t="shared" si="2"/>
        <v>470</v>
      </c>
      <c r="O60" s="106">
        <f t="shared" si="3"/>
        <v>443</v>
      </c>
    </row>
    <row r="61" spans="1:15" x14ac:dyDescent="0.25">
      <c r="A61">
        <v>3217</v>
      </c>
      <c r="B61" t="s">
        <v>200</v>
      </c>
      <c r="C61" t="s">
        <v>48</v>
      </c>
      <c r="D61" t="s">
        <v>259</v>
      </c>
      <c r="E61">
        <v>1080</v>
      </c>
      <c r="F61">
        <v>980</v>
      </c>
      <c r="G61" s="106">
        <v>200</v>
      </c>
      <c r="H61" s="106">
        <v>626</v>
      </c>
      <c r="I61" s="106">
        <v>474</v>
      </c>
      <c r="J61" s="106">
        <v>431</v>
      </c>
      <c r="L61" s="106">
        <f t="shared" si="0"/>
        <v>230</v>
      </c>
      <c r="M61" s="106">
        <f t="shared" si="1"/>
        <v>720</v>
      </c>
      <c r="N61" s="106">
        <f t="shared" si="2"/>
        <v>545</v>
      </c>
      <c r="O61" s="106">
        <f t="shared" si="3"/>
        <v>496</v>
      </c>
    </row>
    <row r="62" spans="1:15" x14ac:dyDescent="0.25">
      <c r="A62">
        <v>3218</v>
      </c>
      <c r="B62" t="s">
        <v>200</v>
      </c>
      <c r="C62" t="s">
        <v>48</v>
      </c>
      <c r="D62" t="s">
        <v>260</v>
      </c>
      <c r="E62">
        <v>1440</v>
      </c>
      <c r="F62">
        <v>780</v>
      </c>
      <c r="G62" s="106">
        <v>211</v>
      </c>
      <c r="H62" s="106">
        <v>630</v>
      </c>
      <c r="I62" s="106">
        <v>499</v>
      </c>
      <c r="J62" s="106">
        <v>939</v>
      </c>
      <c r="L62" s="106">
        <f t="shared" si="0"/>
        <v>243</v>
      </c>
      <c r="M62" s="106">
        <f t="shared" si="1"/>
        <v>725</v>
      </c>
      <c r="N62" s="106">
        <f t="shared" si="2"/>
        <v>574</v>
      </c>
      <c r="O62" s="106">
        <f t="shared" si="3"/>
        <v>1080</v>
      </c>
    </row>
    <row r="63" spans="1:15" x14ac:dyDescent="0.25">
      <c r="A63">
        <v>3219</v>
      </c>
      <c r="B63" t="s">
        <v>200</v>
      </c>
      <c r="C63" t="s">
        <v>48</v>
      </c>
      <c r="D63" t="s">
        <v>261</v>
      </c>
      <c r="E63">
        <v>1440</v>
      </c>
      <c r="F63">
        <v>980</v>
      </c>
      <c r="G63" s="106">
        <v>264</v>
      </c>
      <c r="H63" s="106">
        <v>778</v>
      </c>
      <c r="I63" s="106">
        <v>616</v>
      </c>
      <c r="J63" s="106">
        <v>1159</v>
      </c>
      <c r="L63" s="106">
        <f t="shared" si="0"/>
        <v>304</v>
      </c>
      <c r="M63" s="106">
        <f t="shared" si="1"/>
        <v>895</v>
      </c>
      <c r="N63" s="106">
        <f t="shared" si="2"/>
        <v>708</v>
      </c>
      <c r="O63" s="106">
        <f t="shared" si="3"/>
        <v>1333</v>
      </c>
    </row>
    <row r="64" spans="1:15" x14ac:dyDescent="0.25">
      <c r="A64">
        <v>3220</v>
      </c>
      <c r="B64" t="s">
        <v>200</v>
      </c>
      <c r="C64" t="s">
        <v>48</v>
      </c>
      <c r="D64" t="s">
        <v>262</v>
      </c>
      <c r="E64">
        <v>1800</v>
      </c>
      <c r="F64">
        <v>780</v>
      </c>
      <c r="G64" s="106">
        <v>264</v>
      </c>
      <c r="H64" s="106">
        <v>520</v>
      </c>
      <c r="I64" s="106">
        <v>612</v>
      </c>
      <c r="J64" s="106">
        <v>1151</v>
      </c>
      <c r="L64" s="106">
        <f t="shared" si="0"/>
        <v>304</v>
      </c>
      <c r="M64" s="106">
        <f t="shared" si="1"/>
        <v>598</v>
      </c>
      <c r="N64" s="106">
        <f t="shared" si="2"/>
        <v>704</v>
      </c>
      <c r="O64" s="106">
        <f t="shared" si="3"/>
        <v>1324</v>
      </c>
    </row>
    <row r="65" spans="1:15" x14ac:dyDescent="0.25">
      <c r="A65">
        <v>3221</v>
      </c>
      <c r="B65" t="s">
        <v>200</v>
      </c>
      <c r="C65" t="s">
        <v>48</v>
      </c>
      <c r="D65" t="s">
        <v>263</v>
      </c>
      <c r="E65">
        <v>1800</v>
      </c>
      <c r="F65">
        <v>980</v>
      </c>
      <c r="G65" s="106">
        <v>329</v>
      </c>
      <c r="H65" s="106">
        <v>648</v>
      </c>
      <c r="I65" s="106">
        <v>753</v>
      </c>
      <c r="J65" s="106">
        <v>1417</v>
      </c>
      <c r="L65" s="106">
        <f t="shared" si="0"/>
        <v>378</v>
      </c>
      <c r="M65" s="106">
        <f t="shared" si="1"/>
        <v>745</v>
      </c>
      <c r="N65" s="106">
        <f t="shared" si="2"/>
        <v>866</v>
      </c>
      <c r="O65" s="106">
        <f t="shared" si="3"/>
        <v>1630</v>
      </c>
    </row>
    <row r="66" spans="1:15" x14ac:dyDescent="0.25">
      <c r="A66">
        <v>3300</v>
      </c>
      <c r="B66" t="s">
        <v>200</v>
      </c>
      <c r="C66" t="s">
        <v>16</v>
      </c>
      <c r="D66" t="s">
        <v>264</v>
      </c>
      <c r="E66">
        <v>360</v>
      </c>
      <c r="F66">
        <v>180</v>
      </c>
      <c r="G66" s="106">
        <v>34</v>
      </c>
      <c r="H66" s="106">
        <v>114</v>
      </c>
      <c r="I66" s="106">
        <v>89</v>
      </c>
      <c r="J66" s="106">
        <v>201</v>
      </c>
      <c r="L66" s="106">
        <f t="shared" ref="L66:L129" si="4">IF(G66="","",ROUND(G66*1.15,0))</f>
        <v>39</v>
      </c>
      <c r="M66" s="106">
        <f t="shared" ref="M66:M129" si="5">IF(H66="","",ROUND(H66*1.15,0))</f>
        <v>131</v>
      </c>
      <c r="N66" s="106">
        <f t="shared" ref="N66:N129" si="6">IF(I66="","",ROUND(I66*1.15,0))</f>
        <v>102</v>
      </c>
      <c r="O66" s="106">
        <f t="shared" ref="O66:O129" si="7">IF(J66="","",ROUND(J66*1.15,0))</f>
        <v>231</v>
      </c>
    </row>
    <row r="67" spans="1:15" x14ac:dyDescent="0.25">
      <c r="A67">
        <v>3301</v>
      </c>
      <c r="B67" t="s">
        <v>200</v>
      </c>
      <c r="C67" t="s">
        <v>16</v>
      </c>
      <c r="D67" t="s">
        <v>265</v>
      </c>
      <c r="E67">
        <v>420</v>
      </c>
      <c r="F67">
        <v>180</v>
      </c>
      <c r="G67" s="106">
        <v>34</v>
      </c>
      <c r="H67" s="106">
        <v>121</v>
      </c>
      <c r="I67" s="106">
        <v>92</v>
      </c>
      <c r="J67" s="106">
        <v>202</v>
      </c>
      <c r="L67" s="106">
        <f t="shared" si="4"/>
        <v>39</v>
      </c>
      <c r="M67" s="106">
        <f t="shared" si="5"/>
        <v>139</v>
      </c>
      <c r="N67" s="106">
        <f t="shared" si="6"/>
        <v>106</v>
      </c>
      <c r="O67" s="106">
        <f t="shared" si="7"/>
        <v>232</v>
      </c>
    </row>
    <row r="68" spans="1:15" x14ac:dyDescent="0.25">
      <c r="A68">
        <v>3302</v>
      </c>
      <c r="B68" t="s">
        <v>200</v>
      </c>
      <c r="C68" t="s">
        <v>16</v>
      </c>
      <c r="D68" t="s">
        <v>266</v>
      </c>
      <c r="E68">
        <v>580</v>
      </c>
      <c r="F68">
        <v>180</v>
      </c>
      <c r="G68" s="106">
        <v>43</v>
      </c>
      <c r="H68" s="106">
        <v>161</v>
      </c>
      <c r="I68" s="106">
        <v>130</v>
      </c>
      <c r="J68" s="106">
        <v>208</v>
      </c>
      <c r="L68" s="106">
        <f t="shared" si="4"/>
        <v>49</v>
      </c>
      <c r="M68" s="106">
        <f t="shared" si="5"/>
        <v>185</v>
      </c>
      <c r="N68" s="106">
        <f t="shared" si="6"/>
        <v>150</v>
      </c>
      <c r="O68" s="106">
        <f t="shared" si="7"/>
        <v>239</v>
      </c>
    </row>
    <row r="69" spans="1:15" x14ac:dyDescent="0.25">
      <c r="A69">
        <v>3303</v>
      </c>
      <c r="B69" t="s">
        <v>200</v>
      </c>
      <c r="C69" t="s">
        <v>16</v>
      </c>
      <c r="D69" t="s">
        <v>267</v>
      </c>
      <c r="E69">
        <v>780</v>
      </c>
      <c r="F69">
        <v>180</v>
      </c>
      <c r="G69" s="106">
        <v>56</v>
      </c>
      <c r="H69" s="106">
        <v>185</v>
      </c>
      <c r="I69" s="106">
        <v>144</v>
      </c>
      <c r="J69" s="106">
        <v>212</v>
      </c>
      <c r="L69" s="106">
        <f t="shared" si="4"/>
        <v>64</v>
      </c>
      <c r="M69" s="106">
        <f t="shared" si="5"/>
        <v>213</v>
      </c>
      <c r="N69" s="106">
        <f t="shared" si="6"/>
        <v>166</v>
      </c>
      <c r="O69" s="106">
        <f t="shared" si="7"/>
        <v>244</v>
      </c>
    </row>
    <row r="70" spans="1:15" x14ac:dyDescent="0.25">
      <c r="A70">
        <v>3304</v>
      </c>
      <c r="B70" t="s">
        <v>200</v>
      </c>
      <c r="C70" t="s">
        <v>16</v>
      </c>
      <c r="D70" t="s">
        <v>268</v>
      </c>
      <c r="E70">
        <v>980</v>
      </c>
      <c r="F70">
        <v>180</v>
      </c>
      <c r="G70" s="106">
        <v>70</v>
      </c>
      <c r="H70" s="106">
        <v>223</v>
      </c>
      <c r="I70" s="106">
        <v>174</v>
      </c>
      <c r="J70" s="106">
        <v>229</v>
      </c>
      <c r="L70" s="106">
        <f t="shared" si="4"/>
        <v>81</v>
      </c>
      <c r="M70" s="106">
        <f t="shared" si="5"/>
        <v>256</v>
      </c>
      <c r="N70" s="106">
        <f t="shared" si="6"/>
        <v>200</v>
      </c>
      <c r="O70" s="106">
        <f t="shared" si="7"/>
        <v>263</v>
      </c>
    </row>
    <row r="71" spans="1:15" x14ac:dyDescent="0.25">
      <c r="A71">
        <v>3305</v>
      </c>
      <c r="B71" t="s">
        <v>200</v>
      </c>
      <c r="C71" t="s">
        <v>16</v>
      </c>
      <c r="D71" t="s">
        <v>269</v>
      </c>
      <c r="E71">
        <v>360</v>
      </c>
      <c r="F71">
        <v>360</v>
      </c>
      <c r="G71" s="106">
        <v>34</v>
      </c>
      <c r="H71" s="106">
        <v>114</v>
      </c>
      <c r="I71" s="106">
        <v>89</v>
      </c>
      <c r="J71" s="106">
        <v>177</v>
      </c>
      <c r="L71" s="106">
        <f t="shared" si="4"/>
        <v>39</v>
      </c>
      <c r="M71" s="106">
        <f t="shared" si="5"/>
        <v>131</v>
      </c>
      <c r="N71" s="106">
        <f t="shared" si="6"/>
        <v>102</v>
      </c>
      <c r="O71" s="106">
        <f t="shared" si="7"/>
        <v>204</v>
      </c>
    </row>
    <row r="72" spans="1:15" x14ac:dyDescent="0.25">
      <c r="A72">
        <v>3306</v>
      </c>
      <c r="B72" t="s">
        <v>200</v>
      </c>
      <c r="C72" t="s">
        <v>16</v>
      </c>
      <c r="D72" t="s">
        <v>270</v>
      </c>
      <c r="E72">
        <v>420</v>
      </c>
      <c r="F72">
        <v>360</v>
      </c>
      <c r="G72" s="106">
        <v>34</v>
      </c>
      <c r="H72" s="106">
        <v>121</v>
      </c>
      <c r="I72" s="106">
        <v>92</v>
      </c>
      <c r="J72" s="106">
        <v>178</v>
      </c>
      <c r="L72" s="106">
        <f t="shared" si="4"/>
        <v>39</v>
      </c>
      <c r="M72" s="106">
        <f t="shared" si="5"/>
        <v>139</v>
      </c>
      <c r="N72" s="106">
        <f t="shared" si="6"/>
        <v>106</v>
      </c>
      <c r="O72" s="106">
        <f t="shared" si="7"/>
        <v>205</v>
      </c>
    </row>
    <row r="73" spans="1:15" x14ac:dyDescent="0.25">
      <c r="A73">
        <v>3307</v>
      </c>
      <c r="B73" t="s">
        <v>200</v>
      </c>
      <c r="C73" t="s">
        <v>16</v>
      </c>
      <c r="D73" t="s">
        <v>271</v>
      </c>
      <c r="E73">
        <v>580</v>
      </c>
      <c r="F73">
        <v>360</v>
      </c>
      <c r="G73" s="106">
        <v>43</v>
      </c>
      <c r="H73" s="106">
        <v>161</v>
      </c>
      <c r="I73" s="106">
        <v>130</v>
      </c>
      <c r="J73" s="106">
        <v>185</v>
      </c>
      <c r="L73" s="106">
        <f t="shared" si="4"/>
        <v>49</v>
      </c>
      <c r="M73" s="106">
        <f t="shared" si="5"/>
        <v>185</v>
      </c>
      <c r="N73" s="106">
        <f t="shared" si="6"/>
        <v>150</v>
      </c>
      <c r="O73" s="106">
        <f t="shared" si="7"/>
        <v>213</v>
      </c>
    </row>
    <row r="74" spans="1:15" x14ac:dyDescent="0.25">
      <c r="A74">
        <v>3308</v>
      </c>
      <c r="B74" t="s">
        <v>200</v>
      </c>
      <c r="C74" t="s">
        <v>16</v>
      </c>
      <c r="D74" t="s">
        <v>272</v>
      </c>
      <c r="E74">
        <v>780</v>
      </c>
      <c r="F74">
        <v>360</v>
      </c>
      <c r="G74" s="106">
        <v>56</v>
      </c>
      <c r="H74" s="106">
        <v>185</v>
      </c>
      <c r="I74" s="106">
        <v>144</v>
      </c>
      <c r="J74" s="106">
        <v>190</v>
      </c>
      <c r="L74" s="106">
        <f t="shared" si="4"/>
        <v>64</v>
      </c>
      <c r="M74" s="106">
        <f t="shared" si="5"/>
        <v>213</v>
      </c>
      <c r="N74" s="106">
        <f t="shared" si="6"/>
        <v>166</v>
      </c>
      <c r="O74" s="106">
        <f t="shared" si="7"/>
        <v>219</v>
      </c>
    </row>
    <row r="75" spans="1:15" x14ac:dyDescent="0.25">
      <c r="A75">
        <v>3309</v>
      </c>
      <c r="B75" t="s">
        <v>200</v>
      </c>
      <c r="C75" t="s">
        <v>16</v>
      </c>
      <c r="D75" t="s">
        <v>273</v>
      </c>
      <c r="E75">
        <v>980</v>
      </c>
      <c r="F75">
        <v>360</v>
      </c>
      <c r="G75" s="106">
        <v>70</v>
      </c>
      <c r="H75" s="106">
        <v>223</v>
      </c>
      <c r="I75" s="106">
        <v>174</v>
      </c>
      <c r="J75" s="106">
        <v>209</v>
      </c>
      <c r="L75" s="106">
        <f t="shared" si="4"/>
        <v>81</v>
      </c>
      <c r="M75" s="106">
        <f t="shared" si="5"/>
        <v>256</v>
      </c>
      <c r="N75" s="106">
        <f t="shared" si="6"/>
        <v>200</v>
      </c>
      <c r="O75" s="106">
        <f t="shared" si="7"/>
        <v>240</v>
      </c>
    </row>
    <row r="76" spans="1:15" x14ac:dyDescent="0.25">
      <c r="A76">
        <v>3310</v>
      </c>
      <c r="B76" t="s">
        <v>200</v>
      </c>
      <c r="C76" t="s">
        <v>16</v>
      </c>
      <c r="D76" t="s">
        <v>274</v>
      </c>
      <c r="E76">
        <v>360</v>
      </c>
      <c r="F76">
        <v>720</v>
      </c>
      <c r="G76" s="106">
        <v>52</v>
      </c>
      <c r="H76" s="106">
        <v>181</v>
      </c>
      <c r="I76" s="106">
        <v>143</v>
      </c>
      <c r="J76" s="106">
        <v>212</v>
      </c>
      <c r="L76" s="106">
        <f t="shared" si="4"/>
        <v>60</v>
      </c>
      <c r="M76" s="106">
        <f t="shared" si="5"/>
        <v>208</v>
      </c>
      <c r="N76" s="106">
        <f t="shared" si="6"/>
        <v>164</v>
      </c>
      <c r="O76" s="106">
        <f t="shared" si="7"/>
        <v>244</v>
      </c>
    </row>
    <row r="77" spans="1:15" x14ac:dyDescent="0.25">
      <c r="A77">
        <v>3311</v>
      </c>
      <c r="B77" t="s">
        <v>200</v>
      </c>
      <c r="C77" t="s">
        <v>16</v>
      </c>
      <c r="D77" t="s">
        <v>275</v>
      </c>
      <c r="E77">
        <v>420</v>
      </c>
      <c r="F77">
        <v>720</v>
      </c>
      <c r="G77" s="106">
        <v>60</v>
      </c>
      <c r="H77" s="106">
        <v>212</v>
      </c>
      <c r="I77" s="106">
        <v>166</v>
      </c>
      <c r="J77" s="106">
        <v>212</v>
      </c>
      <c r="L77" s="106">
        <f t="shared" si="4"/>
        <v>69</v>
      </c>
      <c r="M77" s="106">
        <f t="shared" si="5"/>
        <v>244</v>
      </c>
      <c r="N77" s="106">
        <f t="shared" si="6"/>
        <v>191</v>
      </c>
      <c r="O77" s="106">
        <f t="shared" si="7"/>
        <v>244</v>
      </c>
    </row>
    <row r="78" spans="1:15" x14ac:dyDescent="0.25">
      <c r="A78">
        <v>3312</v>
      </c>
      <c r="B78" t="s">
        <v>200</v>
      </c>
      <c r="C78" t="s">
        <v>16</v>
      </c>
      <c r="D78" t="s">
        <v>276</v>
      </c>
      <c r="E78">
        <v>580</v>
      </c>
      <c r="F78">
        <v>720</v>
      </c>
      <c r="G78" s="106">
        <v>82</v>
      </c>
      <c r="H78" s="106">
        <v>262</v>
      </c>
      <c r="I78" s="106">
        <v>216</v>
      </c>
      <c r="J78" s="106">
        <v>245</v>
      </c>
      <c r="L78" s="106">
        <f t="shared" si="4"/>
        <v>94</v>
      </c>
      <c r="M78" s="106">
        <f t="shared" si="5"/>
        <v>301</v>
      </c>
      <c r="N78" s="106">
        <f t="shared" si="6"/>
        <v>248</v>
      </c>
      <c r="O78" s="106">
        <f t="shared" si="7"/>
        <v>282</v>
      </c>
    </row>
    <row r="79" spans="1:15" x14ac:dyDescent="0.25">
      <c r="A79">
        <v>3313</v>
      </c>
      <c r="B79" t="s">
        <v>200</v>
      </c>
      <c r="C79" t="s">
        <v>16</v>
      </c>
      <c r="D79" t="s">
        <v>277</v>
      </c>
      <c r="E79">
        <v>780</v>
      </c>
      <c r="F79">
        <v>720</v>
      </c>
      <c r="G79" s="106">
        <v>107</v>
      </c>
      <c r="H79" s="106">
        <v>355</v>
      </c>
      <c r="I79" s="106">
        <v>277</v>
      </c>
      <c r="J79" s="106">
        <v>268</v>
      </c>
      <c r="L79" s="106">
        <f t="shared" si="4"/>
        <v>123</v>
      </c>
      <c r="M79" s="106">
        <f t="shared" si="5"/>
        <v>408</v>
      </c>
      <c r="N79" s="106">
        <f t="shared" si="6"/>
        <v>319</v>
      </c>
      <c r="O79" s="106">
        <f t="shared" si="7"/>
        <v>308</v>
      </c>
    </row>
    <row r="80" spans="1:15" x14ac:dyDescent="0.25">
      <c r="A80">
        <v>3314</v>
      </c>
      <c r="B80" t="s">
        <v>200</v>
      </c>
      <c r="C80" t="s">
        <v>16</v>
      </c>
      <c r="D80" t="s">
        <v>278</v>
      </c>
      <c r="E80">
        <v>980</v>
      </c>
      <c r="F80">
        <v>720</v>
      </c>
      <c r="G80" s="106">
        <v>134</v>
      </c>
      <c r="H80" s="106">
        <v>406</v>
      </c>
      <c r="I80" s="106">
        <v>320</v>
      </c>
      <c r="J80" s="106">
        <v>329</v>
      </c>
      <c r="L80" s="106">
        <f t="shared" si="4"/>
        <v>154</v>
      </c>
      <c r="M80" s="106">
        <f t="shared" si="5"/>
        <v>467</v>
      </c>
      <c r="N80" s="106">
        <f t="shared" si="6"/>
        <v>368</v>
      </c>
      <c r="O80" s="106">
        <f t="shared" si="7"/>
        <v>378</v>
      </c>
    </row>
    <row r="81" spans="1:15" x14ac:dyDescent="0.25">
      <c r="A81">
        <v>3315</v>
      </c>
      <c r="B81" t="s">
        <v>200</v>
      </c>
      <c r="C81" t="s">
        <v>16</v>
      </c>
      <c r="D81" t="s">
        <v>279</v>
      </c>
      <c r="E81">
        <v>360</v>
      </c>
      <c r="F81">
        <v>1080</v>
      </c>
      <c r="G81" s="106">
        <v>88</v>
      </c>
      <c r="H81" s="106">
        <v>267</v>
      </c>
      <c r="I81" s="106">
        <v>222</v>
      </c>
      <c r="J81" s="106">
        <v>240</v>
      </c>
      <c r="L81" s="106">
        <f t="shared" si="4"/>
        <v>101</v>
      </c>
      <c r="M81" s="106">
        <f t="shared" si="5"/>
        <v>307</v>
      </c>
      <c r="N81" s="106">
        <f t="shared" si="6"/>
        <v>255</v>
      </c>
      <c r="O81" s="106">
        <f t="shared" si="7"/>
        <v>276</v>
      </c>
    </row>
    <row r="82" spans="1:15" x14ac:dyDescent="0.25">
      <c r="A82">
        <v>3316</v>
      </c>
      <c r="B82" t="s">
        <v>200</v>
      </c>
      <c r="C82" t="s">
        <v>16</v>
      </c>
      <c r="D82" t="s">
        <v>280</v>
      </c>
      <c r="E82">
        <v>420</v>
      </c>
      <c r="F82">
        <v>1080</v>
      </c>
      <c r="G82" s="106">
        <v>88</v>
      </c>
      <c r="H82" s="106">
        <v>304</v>
      </c>
      <c r="I82" s="106">
        <v>241</v>
      </c>
      <c r="J82" s="106">
        <v>259</v>
      </c>
      <c r="L82" s="106">
        <f t="shared" si="4"/>
        <v>101</v>
      </c>
      <c r="M82" s="106">
        <f t="shared" si="5"/>
        <v>350</v>
      </c>
      <c r="N82" s="106">
        <f t="shared" si="6"/>
        <v>277</v>
      </c>
      <c r="O82" s="106">
        <f t="shared" si="7"/>
        <v>298</v>
      </c>
    </row>
    <row r="83" spans="1:15" x14ac:dyDescent="0.25">
      <c r="A83">
        <v>3317</v>
      </c>
      <c r="B83" t="s">
        <v>200</v>
      </c>
      <c r="C83" t="s">
        <v>16</v>
      </c>
      <c r="D83" t="s">
        <v>281</v>
      </c>
      <c r="E83">
        <v>580</v>
      </c>
      <c r="F83">
        <v>1080</v>
      </c>
      <c r="G83" s="106">
        <v>119</v>
      </c>
      <c r="H83" s="106">
        <v>377</v>
      </c>
      <c r="I83" s="106">
        <v>300</v>
      </c>
      <c r="J83" s="106">
        <v>307</v>
      </c>
      <c r="L83" s="106">
        <f t="shared" si="4"/>
        <v>137</v>
      </c>
      <c r="M83" s="106">
        <f t="shared" si="5"/>
        <v>434</v>
      </c>
      <c r="N83" s="106">
        <f t="shared" si="6"/>
        <v>345</v>
      </c>
      <c r="O83" s="106">
        <f t="shared" si="7"/>
        <v>353</v>
      </c>
    </row>
    <row r="84" spans="1:15" x14ac:dyDescent="0.25">
      <c r="A84">
        <v>3318</v>
      </c>
      <c r="B84" t="s">
        <v>200</v>
      </c>
      <c r="C84" t="s">
        <v>16</v>
      </c>
      <c r="D84" t="s">
        <v>282</v>
      </c>
      <c r="E84">
        <v>780</v>
      </c>
      <c r="F84">
        <v>1080</v>
      </c>
      <c r="G84" s="106">
        <v>161</v>
      </c>
      <c r="H84" s="106">
        <v>517</v>
      </c>
      <c r="I84" s="106">
        <v>409</v>
      </c>
      <c r="J84" s="106">
        <v>385</v>
      </c>
      <c r="L84" s="106">
        <f t="shared" si="4"/>
        <v>185</v>
      </c>
      <c r="M84" s="106">
        <f t="shared" si="5"/>
        <v>595</v>
      </c>
      <c r="N84" s="106">
        <f t="shared" si="6"/>
        <v>470</v>
      </c>
      <c r="O84" s="106">
        <f t="shared" si="7"/>
        <v>443</v>
      </c>
    </row>
    <row r="85" spans="1:15" x14ac:dyDescent="0.25">
      <c r="A85">
        <v>3319</v>
      </c>
      <c r="B85" t="s">
        <v>200</v>
      </c>
      <c r="C85" t="s">
        <v>16</v>
      </c>
      <c r="D85" t="s">
        <v>283</v>
      </c>
      <c r="E85">
        <v>980</v>
      </c>
      <c r="F85">
        <v>1080</v>
      </c>
      <c r="G85" s="106">
        <v>200</v>
      </c>
      <c r="H85" s="106">
        <v>626</v>
      </c>
      <c r="I85" s="106">
        <v>474</v>
      </c>
      <c r="J85" s="106">
        <v>431</v>
      </c>
      <c r="L85" s="106">
        <f t="shared" si="4"/>
        <v>230</v>
      </c>
      <c r="M85" s="106">
        <f t="shared" si="5"/>
        <v>720</v>
      </c>
      <c r="N85" s="106">
        <f t="shared" si="6"/>
        <v>545</v>
      </c>
      <c r="O85" s="106">
        <f t="shared" si="7"/>
        <v>496</v>
      </c>
    </row>
    <row r="86" spans="1:15" x14ac:dyDescent="0.25">
      <c r="A86">
        <v>3320</v>
      </c>
      <c r="B86" t="s">
        <v>200</v>
      </c>
      <c r="C86" t="s">
        <v>16</v>
      </c>
      <c r="D86" t="s">
        <v>284</v>
      </c>
      <c r="E86">
        <v>360</v>
      </c>
      <c r="F86">
        <v>1440</v>
      </c>
      <c r="G86" s="106">
        <v>100</v>
      </c>
      <c r="H86" s="106">
        <v>336</v>
      </c>
      <c r="I86" s="106">
        <v>281</v>
      </c>
      <c r="J86" s="106">
        <v>529</v>
      </c>
      <c r="L86" s="106">
        <f t="shared" si="4"/>
        <v>115</v>
      </c>
      <c r="M86" s="106">
        <f t="shared" si="5"/>
        <v>386</v>
      </c>
      <c r="N86" s="106">
        <f t="shared" si="6"/>
        <v>323</v>
      </c>
      <c r="O86" s="106">
        <f t="shared" si="7"/>
        <v>608</v>
      </c>
    </row>
    <row r="87" spans="1:15" x14ac:dyDescent="0.25">
      <c r="A87">
        <v>3321</v>
      </c>
      <c r="B87" t="s">
        <v>200</v>
      </c>
      <c r="C87" t="s">
        <v>16</v>
      </c>
      <c r="D87" t="s">
        <v>285</v>
      </c>
      <c r="E87">
        <v>420</v>
      </c>
      <c r="F87">
        <v>1440</v>
      </c>
      <c r="G87" s="106">
        <v>115</v>
      </c>
      <c r="H87" s="106">
        <v>365</v>
      </c>
      <c r="I87" s="106">
        <v>291</v>
      </c>
      <c r="J87" s="106">
        <v>547</v>
      </c>
      <c r="L87" s="106">
        <f t="shared" si="4"/>
        <v>132</v>
      </c>
      <c r="M87" s="106">
        <f t="shared" si="5"/>
        <v>420</v>
      </c>
      <c r="N87" s="106">
        <f t="shared" si="6"/>
        <v>335</v>
      </c>
      <c r="O87" s="106">
        <f t="shared" si="7"/>
        <v>629</v>
      </c>
    </row>
    <row r="88" spans="1:15" x14ac:dyDescent="0.25">
      <c r="A88">
        <v>3322</v>
      </c>
      <c r="B88" t="s">
        <v>200</v>
      </c>
      <c r="C88" t="s">
        <v>16</v>
      </c>
      <c r="D88" t="s">
        <v>286</v>
      </c>
      <c r="E88">
        <v>580</v>
      </c>
      <c r="F88">
        <v>1440</v>
      </c>
      <c r="G88" s="106">
        <v>158</v>
      </c>
      <c r="H88" s="106">
        <v>484</v>
      </c>
      <c r="I88" s="106">
        <v>400</v>
      </c>
      <c r="J88" s="106">
        <v>752</v>
      </c>
      <c r="L88" s="106">
        <f t="shared" si="4"/>
        <v>182</v>
      </c>
      <c r="M88" s="106">
        <f t="shared" si="5"/>
        <v>557</v>
      </c>
      <c r="N88" s="106">
        <f t="shared" si="6"/>
        <v>460</v>
      </c>
      <c r="O88" s="106">
        <f t="shared" si="7"/>
        <v>865</v>
      </c>
    </row>
    <row r="89" spans="1:15" x14ac:dyDescent="0.25">
      <c r="A89">
        <v>3323</v>
      </c>
      <c r="B89" t="s">
        <v>200</v>
      </c>
      <c r="C89" t="s">
        <v>16</v>
      </c>
      <c r="D89" t="s">
        <v>287</v>
      </c>
      <c r="E89">
        <v>780</v>
      </c>
      <c r="F89">
        <v>1440</v>
      </c>
      <c r="G89" s="106">
        <v>211</v>
      </c>
      <c r="H89" s="106">
        <v>630</v>
      </c>
      <c r="I89" s="106">
        <v>499</v>
      </c>
      <c r="J89" s="106">
        <v>939</v>
      </c>
      <c r="L89" s="106">
        <f t="shared" si="4"/>
        <v>243</v>
      </c>
      <c r="M89" s="106">
        <f t="shared" si="5"/>
        <v>725</v>
      </c>
      <c r="N89" s="106">
        <f t="shared" si="6"/>
        <v>574</v>
      </c>
      <c r="O89" s="106">
        <f t="shared" si="7"/>
        <v>1080</v>
      </c>
    </row>
    <row r="90" spans="1:15" x14ac:dyDescent="0.25">
      <c r="A90">
        <v>3324</v>
      </c>
      <c r="B90" t="s">
        <v>200</v>
      </c>
      <c r="C90" t="s">
        <v>16</v>
      </c>
      <c r="D90" t="s">
        <v>288</v>
      </c>
      <c r="E90">
        <v>980</v>
      </c>
      <c r="F90">
        <v>1440</v>
      </c>
      <c r="G90" s="106">
        <v>264</v>
      </c>
      <c r="H90" s="106">
        <v>778</v>
      </c>
      <c r="I90" s="106">
        <v>616</v>
      </c>
      <c r="J90" s="106">
        <v>1159</v>
      </c>
      <c r="L90" s="106">
        <f t="shared" si="4"/>
        <v>304</v>
      </c>
      <c r="M90" s="106">
        <f t="shared" si="5"/>
        <v>895</v>
      </c>
      <c r="N90" s="106">
        <f t="shared" si="6"/>
        <v>708</v>
      </c>
      <c r="O90" s="106">
        <f t="shared" si="7"/>
        <v>1333</v>
      </c>
    </row>
    <row r="91" spans="1:15" x14ac:dyDescent="0.25">
      <c r="A91">
        <v>3325</v>
      </c>
      <c r="B91" t="s">
        <v>200</v>
      </c>
      <c r="C91" t="s">
        <v>16</v>
      </c>
      <c r="D91" t="s">
        <v>289</v>
      </c>
      <c r="E91">
        <v>360</v>
      </c>
      <c r="F91">
        <v>1800</v>
      </c>
      <c r="G91" s="106">
        <v>125</v>
      </c>
      <c r="H91" s="106">
        <v>246</v>
      </c>
      <c r="I91" s="106">
        <v>343</v>
      </c>
      <c r="J91" s="106">
        <v>645</v>
      </c>
      <c r="L91" s="106">
        <f t="shared" si="4"/>
        <v>144</v>
      </c>
      <c r="M91" s="106">
        <f t="shared" si="5"/>
        <v>283</v>
      </c>
      <c r="N91" s="106">
        <f t="shared" si="6"/>
        <v>394</v>
      </c>
      <c r="O91" s="106">
        <f t="shared" si="7"/>
        <v>742</v>
      </c>
    </row>
    <row r="92" spans="1:15" x14ac:dyDescent="0.25">
      <c r="A92">
        <v>3326</v>
      </c>
      <c r="B92" t="s">
        <v>200</v>
      </c>
      <c r="C92" t="s">
        <v>16</v>
      </c>
      <c r="D92" t="s">
        <v>290</v>
      </c>
      <c r="E92">
        <v>420</v>
      </c>
      <c r="F92">
        <v>1800</v>
      </c>
      <c r="G92" s="106">
        <v>143</v>
      </c>
      <c r="H92" s="106">
        <v>281</v>
      </c>
      <c r="I92" s="106">
        <v>350</v>
      </c>
      <c r="J92" s="106">
        <v>658</v>
      </c>
      <c r="L92" s="106">
        <f t="shared" si="4"/>
        <v>164</v>
      </c>
      <c r="M92" s="106">
        <f t="shared" si="5"/>
        <v>323</v>
      </c>
      <c r="N92" s="106">
        <f t="shared" si="6"/>
        <v>403</v>
      </c>
      <c r="O92" s="106">
        <f t="shared" si="7"/>
        <v>757</v>
      </c>
    </row>
    <row r="93" spans="1:15" x14ac:dyDescent="0.25">
      <c r="A93">
        <v>3327</v>
      </c>
      <c r="B93" t="s">
        <v>200</v>
      </c>
      <c r="C93" t="s">
        <v>16</v>
      </c>
      <c r="D93" t="s">
        <v>291</v>
      </c>
      <c r="E93">
        <v>580</v>
      </c>
      <c r="F93">
        <v>1800</v>
      </c>
      <c r="G93" s="106">
        <v>197</v>
      </c>
      <c r="H93" s="106">
        <v>388</v>
      </c>
      <c r="I93" s="106">
        <v>467</v>
      </c>
      <c r="J93" s="106">
        <v>879</v>
      </c>
      <c r="L93" s="106">
        <f t="shared" si="4"/>
        <v>227</v>
      </c>
      <c r="M93" s="106">
        <f t="shared" si="5"/>
        <v>446</v>
      </c>
      <c r="N93" s="106">
        <f t="shared" si="6"/>
        <v>537</v>
      </c>
      <c r="O93" s="106">
        <f t="shared" si="7"/>
        <v>1011</v>
      </c>
    </row>
    <row r="94" spans="1:15" x14ac:dyDescent="0.25">
      <c r="A94">
        <v>3328</v>
      </c>
      <c r="B94" t="s">
        <v>200</v>
      </c>
      <c r="C94" t="s">
        <v>16</v>
      </c>
      <c r="D94" t="s">
        <v>292</v>
      </c>
      <c r="E94">
        <v>780</v>
      </c>
      <c r="F94">
        <v>1800</v>
      </c>
      <c r="G94" s="106">
        <v>264</v>
      </c>
      <c r="H94" s="106">
        <v>520</v>
      </c>
      <c r="I94" s="106">
        <v>612</v>
      </c>
      <c r="J94" s="106">
        <v>1151</v>
      </c>
      <c r="L94" s="106">
        <f t="shared" si="4"/>
        <v>304</v>
      </c>
      <c r="M94" s="106">
        <f t="shared" si="5"/>
        <v>598</v>
      </c>
      <c r="N94" s="106">
        <f t="shared" si="6"/>
        <v>704</v>
      </c>
      <c r="O94" s="106">
        <f t="shared" si="7"/>
        <v>1324</v>
      </c>
    </row>
    <row r="95" spans="1:15" x14ac:dyDescent="0.25">
      <c r="A95">
        <v>3329</v>
      </c>
      <c r="B95" t="s">
        <v>200</v>
      </c>
      <c r="C95" t="s">
        <v>16</v>
      </c>
      <c r="D95" t="s">
        <v>293</v>
      </c>
      <c r="E95">
        <v>980</v>
      </c>
      <c r="F95">
        <v>1800</v>
      </c>
      <c r="G95" s="106">
        <v>329</v>
      </c>
      <c r="H95" s="106">
        <v>648</v>
      </c>
      <c r="I95" s="106">
        <v>753</v>
      </c>
      <c r="J95" s="106">
        <v>1417</v>
      </c>
      <c r="L95" s="106">
        <f t="shared" si="4"/>
        <v>378</v>
      </c>
      <c r="M95" s="106">
        <f t="shared" si="5"/>
        <v>745</v>
      </c>
      <c r="N95" s="106">
        <f t="shared" si="6"/>
        <v>866</v>
      </c>
      <c r="O95" s="106">
        <f t="shared" si="7"/>
        <v>1630</v>
      </c>
    </row>
    <row r="96" spans="1:15" x14ac:dyDescent="0.25">
      <c r="A96">
        <v>3500</v>
      </c>
      <c r="B96" t="s">
        <v>200</v>
      </c>
      <c r="C96" t="s">
        <v>47</v>
      </c>
      <c r="D96" t="s">
        <v>294</v>
      </c>
      <c r="E96">
        <v>360</v>
      </c>
      <c r="F96">
        <v>180</v>
      </c>
      <c r="G96" s="106">
        <v>34</v>
      </c>
      <c r="H96" s="106">
        <v>114</v>
      </c>
      <c r="I96" s="106">
        <v>89</v>
      </c>
      <c r="J96" s="106">
        <v>201</v>
      </c>
      <c r="L96" s="106">
        <f t="shared" si="4"/>
        <v>39</v>
      </c>
      <c r="M96" s="106">
        <f t="shared" si="5"/>
        <v>131</v>
      </c>
      <c r="N96" s="106">
        <f t="shared" si="6"/>
        <v>102</v>
      </c>
      <c r="O96" s="106">
        <f t="shared" si="7"/>
        <v>231</v>
      </c>
    </row>
    <row r="97" spans="1:15" x14ac:dyDescent="0.25">
      <c r="A97">
        <v>3501</v>
      </c>
      <c r="B97" t="s">
        <v>200</v>
      </c>
      <c r="C97" t="s">
        <v>47</v>
      </c>
      <c r="D97" t="s">
        <v>295</v>
      </c>
      <c r="E97">
        <v>360</v>
      </c>
      <c r="F97">
        <v>360</v>
      </c>
      <c r="G97" s="106">
        <v>34</v>
      </c>
      <c r="H97" s="106">
        <v>114</v>
      </c>
      <c r="I97" s="106">
        <v>89</v>
      </c>
      <c r="J97" s="106">
        <v>177</v>
      </c>
      <c r="L97" s="106">
        <f t="shared" si="4"/>
        <v>39</v>
      </c>
      <c r="M97" s="106">
        <f t="shared" si="5"/>
        <v>131</v>
      </c>
      <c r="N97" s="106">
        <f t="shared" si="6"/>
        <v>102</v>
      </c>
      <c r="O97" s="106">
        <f t="shared" si="7"/>
        <v>204</v>
      </c>
    </row>
    <row r="98" spans="1:15" x14ac:dyDescent="0.25">
      <c r="A98">
        <v>3502</v>
      </c>
      <c r="B98" t="s">
        <v>200</v>
      </c>
      <c r="C98" t="s">
        <v>47</v>
      </c>
      <c r="D98" t="s">
        <v>296</v>
      </c>
      <c r="E98">
        <v>360</v>
      </c>
      <c r="F98">
        <v>720</v>
      </c>
      <c r="G98" s="106">
        <v>52</v>
      </c>
      <c r="H98" s="106">
        <v>181</v>
      </c>
      <c r="I98" s="106">
        <v>143</v>
      </c>
      <c r="J98" s="106">
        <v>212</v>
      </c>
      <c r="L98" s="106">
        <f t="shared" si="4"/>
        <v>60</v>
      </c>
      <c r="M98" s="106">
        <f t="shared" si="5"/>
        <v>208</v>
      </c>
      <c r="N98" s="106">
        <f t="shared" si="6"/>
        <v>164</v>
      </c>
      <c r="O98" s="106">
        <f t="shared" si="7"/>
        <v>244</v>
      </c>
    </row>
    <row r="99" spans="1:15" x14ac:dyDescent="0.25">
      <c r="A99">
        <v>3503</v>
      </c>
      <c r="B99" t="s">
        <v>200</v>
      </c>
      <c r="C99" t="s">
        <v>47</v>
      </c>
      <c r="D99" t="s">
        <v>297</v>
      </c>
      <c r="E99">
        <v>360</v>
      </c>
      <c r="F99">
        <v>1080</v>
      </c>
      <c r="G99" s="106">
        <v>76</v>
      </c>
      <c r="H99" s="106">
        <v>267</v>
      </c>
      <c r="I99" s="106">
        <v>222</v>
      </c>
      <c r="J99" s="106">
        <v>240</v>
      </c>
      <c r="L99" s="106">
        <f t="shared" si="4"/>
        <v>87</v>
      </c>
      <c r="M99" s="106">
        <f t="shared" si="5"/>
        <v>307</v>
      </c>
      <c r="N99" s="106">
        <f t="shared" si="6"/>
        <v>255</v>
      </c>
      <c r="O99" s="106">
        <f t="shared" si="7"/>
        <v>276</v>
      </c>
    </row>
    <row r="100" spans="1:15" x14ac:dyDescent="0.25">
      <c r="A100">
        <v>3504</v>
      </c>
      <c r="B100" t="s">
        <v>200</v>
      </c>
      <c r="C100" t="s">
        <v>47</v>
      </c>
      <c r="D100" t="s">
        <v>298</v>
      </c>
      <c r="E100">
        <v>360</v>
      </c>
      <c r="F100">
        <v>1440</v>
      </c>
      <c r="G100" s="106">
        <v>100</v>
      </c>
      <c r="H100" s="106">
        <v>336</v>
      </c>
      <c r="I100" s="106">
        <v>281</v>
      </c>
      <c r="J100" s="106">
        <v>529</v>
      </c>
      <c r="L100" s="106">
        <f t="shared" si="4"/>
        <v>115</v>
      </c>
      <c r="M100" s="106">
        <f t="shared" si="5"/>
        <v>386</v>
      </c>
      <c r="N100" s="106">
        <f t="shared" si="6"/>
        <v>323</v>
      </c>
      <c r="O100" s="106">
        <f t="shared" si="7"/>
        <v>608</v>
      </c>
    </row>
    <row r="101" spans="1:15" x14ac:dyDescent="0.25">
      <c r="A101">
        <v>3505</v>
      </c>
      <c r="B101" t="s">
        <v>200</v>
      </c>
      <c r="C101" t="s">
        <v>47</v>
      </c>
      <c r="D101" t="s">
        <v>299</v>
      </c>
      <c r="E101">
        <v>360</v>
      </c>
      <c r="F101">
        <v>1800</v>
      </c>
      <c r="G101" s="106">
        <v>125</v>
      </c>
      <c r="H101" s="106">
        <v>246</v>
      </c>
      <c r="I101" s="106">
        <v>343</v>
      </c>
      <c r="J101" s="106">
        <v>645</v>
      </c>
      <c r="L101" s="106">
        <f t="shared" si="4"/>
        <v>144</v>
      </c>
      <c r="M101" s="106">
        <f t="shared" si="5"/>
        <v>283</v>
      </c>
      <c r="N101" s="106">
        <f t="shared" si="6"/>
        <v>394</v>
      </c>
      <c r="O101" s="106">
        <f t="shared" si="7"/>
        <v>742</v>
      </c>
    </row>
    <row r="102" spans="1:15" x14ac:dyDescent="0.25">
      <c r="A102">
        <v>3506</v>
      </c>
      <c r="B102" t="s">
        <v>200</v>
      </c>
      <c r="C102" t="s">
        <v>47</v>
      </c>
      <c r="D102" t="s">
        <v>300</v>
      </c>
      <c r="E102">
        <v>580</v>
      </c>
      <c r="F102">
        <v>180</v>
      </c>
      <c r="G102" s="106">
        <v>43</v>
      </c>
      <c r="H102" s="106">
        <v>161</v>
      </c>
      <c r="I102" s="106">
        <v>130</v>
      </c>
      <c r="J102" s="106">
        <v>208</v>
      </c>
      <c r="L102" s="106">
        <f t="shared" si="4"/>
        <v>49</v>
      </c>
      <c r="M102" s="106">
        <f t="shared" si="5"/>
        <v>185</v>
      </c>
      <c r="N102" s="106">
        <f t="shared" si="6"/>
        <v>150</v>
      </c>
      <c r="O102" s="106">
        <f t="shared" si="7"/>
        <v>239</v>
      </c>
    </row>
    <row r="103" spans="1:15" x14ac:dyDescent="0.25">
      <c r="A103">
        <v>3507</v>
      </c>
      <c r="B103" t="s">
        <v>200</v>
      </c>
      <c r="C103" t="s">
        <v>47</v>
      </c>
      <c r="D103" t="s">
        <v>301</v>
      </c>
      <c r="E103">
        <v>580</v>
      </c>
      <c r="F103">
        <v>360</v>
      </c>
      <c r="G103" s="106">
        <v>43</v>
      </c>
      <c r="H103" s="106">
        <v>161</v>
      </c>
      <c r="I103" s="106">
        <v>130</v>
      </c>
      <c r="J103" s="106">
        <v>185</v>
      </c>
      <c r="L103" s="106">
        <f t="shared" si="4"/>
        <v>49</v>
      </c>
      <c r="M103" s="106">
        <f t="shared" si="5"/>
        <v>185</v>
      </c>
      <c r="N103" s="106">
        <f t="shared" si="6"/>
        <v>150</v>
      </c>
      <c r="O103" s="106">
        <f t="shared" si="7"/>
        <v>213</v>
      </c>
    </row>
    <row r="104" spans="1:15" x14ac:dyDescent="0.25">
      <c r="A104">
        <v>3508</v>
      </c>
      <c r="B104" t="s">
        <v>200</v>
      </c>
      <c r="C104" t="s">
        <v>47</v>
      </c>
      <c r="D104" t="s">
        <v>302</v>
      </c>
      <c r="E104">
        <v>580</v>
      </c>
      <c r="F104">
        <v>720</v>
      </c>
      <c r="G104" s="106">
        <v>82</v>
      </c>
      <c r="H104" s="106">
        <v>262</v>
      </c>
      <c r="I104" s="106">
        <v>216</v>
      </c>
      <c r="J104" s="106">
        <v>245</v>
      </c>
      <c r="L104" s="106">
        <f t="shared" si="4"/>
        <v>94</v>
      </c>
      <c r="M104" s="106">
        <f t="shared" si="5"/>
        <v>301</v>
      </c>
      <c r="N104" s="106">
        <f t="shared" si="6"/>
        <v>248</v>
      </c>
      <c r="O104" s="106">
        <f t="shared" si="7"/>
        <v>282</v>
      </c>
    </row>
    <row r="105" spans="1:15" x14ac:dyDescent="0.25">
      <c r="A105">
        <v>3509</v>
      </c>
      <c r="B105" t="s">
        <v>200</v>
      </c>
      <c r="C105" t="s">
        <v>47</v>
      </c>
      <c r="D105" t="s">
        <v>303</v>
      </c>
      <c r="E105">
        <v>580</v>
      </c>
      <c r="F105">
        <v>1080</v>
      </c>
      <c r="G105" s="106">
        <v>119</v>
      </c>
      <c r="H105" s="106">
        <v>377</v>
      </c>
      <c r="I105" s="106">
        <v>300</v>
      </c>
      <c r="J105" s="106">
        <v>307</v>
      </c>
      <c r="L105" s="106">
        <f t="shared" si="4"/>
        <v>137</v>
      </c>
      <c r="M105" s="106">
        <f t="shared" si="5"/>
        <v>434</v>
      </c>
      <c r="N105" s="106">
        <f t="shared" si="6"/>
        <v>345</v>
      </c>
      <c r="O105" s="106">
        <f t="shared" si="7"/>
        <v>353</v>
      </c>
    </row>
    <row r="106" spans="1:15" x14ac:dyDescent="0.25">
      <c r="A106">
        <v>3510</v>
      </c>
      <c r="B106" t="s">
        <v>200</v>
      </c>
      <c r="C106" t="s">
        <v>47</v>
      </c>
      <c r="D106" t="s">
        <v>304</v>
      </c>
      <c r="E106">
        <v>580</v>
      </c>
      <c r="F106">
        <v>1440</v>
      </c>
      <c r="G106" s="106">
        <v>158</v>
      </c>
      <c r="H106" s="106">
        <v>484</v>
      </c>
      <c r="I106" s="106">
        <v>400</v>
      </c>
      <c r="J106" s="106">
        <v>752</v>
      </c>
      <c r="L106" s="106">
        <f t="shared" si="4"/>
        <v>182</v>
      </c>
      <c r="M106" s="106">
        <f t="shared" si="5"/>
        <v>557</v>
      </c>
      <c r="N106" s="106">
        <f t="shared" si="6"/>
        <v>460</v>
      </c>
      <c r="O106" s="106">
        <f t="shared" si="7"/>
        <v>865</v>
      </c>
    </row>
    <row r="107" spans="1:15" x14ac:dyDescent="0.25">
      <c r="A107">
        <v>3511</v>
      </c>
      <c r="B107" t="s">
        <v>200</v>
      </c>
      <c r="C107" t="s">
        <v>47</v>
      </c>
      <c r="D107" t="s">
        <v>305</v>
      </c>
      <c r="E107">
        <v>580</v>
      </c>
      <c r="F107">
        <v>1800</v>
      </c>
      <c r="G107" s="106">
        <v>197</v>
      </c>
      <c r="H107" s="106">
        <v>388</v>
      </c>
      <c r="I107" s="106">
        <v>467</v>
      </c>
      <c r="J107" s="106">
        <v>879</v>
      </c>
      <c r="L107" s="106">
        <f t="shared" si="4"/>
        <v>227</v>
      </c>
      <c r="M107" s="106">
        <f t="shared" si="5"/>
        <v>446</v>
      </c>
      <c r="N107" s="106">
        <f t="shared" si="6"/>
        <v>537</v>
      </c>
      <c r="O107" s="106">
        <f t="shared" si="7"/>
        <v>1011</v>
      </c>
    </row>
    <row r="108" spans="1:15" x14ac:dyDescent="0.25">
      <c r="A108">
        <v>3512</v>
      </c>
      <c r="B108" t="s">
        <v>200</v>
      </c>
      <c r="C108" t="s">
        <v>47</v>
      </c>
      <c r="D108" t="s">
        <v>306</v>
      </c>
      <c r="E108">
        <v>180</v>
      </c>
      <c r="F108">
        <v>780</v>
      </c>
      <c r="G108" s="106">
        <v>56</v>
      </c>
      <c r="H108" s="106">
        <v>185</v>
      </c>
      <c r="I108" s="106">
        <v>144</v>
      </c>
      <c r="J108" s="106">
        <v>212</v>
      </c>
      <c r="L108" s="106">
        <f t="shared" si="4"/>
        <v>64</v>
      </c>
      <c r="M108" s="106">
        <f t="shared" si="5"/>
        <v>213</v>
      </c>
      <c r="N108" s="106">
        <f t="shared" si="6"/>
        <v>166</v>
      </c>
      <c r="O108" s="106">
        <f t="shared" si="7"/>
        <v>244</v>
      </c>
    </row>
    <row r="109" spans="1:15" x14ac:dyDescent="0.25">
      <c r="A109">
        <v>3513</v>
      </c>
      <c r="B109" t="s">
        <v>200</v>
      </c>
      <c r="C109" t="s">
        <v>47</v>
      </c>
      <c r="D109" t="s">
        <v>307</v>
      </c>
      <c r="E109">
        <v>180</v>
      </c>
      <c r="F109">
        <v>980</v>
      </c>
      <c r="G109" s="106">
        <v>70</v>
      </c>
      <c r="H109" s="106">
        <v>223</v>
      </c>
      <c r="I109" s="106">
        <v>174</v>
      </c>
      <c r="J109" s="106">
        <v>229</v>
      </c>
      <c r="L109" s="106">
        <f t="shared" si="4"/>
        <v>81</v>
      </c>
      <c r="M109" s="106">
        <f t="shared" si="5"/>
        <v>256</v>
      </c>
      <c r="N109" s="106">
        <f t="shared" si="6"/>
        <v>200</v>
      </c>
      <c r="O109" s="106">
        <f t="shared" si="7"/>
        <v>263</v>
      </c>
    </row>
    <row r="110" spans="1:15" x14ac:dyDescent="0.25">
      <c r="A110">
        <v>3514</v>
      </c>
      <c r="B110" t="s">
        <v>200</v>
      </c>
      <c r="C110" t="s">
        <v>47</v>
      </c>
      <c r="D110" t="s">
        <v>308</v>
      </c>
      <c r="E110">
        <v>360</v>
      </c>
      <c r="F110">
        <v>780</v>
      </c>
      <c r="G110" s="106">
        <v>56</v>
      </c>
      <c r="H110" s="106">
        <v>185</v>
      </c>
      <c r="I110" s="106">
        <v>144</v>
      </c>
      <c r="J110" s="106">
        <v>190</v>
      </c>
      <c r="L110" s="106">
        <f t="shared" si="4"/>
        <v>64</v>
      </c>
      <c r="M110" s="106">
        <f t="shared" si="5"/>
        <v>213</v>
      </c>
      <c r="N110" s="106">
        <f t="shared" si="6"/>
        <v>166</v>
      </c>
      <c r="O110" s="106">
        <f t="shared" si="7"/>
        <v>219</v>
      </c>
    </row>
    <row r="111" spans="1:15" x14ac:dyDescent="0.25">
      <c r="A111">
        <v>3515</v>
      </c>
      <c r="B111" t="s">
        <v>200</v>
      </c>
      <c r="C111" t="s">
        <v>47</v>
      </c>
      <c r="D111" t="s">
        <v>309</v>
      </c>
      <c r="E111">
        <v>360</v>
      </c>
      <c r="F111">
        <v>980</v>
      </c>
      <c r="G111" s="106">
        <v>70</v>
      </c>
      <c r="H111" s="106">
        <v>223</v>
      </c>
      <c r="I111" s="106">
        <v>174</v>
      </c>
      <c r="J111" s="106">
        <v>209</v>
      </c>
      <c r="L111" s="106">
        <f t="shared" si="4"/>
        <v>81</v>
      </c>
      <c r="M111" s="106">
        <f t="shared" si="5"/>
        <v>256</v>
      </c>
      <c r="N111" s="106">
        <f t="shared" si="6"/>
        <v>200</v>
      </c>
      <c r="O111" s="106">
        <f t="shared" si="7"/>
        <v>240</v>
      </c>
    </row>
    <row r="112" spans="1:15" x14ac:dyDescent="0.25">
      <c r="A112">
        <v>3516</v>
      </c>
      <c r="B112" t="s">
        <v>200</v>
      </c>
      <c r="C112" t="s">
        <v>47</v>
      </c>
      <c r="D112" t="s">
        <v>310</v>
      </c>
      <c r="E112">
        <v>720</v>
      </c>
      <c r="F112">
        <v>780</v>
      </c>
      <c r="G112" s="106">
        <v>107</v>
      </c>
      <c r="H112" s="106">
        <v>355</v>
      </c>
      <c r="I112" s="106">
        <v>277</v>
      </c>
      <c r="J112" s="106">
        <v>268</v>
      </c>
      <c r="L112" s="106">
        <f t="shared" si="4"/>
        <v>123</v>
      </c>
      <c r="M112" s="106">
        <f t="shared" si="5"/>
        <v>408</v>
      </c>
      <c r="N112" s="106">
        <f t="shared" si="6"/>
        <v>319</v>
      </c>
      <c r="O112" s="106">
        <f t="shared" si="7"/>
        <v>308</v>
      </c>
    </row>
    <row r="113" spans="1:15" x14ac:dyDescent="0.25">
      <c r="A113">
        <v>3517</v>
      </c>
      <c r="B113" t="s">
        <v>200</v>
      </c>
      <c r="C113" t="s">
        <v>47</v>
      </c>
      <c r="D113" t="s">
        <v>311</v>
      </c>
      <c r="E113">
        <v>720</v>
      </c>
      <c r="F113">
        <v>980</v>
      </c>
      <c r="G113" s="106">
        <v>134</v>
      </c>
      <c r="H113" s="106">
        <v>406</v>
      </c>
      <c r="I113" s="106">
        <v>320</v>
      </c>
      <c r="J113" s="106">
        <v>329</v>
      </c>
      <c r="L113" s="106">
        <f t="shared" si="4"/>
        <v>154</v>
      </c>
      <c r="M113" s="106">
        <f t="shared" si="5"/>
        <v>467</v>
      </c>
      <c r="N113" s="106">
        <f t="shared" si="6"/>
        <v>368</v>
      </c>
      <c r="O113" s="106">
        <f t="shared" si="7"/>
        <v>378</v>
      </c>
    </row>
    <row r="114" spans="1:15" x14ac:dyDescent="0.25">
      <c r="A114">
        <v>3518</v>
      </c>
      <c r="B114" t="s">
        <v>200</v>
      </c>
      <c r="C114" t="s">
        <v>47</v>
      </c>
      <c r="D114" t="s">
        <v>312</v>
      </c>
      <c r="E114">
        <v>1080</v>
      </c>
      <c r="F114">
        <v>780</v>
      </c>
      <c r="G114" s="106">
        <v>161</v>
      </c>
      <c r="H114" s="106">
        <v>517</v>
      </c>
      <c r="I114" s="106">
        <v>409</v>
      </c>
      <c r="J114" s="106">
        <v>385</v>
      </c>
      <c r="L114" s="106">
        <f t="shared" si="4"/>
        <v>185</v>
      </c>
      <c r="M114" s="106">
        <f t="shared" si="5"/>
        <v>595</v>
      </c>
      <c r="N114" s="106">
        <f t="shared" si="6"/>
        <v>470</v>
      </c>
      <c r="O114" s="106">
        <f t="shared" si="7"/>
        <v>443</v>
      </c>
    </row>
    <row r="115" spans="1:15" x14ac:dyDescent="0.25">
      <c r="A115">
        <v>3519</v>
      </c>
      <c r="B115" t="s">
        <v>200</v>
      </c>
      <c r="C115" t="s">
        <v>47</v>
      </c>
      <c r="D115" t="s">
        <v>313</v>
      </c>
      <c r="E115">
        <v>1080</v>
      </c>
      <c r="F115">
        <v>980</v>
      </c>
      <c r="G115" s="106">
        <v>200</v>
      </c>
      <c r="H115" s="106">
        <v>626</v>
      </c>
      <c r="I115" s="106">
        <v>474</v>
      </c>
      <c r="J115" s="106">
        <v>431</v>
      </c>
      <c r="L115" s="106">
        <f t="shared" si="4"/>
        <v>230</v>
      </c>
      <c r="M115" s="106">
        <f t="shared" si="5"/>
        <v>720</v>
      </c>
      <c r="N115" s="106">
        <f t="shared" si="6"/>
        <v>545</v>
      </c>
      <c r="O115" s="106">
        <f t="shared" si="7"/>
        <v>496</v>
      </c>
    </row>
    <row r="116" spans="1:15" x14ac:dyDescent="0.25">
      <c r="A116">
        <v>3520</v>
      </c>
      <c r="B116" t="s">
        <v>200</v>
      </c>
      <c r="C116" t="s">
        <v>47</v>
      </c>
      <c r="D116" t="s">
        <v>314</v>
      </c>
      <c r="E116">
        <v>1440</v>
      </c>
      <c r="F116">
        <v>780</v>
      </c>
      <c r="G116" s="106">
        <v>211</v>
      </c>
      <c r="H116" s="106">
        <v>630</v>
      </c>
      <c r="I116" s="106">
        <v>499</v>
      </c>
      <c r="J116" s="106">
        <v>939</v>
      </c>
      <c r="L116" s="106">
        <f t="shared" si="4"/>
        <v>243</v>
      </c>
      <c r="M116" s="106">
        <f t="shared" si="5"/>
        <v>725</v>
      </c>
      <c r="N116" s="106">
        <f t="shared" si="6"/>
        <v>574</v>
      </c>
      <c r="O116" s="106">
        <f t="shared" si="7"/>
        <v>1080</v>
      </c>
    </row>
    <row r="117" spans="1:15" x14ac:dyDescent="0.25">
      <c r="A117">
        <v>3521</v>
      </c>
      <c r="B117" t="s">
        <v>200</v>
      </c>
      <c r="C117" t="s">
        <v>47</v>
      </c>
      <c r="D117" t="s">
        <v>315</v>
      </c>
      <c r="E117">
        <v>1440</v>
      </c>
      <c r="F117">
        <v>980</v>
      </c>
      <c r="G117" s="106">
        <v>264</v>
      </c>
      <c r="H117" s="106">
        <v>778</v>
      </c>
      <c r="I117" s="106">
        <v>616</v>
      </c>
      <c r="J117" s="106">
        <v>1159</v>
      </c>
      <c r="L117" s="106">
        <f t="shared" si="4"/>
        <v>304</v>
      </c>
      <c r="M117" s="106">
        <f t="shared" si="5"/>
        <v>895</v>
      </c>
      <c r="N117" s="106">
        <f t="shared" si="6"/>
        <v>708</v>
      </c>
      <c r="O117" s="106">
        <f t="shared" si="7"/>
        <v>1333</v>
      </c>
    </row>
    <row r="118" spans="1:15" x14ac:dyDescent="0.25">
      <c r="A118">
        <v>3522</v>
      </c>
      <c r="B118" t="s">
        <v>200</v>
      </c>
      <c r="C118" t="s">
        <v>47</v>
      </c>
      <c r="D118" t="s">
        <v>316</v>
      </c>
      <c r="E118">
        <v>1800</v>
      </c>
      <c r="F118">
        <v>780</v>
      </c>
      <c r="G118" s="106">
        <v>264</v>
      </c>
      <c r="H118" s="106">
        <v>520</v>
      </c>
      <c r="I118" s="106">
        <v>612</v>
      </c>
      <c r="J118" s="106">
        <v>1151</v>
      </c>
      <c r="L118" s="106">
        <f t="shared" si="4"/>
        <v>304</v>
      </c>
      <c r="M118" s="106">
        <f t="shared" si="5"/>
        <v>598</v>
      </c>
      <c r="N118" s="106">
        <f t="shared" si="6"/>
        <v>704</v>
      </c>
      <c r="O118" s="106">
        <f t="shared" si="7"/>
        <v>1324</v>
      </c>
    </row>
    <row r="119" spans="1:15" x14ac:dyDescent="0.25">
      <c r="A119">
        <v>3523</v>
      </c>
      <c r="B119" t="s">
        <v>200</v>
      </c>
      <c r="C119" t="s">
        <v>47</v>
      </c>
      <c r="D119" t="s">
        <v>317</v>
      </c>
      <c r="E119">
        <v>1800</v>
      </c>
      <c r="F119">
        <v>980</v>
      </c>
      <c r="G119" s="106">
        <v>329</v>
      </c>
      <c r="H119" s="106">
        <v>648</v>
      </c>
      <c r="I119" s="106">
        <v>753</v>
      </c>
      <c r="J119" s="106">
        <v>1417</v>
      </c>
      <c r="L119" s="106">
        <f t="shared" si="4"/>
        <v>378</v>
      </c>
      <c r="M119" s="106">
        <f t="shared" si="5"/>
        <v>745</v>
      </c>
      <c r="N119" s="106">
        <f t="shared" si="6"/>
        <v>866</v>
      </c>
      <c r="O119" s="106">
        <f t="shared" si="7"/>
        <v>1630</v>
      </c>
    </row>
    <row r="120" spans="1:15" x14ac:dyDescent="0.25">
      <c r="A120">
        <v>3524</v>
      </c>
      <c r="B120" t="s">
        <v>200</v>
      </c>
      <c r="C120" t="s">
        <v>47</v>
      </c>
      <c r="D120" t="s">
        <v>318</v>
      </c>
      <c r="E120">
        <v>580</v>
      </c>
      <c r="F120">
        <v>580</v>
      </c>
      <c r="G120" s="106">
        <v>67</v>
      </c>
      <c r="H120" s="106">
        <v>228</v>
      </c>
      <c r="I120" s="106">
        <v>183</v>
      </c>
      <c r="J120" s="106">
        <v>191</v>
      </c>
      <c r="L120" s="106">
        <f t="shared" si="4"/>
        <v>77</v>
      </c>
      <c r="M120" s="106">
        <f t="shared" si="5"/>
        <v>262</v>
      </c>
      <c r="N120" s="106">
        <f t="shared" si="6"/>
        <v>210</v>
      </c>
      <c r="O120" s="106">
        <f t="shared" si="7"/>
        <v>220</v>
      </c>
    </row>
    <row r="121" spans="1:15" x14ac:dyDescent="0.25">
      <c r="A121">
        <v>3600</v>
      </c>
      <c r="B121" t="s">
        <v>200</v>
      </c>
      <c r="C121" t="s">
        <v>46</v>
      </c>
      <c r="D121" t="s">
        <v>320</v>
      </c>
      <c r="E121">
        <v>360</v>
      </c>
      <c r="F121">
        <v>360</v>
      </c>
      <c r="G121" s="106">
        <v>34</v>
      </c>
      <c r="H121" s="106">
        <v>114</v>
      </c>
      <c r="I121" s="106">
        <v>89</v>
      </c>
      <c r="J121" s="106">
        <v>177</v>
      </c>
      <c r="L121" s="106">
        <f t="shared" si="4"/>
        <v>39</v>
      </c>
      <c r="M121" s="106">
        <f t="shared" si="5"/>
        <v>131</v>
      </c>
      <c r="N121" s="106">
        <f t="shared" si="6"/>
        <v>102</v>
      </c>
      <c r="O121" s="106">
        <f t="shared" si="7"/>
        <v>204</v>
      </c>
    </row>
    <row r="122" spans="1:15" x14ac:dyDescent="0.25">
      <c r="A122">
        <v>3601</v>
      </c>
      <c r="B122" t="s">
        <v>200</v>
      </c>
      <c r="C122" t="s">
        <v>46</v>
      </c>
      <c r="D122" t="s">
        <v>321</v>
      </c>
      <c r="E122">
        <v>360</v>
      </c>
      <c r="F122">
        <v>720</v>
      </c>
      <c r="G122" s="106">
        <v>52</v>
      </c>
      <c r="H122" s="106">
        <v>181</v>
      </c>
      <c r="I122" s="106">
        <v>143</v>
      </c>
      <c r="J122" s="106">
        <v>212</v>
      </c>
      <c r="L122" s="106">
        <f t="shared" si="4"/>
        <v>60</v>
      </c>
      <c r="M122" s="106">
        <f t="shared" si="5"/>
        <v>208</v>
      </c>
      <c r="N122" s="106">
        <f t="shared" si="6"/>
        <v>164</v>
      </c>
      <c r="O122" s="106">
        <f t="shared" si="7"/>
        <v>244</v>
      </c>
    </row>
    <row r="123" spans="1:15" x14ac:dyDescent="0.25">
      <c r="A123">
        <v>3602</v>
      </c>
      <c r="B123" t="s">
        <v>200</v>
      </c>
      <c r="C123" t="s">
        <v>46</v>
      </c>
      <c r="D123" t="s">
        <v>322</v>
      </c>
      <c r="E123">
        <v>360</v>
      </c>
      <c r="F123">
        <v>1080</v>
      </c>
      <c r="G123" s="106">
        <v>76</v>
      </c>
      <c r="H123" s="106">
        <v>267</v>
      </c>
      <c r="I123" s="106">
        <v>222</v>
      </c>
      <c r="J123" s="106">
        <v>240</v>
      </c>
      <c r="L123" s="106">
        <f t="shared" si="4"/>
        <v>87</v>
      </c>
      <c r="M123" s="106">
        <f t="shared" si="5"/>
        <v>307</v>
      </c>
      <c r="N123" s="106">
        <f t="shared" si="6"/>
        <v>255</v>
      </c>
      <c r="O123" s="106">
        <f t="shared" si="7"/>
        <v>276</v>
      </c>
    </row>
    <row r="124" spans="1:15" x14ac:dyDescent="0.25">
      <c r="A124">
        <v>3603</v>
      </c>
      <c r="B124" t="s">
        <v>200</v>
      </c>
      <c r="C124" t="s">
        <v>46</v>
      </c>
      <c r="D124" t="s">
        <v>323</v>
      </c>
      <c r="E124">
        <v>360</v>
      </c>
      <c r="F124">
        <v>1440</v>
      </c>
      <c r="G124" s="106">
        <v>100</v>
      </c>
      <c r="H124" s="106">
        <v>336</v>
      </c>
      <c r="I124" s="106">
        <v>281</v>
      </c>
      <c r="J124" s="106">
        <v>529</v>
      </c>
      <c r="L124" s="106">
        <f t="shared" si="4"/>
        <v>115</v>
      </c>
      <c r="M124" s="106">
        <f t="shared" si="5"/>
        <v>386</v>
      </c>
      <c r="N124" s="106">
        <f t="shared" si="6"/>
        <v>323</v>
      </c>
      <c r="O124" s="106">
        <f t="shared" si="7"/>
        <v>608</v>
      </c>
    </row>
    <row r="125" spans="1:15" x14ac:dyDescent="0.25">
      <c r="A125">
        <v>3604</v>
      </c>
      <c r="B125" t="s">
        <v>200</v>
      </c>
      <c r="C125" t="s">
        <v>46</v>
      </c>
      <c r="D125" t="s">
        <v>324</v>
      </c>
      <c r="E125">
        <v>360</v>
      </c>
      <c r="F125">
        <v>1800</v>
      </c>
      <c r="G125" s="106">
        <v>125</v>
      </c>
      <c r="H125" s="106">
        <v>246</v>
      </c>
      <c r="I125" s="106">
        <v>343</v>
      </c>
      <c r="J125" s="106">
        <v>645</v>
      </c>
      <c r="L125" s="106">
        <f t="shared" si="4"/>
        <v>144</v>
      </c>
      <c r="M125" s="106">
        <f t="shared" si="5"/>
        <v>283</v>
      </c>
      <c r="N125" s="106">
        <f t="shared" si="6"/>
        <v>394</v>
      </c>
      <c r="O125" s="106">
        <f t="shared" si="7"/>
        <v>742</v>
      </c>
    </row>
    <row r="126" spans="1:15" x14ac:dyDescent="0.25">
      <c r="A126">
        <v>3605</v>
      </c>
      <c r="B126" t="s">
        <v>200</v>
      </c>
      <c r="C126" t="s">
        <v>46</v>
      </c>
      <c r="D126" t="s">
        <v>325</v>
      </c>
      <c r="E126">
        <v>580</v>
      </c>
      <c r="F126">
        <v>360</v>
      </c>
      <c r="G126" s="106">
        <v>43</v>
      </c>
      <c r="H126" s="106">
        <v>161</v>
      </c>
      <c r="I126" s="106">
        <v>130</v>
      </c>
      <c r="J126" s="106">
        <v>185</v>
      </c>
      <c r="L126" s="106">
        <f t="shared" si="4"/>
        <v>49</v>
      </c>
      <c r="M126" s="106">
        <f t="shared" si="5"/>
        <v>185</v>
      </c>
      <c r="N126" s="106">
        <f t="shared" si="6"/>
        <v>150</v>
      </c>
      <c r="O126" s="106">
        <f t="shared" si="7"/>
        <v>213</v>
      </c>
    </row>
    <row r="127" spans="1:15" x14ac:dyDescent="0.25">
      <c r="A127">
        <v>3606</v>
      </c>
      <c r="B127" t="s">
        <v>200</v>
      </c>
      <c r="C127" t="s">
        <v>46</v>
      </c>
      <c r="D127" t="s">
        <v>326</v>
      </c>
      <c r="E127">
        <v>580</v>
      </c>
      <c r="F127">
        <v>720</v>
      </c>
      <c r="G127" s="106">
        <v>82</v>
      </c>
      <c r="H127" s="106">
        <v>262</v>
      </c>
      <c r="I127" s="106">
        <v>216</v>
      </c>
      <c r="J127" s="106">
        <v>245</v>
      </c>
      <c r="L127" s="106">
        <f t="shared" si="4"/>
        <v>94</v>
      </c>
      <c r="M127" s="106">
        <f t="shared" si="5"/>
        <v>301</v>
      </c>
      <c r="N127" s="106">
        <f t="shared" si="6"/>
        <v>248</v>
      </c>
      <c r="O127" s="106">
        <f t="shared" si="7"/>
        <v>282</v>
      </c>
    </row>
    <row r="128" spans="1:15" x14ac:dyDescent="0.25">
      <c r="A128">
        <v>3607</v>
      </c>
      <c r="B128" t="s">
        <v>200</v>
      </c>
      <c r="C128" t="s">
        <v>46</v>
      </c>
      <c r="D128" t="s">
        <v>327</v>
      </c>
      <c r="E128">
        <v>580</v>
      </c>
      <c r="F128">
        <v>1080</v>
      </c>
      <c r="G128" s="106">
        <v>119</v>
      </c>
      <c r="H128" s="106">
        <v>377</v>
      </c>
      <c r="I128" s="106">
        <v>300</v>
      </c>
      <c r="J128" s="106">
        <v>307</v>
      </c>
      <c r="L128" s="106">
        <f t="shared" si="4"/>
        <v>137</v>
      </c>
      <c r="M128" s="106">
        <f t="shared" si="5"/>
        <v>434</v>
      </c>
      <c r="N128" s="106">
        <f t="shared" si="6"/>
        <v>345</v>
      </c>
      <c r="O128" s="106">
        <f t="shared" si="7"/>
        <v>353</v>
      </c>
    </row>
    <row r="129" spans="1:15" x14ac:dyDescent="0.25">
      <c r="A129">
        <v>3608</v>
      </c>
      <c r="B129" t="s">
        <v>200</v>
      </c>
      <c r="C129" t="s">
        <v>46</v>
      </c>
      <c r="D129" t="s">
        <v>328</v>
      </c>
      <c r="E129">
        <v>580</v>
      </c>
      <c r="F129">
        <v>1440</v>
      </c>
      <c r="G129" s="106">
        <v>158</v>
      </c>
      <c r="H129" s="106">
        <v>484</v>
      </c>
      <c r="I129" s="106">
        <v>400</v>
      </c>
      <c r="J129" s="106">
        <v>752</v>
      </c>
      <c r="L129" s="106">
        <f t="shared" si="4"/>
        <v>182</v>
      </c>
      <c r="M129" s="106">
        <f t="shared" si="5"/>
        <v>557</v>
      </c>
      <c r="N129" s="106">
        <f t="shared" si="6"/>
        <v>460</v>
      </c>
      <c r="O129" s="106">
        <f t="shared" si="7"/>
        <v>865</v>
      </c>
    </row>
    <row r="130" spans="1:15" x14ac:dyDescent="0.25">
      <c r="A130">
        <v>3609</v>
      </c>
      <c r="B130" t="s">
        <v>200</v>
      </c>
      <c r="C130" t="s">
        <v>46</v>
      </c>
      <c r="D130" t="s">
        <v>329</v>
      </c>
      <c r="E130">
        <v>580</v>
      </c>
      <c r="F130">
        <v>1800</v>
      </c>
      <c r="G130" s="106">
        <v>197</v>
      </c>
      <c r="H130" s="106">
        <v>388</v>
      </c>
      <c r="I130" s="106">
        <v>467</v>
      </c>
      <c r="J130" s="106">
        <v>879</v>
      </c>
      <c r="L130" s="106">
        <f t="shared" ref="L130:L193" si="8">IF(G130="","",ROUND(G130*1.15,0))</f>
        <v>227</v>
      </c>
      <c r="M130" s="106">
        <f t="shared" ref="M130:M193" si="9">IF(H130="","",ROUND(H130*1.15,0))</f>
        <v>446</v>
      </c>
      <c r="N130" s="106">
        <f t="shared" ref="N130:N193" si="10">IF(I130="","",ROUND(I130*1.15,0))</f>
        <v>537</v>
      </c>
      <c r="O130" s="106">
        <f t="shared" ref="O130:O193" si="11">IF(J130="","",ROUND(J130*1.15,0))</f>
        <v>1011</v>
      </c>
    </row>
    <row r="131" spans="1:15" x14ac:dyDescent="0.25">
      <c r="A131">
        <v>3610</v>
      </c>
      <c r="B131" t="s">
        <v>200</v>
      </c>
      <c r="C131" t="s">
        <v>46</v>
      </c>
      <c r="D131" t="s">
        <v>330</v>
      </c>
      <c r="E131">
        <v>720</v>
      </c>
      <c r="F131">
        <v>780</v>
      </c>
      <c r="G131" s="106">
        <v>107</v>
      </c>
      <c r="H131" s="106">
        <v>355</v>
      </c>
      <c r="I131" s="106">
        <v>277</v>
      </c>
      <c r="J131" s="106">
        <v>268</v>
      </c>
      <c r="L131" s="106">
        <f t="shared" si="8"/>
        <v>123</v>
      </c>
      <c r="M131" s="106">
        <f t="shared" si="9"/>
        <v>408</v>
      </c>
      <c r="N131" s="106">
        <f t="shared" si="10"/>
        <v>319</v>
      </c>
      <c r="O131" s="106">
        <f t="shared" si="11"/>
        <v>308</v>
      </c>
    </row>
    <row r="132" spans="1:15" x14ac:dyDescent="0.25">
      <c r="A132">
        <v>3611</v>
      </c>
      <c r="B132" t="s">
        <v>200</v>
      </c>
      <c r="C132" t="s">
        <v>46</v>
      </c>
      <c r="D132" t="s">
        <v>331</v>
      </c>
      <c r="E132">
        <v>720</v>
      </c>
      <c r="F132">
        <v>980</v>
      </c>
      <c r="G132" s="106">
        <v>134</v>
      </c>
      <c r="H132" s="106">
        <v>406</v>
      </c>
      <c r="I132" s="106">
        <v>320</v>
      </c>
      <c r="J132" s="106">
        <v>329</v>
      </c>
      <c r="L132" s="106">
        <f t="shared" si="8"/>
        <v>154</v>
      </c>
      <c r="M132" s="106">
        <f t="shared" si="9"/>
        <v>467</v>
      </c>
      <c r="N132" s="106">
        <f t="shared" si="10"/>
        <v>368</v>
      </c>
      <c r="O132" s="106">
        <f t="shared" si="11"/>
        <v>378</v>
      </c>
    </row>
    <row r="133" spans="1:15" x14ac:dyDescent="0.25">
      <c r="A133">
        <v>3612</v>
      </c>
      <c r="B133" t="s">
        <v>200</v>
      </c>
      <c r="C133" t="s">
        <v>46</v>
      </c>
      <c r="D133" t="s">
        <v>332</v>
      </c>
      <c r="E133">
        <v>1080</v>
      </c>
      <c r="F133">
        <v>780</v>
      </c>
      <c r="G133" s="106">
        <v>161</v>
      </c>
      <c r="H133" s="106">
        <v>517</v>
      </c>
      <c r="I133" s="106">
        <v>409</v>
      </c>
      <c r="J133" s="106">
        <v>385</v>
      </c>
      <c r="L133" s="106">
        <f t="shared" si="8"/>
        <v>185</v>
      </c>
      <c r="M133" s="106">
        <f t="shared" si="9"/>
        <v>595</v>
      </c>
      <c r="N133" s="106">
        <f t="shared" si="10"/>
        <v>470</v>
      </c>
      <c r="O133" s="106">
        <f t="shared" si="11"/>
        <v>443</v>
      </c>
    </row>
    <row r="134" spans="1:15" x14ac:dyDescent="0.25">
      <c r="A134">
        <v>3613</v>
      </c>
      <c r="B134" t="s">
        <v>200</v>
      </c>
      <c r="C134" t="s">
        <v>46</v>
      </c>
      <c r="D134" t="s">
        <v>333</v>
      </c>
      <c r="E134">
        <v>1080</v>
      </c>
      <c r="F134">
        <v>980</v>
      </c>
      <c r="G134" s="106">
        <v>200</v>
      </c>
      <c r="H134" s="106">
        <v>626</v>
      </c>
      <c r="I134" s="106">
        <v>474</v>
      </c>
      <c r="J134" s="106">
        <v>431</v>
      </c>
      <c r="L134" s="106">
        <f t="shared" si="8"/>
        <v>230</v>
      </c>
      <c r="M134" s="106">
        <f t="shared" si="9"/>
        <v>720</v>
      </c>
      <c r="N134" s="106">
        <f t="shared" si="10"/>
        <v>545</v>
      </c>
      <c r="O134" s="106">
        <f t="shared" si="11"/>
        <v>496</v>
      </c>
    </row>
    <row r="135" spans="1:15" x14ac:dyDescent="0.25">
      <c r="A135">
        <v>3614</v>
      </c>
      <c r="B135" t="s">
        <v>200</v>
      </c>
      <c r="C135" t="s">
        <v>46</v>
      </c>
      <c r="D135" t="s">
        <v>334</v>
      </c>
      <c r="E135">
        <v>1440</v>
      </c>
      <c r="F135">
        <v>780</v>
      </c>
      <c r="G135" s="106">
        <v>211</v>
      </c>
      <c r="H135" s="106">
        <v>630</v>
      </c>
      <c r="I135" s="106">
        <v>499</v>
      </c>
      <c r="J135" s="106">
        <v>939</v>
      </c>
      <c r="L135" s="106">
        <f t="shared" si="8"/>
        <v>243</v>
      </c>
      <c r="M135" s="106">
        <f t="shared" si="9"/>
        <v>725</v>
      </c>
      <c r="N135" s="106">
        <f t="shared" si="10"/>
        <v>574</v>
      </c>
      <c r="O135" s="106">
        <f t="shared" si="11"/>
        <v>1080</v>
      </c>
    </row>
    <row r="136" spans="1:15" x14ac:dyDescent="0.25">
      <c r="A136">
        <v>3615</v>
      </c>
      <c r="B136" t="s">
        <v>200</v>
      </c>
      <c r="C136" t="s">
        <v>46</v>
      </c>
      <c r="D136" t="s">
        <v>335</v>
      </c>
      <c r="E136">
        <v>1440</v>
      </c>
      <c r="F136">
        <v>980</v>
      </c>
      <c r="G136" s="106">
        <v>264</v>
      </c>
      <c r="H136" s="106">
        <v>778</v>
      </c>
      <c r="I136" s="106">
        <v>616</v>
      </c>
      <c r="J136" s="106">
        <v>1159</v>
      </c>
      <c r="L136" s="106">
        <f t="shared" si="8"/>
        <v>304</v>
      </c>
      <c r="M136" s="106">
        <f t="shared" si="9"/>
        <v>895</v>
      </c>
      <c r="N136" s="106">
        <f t="shared" si="10"/>
        <v>708</v>
      </c>
      <c r="O136" s="106">
        <f t="shared" si="11"/>
        <v>1333</v>
      </c>
    </row>
    <row r="137" spans="1:15" x14ac:dyDescent="0.25">
      <c r="A137">
        <v>3616</v>
      </c>
      <c r="B137" t="s">
        <v>200</v>
      </c>
      <c r="C137" t="s">
        <v>46</v>
      </c>
      <c r="D137" t="s">
        <v>336</v>
      </c>
      <c r="E137">
        <v>1800</v>
      </c>
      <c r="F137">
        <v>780</v>
      </c>
      <c r="G137" s="106">
        <v>264</v>
      </c>
      <c r="H137" s="106">
        <v>520</v>
      </c>
      <c r="I137" s="106">
        <v>612</v>
      </c>
      <c r="J137" s="106">
        <v>1151</v>
      </c>
      <c r="L137" s="106">
        <f t="shared" si="8"/>
        <v>304</v>
      </c>
      <c r="M137" s="106">
        <f t="shared" si="9"/>
        <v>598</v>
      </c>
      <c r="N137" s="106">
        <f t="shared" si="10"/>
        <v>704</v>
      </c>
      <c r="O137" s="106">
        <f t="shared" si="11"/>
        <v>1324</v>
      </c>
    </row>
    <row r="138" spans="1:15" x14ac:dyDescent="0.25">
      <c r="A138">
        <v>3617</v>
      </c>
      <c r="B138" t="s">
        <v>200</v>
      </c>
      <c r="C138" t="s">
        <v>46</v>
      </c>
      <c r="D138" t="s">
        <v>337</v>
      </c>
      <c r="E138">
        <v>1800</v>
      </c>
      <c r="F138">
        <v>980</v>
      </c>
      <c r="G138" s="106">
        <v>329</v>
      </c>
      <c r="H138" s="106">
        <v>648</v>
      </c>
      <c r="I138" s="106">
        <v>753</v>
      </c>
      <c r="J138" s="106">
        <v>1417</v>
      </c>
      <c r="L138" s="106">
        <f t="shared" si="8"/>
        <v>378</v>
      </c>
      <c r="M138" s="106">
        <f t="shared" si="9"/>
        <v>745</v>
      </c>
      <c r="N138" s="106">
        <f t="shared" si="10"/>
        <v>866</v>
      </c>
      <c r="O138" s="106">
        <f t="shared" si="11"/>
        <v>1630</v>
      </c>
    </row>
    <row r="139" spans="1:15" x14ac:dyDescent="0.25">
      <c r="A139">
        <v>3620</v>
      </c>
      <c r="B139" t="s">
        <v>200</v>
      </c>
      <c r="C139" t="s">
        <v>45</v>
      </c>
      <c r="D139" t="s">
        <v>338</v>
      </c>
      <c r="E139">
        <v>360</v>
      </c>
      <c r="F139">
        <v>360</v>
      </c>
      <c r="G139" s="106">
        <v>34</v>
      </c>
      <c r="H139" s="106">
        <v>67</v>
      </c>
      <c r="I139" s="106">
        <v>89</v>
      </c>
      <c r="J139" s="106">
        <v>177</v>
      </c>
      <c r="L139" s="106">
        <f t="shared" si="8"/>
        <v>39</v>
      </c>
      <c r="M139" s="106">
        <f t="shared" si="9"/>
        <v>77</v>
      </c>
      <c r="N139" s="106">
        <f t="shared" si="10"/>
        <v>102</v>
      </c>
      <c r="O139" s="106">
        <f t="shared" si="11"/>
        <v>204</v>
      </c>
    </row>
    <row r="140" spans="1:15" x14ac:dyDescent="0.25">
      <c r="A140">
        <v>3621</v>
      </c>
      <c r="B140" t="s">
        <v>200</v>
      </c>
      <c r="C140" t="s">
        <v>45</v>
      </c>
      <c r="D140" t="s">
        <v>339</v>
      </c>
      <c r="E140">
        <v>360</v>
      </c>
      <c r="F140">
        <v>720</v>
      </c>
      <c r="G140" s="106">
        <v>52</v>
      </c>
      <c r="H140" s="106">
        <v>102</v>
      </c>
      <c r="I140" s="106">
        <v>143</v>
      </c>
      <c r="J140" s="106">
        <v>212</v>
      </c>
      <c r="L140" s="106">
        <f t="shared" si="8"/>
        <v>60</v>
      </c>
      <c r="M140" s="106">
        <f t="shared" si="9"/>
        <v>117</v>
      </c>
      <c r="N140" s="106">
        <f t="shared" si="10"/>
        <v>164</v>
      </c>
      <c r="O140" s="106">
        <f t="shared" si="11"/>
        <v>244</v>
      </c>
    </row>
    <row r="141" spans="1:15" x14ac:dyDescent="0.25">
      <c r="A141">
        <v>3622</v>
      </c>
      <c r="B141" t="s">
        <v>200</v>
      </c>
      <c r="C141" t="s">
        <v>45</v>
      </c>
      <c r="D141" t="s">
        <v>340</v>
      </c>
      <c r="E141">
        <v>360</v>
      </c>
      <c r="F141">
        <v>1080</v>
      </c>
      <c r="G141" s="106">
        <v>76</v>
      </c>
      <c r="H141" s="106">
        <v>150</v>
      </c>
      <c r="I141" s="106">
        <v>222</v>
      </c>
      <c r="J141" s="106">
        <v>240</v>
      </c>
      <c r="L141" s="106">
        <f t="shared" si="8"/>
        <v>87</v>
      </c>
      <c r="M141" s="106">
        <f t="shared" si="9"/>
        <v>173</v>
      </c>
      <c r="N141" s="106">
        <f t="shared" si="10"/>
        <v>255</v>
      </c>
      <c r="O141" s="106">
        <f t="shared" si="11"/>
        <v>276</v>
      </c>
    </row>
    <row r="142" spans="1:15" x14ac:dyDescent="0.25">
      <c r="A142">
        <v>3623</v>
      </c>
      <c r="B142" t="s">
        <v>200</v>
      </c>
      <c r="C142" t="s">
        <v>45</v>
      </c>
      <c r="D142" t="s">
        <v>341</v>
      </c>
      <c r="E142">
        <v>360</v>
      </c>
      <c r="F142">
        <v>1440</v>
      </c>
      <c r="G142" s="106">
        <v>100</v>
      </c>
      <c r="H142" s="106">
        <v>197</v>
      </c>
      <c r="I142" s="106">
        <v>281</v>
      </c>
      <c r="J142" s="106">
        <v>529</v>
      </c>
      <c r="L142" s="106">
        <f t="shared" si="8"/>
        <v>115</v>
      </c>
      <c r="M142" s="106">
        <f t="shared" si="9"/>
        <v>227</v>
      </c>
      <c r="N142" s="106">
        <f t="shared" si="10"/>
        <v>323</v>
      </c>
      <c r="O142" s="106">
        <f t="shared" si="11"/>
        <v>608</v>
      </c>
    </row>
    <row r="143" spans="1:15" x14ac:dyDescent="0.25">
      <c r="A143">
        <v>3624</v>
      </c>
      <c r="B143" t="s">
        <v>200</v>
      </c>
      <c r="C143" t="s">
        <v>45</v>
      </c>
      <c r="D143" t="s">
        <v>342</v>
      </c>
      <c r="E143">
        <v>360</v>
      </c>
      <c r="F143">
        <v>1800</v>
      </c>
      <c r="G143" s="106">
        <v>125</v>
      </c>
      <c r="H143" s="106">
        <v>246</v>
      </c>
      <c r="I143" s="106">
        <v>343</v>
      </c>
      <c r="J143" s="106">
        <v>645</v>
      </c>
      <c r="L143" s="106">
        <f t="shared" si="8"/>
        <v>144</v>
      </c>
      <c r="M143" s="106">
        <f t="shared" si="9"/>
        <v>283</v>
      </c>
      <c r="N143" s="106">
        <f t="shared" si="10"/>
        <v>394</v>
      </c>
      <c r="O143" s="106">
        <f t="shared" si="11"/>
        <v>742</v>
      </c>
    </row>
    <row r="144" spans="1:15" x14ac:dyDescent="0.25">
      <c r="A144">
        <v>3625</v>
      </c>
      <c r="B144" t="s">
        <v>200</v>
      </c>
      <c r="C144" t="s">
        <v>45</v>
      </c>
      <c r="D144" t="s">
        <v>343</v>
      </c>
      <c r="E144">
        <v>580</v>
      </c>
      <c r="F144">
        <v>360</v>
      </c>
      <c r="G144" s="106">
        <v>43</v>
      </c>
      <c r="H144" s="106">
        <v>85</v>
      </c>
      <c r="I144" s="106">
        <v>130</v>
      </c>
      <c r="J144" s="106">
        <v>185</v>
      </c>
      <c r="L144" s="106">
        <f t="shared" si="8"/>
        <v>49</v>
      </c>
      <c r="M144" s="106">
        <f t="shared" si="9"/>
        <v>98</v>
      </c>
      <c r="N144" s="106">
        <f t="shared" si="10"/>
        <v>150</v>
      </c>
      <c r="O144" s="106">
        <f t="shared" si="11"/>
        <v>213</v>
      </c>
    </row>
    <row r="145" spans="1:15" x14ac:dyDescent="0.25">
      <c r="A145">
        <v>3626</v>
      </c>
      <c r="B145" t="s">
        <v>200</v>
      </c>
      <c r="C145" t="s">
        <v>45</v>
      </c>
      <c r="D145" t="s">
        <v>344</v>
      </c>
      <c r="E145">
        <v>580</v>
      </c>
      <c r="F145">
        <v>720</v>
      </c>
      <c r="G145" s="106">
        <v>82</v>
      </c>
      <c r="H145" s="106">
        <v>161</v>
      </c>
      <c r="I145" s="106">
        <v>216</v>
      </c>
      <c r="J145" s="106">
        <v>245</v>
      </c>
      <c r="L145" s="106">
        <f t="shared" si="8"/>
        <v>94</v>
      </c>
      <c r="M145" s="106">
        <f t="shared" si="9"/>
        <v>185</v>
      </c>
      <c r="N145" s="106">
        <f t="shared" si="10"/>
        <v>248</v>
      </c>
      <c r="O145" s="106">
        <f t="shared" si="11"/>
        <v>282</v>
      </c>
    </row>
    <row r="146" spans="1:15" x14ac:dyDescent="0.25">
      <c r="A146">
        <v>3627</v>
      </c>
      <c r="B146" t="s">
        <v>200</v>
      </c>
      <c r="C146" t="s">
        <v>45</v>
      </c>
      <c r="D146" t="s">
        <v>345</v>
      </c>
      <c r="E146">
        <v>580</v>
      </c>
      <c r="F146">
        <v>1080</v>
      </c>
      <c r="G146" s="106">
        <v>119</v>
      </c>
      <c r="H146" s="106">
        <v>234</v>
      </c>
      <c r="I146" s="106">
        <v>300</v>
      </c>
      <c r="J146" s="106">
        <v>307</v>
      </c>
      <c r="L146" s="106">
        <f t="shared" si="8"/>
        <v>137</v>
      </c>
      <c r="M146" s="106">
        <f t="shared" si="9"/>
        <v>269</v>
      </c>
      <c r="N146" s="106">
        <f t="shared" si="10"/>
        <v>345</v>
      </c>
      <c r="O146" s="106">
        <f t="shared" si="11"/>
        <v>353</v>
      </c>
    </row>
    <row r="147" spans="1:15" x14ac:dyDescent="0.25">
      <c r="A147">
        <v>3628</v>
      </c>
      <c r="B147" t="s">
        <v>200</v>
      </c>
      <c r="C147" t="s">
        <v>45</v>
      </c>
      <c r="D147" t="s">
        <v>346</v>
      </c>
      <c r="E147">
        <v>580</v>
      </c>
      <c r="F147">
        <v>1440</v>
      </c>
      <c r="G147" s="106">
        <v>158</v>
      </c>
      <c r="H147" s="106">
        <v>311</v>
      </c>
      <c r="I147" s="106">
        <v>400</v>
      </c>
      <c r="J147" s="106">
        <v>752</v>
      </c>
      <c r="L147" s="106">
        <f t="shared" si="8"/>
        <v>182</v>
      </c>
      <c r="M147" s="106">
        <f t="shared" si="9"/>
        <v>358</v>
      </c>
      <c r="N147" s="106">
        <f t="shared" si="10"/>
        <v>460</v>
      </c>
      <c r="O147" s="106">
        <f t="shared" si="11"/>
        <v>865</v>
      </c>
    </row>
    <row r="148" spans="1:15" x14ac:dyDescent="0.25">
      <c r="A148">
        <v>3629</v>
      </c>
      <c r="B148" t="s">
        <v>200</v>
      </c>
      <c r="C148" t="s">
        <v>45</v>
      </c>
      <c r="D148" t="s">
        <v>347</v>
      </c>
      <c r="E148">
        <v>580</v>
      </c>
      <c r="F148">
        <v>1800</v>
      </c>
      <c r="G148" s="106">
        <v>197</v>
      </c>
      <c r="H148" s="106">
        <v>388</v>
      </c>
      <c r="I148" s="106">
        <v>467</v>
      </c>
      <c r="J148" s="106">
        <v>879</v>
      </c>
      <c r="L148" s="106">
        <f t="shared" si="8"/>
        <v>227</v>
      </c>
      <c r="M148" s="106">
        <f t="shared" si="9"/>
        <v>446</v>
      </c>
      <c r="N148" s="106">
        <f t="shared" si="10"/>
        <v>537</v>
      </c>
      <c r="O148" s="106">
        <f t="shared" si="11"/>
        <v>1011</v>
      </c>
    </row>
    <row r="149" spans="1:15" x14ac:dyDescent="0.25">
      <c r="A149">
        <v>3700</v>
      </c>
      <c r="B149" t="s">
        <v>200</v>
      </c>
      <c r="C149" t="s">
        <v>44</v>
      </c>
      <c r="D149" t="s">
        <v>348</v>
      </c>
      <c r="E149">
        <v>360</v>
      </c>
      <c r="F149">
        <v>360</v>
      </c>
      <c r="G149" s="106">
        <v>34</v>
      </c>
      <c r="H149" s="106">
        <v>114</v>
      </c>
      <c r="I149" s="106">
        <v>89</v>
      </c>
      <c r="J149" s="106">
        <v>177</v>
      </c>
      <c r="L149" s="106">
        <f t="shared" si="8"/>
        <v>39</v>
      </c>
      <c r="M149" s="106">
        <f t="shared" si="9"/>
        <v>131</v>
      </c>
      <c r="N149" s="106">
        <f t="shared" si="10"/>
        <v>102</v>
      </c>
      <c r="O149" s="106">
        <f t="shared" si="11"/>
        <v>204</v>
      </c>
    </row>
    <row r="150" spans="1:15" x14ac:dyDescent="0.25">
      <c r="A150">
        <v>3701</v>
      </c>
      <c r="B150" t="s">
        <v>200</v>
      </c>
      <c r="C150" t="s">
        <v>44</v>
      </c>
      <c r="D150" t="s">
        <v>349</v>
      </c>
      <c r="E150">
        <v>420</v>
      </c>
      <c r="F150">
        <v>360</v>
      </c>
      <c r="G150" s="106">
        <v>34</v>
      </c>
      <c r="H150" s="106">
        <v>121</v>
      </c>
      <c r="I150" s="106">
        <v>92</v>
      </c>
      <c r="J150" s="106">
        <v>178</v>
      </c>
      <c r="L150" s="106">
        <f t="shared" si="8"/>
        <v>39</v>
      </c>
      <c r="M150" s="106">
        <f t="shared" si="9"/>
        <v>139</v>
      </c>
      <c r="N150" s="106">
        <f t="shared" si="10"/>
        <v>106</v>
      </c>
      <c r="O150" s="106">
        <f t="shared" si="11"/>
        <v>205</v>
      </c>
    </row>
    <row r="151" spans="1:15" x14ac:dyDescent="0.25">
      <c r="A151">
        <v>3702</v>
      </c>
      <c r="B151" t="s">
        <v>200</v>
      </c>
      <c r="C151" t="s">
        <v>44</v>
      </c>
      <c r="D151" t="s">
        <v>350</v>
      </c>
      <c r="E151">
        <v>580</v>
      </c>
      <c r="F151">
        <v>360</v>
      </c>
      <c r="G151" s="106">
        <v>43</v>
      </c>
      <c r="H151" s="106">
        <v>161</v>
      </c>
      <c r="I151" s="106">
        <v>130</v>
      </c>
      <c r="J151" s="106">
        <v>185</v>
      </c>
      <c r="L151" s="106">
        <f t="shared" si="8"/>
        <v>49</v>
      </c>
      <c r="M151" s="106">
        <f t="shared" si="9"/>
        <v>185</v>
      </c>
      <c r="N151" s="106">
        <f t="shared" si="10"/>
        <v>150</v>
      </c>
      <c r="O151" s="106">
        <f t="shared" si="11"/>
        <v>213</v>
      </c>
    </row>
    <row r="152" spans="1:15" x14ac:dyDescent="0.25">
      <c r="A152">
        <v>3703</v>
      </c>
      <c r="B152" t="s">
        <v>200</v>
      </c>
      <c r="C152" t="s">
        <v>44</v>
      </c>
      <c r="D152" t="s">
        <v>351</v>
      </c>
      <c r="E152">
        <v>780</v>
      </c>
      <c r="F152">
        <v>360</v>
      </c>
      <c r="G152" s="106">
        <v>56</v>
      </c>
      <c r="H152" s="106">
        <v>185</v>
      </c>
      <c r="I152" s="106">
        <v>144</v>
      </c>
      <c r="J152" s="106">
        <v>190</v>
      </c>
      <c r="L152" s="106">
        <f t="shared" si="8"/>
        <v>64</v>
      </c>
      <c r="M152" s="106">
        <f t="shared" si="9"/>
        <v>213</v>
      </c>
      <c r="N152" s="106">
        <f t="shared" si="10"/>
        <v>166</v>
      </c>
      <c r="O152" s="106">
        <f t="shared" si="11"/>
        <v>219</v>
      </c>
    </row>
    <row r="153" spans="1:15" x14ac:dyDescent="0.25">
      <c r="A153">
        <v>3704</v>
      </c>
      <c r="B153" t="s">
        <v>200</v>
      </c>
      <c r="C153" t="s">
        <v>44</v>
      </c>
      <c r="D153" t="s">
        <v>352</v>
      </c>
      <c r="E153">
        <v>980</v>
      </c>
      <c r="F153">
        <v>360</v>
      </c>
      <c r="G153" s="106">
        <v>70</v>
      </c>
      <c r="H153" s="106">
        <v>223</v>
      </c>
      <c r="I153" s="106">
        <v>174</v>
      </c>
      <c r="J153" s="106">
        <v>209</v>
      </c>
      <c r="L153" s="106">
        <f t="shared" si="8"/>
        <v>81</v>
      </c>
      <c r="M153" s="106">
        <f t="shared" si="9"/>
        <v>256</v>
      </c>
      <c r="N153" s="106">
        <f t="shared" si="10"/>
        <v>200</v>
      </c>
      <c r="O153" s="106">
        <f t="shared" si="11"/>
        <v>240</v>
      </c>
    </row>
    <row r="154" spans="1:15" x14ac:dyDescent="0.25">
      <c r="A154">
        <v>3705</v>
      </c>
      <c r="B154" t="s">
        <v>200</v>
      </c>
      <c r="C154" t="s">
        <v>44</v>
      </c>
      <c r="D154" t="s">
        <v>353</v>
      </c>
      <c r="E154">
        <v>360</v>
      </c>
      <c r="F154">
        <v>580</v>
      </c>
      <c r="G154" s="106">
        <v>43</v>
      </c>
      <c r="H154" s="106">
        <v>161</v>
      </c>
      <c r="I154" s="106">
        <v>130</v>
      </c>
      <c r="J154" s="106">
        <v>185</v>
      </c>
      <c r="L154" s="106">
        <f t="shared" si="8"/>
        <v>49</v>
      </c>
      <c r="M154" s="106">
        <f t="shared" si="9"/>
        <v>185</v>
      </c>
      <c r="N154" s="106">
        <f t="shared" si="10"/>
        <v>150</v>
      </c>
      <c r="O154" s="106">
        <f t="shared" si="11"/>
        <v>213</v>
      </c>
    </row>
    <row r="155" spans="1:15" x14ac:dyDescent="0.25">
      <c r="A155">
        <v>3706</v>
      </c>
      <c r="B155" t="s">
        <v>200</v>
      </c>
      <c r="C155" t="s">
        <v>44</v>
      </c>
      <c r="D155" t="s">
        <v>354</v>
      </c>
      <c r="E155">
        <v>420</v>
      </c>
      <c r="F155">
        <v>580</v>
      </c>
      <c r="G155" s="106">
        <v>49</v>
      </c>
      <c r="H155" s="106">
        <v>181</v>
      </c>
      <c r="I155" s="106">
        <v>147</v>
      </c>
      <c r="J155" s="106">
        <v>186</v>
      </c>
      <c r="L155" s="106">
        <f t="shared" si="8"/>
        <v>56</v>
      </c>
      <c r="M155" s="106">
        <f t="shared" si="9"/>
        <v>208</v>
      </c>
      <c r="N155" s="106">
        <f t="shared" si="10"/>
        <v>169</v>
      </c>
      <c r="O155" s="106">
        <f t="shared" si="11"/>
        <v>214</v>
      </c>
    </row>
    <row r="156" spans="1:15" x14ac:dyDescent="0.25">
      <c r="A156">
        <v>3707</v>
      </c>
      <c r="B156" t="s">
        <v>200</v>
      </c>
      <c r="C156" t="s">
        <v>44</v>
      </c>
      <c r="D156" t="s">
        <v>355</v>
      </c>
      <c r="E156">
        <v>580</v>
      </c>
      <c r="F156">
        <v>580</v>
      </c>
      <c r="G156" s="106">
        <v>67</v>
      </c>
      <c r="H156" s="106">
        <v>228</v>
      </c>
      <c r="I156" s="106">
        <v>183</v>
      </c>
      <c r="J156" s="106">
        <v>191</v>
      </c>
      <c r="L156" s="106">
        <f t="shared" si="8"/>
        <v>77</v>
      </c>
      <c r="M156" s="106">
        <f t="shared" si="9"/>
        <v>262</v>
      </c>
      <c r="N156" s="106">
        <f t="shared" si="10"/>
        <v>210</v>
      </c>
      <c r="O156" s="106">
        <f t="shared" si="11"/>
        <v>220</v>
      </c>
    </row>
    <row r="157" spans="1:15" x14ac:dyDescent="0.25">
      <c r="A157">
        <v>3708</v>
      </c>
      <c r="B157" t="s">
        <v>200</v>
      </c>
      <c r="C157" t="s">
        <v>44</v>
      </c>
      <c r="D157" t="s">
        <v>356</v>
      </c>
      <c r="E157">
        <v>780</v>
      </c>
      <c r="F157">
        <v>580</v>
      </c>
      <c r="G157" s="106">
        <v>87</v>
      </c>
      <c r="H157" s="106">
        <v>275</v>
      </c>
      <c r="I157" s="106">
        <v>225</v>
      </c>
      <c r="J157" s="106">
        <v>237</v>
      </c>
      <c r="L157" s="106">
        <f t="shared" si="8"/>
        <v>100</v>
      </c>
      <c r="M157" s="106">
        <f t="shared" si="9"/>
        <v>316</v>
      </c>
      <c r="N157" s="106">
        <f t="shared" si="10"/>
        <v>259</v>
      </c>
      <c r="O157" s="106">
        <f t="shared" si="11"/>
        <v>273</v>
      </c>
    </row>
    <row r="158" spans="1:15" x14ac:dyDescent="0.25">
      <c r="A158">
        <v>3709</v>
      </c>
      <c r="B158" t="s">
        <v>200</v>
      </c>
      <c r="C158" t="s">
        <v>44</v>
      </c>
      <c r="D158" t="s">
        <v>357</v>
      </c>
      <c r="E158">
        <v>980</v>
      </c>
      <c r="F158">
        <v>580</v>
      </c>
      <c r="G158" s="106">
        <v>110</v>
      </c>
      <c r="H158" s="106">
        <v>355</v>
      </c>
      <c r="I158" s="106">
        <v>286</v>
      </c>
      <c r="J158" s="106">
        <v>276</v>
      </c>
      <c r="L158" s="106">
        <f t="shared" si="8"/>
        <v>127</v>
      </c>
      <c r="M158" s="106">
        <f t="shared" si="9"/>
        <v>408</v>
      </c>
      <c r="N158" s="106">
        <f t="shared" si="10"/>
        <v>329</v>
      </c>
      <c r="O158" s="106">
        <f t="shared" si="11"/>
        <v>317</v>
      </c>
    </row>
    <row r="159" spans="1:15" x14ac:dyDescent="0.25">
      <c r="A159">
        <v>3710</v>
      </c>
      <c r="B159" t="s">
        <v>200</v>
      </c>
      <c r="C159" t="s">
        <v>44</v>
      </c>
      <c r="D159" t="s">
        <v>358</v>
      </c>
      <c r="E159">
        <v>780</v>
      </c>
      <c r="F159">
        <v>780</v>
      </c>
      <c r="G159" s="106">
        <v>110</v>
      </c>
      <c r="H159" s="106">
        <v>302</v>
      </c>
      <c r="I159" s="106">
        <v>272</v>
      </c>
      <c r="J159" s="106">
        <v>295</v>
      </c>
      <c r="L159" s="106">
        <f t="shared" si="8"/>
        <v>127</v>
      </c>
      <c r="M159" s="106">
        <f t="shared" si="9"/>
        <v>347</v>
      </c>
      <c r="N159" s="106">
        <f t="shared" si="10"/>
        <v>313</v>
      </c>
      <c r="O159" s="106">
        <f t="shared" si="11"/>
        <v>339</v>
      </c>
    </row>
    <row r="160" spans="1:15" x14ac:dyDescent="0.25">
      <c r="A160">
        <v>3711</v>
      </c>
      <c r="B160" t="s">
        <v>200</v>
      </c>
      <c r="C160" t="s">
        <v>44</v>
      </c>
      <c r="D160" t="s">
        <v>359</v>
      </c>
      <c r="E160">
        <v>980</v>
      </c>
      <c r="F160">
        <v>780</v>
      </c>
      <c r="G160" s="106">
        <v>138</v>
      </c>
      <c r="H160" s="106">
        <v>272</v>
      </c>
      <c r="I160" s="106"/>
      <c r="J160" s="106"/>
      <c r="L160" s="106">
        <f t="shared" si="8"/>
        <v>159</v>
      </c>
      <c r="M160" s="106">
        <f t="shared" si="9"/>
        <v>313</v>
      </c>
      <c r="N160" s="106" t="str">
        <f t="shared" si="10"/>
        <v/>
      </c>
      <c r="O160" s="106" t="str">
        <f t="shared" si="11"/>
        <v/>
      </c>
    </row>
    <row r="161" spans="1:15" x14ac:dyDescent="0.25">
      <c r="A161">
        <v>3712</v>
      </c>
      <c r="B161" t="s">
        <v>200</v>
      </c>
      <c r="C161" t="s">
        <v>44</v>
      </c>
      <c r="D161" t="s">
        <v>360</v>
      </c>
      <c r="E161">
        <v>980</v>
      </c>
      <c r="F161">
        <v>980</v>
      </c>
      <c r="G161" s="106">
        <v>166</v>
      </c>
      <c r="H161" s="106">
        <v>327</v>
      </c>
      <c r="I161" s="106"/>
      <c r="J161" s="106"/>
      <c r="L161" s="106">
        <f t="shared" si="8"/>
        <v>191</v>
      </c>
      <c r="M161" s="106">
        <f t="shared" si="9"/>
        <v>376</v>
      </c>
      <c r="N161" s="106" t="str">
        <f t="shared" si="10"/>
        <v/>
      </c>
      <c r="O161" s="106" t="str">
        <f t="shared" si="11"/>
        <v/>
      </c>
    </row>
    <row r="162" spans="1:15" x14ac:dyDescent="0.25">
      <c r="A162">
        <v>3750</v>
      </c>
      <c r="B162" t="s">
        <v>200</v>
      </c>
      <c r="C162" t="s">
        <v>43</v>
      </c>
      <c r="D162" t="s">
        <v>361</v>
      </c>
      <c r="E162">
        <v>360</v>
      </c>
      <c r="F162">
        <v>360</v>
      </c>
      <c r="G162" s="106">
        <v>34</v>
      </c>
      <c r="H162" s="106">
        <v>114</v>
      </c>
      <c r="I162" s="106">
        <v>89</v>
      </c>
      <c r="J162" s="106">
        <v>177</v>
      </c>
      <c r="L162" s="106">
        <f t="shared" si="8"/>
        <v>39</v>
      </c>
      <c r="M162" s="106">
        <f t="shared" si="9"/>
        <v>131</v>
      </c>
      <c r="N162" s="106">
        <f t="shared" si="10"/>
        <v>102</v>
      </c>
      <c r="O162" s="106">
        <f t="shared" si="11"/>
        <v>204</v>
      </c>
    </row>
    <row r="163" spans="1:15" x14ac:dyDescent="0.25">
      <c r="A163">
        <v>3751</v>
      </c>
      <c r="B163" t="s">
        <v>200</v>
      </c>
      <c r="C163" t="s">
        <v>43</v>
      </c>
      <c r="D163" t="s">
        <v>362</v>
      </c>
      <c r="E163">
        <v>420</v>
      </c>
      <c r="F163">
        <v>360</v>
      </c>
      <c r="G163" s="106">
        <v>34</v>
      </c>
      <c r="H163" s="106">
        <v>121</v>
      </c>
      <c r="I163" s="106">
        <v>92</v>
      </c>
      <c r="J163" s="106">
        <v>178</v>
      </c>
      <c r="L163" s="106">
        <f t="shared" si="8"/>
        <v>39</v>
      </c>
      <c r="M163" s="106">
        <f t="shared" si="9"/>
        <v>139</v>
      </c>
      <c r="N163" s="106">
        <f t="shared" si="10"/>
        <v>106</v>
      </c>
      <c r="O163" s="106">
        <f t="shared" si="11"/>
        <v>205</v>
      </c>
    </row>
    <row r="164" spans="1:15" x14ac:dyDescent="0.25">
      <c r="A164">
        <v>3752</v>
      </c>
      <c r="B164" t="s">
        <v>200</v>
      </c>
      <c r="C164" t="s">
        <v>43</v>
      </c>
      <c r="D164" t="s">
        <v>363</v>
      </c>
      <c r="E164">
        <v>580</v>
      </c>
      <c r="F164">
        <v>360</v>
      </c>
      <c r="G164" s="106">
        <v>43</v>
      </c>
      <c r="H164" s="106">
        <v>161</v>
      </c>
      <c r="I164" s="106">
        <v>130</v>
      </c>
      <c r="J164" s="106">
        <v>185</v>
      </c>
      <c r="L164" s="106">
        <f t="shared" si="8"/>
        <v>49</v>
      </c>
      <c r="M164" s="106">
        <f t="shared" si="9"/>
        <v>185</v>
      </c>
      <c r="N164" s="106">
        <f t="shared" si="10"/>
        <v>150</v>
      </c>
      <c r="O164" s="106">
        <f t="shared" si="11"/>
        <v>213</v>
      </c>
    </row>
    <row r="165" spans="1:15" x14ac:dyDescent="0.25">
      <c r="A165">
        <v>3753</v>
      </c>
      <c r="B165" t="s">
        <v>200</v>
      </c>
      <c r="C165" t="s">
        <v>43</v>
      </c>
      <c r="D165" t="s">
        <v>364</v>
      </c>
      <c r="E165">
        <v>780</v>
      </c>
      <c r="F165">
        <v>360</v>
      </c>
      <c r="G165" s="106">
        <v>56</v>
      </c>
      <c r="H165" s="106">
        <v>185</v>
      </c>
      <c r="I165" s="106">
        <v>144</v>
      </c>
      <c r="J165" s="106">
        <v>190</v>
      </c>
      <c r="L165" s="106">
        <f t="shared" si="8"/>
        <v>64</v>
      </c>
      <c r="M165" s="106">
        <f t="shared" si="9"/>
        <v>213</v>
      </c>
      <c r="N165" s="106">
        <f t="shared" si="10"/>
        <v>166</v>
      </c>
      <c r="O165" s="106">
        <f t="shared" si="11"/>
        <v>219</v>
      </c>
    </row>
    <row r="166" spans="1:15" x14ac:dyDescent="0.25">
      <c r="A166">
        <v>3754</v>
      </c>
      <c r="B166" t="s">
        <v>200</v>
      </c>
      <c r="C166" t="s">
        <v>43</v>
      </c>
      <c r="D166" t="s">
        <v>365</v>
      </c>
      <c r="E166">
        <v>980</v>
      </c>
      <c r="F166">
        <v>360</v>
      </c>
      <c r="G166" s="106">
        <v>70</v>
      </c>
      <c r="H166" s="106">
        <v>223</v>
      </c>
      <c r="I166" s="106">
        <v>174</v>
      </c>
      <c r="J166" s="106">
        <v>209</v>
      </c>
      <c r="L166" s="106">
        <f t="shared" si="8"/>
        <v>81</v>
      </c>
      <c r="M166" s="106">
        <f t="shared" si="9"/>
        <v>256</v>
      </c>
      <c r="N166" s="106">
        <f t="shared" si="10"/>
        <v>200</v>
      </c>
      <c r="O166" s="106">
        <f t="shared" si="11"/>
        <v>240</v>
      </c>
    </row>
    <row r="167" spans="1:15" x14ac:dyDescent="0.25">
      <c r="A167">
        <v>3755</v>
      </c>
      <c r="B167" t="s">
        <v>200</v>
      </c>
      <c r="C167" t="s">
        <v>43</v>
      </c>
      <c r="D167" t="s">
        <v>366</v>
      </c>
      <c r="E167">
        <v>360</v>
      </c>
      <c r="F167">
        <v>580</v>
      </c>
      <c r="G167" s="106">
        <v>43</v>
      </c>
      <c r="H167" s="106">
        <v>161</v>
      </c>
      <c r="I167" s="106">
        <v>130</v>
      </c>
      <c r="J167" s="106">
        <v>185</v>
      </c>
      <c r="L167" s="106">
        <f t="shared" si="8"/>
        <v>49</v>
      </c>
      <c r="M167" s="106">
        <f t="shared" si="9"/>
        <v>185</v>
      </c>
      <c r="N167" s="106">
        <f t="shared" si="10"/>
        <v>150</v>
      </c>
      <c r="O167" s="106">
        <f t="shared" si="11"/>
        <v>213</v>
      </c>
    </row>
    <row r="168" spans="1:15" x14ac:dyDescent="0.25">
      <c r="A168">
        <v>3756</v>
      </c>
      <c r="B168" t="s">
        <v>200</v>
      </c>
      <c r="C168" t="s">
        <v>43</v>
      </c>
      <c r="D168" t="s">
        <v>367</v>
      </c>
      <c r="E168">
        <v>420</v>
      </c>
      <c r="F168">
        <v>580</v>
      </c>
      <c r="G168" s="106">
        <v>49</v>
      </c>
      <c r="H168" s="106">
        <v>181</v>
      </c>
      <c r="I168" s="106">
        <v>147</v>
      </c>
      <c r="J168" s="106">
        <v>186</v>
      </c>
      <c r="L168" s="106">
        <f t="shared" si="8"/>
        <v>56</v>
      </c>
      <c r="M168" s="106">
        <f t="shared" si="9"/>
        <v>208</v>
      </c>
      <c r="N168" s="106">
        <f t="shared" si="10"/>
        <v>169</v>
      </c>
      <c r="O168" s="106">
        <f t="shared" si="11"/>
        <v>214</v>
      </c>
    </row>
    <row r="169" spans="1:15" x14ac:dyDescent="0.25">
      <c r="A169">
        <v>3757</v>
      </c>
      <c r="B169" t="s">
        <v>200</v>
      </c>
      <c r="C169" t="s">
        <v>43</v>
      </c>
      <c r="D169" t="s">
        <v>368</v>
      </c>
      <c r="E169">
        <v>580</v>
      </c>
      <c r="F169">
        <v>580</v>
      </c>
      <c r="G169" s="106">
        <v>67</v>
      </c>
      <c r="H169" s="106">
        <v>228</v>
      </c>
      <c r="I169" s="106">
        <v>183</v>
      </c>
      <c r="J169" s="106">
        <v>191</v>
      </c>
      <c r="L169" s="106">
        <f t="shared" si="8"/>
        <v>77</v>
      </c>
      <c r="M169" s="106">
        <f t="shared" si="9"/>
        <v>262</v>
      </c>
      <c r="N169" s="106">
        <f t="shared" si="10"/>
        <v>210</v>
      </c>
      <c r="O169" s="106">
        <f t="shared" si="11"/>
        <v>220</v>
      </c>
    </row>
    <row r="170" spans="1:15" x14ac:dyDescent="0.25">
      <c r="A170">
        <v>3758</v>
      </c>
      <c r="B170" t="s">
        <v>200</v>
      </c>
      <c r="C170" t="s">
        <v>43</v>
      </c>
      <c r="D170" t="s">
        <v>369</v>
      </c>
      <c r="E170">
        <v>780</v>
      </c>
      <c r="F170">
        <v>580</v>
      </c>
      <c r="G170" s="106">
        <v>87</v>
      </c>
      <c r="H170" s="106">
        <v>275</v>
      </c>
      <c r="I170" s="106">
        <v>225</v>
      </c>
      <c r="J170" s="106">
        <v>237</v>
      </c>
      <c r="L170" s="106">
        <f t="shared" si="8"/>
        <v>100</v>
      </c>
      <c r="M170" s="106">
        <f t="shared" si="9"/>
        <v>316</v>
      </c>
      <c r="N170" s="106">
        <f t="shared" si="10"/>
        <v>259</v>
      </c>
      <c r="O170" s="106">
        <f t="shared" si="11"/>
        <v>273</v>
      </c>
    </row>
    <row r="171" spans="1:15" x14ac:dyDescent="0.25">
      <c r="A171">
        <v>3759</v>
      </c>
      <c r="B171" t="s">
        <v>200</v>
      </c>
      <c r="C171" t="s">
        <v>43</v>
      </c>
      <c r="D171" t="s">
        <v>370</v>
      </c>
      <c r="E171">
        <v>980</v>
      </c>
      <c r="F171">
        <v>580</v>
      </c>
      <c r="G171" s="106">
        <v>110</v>
      </c>
      <c r="H171" s="106">
        <v>355</v>
      </c>
      <c r="I171" s="106">
        <v>286</v>
      </c>
      <c r="J171" s="106">
        <v>276</v>
      </c>
      <c r="L171" s="106">
        <f t="shared" si="8"/>
        <v>127</v>
      </c>
      <c r="M171" s="106">
        <f t="shared" si="9"/>
        <v>408</v>
      </c>
      <c r="N171" s="106">
        <f t="shared" si="10"/>
        <v>329</v>
      </c>
      <c r="O171" s="106">
        <f t="shared" si="11"/>
        <v>317</v>
      </c>
    </row>
    <row r="172" spans="1:15" x14ac:dyDescent="0.25">
      <c r="A172">
        <v>3760</v>
      </c>
      <c r="B172" t="s">
        <v>200</v>
      </c>
      <c r="C172" t="s">
        <v>43</v>
      </c>
      <c r="D172" t="s">
        <v>371</v>
      </c>
      <c r="E172">
        <v>780</v>
      </c>
      <c r="F172">
        <v>780</v>
      </c>
      <c r="G172" s="106">
        <v>126</v>
      </c>
      <c r="H172" s="106">
        <v>302</v>
      </c>
      <c r="I172" s="106">
        <v>272</v>
      </c>
      <c r="J172" s="106">
        <v>295</v>
      </c>
      <c r="L172" s="106">
        <f t="shared" si="8"/>
        <v>145</v>
      </c>
      <c r="M172" s="106">
        <f t="shared" si="9"/>
        <v>347</v>
      </c>
      <c r="N172" s="106">
        <f t="shared" si="10"/>
        <v>313</v>
      </c>
      <c r="O172" s="106">
        <f t="shared" si="11"/>
        <v>339</v>
      </c>
    </row>
    <row r="173" spans="1:15" x14ac:dyDescent="0.25">
      <c r="A173">
        <v>3761</v>
      </c>
      <c r="B173" t="s">
        <v>200</v>
      </c>
      <c r="C173" t="s">
        <v>43</v>
      </c>
      <c r="D173" t="s">
        <v>372</v>
      </c>
      <c r="E173">
        <v>980</v>
      </c>
      <c r="F173">
        <v>780</v>
      </c>
      <c r="G173" s="106">
        <v>139</v>
      </c>
      <c r="H173" s="106">
        <v>416</v>
      </c>
      <c r="I173" s="106"/>
      <c r="J173" s="106"/>
      <c r="L173" s="106">
        <f t="shared" si="8"/>
        <v>160</v>
      </c>
      <c r="M173" s="106">
        <f t="shared" si="9"/>
        <v>478</v>
      </c>
      <c r="N173" s="106" t="str">
        <f t="shared" si="10"/>
        <v/>
      </c>
      <c r="O173" s="106" t="str">
        <f t="shared" si="11"/>
        <v/>
      </c>
    </row>
    <row r="174" spans="1:15" x14ac:dyDescent="0.25">
      <c r="A174">
        <v>3762</v>
      </c>
      <c r="B174" t="s">
        <v>200</v>
      </c>
      <c r="C174" t="s">
        <v>43</v>
      </c>
      <c r="D174" t="s">
        <v>373</v>
      </c>
      <c r="E174">
        <v>980</v>
      </c>
      <c r="F174">
        <v>980</v>
      </c>
      <c r="G174" s="106">
        <v>180</v>
      </c>
      <c r="H174" s="106">
        <v>354</v>
      </c>
      <c r="I174" s="106"/>
      <c r="J174" s="106"/>
      <c r="L174" s="106">
        <f t="shared" si="8"/>
        <v>207</v>
      </c>
      <c r="M174" s="106">
        <f t="shared" si="9"/>
        <v>407</v>
      </c>
      <c r="N174" s="106" t="str">
        <f t="shared" si="10"/>
        <v/>
      </c>
      <c r="O174" s="106" t="str">
        <f t="shared" si="11"/>
        <v/>
      </c>
    </row>
    <row r="175" spans="1:15" x14ac:dyDescent="0.25">
      <c r="A175">
        <v>3800</v>
      </c>
      <c r="B175" t="s">
        <v>200</v>
      </c>
      <c r="C175" t="s">
        <v>42</v>
      </c>
      <c r="D175" t="s">
        <v>374</v>
      </c>
      <c r="E175">
        <v>360</v>
      </c>
      <c r="F175">
        <v>360</v>
      </c>
      <c r="G175" s="106">
        <v>34</v>
      </c>
      <c r="H175" s="106">
        <v>114</v>
      </c>
      <c r="I175" s="106">
        <v>89</v>
      </c>
      <c r="J175" s="106">
        <v>177</v>
      </c>
      <c r="L175" s="106">
        <f t="shared" si="8"/>
        <v>39</v>
      </c>
      <c r="M175" s="106">
        <f t="shared" si="9"/>
        <v>131</v>
      </c>
      <c r="N175" s="106">
        <f t="shared" si="10"/>
        <v>102</v>
      </c>
      <c r="O175" s="106">
        <f t="shared" si="11"/>
        <v>204</v>
      </c>
    </row>
    <row r="176" spans="1:15" x14ac:dyDescent="0.25">
      <c r="A176">
        <v>3801</v>
      </c>
      <c r="B176" t="s">
        <v>200</v>
      </c>
      <c r="C176" t="s">
        <v>42</v>
      </c>
      <c r="D176" t="s">
        <v>375</v>
      </c>
      <c r="E176">
        <v>420</v>
      </c>
      <c r="F176">
        <v>360</v>
      </c>
      <c r="G176" s="106">
        <v>34</v>
      </c>
      <c r="H176" s="106">
        <v>121</v>
      </c>
      <c r="I176" s="106">
        <v>92</v>
      </c>
      <c r="J176" s="106">
        <v>178</v>
      </c>
      <c r="L176" s="106">
        <f t="shared" si="8"/>
        <v>39</v>
      </c>
      <c r="M176" s="106">
        <f t="shared" si="9"/>
        <v>139</v>
      </c>
      <c r="N176" s="106">
        <f t="shared" si="10"/>
        <v>106</v>
      </c>
      <c r="O176" s="106">
        <f t="shared" si="11"/>
        <v>205</v>
      </c>
    </row>
    <row r="177" spans="1:15" x14ac:dyDescent="0.25">
      <c r="A177">
        <v>3802</v>
      </c>
      <c r="B177" t="s">
        <v>200</v>
      </c>
      <c r="C177" t="s">
        <v>42</v>
      </c>
      <c r="D177" t="s">
        <v>376</v>
      </c>
      <c r="E177">
        <v>580</v>
      </c>
      <c r="F177">
        <v>360</v>
      </c>
      <c r="G177" s="106">
        <v>43</v>
      </c>
      <c r="H177" s="106">
        <v>161</v>
      </c>
      <c r="I177" s="106">
        <v>130</v>
      </c>
      <c r="J177" s="106">
        <v>185</v>
      </c>
      <c r="L177" s="106">
        <f t="shared" si="8"/>
        <v>49</v>
      </c>
      <c r="M177" s="106">
        <f t="shared" si="9"/>
        <v>185</v>
      </c>
      <c r="N177" s="106">
        <f t="shared" si="10"/>
        <v>150</v>
      </c>
      <c r="O177" s="106">
        <f t="shared" si="11"/>
        <v>213</v>
      </c>
    </row>
    <row r="178" spans="1:15" x14ac:dyDescent="0.25">
      <c r="A178">
        <v>3803</v>
      </c>
      <c r="B178" t="s">
        <v>200</v>
      </c>
      <c r="C178" t="s">
        <v>42</v>
      </c>
      <c r="D178" t="s">
        <v>377</v>
      </c>
      <c r="E178">
        <v>780</v>
      </c>
      <c r="F178">
        <v>360</v>
      </c>
      <c r="G178" s="106">
        <v>56</v>
      </c>
      <c r="H178" s="106">
        <v>185</v>
      </c>
      <c r="I178" s="106">
        <v>144</v>
      </c>
      <c r="J178" s="106">
        <v>190</v>
      </c>
      <c r="L178" s="106">
        <f t="shared" si="8"/>
        <v>64</v>
      </c>
      <c r="M178" s="106">
        <f t="shared" si="9"/>
        <v>213</v>
      </c>
      <c r="N178" s="106">
        <f t="shared" si="10"/>
        <v>166</v>
      </c>
      <c r="O178" s="106">
        <f t="shared" si="11"/>
        <v>219</v>
      </c>
    </row>
    <row r="179" spans="1:15" x14ac:dyDescent="0.25">
      <c r="A179">
        <v>3804</v>
      </c>
      <c r="B179" t="s">
        <v>200</v>
      </c>
      <c r="C179" t="s">
        <v>42</v>
      </c>
      <c r="D179" t="s">
        <v>378</v>
      </c>
      <c r="E179">
        <v>980</v>
      </c>
      <c r="F179">
        <v>360</v>
      </c>
      <c r="G179" s="106">
        <v>70</v>
      </c>
      <c r="H179" s="106">
        <v>223</v>
      </c>
      <c r="I179" s="106">
        <v>174</v>
      </c>
      <c r="J179" s="106">
        <v>209</v>
      </c>
      <c r="L179" s="106">
        <f t="shared" si="8"/>
        <v>81</v>
      </c>
      <c r="M179" s="106">
        <f t="shared" si="9"/>
        <v>256</v>
      </c>
      <c r="N179" s="106">
        <f t="shared" si="10"/>
        <v>200</v>
      </c>
      <c r="O179" s="106">
        <f t="shared" si="11"/>
        <v>240</v>
      </c>
    </row>
    <row r="180" spans="1:15" x14ac:dyDescent="0.25">
      <c r="A180">
        <v>3805</v>
      </c>
      <c r="B180" t="s">
        <v>200</v>
      </c>
      <c r="C180" t="s">
        <v>42</v>
      </c>
      <c r="D180" t="s">
        <v>379</v>
      </c>
      <c r="E180">
        <v>360</v>
      </c>
      <c r="F180">
        <v>580</v>
      </c>
      <c r="G180" s="106">
        <v>43</v>
      </c>
      <c r="H180" s="106">
        <v>161</v>
      </c>
      <c r="I180" s="106">
        <v>130</v>
      </c>
      <c r="J180" s="106">
        <v>185</v>
      </c>
      <c r="L180" s="106">
        <f t="shared" si="8"/>
        <v>49</v>
      </c>
      <c r="M180" s="106">
        <f t="shared" si="9"/>
        <v>185</v>
      </c>
      <c r="N180" s="106">
        <f t="shared" si="10"/>
        <v>150</v>
      </c>
      <c r="O180" s="106">
        <f t="shared" si="11"/>
        <v>213</v>
      </c>
    </row>
    <row r="181" spans="1:15" x14ac:dyDescent="0.25">
      <c r="A181">
        <v>3806</v>
      </c>
      <c r="B181" t="s">
        <v>200</v>
      </c>
      <c r="C181" t="s">
        <v>42</v>
      </c>
      <c r="D181" t="s">
        <v>380</v>
      </c>
      <c r="E181">
        <v>420</v>
      </c>
      <c r="F181">
        <v>580</v>
      </c>
      <c r="G181" s="106">
        <v>49</v>
      </c>
      <c r="H181" s="106">
        <v>181</v>
      </c>
      <c r="I181" s="106">
        <v>147</v>
      </c>
      <c r="J181" s="106">
        <v>186</v>
      </c>
      <c r="L181" s="106">
        <f t="shared" si="8"/>
        <v>56</v>
      </c>
      <c r="M181" s="106">
        <f t="shared" si="9"/>
        <v>208</v>
      </c>
      <c r="N181" s="106">
        <f t="shared" si="10"/>
        <v>169</v>
      </c>
      <c r="O181" s="106">
        <f t="shared" si="11"/>
        <v>214</v>
      </c>
    </row>
    <row r="182" spans="1:15" x14ac:dyDescent="0.25">
      <c r="A182">
        <v>3807</v>
      </c>
      <c r="B182" t="s">
        <v>200</v>
      </c>
      <c r="C182" t="s">
        <v>42</v>
      </c>
      <c r="D182" t="s">
        <v>381</v>
      </c>
      <c r="E182">
        <v>580</v>
      </c>
      <c r="F182">
        <v>580</v>
      </c>
      <c r="G182" s="106">
        <v>67</v>
      </c>
      <c r="H182" s="106">
        <v>228</v>
      </c>
      <c r="I182" s="106">
        <v>183</v>
      </c>
      <c r="J182" s="106">
        <v>191</v>
      </c>
      <c r="L182" s="106">
        <f t="shared" si="8"/>
        <v>77</v>
      </c>
      <c r="M182" s="106">
        <f t="shared" si="9"/>
        <v>262</v>
      </c>
      <c r="N182" s="106">
        <f t="shared" si="10"/>
        <v>210</v>
      </c>
      <c r="O182" s="106">
        <f t="shared" si="11"/>
        <v>220</v>
      </c>
    </row>
    <row r="183" spans="1:15" x14ac:dyDescent="0.25">
      <c r="A183">
        <v>3808</v>
      </c>
      <c r="B183" t="s">
        <v>200</v>
      </c>
      <c r="C183" t="s">
        <v>42</v>
      </c>
      <c r="D183" t="s">
        <v>382</v>
      </c>
      <c r="E183">
        <v>780</v>
      </c>
      <c r="F183">
        <v>580</v>
      </c>
      <c r="G183" s="106">
        <v>87</v>
      </c>
      <c r="H183" s="106">
        <v>275</v>
      </c>
      <c r="I183" s="106">
        <v>225</v>
      </c>
      <c r="J183" s="106">
        <v>237</v>
      </c>
      <c r="L183" s="106">
        <f t="shared" si="8"/>
        <v>100</v>
      </c>
      <c r="M183" s="106">
        <f t="shared" si="9"/>
        <v>316</v>
      </c>
      <c r="N183" s="106">
        <f t="shared" si="10"/>
        <v>259</v>
      </c>
      <c r="O183" s="106">
        <f t="shared" si="11"/>
        <v>273</v>
      </c>
    </row>
    <row r="184" spans="1:15" x14ac:dyDescent="0.25">
      <c r="A184">
        <v>3809</v>
      </c>
      <c r="B184" t="s">
        <v>200</v>
      </c>
      <c r="C184" t="s">
        <v>42</v>
      </c>
      <c r="D184" t="s">
        <v>383</v>
      </c>
      <c r="E184">
        <v>980</v>
      </c>
      <c r="F184">
        <v>580</v>
      </c>
      <c r="G184" s="106">
        <v>110</v>
      </c>
      <c r="H184" s="106">
        <v>355</v>
      </c>
      <c r="I184" s="106">
        <v>286</v>
      </c>
      <c r="J184" s="106">
        <v>276</v>
      </c>
      <c r="L184" s="106">
        <f t="shared" si="8"/>
        <v>127</v>
      </c>
      <c r="M184" s="106">
        <f t="shared" si="9"/>
        <v>408</v>
      </c>
      <c r="N184" s="106">
        <f t="shared" si="10"/>
        <v>329</v>
      </c>
      <c r="O184" s="106">
        <f t="shared" si="11"/>
        <v>317</v>
      </c>
    </row>
    <row r="185" spans="1:15" x14ac:dyDescent="0.25">
      <c r="A185">
        <v>3810</v>
      </c>
      <c r="B185" t="s">
        <v>200</v>
      </c>
      <c r="C185" t="s">
        <v>42</v>
      </c>
      <c r="D185" t="s">
        <v>384</v>
      </c>
      <c r="E185">
        <v>420</v>
      </c>
      <c r="F185">
        <v>780</v>
      </c>
      <c r="G185" s="106">
        <v>65</v>
      </c>
      <c r="H185" s="106">
        <v>128</v>
      </c>
      <c r="I185" s="106"/>
      <c r="J185" s="106"/>
      <c r="L185" s="106">
        <f t="shared" si="8"/>
        <v>75</v>
      </c>
      <c r="M185" s="106">
        <f t="shared" si="9"/>
        <v>147</v>
      </c>
      <c r="N185" s="106" t="str">
        <f t="shared" si="10"/>
        <v/>
      </c>
      <c r="O185" s="106" t="str">
        <f t="shared" si="11"/>
        <v/>
      </c>
    </row>
    <row r="186" spans="1:15" x14ac:dyDescent="0.25">
      <c r="A186">
        <v>3811</v>
      </c>
      <c r="B186" t="s">
        <v>200</v>
      </c>
      <c r="C186" t="s">
        <v>42</v>
      </c>
      <c r="D186" t="s">
        <v>385</v>
      </c>
      <c r="E186">
        <v>420</v>
      </c>
      <c r="F186">
        <v>980</v>
      </c>
      <c r="G186" s="106">
        <v>79</v>
      </c>
      <c r="H186" s="106">
        <v>155</v>
      </c>
      <c r="I186" s="106"/>
      <c r="J186" s="106"/>
      <c r="L186" s="106">
        <f t="shared" si="8"/>
        <v>91</v>
      </c>
      <c r="M186" s="106">
        <f t="shared" si="9"/>
        <v>178</v>
      </c>
      <c r="N186" s="106" t="str">
        <f t="shared" si="10"/>
        <v/>
      </c>
      <c r="O186" s="106" t="str">
        <f t="shared" si="11"/>
        <v/>
      </c>
    </row>
    <row r="187" spans="1:15" x14ac:dyDescent="0.25">
      <c r="A187">
        <v>3812</v>
      </c>
      <c r="B187" t="s">
        <v>200</v>
      </c>
      <c r="C187" t="s">
        <v>42</v>
      </c>
      <c r="D187" t="s">
        <v>386</v>
      </c>
      <c r="E187">
        <v>780</v>
      </c>
      <c r="F187">
        <v>780</v>
      </c>
      <c r="G187" s="106">
        <v>126</v>
      </c>
      <c r="H187" s="106">
        <v>302</v>
      </c>
      <c r="I187" s="106">
        <v>272</v>
      </c>
      <c r="J187" s="106">
        <v>295</v>
      </c>
      <c r="L187" s="106">
        <f t="shared" si="8"/>
        <v>145</v>
      </c>
      <c r="M187" s="106">
        <f t="shared" si="9"/>
        <v>347</v>
      </c>
      <c r="N187" s="106">
        <f t="shared" si="10"/>
        <v>313</v>
      </c>
      <c r="O187" s="106">
        <f t="shared" si="11"/>
        <v>339</v>
      </c>
    </row>
    <row r="188" spans="1:15" x14ac:dyDescent="0.25">
      <c r="A188">
        <v>3813</v>
      </c>
      <c r="B188" t="s">
        <v>200</v>
      </c>
      <c r="C188" t="s">
        <v>42</v>
      </c>
      <c r="D188" t="s">
        <v>387</v>
      </c>
      <c r="E188">
        <v>780</v>
      </c>
      <c r="F188">
        <v>980</v>
      </c>
      <c r="G188" s="106">
        <v>139</v>
      </c>
      <c r="H188" s="106">
        <v>416</v>
      </c>
      <c r="I188" s="106"/>
      <c r="J188" s="106"/>
      <c r="L188" s="106">
        <f t="shared" si="8"/>
        <v>160</v>
      </c>
      <c r="M188" s="106">
        <f t="shared" si="9"/>
        <v>478</v>
      </c>
      <c r="N188" s="106" t="str">
        <f t="shared" si="10"/>
        <v/>
      </c>
      <c r="O188" s="106" t="str">
        <f t="shared" si="11"/>
        <v/>
      </c>
    </row>
    <row r="189" spans="1:15" x14ac:dyDescent="0.25">
      <c r="A189">
        <v>3814</v>
      </c>
      <c r="B189" t="s">
        <v>200</v>
      </c>
      <c r="C189" t="s">
        <v>42</v>
      </c>
      <c r="D189" t="s">
        <v>388</v>
      </c>
      <c r="E189">
        <v>980</v>
      </c>
      <c r="F189">
        <v>780</v>
      </c>
      <c r="G189" s="106">
        <v>139</v>
      </c>
      <c r="H189" s="106">
        <v>416</v>
      </c>
      <c r="I189" s="106"/>
      <c r="J189" s="106"/>
      <c r="L189" s="106">
        <f t="shared" si="8"/>
        <v>160</v>
      </c>
      <c r="M189" s="106">
        <f t="shared" si="9"/>
        <v>478</v>
      </c>
      <c r="N189" s="106" t="str">
        <f t="shared" si="10"/>
        <v/>
      </c>
      <c r="O189" s="106" t="str">
        <f t="shared" si="11"/>
        <v/>
      </c>
    </row>
    <row r="190" spans="1:15" x14ac:dyDescent="0.25">
      <c r="A190">
        <v>3815</v>
      </c>
      <c r="B190" t="s">
        <v>200</v>
      </c>
      <c r="C190" t="s">
        <v>42</v>
      </c>
      <c r="D190" t="s">
        <v>389</v>
      </c>
      <c r="E190">
        <v>980</v>
      </c>
      <c r="F190">
        <v>980</v>
      </c>
      <c r="G190" s="106">
        <v>180</v>
      </c>
      <c r="H190" s="106">
        <v>354</v>
      </c>
      <c r="I190" s="106"/>
      <c r="J190" s="106"/>
      <c r="L190" s="106">
        <f t="shared" si="8"/>
        <v>207</v>
      </c>
      <c r="M190" s="106">
        <f t="shared" si="9"/>
        <v>407</v>
      </c>
      <c r="N190" s="106" t="str">
        <f t="shared" si="10"/>
        <v/>
      </c>
      <c r="O190" s="106" t="str">
        <f t="shared" si="11"/>
        <v/>
      </c>
    </row>
    <row r="191" spans="1:15" x14ac:dyDescent="0.25">
      <c r="A191">
        <v>5000</v>
      </c>
      <c r="B191" t="s">
        <v>200</v>
      </c>
      <c r="C191" t="s">
        <v>2</v>
      </c>
      <c r="D191" t="s">
        <v>390</v>
      </c>
      <c r="E191">
        <v>420</v>
      </c>
      <c r="F191">
        <v>180</v>
      </c>
      <c r="G191" s="106">
        <v>169</v>
      </c>
      <c r="H191" s="106">
        <v>255</v>
      </c>
      <c r="I191" s="106">
        <v>237</v>
      </c>
      <c r="J191" s="106">
        <v>446</v>
      </c>
      <c r="L191" s="106">
        <f t="shared" si="8"/>
        <v>194</v>
      </c>
      <c r="M191" s="106">
        <f t="shared" si="9"/>
        <v>293</v>
      </c>
      <c r="N191" s="106">
        <f t="shared" si="10"/>
        <v>273</v>
      </c>
      <c r="O191" s="106">
        <f t="shared" si="11"/>
        <v>513</v>
      </c>
    </row>
    <row r="192" spans="1:15" x14ac:dyDescent="0.25">
      <c r="A192">
        <v>5001</v>
      </c>
      <c r="B192" t="s">
        <v>200</v>
      </c>
      <c r="C192" t="s">
        <v>2</v>
      </c>
      <c r="D192" t="s">
        <v>391</v>
      </c>
      <c r="E192">
        <v>420</v>
      </c>
      <c r="F192">
        <v>360</v>
      </c>
      <c r="G192" s="106">
        <v>169</v>
      </c>
      <c r="H192" s="106">
        <v>255</v>
      </c>
      <c r="I192" s="106">
        <v>237</v>
      </c>
      <c r="J192" s="106">
        <v>446</v>
      </c>
      <c r="L192" s="106">
        <f t="shared" si="8"/>
        <v>194</v>
      </c>
      <c r="M192" s="106">
        <f t="shared" si="9"/>
        <v>293</v>
      </c>
      <c r="N192" s="106">
        <f t="shared" si="10"/>
        <v>273</v>
      </c>
      <c r="O192" s="106">
        <f t="shared" si="11"/>
        <v>513</v>
      </c>
    </row>
    <row r="193" spans="1:15" x14ac:dyDescent="0.25">
      <c r="A193">
        <v>5002</v>
      </c>
      <c r="B193" t="s">
        <v>200</v>
      </c>
      <c r="C193" t="s">
        <v>2</v>
      </c>
      <c r="D193" t="s">
        <v>392</v>
      </c>
      <c r="E193">
        <v>580</v>
      </c>
      <c r="F193">
        <v>180</v>
      </c>
      <c r="G193" s="106">
        <v>184</v>
      </c>
      <c r="H193" s="106">
        <v>283</v>
      </c>
      <c r="I193" s="106">
        <v>259</v>
      </c>
      <c r="J193" s="106">
        <v>487</v>
      </c>
      <c r="L193" s="106">
        <f t="shared" si="8"/>
        <v>212</v>
      </c>
      <c r="M193" s="106">
        <f t="shared" si="9"/>
        <v>325</v>
      </c>
      <c r="N193" s="106">
        <f t="shared" si="10"/>
        <v>298</v>
      </c>
      <c r="O193" s="106">
        <f t="shared" si="11"/>
        <v>560</v>
      </c>
    </row>
    <row r="194" spans="1:15" x14ac:dyDescent="0.25">
      <c r="A194">
        <v>5003</v>
      </c>
      <c r="B194" t="s">
        <v>200</v>
      </c>
      <c r="C194" t="s">
        <v>2</v>
      </c>
      <c r="D194" t="s">
        <v>393</v>
      </c>
      <c r="E194">
        <v>580</v>
      </c>
      <c r="F194">
        <v>360</v>
      </c>
      <c r="G194" s="106">
        <v>184</v>
      </c>
      <c r="H194" s="106">
        <v>283</v>
      </c>
      <c r="I194" s="106">
        <v>259</v>
      </c>
      <c r="J194" s="106">
        <v>487</v>
      </c>
      <c r="L194" s="106">
        <f t="shared" ref="L194:L261" si="12">IF(G194="","",ROUND(G194*1.15,0))</f>
        <v>212</v>
      </c>
      <c r="M194" s="106">
        <f t="shared" ref="M194:M261" si="13">IF(H194="","",ROUND(H194*1.15,0))</f>
        <v>325</v>
      </c>
      <c r="N194" s="106">
        <f t="shared" ref="N194:N261" si="14">IF(I194="","",ROUND(I194*1.15,0))</f>
        <v>298</v>
      </c>
      <c r="O194" s="106">
        <f t="shared" ref="O194:O261" si="15">IF(J194="","",ROUND(J194*1.15,0))</f>
        <v>560</v>
      </c>
    </row>
    <row r="195" spans="1:15" x14ac:dyDescent="0.25">
      <c r="A195">
        <v>5004</v>
      </c>
      <c r="B195" t="s">
        <v>200</v>
      </c>
      <c r="C195" t="s">
        <v>2</v>
      </c>
      <c r="D195" t="s">
        <v>394</v>
      </c>
      <c r="E195">
        <v>780</v>
      </c>
      <c r="F195">
        <v>180</v>
      </c>
      <c r="G195" s="106">
        <v>198</v>
      </c>
      <c r="H195" s="106">
        <v>310</v>
      </c>
      <c r="I195" s="106">
        <v>280</v>
      </c>
      <c r="J195" s="106">
        <v>527</v>
      </c>
      <c r="L195" s="106">
        <f t="shared" si="12"/>
        <v>228</v>
      </c>
      <c r="M195" s="106">
        <f t="shared" si="13"/>
        <v>357</v>
      </c>
      <c r="N195" s="106">
        <f t="shared" si="14"/>
        <v>322</v>
      </c>
      <c r="O195" s="106">
        <f t="shared" si="15"/>
        <v>606</v>
      </c>
    </row>
    <row r="196" spans="1:15" x14ac:dyDescent="0.25">
      <c r="A196">
        <v>5005</v>
      </c>
      <c r="B196" t="s">
        <v>200</v>
      </c>
      <c r="C196" t="s">
        <v>2</v>
      </c>
      <c r="D196" t="s">
        <v>395</v>
      </c>
      <c r="E196">
        <v>780</v>
      </c>
      <c r="F196">
        <v>360</v>
      </c>
      <c r="G196" s="106">
        <v>198</v>
      </c>
      <c r="H196" s="106">
        <v>310</v>
      </c>
      <c r="I196" s="106">
        <v>280</v>
      </c>
      <c r="J196" s="106">
        <v>527</v>
      </c>
      <c r="L196" s="106">
        <f t="shared" si="12"/>
        <v>228</v>
      </c>
      <c r="M196" s="106">
        <f t="shared" si="13"/>
        <v>357</v>
      </c>
      <c r="N196" s="106">
        <f t="shared" si="14"/>
        <v>322</v>
      </c>
      <c r="O196" s="106">
        <f t="shared" si="15"/>
        <v>606</v>
      </c>
    </row>
    <row r="197" spans="1:15" x14ac:dyDescent="0.25">
      <c r="A197">
        <v>5006</v>
      </c>
      <c r="B197" t="s">
        <v>200</v>
      </c>
      <c r="C197" t="s">
        <v>2</v>
      </c>
      <c r="D197" t="s">
        <v>396</v>
      </c>
      <c r="E197">
        <v>980</v>
      </c>
      <c r="F197">
        <v>180</v>
      </c>
      <c r="G197" s="106">
        <v>250</v>
      </c>
      <c r="H197" s="106">
        <v>369</v>
      </c>
      <c r="I197" s="106">
        <v>345</v>
      </c>
      <c r="J197" s="106">
        <v>649</v>
      </c>
      <c r="L197" s="106">
        <f t="shared" si="12"/>
        <v>288</v>
      </c>
      <c r="M197" s="106">
        <f t="shared" si="13"/>
        <v>424</v>
      </c>
      <c r="N197" s="106">
        <f t="shared" si="14"/>
        <v>397</v>
      </c>
      <c r="O197" s="106">
        <f t="shared" si="15"/>
        <v>746</v>
      </c>
    </row>
    <row r="198" spans="1:15" x14ac:dyDescent="0.25">
      <c r="A198">
        <v>5007</v>
      </c>
      <c r="B198" t="s">
        <v>200</v>
      </c>
      <c r="C198" t="s">
        <v>2</v>
      </c>
      <c r="D198" t="s">
        <v>397</v>
      </c>
      <c r="E198">
        <v>980</v>
      </c>
      <c r="F198">
        <v>360</v>
      </c>
      <c r="G198" s="106">
        <v>250</v>
      </c>
      <c r="H198" s="106">
        <v>369</v>
      </c>
      <c r="I198" s="106">
        <v>345</v>
      </c>
      <c r="J198" s="106">
        <v>649</v>
      </c>
      <c r="L198" s="106">
        <f t="shared" si="12"/>
        <v>288</v>
      </c>
      <c r="M198" s="106">
        <f t="shared" si="13"/>
        <v>424</v>
      </c>
      <c r="N198" s="106">
        <f t="shared" si="14"/>
        <v>397</v>
      </c>
      <c r="O198" s="106">
        <f t="shared" si="15"/>
        <v>746</v>
      </c>
    </row>
    <row r="199" spans="1:15" x14ac:dyDescent="0.25">
      <c r="A199">
        <v>5009</v>
      </c>
      <c r="B199" t="s">
        <v>200</v>
      </c>
      <c r="C199" t="s">
        <v>2</v>
      </c>
      <c r="D199" t="s">
        <v>398</v>
      </c>
      <c r="E199">
        <v>360</v>
      </c>
      <c r="F199">
        <v>180</v>
      </c>
      <c r="G199" s="106">
        <v>169</v>
      </c>
      <c r="H199" s="106">
        <v>333</v>
      </c>
      <c r="I199" s="106">
        <v>345</v>
      </c>
      <c r="J199" s="106">
        <v>649</v>
      </c>
      <c r="L199" s="106">
        <f t="shared" si="12"/>
        <v>194</v>
      </c>
      <c r="M199" s="106">
        <f t="shared" si="13"/>
        <v>383</v>
      </c>
      <c r="N199" s="106">
        <f t="shared" si="14"/>
        <v>397</v>
      </c>
      <c r="O199" s="106">
        <f t="shared" si="15"/>
        <v>746</v>
      </c>
    </row>
    <row r="200" spans="1:15" x14ac:dyDescent="0.25">
      <c r="A200">
        <v>5008</v>
      </c>
      <c r="B200" t="s">
        <v>200</v>
      </c>
      <c r="C200" t="s">
        <v>2</v>
      </c>
      <c r="D200" t="s">
        <v>399</v>
      </c>
      <c r="E200">
        <v>360</v>
      </c>
      <c r="F200">
        <v>360</v>
      </c>
      <c r="G200" s="106">
        <v>169</v>
      </c>
      <c r="H200" s="106">
        <v>333</v>
      </c>
      <c r="I200" s="106">
        <v>345</v>
      </c>
      <c r="J200" s="106">
        <v>649</v>
      </c>
      <c r="L200" s="106">
        <f t="shared" si="12"/>
        <v>194</v>
      </c>
      <c r="M200" s="106">
        <f t="shared" si="13"/>
        <v>383</v>
      </c>
      <c r="N200" s="106">
        <f t="shared" si="14"/>
        <v>397</v>
      </c>
      <c r="O200" s="106">
        <f t="shared" si="15"/>
        <v>746</v>
      </c>
    </row>
    <row r="201" spans="1:15" x14ac:dyDescent="0.25">
      <c r="A201" t="s">
        <v>186</v>
      </c>
      <c r="B201" t="s">
        <v>200</v>
      </c>
      <c r="C201" t="s">
        <v>2</v>
      </c>
      <c r="D201" t="s">
        <v>185</v>
      </c>
      <c r="E201">
        <v>980</v>
      </c>
      <c r="F201">
        <v>420</v>
      </c>
      <c r="G201" s="106">
        <v>255</v>
      </c>
      <c r="H201" s="106">
        <v>502</v>
      </c>
      <c r="I201" s="106">
        <v>345</v>
      </c>
      <c r="J201" s="106">
        <v>649</v>
      </c>
      <c r="L201" s="106">
        <f t="shared" si="12"/>
        <v>293</v>
      </c>
      <c r="M201" s="106">
        <f t="shared" si="13"/>
        <v>577</v>
      </c>
      <c r="N201" s="106">
        <f t="shared" si="14"/>
        <v>397</v>
      </c>
      <c r="O201" s="106">
        <f t="shared" si="15"/>
        <v>746</v>
      </c>
    </row>
    <row r="202" spans="1:15" x14ac:dyDescent="0.25">
      <c r="A202">
        <v>5100</v>
      </c>
      <c r="B202" t="s">
        <v>200</v>
      </c>
      <c r="C202" t="s">
        <v>1</v>
      </c>
      <c r="D202" t="s">
        <v>400</v>
      </c>
      <c r="E202">
        <v>420</v>
      </c>
      <c r="F202">
        <v>360</v>
      </c>
      <c r="G202" s="106">
        <v>136</v>
      </c>
      <c r="H202" s="106">
        <v>205</v>
      </c>
      <c r="I202" s="106">
        <v>182</v>
      </c>
      <c r="J202" s="106">
        <v>479</v>
      </c>
      <c r="L202" s="106">
        <f t="shared" si="12"/>
        <v>156</v>
      </c>
      <c r="M202" s="106">
        <f t="shared" si="13"/>
        <v>236</v>
      </c>
      <c r="N202" s="106">
        <f t="shared" si="14"/>
        <v>209</v>
      </c>
      <c r="O202" s="106">
        <f t="shared" si="15"/>
        <v>551</v>
      </c>
    </row>
    <row r="203" spans="1:15" x14ac:dyDescent="0.25">
      <c r="A203">
        <v>5101</v>
      </c>
      <c r="B203" t="s">
        <v>200</v>
      </c>
      <c r="C203" t="s">
        <v>1</v>
      </c>
      <c r="D203" t="s">
        <v>401</v>
      </c>
      <c r="E203">
        <v>420</v>
      </c>
      <c r="F203">
        <v>720</v>
      </c>
      <c r="G203" s="106">
        <v>159</v>
      </c>
      <c r="H203" s="106">
        <v>270</v>
      </c>
      <c r="I203" s="106">
        <v>230</v>
      </c>
      <c r="J203" s="106">
        <v>544</v>
      </c>
      <c r="L203" s="106">
        <f t="shared" si="12"/>
        <v>183</v>
      </c>
      <c r="M203" s="106">
        <f t="shared" si="13"/>
        <v>311</v>
      </c>
      <c r="N203" s="106">
        <f t="shared" si="14"/>
        <v>265</v>
      </c>
      <c r="O203" s="106">
        <f t="shared" si="15"/>
        <v>626</v>
      </c>
    </row>
    <row r="204" spans="1:15" x14ac:dyDescent="0.25">
      <c r="A204">
        <v>5102</v>
      </c>
      <c r="B204" t="s">
        <v>200</v>
      </c>
      <c r="C204" t="s">
        <v>1</v>
      </c>
      <c r="D204" t="s">
        <v>402</v>
      </c>
      <c r="E204">
        <v>420</v>
      </c>
      <c r="F204">
        <v>1080</v>
      </c>
      <c r="G204" s="106">
        <v>235</v>
      </c>
      <c r="H204" s="106">
        <v>373</v>
      </c>
      <c r="I204" s="106">
        <v>339</v>
      </c>
      <c r="J204" s="106">
        <v>643</v>
      </c>
      <c r="L204" s="106">
        <f t="shared" si="12"/>
        <v>270</v>
      </c>
      <c r="M204" s="106">
        <f t="shared" si="13"/>
        <v>429</v>
      </c>
      <c r="N204" s="106">
        <f t="shared" si="14"/>
        <v>390</v>
      </c>
      <c r="O204" s="106">
        <f t="shared" si="15"/>
        <v>739</v>
      </c>
    </row>
    <row r="205" spans="1:15" x14ac:dyDescent="0.25">
      <c r="A205">
        <v>5103</v>
      </c>
      <c r="B205" t="s">
        <v>200</v>
      </c>
      <c r="C205" t="s">
        <v>1</v>
      </c>
      <c r="D205" t="s">
        <v>403</v>
      </c>
      <c r="E205">
        <v>420</v>
      </c>
      <c r="F205">
        <v>1440</v>
      </c>
      <c r="G205" s="106">
        <v>257</v>
      </c>
      <c r="H205" s="106">
        <v>472</v>
      </c>
      <c r="I205" s="106">
        <v>402</v>
      </c>
      <c r="J205" s="106">
        <v>712</v>
      </c>
      <c r="L205" s="106">
        <f t="shared" si="12"/>
        <v>296</v>
      </c>
      <c r="M205" s="106">
        <f t="shared" si="13"/>
        <v>543</v>
      </c>
      <c r="N205" s="106">
        <f t="shared" si="14"/>
        <v>462</v>
      </c>
      <c r="O205" s="106">
        <f t="shared" si="15"/>
        <v>819</v>
      </c>
    </row>
    <row r="206" spans="1:15" x14ac:dyDescent="0.25">
      <c r="A206">
        <v>5104</v>
      </c>
      <c r="B206" t="s">
        <v>200</v>
      </c>
      <c r="C206" t="s">
        <v>1</v>
      </c>
      <c r="D206" t="s">
        <v>404</v>
      </c>
      <c r="E206">
        <v>420</v>
      </c>
      <c r="F206">
        <v>1800</v>
      </c>
      <c r="G206" s="106">
        <v>340</v>
      </c>
      <c r="H206" s="106">
        <v>669</v>
      </c>
      <c r="I206" s="106">
        <v>494</v>
      </c>
      <c r="J206" s="106">
        <v>834</v>
      </c>
      <c r="L206" s="106">
        <f t="shared" si="12"/>
        <v>391</v>
      </c>
      <c r="M206" s="106">
        <f t="shared" si="13"/>
        <v>769</v>
      </c>
      <c r="N206" s="106">
        <f t="shared" si="14"/>
        <v>568</v>
      </c>
      <c r="O206" s="106">
        <f t="shared" si="15"/>
        <v>959</v>
      </c>
    </row>
    <row r="207" spans="1:15" x14ac:dyDescent="0.25">
      <c r="A207">
        <v>5105</v>
      </c>
      <c r="B207" t="s">
        <v>200</v>
      </c>
      <c r="C207" t="s">
        <v>1</v>
      </c>
      <c r="D207" t="s">
        <v>405</v>
      </c>
      <c r="E207">
        <v>580</v>
      </c>
      <c r="F207">
        <v>360</v>
      </c>
      <c r="G207" s="106">
        <v>153</v>
      </c>
      <c r="H207" s="106">
        <v>228</v>
      </c>
      <c r="I207" s="106">
        <v>208</v>
      </c>
      <c r="J207" s="106">
        <v>509</v>
      </c>
      <c r="L207" s="106">
        <f t="shared" si="12"/>
        <v>176</v>
      </c>
      <c r="M207" s="106">
        <f t="shared" si="13"/>
        <v>262</v>
      </c>
      <c r="N207" s="106">
        <f t="shared" si="14"/>
        <v>239</v>
      </c>
      <c r="O207" s="106">
        <f t="shared" si="15"/>
        <v>585</v>
      </c>
    </row>
    <row r="208" spans="1:15" x14ac:dyDescent="0.25">
      <c r="A208">
        <v>5106</v>
      </c>
      <c r="B208" t="s">
        <v>200</v>
      </c>
      <c r="C208" t="s">
        <v>1</v>
      </c>
      <c r="D208" t="s">
        <v>406</v>
      </c>
      <c r="E208">
        <v>580</v>
      </c>
      <c r="F208">
        <v>720</v>
      </c>
      <c r="G208" s="106">
        <v>210</v>
      </c>
      <c r="H208" s="106">
        <v>332</v>
      </c>
      <c r="I208" s="106">
        <v>306</v>
      </c>
      <c r="J208" s="106">
        <v>585</v>
      </c>
      <c r="L208" s="106">
        <f t="shared" si="12"/>
        <v>242</v>
      </c>
      <c r="M208" s="106">
        <f t="shared" si="13"/>
        <v>382</v>
      </c>
      <c r="N208" s="106">
        <f t="shared" si="14"/>
        <v>352</v>
      </c>
      <c r="O208" s="106">
        <f t="shared" si="15"/>
        <v>673</v>
      </c>
    </row>
    <row r="209" spans="1:15" x14ac:dyDescent="0.25">
      <c r="A209">
        <v>5107</v>
      </c>
      <c r="B209" t="s">
        <v>200</v>
      </c>
      <c r="C209" t="s">
        <v>1</v>
      </c>
      <c r="D209" t="s">
        <v>407</v>
      </c>
      <c r="E209">
        <v>580</v>
      </c>
      <c r="F209">
        <v>1080</v>
      </c>
      <c r="G209" s="106">
        <v>278</v>
      </c>
      <c r="H209" s="106">
        <v>459</v>
      </c>
      <c r="I209" s="106">
        <v>415</v>
      </c>
      <c r="J209" s="106">
        <v>709</v>
      </c>
      <c r="L209" s="106">
        <f t="shared" si="12"/>
        <v>320</v>
      </c>
      <c r="M209" s="106">
        <f t="shared" si="13"/>
        <v>528</v>
      </c>
      <c r="N209" s="106">
        <f t="shared" si="14"/>
        <v>477</v>
      </c>
      <c r="O209" s="106">
        <f t="shared" si="15"/>
        <v>815</v>
      </c>
    </row>
    <row r="210" spans="1:15" x14ac:dyDescent="0.25">
      <c r="A210">
        <v>5108</v>
      </c>
      <c r="B210" t="s">
        <v>200</v>
      </c>
      <c r="C210" t="s">
        <v>1</v>
      </c>
      <c r="D210" t="s">
        <v>408</v>
      </c>
      <c r="E210">
        <v>580</v>
      </c>
      <c r="F210">
        <v>1440</v>
      </c>
      <c r="G210" s="106">
        <v>337</v>
      </c>
      <c r="H210" s="106">
        <v>560</v>
      </c>
      <c r="I210" s="106">
        <v>503</v>
      </c>
      <c r="J210" s="106">
        <v>946</v>
      </c>
      <c r="L210" s="106">
        <f t="shared" si="12"/>
        <v>388</v>
      </c>
      <c r="M210" s="106">
        <f t="shared" si="13"/>
        <v>644</v>
      </c>
      <c r="N210" s="106">
        <f t="shared" si="14"/>
        <v>578</v>
      </c>
      <c r="O210" s="106">
        <f t="shared" si="15"/>
        <v>1088</v>
      </c>
    </row>
    <row r="211" spans="1:15" x14ac:dyDescent="0.25">
      <c r="A211">
        <v>5109</v>
      </c>
      <c r="B211" t="s">
        <v>200</v>
      </c>
      <c r="C211" t="s">
        <v>1</v>
      </c>
      <c r="D211" t="s">
        <v>409</v>
      </c>
      <c r="E211">
        <v>580</v>
      </c>
      <c r="F211">
        <v>1800</v>
      </c>
      <c r="G211" s="106">
        <v>417</v>
      </c>
      <c r="H211" s="106">
        <v>821</v>
      </c>
      <c r="I211" s="106">
        <v>619</v>
      </c>
      <c r="J211" s="106">
        <v>1164</v>
      </c>
      <c r="L211" s="106">
        <f t="shared" si="12"/>
        <v>480</v>
      </c>
      <c r="M211" s="106">
        <f t="shared" si="13"/>
        <v>944</v>
      </c>
      <c r="N211" s="106">
        <f t="shared" si="14"/>
        <v>712</v>
      </c>
      <c r="O211" s="106">
        <f t="shared" si="15"/>
        <v>1339</v>
      </c>
    </row>
    <row r="212" spans="1:15" x14ac:dyDescent="0.25">
      <c r="A212">
        <v>5110</v>
      </c>
      <c r="B212" t="s">
        <v>200</v>
      </c>
      <c r="C212" t="s">
        <v>1</v>
      </c>
      <c r="D212" t="s">
        <v>410</v>
      </c>
      <c r="E212">
        <v>360</v>
      </c>
      <c r="F212">
        <v>360</v>
      </c>
      <c r="G212" s="106">
        <v>136</v>
      </c>
      <c r="H212" s="106">
        <v>268</v>
      </c>
      <c r="I212" s="106">
        <v>237</v>
      </c>
      <c r="J212" s="106">
        <v>446</v>
      </c>
      <c r="L212" s="106">
        <f t="shared" si="12"/>
        <v>156</v>
      </c>
      <c r="M212" s="106">
        <f t="shared" si="13"/>
        <v>308</v>
      </c>
      <c r="N212" s="106">
        <f t="shared" si="14"/>
        <v>273</v>
      </c>
      <c r="O212" s="106">
        <f t="shared" si="15"/>
        <v>513</v>
      </c>
    </row>
    <row r="213" spans="1:15" x14ac:dyDescent="0.25">
      <c r="A213">
        <v>5111</v>
      </c>
      <c r="B213" t="s">
        <v>200</v>
      </c>
      <c r="C213" t="s">
        <v>1</v>
      </c>
      <c r="D213" t="s">
        <v>411</v>
      </c>
      <c r="E213">
        <v>780</v>
      </c>
      <c r="F213">
        <v>360</v>
      </c>
      <c r="G213" s="106"/>
      <c r="H213" s="106"/>
      <c r="I213" s="106">
        <v>259</v>
      </c>
      <c r="J213" s="106">
        <v>487</v>
      </c>
      <c r="L213" s="106" t="str">
        <f t="shared" si="12"/>
        <v/>
      </c>
      <c r="M213" s="106" t="str">
        <f t="shared" si="13"/>
        <v/>
      </c>
      <c r="N213" s="106">
        <f t="shared" si="14"/>
        <v>298</v>
      </c>
      <c r="O213" s="106">
        <f t="shared" si="15"/>
        <v>560</v>
      </c>
    </row>
    <row r="214" spans="1:15" x14ac:dyDescent="0.25">
      <c r="A214">
        <v>5200</v>
      </c>
      <c r="B214" t="s">
        <v>200</v>
      </c>
      <c r="C214" t="s">
        <v>0</v>
      </c>
      <c r="D214" t="s">
        <v>412</v>
      </c>
      <c r="E214">
        <v>780</v>
      </c>
      <c r="F214">
        <v>360</v>
      </c>
      <c r="G214" s="106">
        <v>255</v>
      </c>
      <c r="H214" s="106">
        <v>367</v>
      </c>
      <c r="I214" s="106">
        <v>334</v>
      </c>
      <c r="J214" s="106">
        <v>867</v>
      </c>
      <c r="L214" s="106">
        <f t="shared" si="12"/>
        <v>293</v>
      </c>
      <c r="M214" s="106">
        <f t="shared" si="13"/>
        <v>422</v>
      </c>
      <c r="N214" s="106">
        <f t="shared" si="14"/>
        <v>384</v>
      </c>
      <c r="O214" s="106">
        <f t="shared" si="15"/>
        <v>997</v>
      </c>
    </row>
    <row r="215" spans="1:15" x14ac:dyDescent="0.25">
      <c r="A215">
        <v>5210</v>
      </c>
      <c r="B215" t="s">
        <v>200</v>
      </c>
      <c r="C215" t="s">
        <v>0</v>
      </c>
      <c r="D215" t="s">
        <v>413</v>
      </c>
      <c r="E215">
        <v>780</v>
      </c>
      <c r="F215">
        <v>660</v>
      </c>
      <c r="G215" s="106">
        <v>314</v>
      </c>
      <c r="H215" s="106">
        <v>618</v>
      </c>
      <c r="I215" s="106">
        <v>423</v>
      </c>
      <c r="J215" s="106">
        <v>796</v>
      </c>
      <c r="L215" s="106">
        <f t="shared" si="12"/>
        <v>361</v>
      </c>
      <c r="M215" s="106">
        <f t="shared" si="13"/>
        <v>711</v>
      </c>
      <c r="N215" s="106">
        <f t="shared" si="14"/>
        <v>486</v>
      </c>
      <c r="O215" s="106">
        <f t="shared" si="15"/>
        <v>915</v>
      </c>
    </row>
    <row r="216" spans="1:15" x14ac:dyDescent="0.25">
      <c r="A216">
        <v>5201</v>
      </c>
      <c r="B216" t="s">
        <v>200</v>
      </c>
      <c r="C216" t="s">
        <v>0</v>
      </c>
      <c r="D216" t="s">
        <v>414</v>
      </c>
      <c r="E216">
        <v>780</v>
      </c>
      <c r="F216">
        <v>720</v>
      </c>
      <c r="G216" s="106">
        <v>314</v>
      </c>
      <c r="H216" s="106">
        <v>484</v>
      </c>
      <c r="I216" s="106">
        <v>423</v>
      </c>
      <c r="J216" s="106">
        <v>902</v>
      </c>
      <c r="L216" s="106">
        <f t="shared" si="12"/>
        <v>361</v>
      </c>
      <c r="M216" s="106">
        <f t="shared" si="13"/>
        <v>557</v>
      </c>
      <c r="N216" s="106">
        <f t="shared" si="14"/>
        <v>486</v>
      </c>
      <c r="O216" s="106">
        <f t="shared" si="15"/>
        <v>1037</v>
      </c>
    </row>
    <row r="217" spans="1:15" x14ac:dyDescent="0.25">
      <c r="A217">
        <v>5202</v>
      </c>
      <c r="B217" t="s">
        <v>200</v>
      </c>
      <c r="C217" t="s">
        <v>0</v>
      </c>
      <c r="D217" t="s">
        <v>415</v>
      </c>
      <c r="E217">
        <v>780</v>
      </c>
      <c r="F217">
        <v>1080</v>
      </c>
      <c r="G217" s="106">
        <v>464</v>
      </c>
      <c r="H217" s="106">
        <v>716</v>
      </c>
      <c r="I217" s="106">
        <v>624</v>
      </c>
      <c r="J217" s="106">
        <v>1139</v>
      </c>
      <c r="L217" s="106">
        <f t="shared" si="12"/>
        <v>534</v>
      </c>
      <c r="M217" s="106">
        <f t="shared" si="13"/>
        <v>823</v>
      </c>
      <c r="N217" s="106">
        <f t="shared" si="14"/>
        <v>718</v>
      </c>
      <c r="O217" s="106">
        <f t="shared" si="15"/>
        <v>1310</v>
      </c>
    </row>
    <row r="218" spans="1:15" x14ac:dyDescent="0.25">
      <c r="A218">
        <v>5203</v>
      </c>
      <c r="B218" t="s">
        <v>200</v>
      </c>
      <c r="C218" t="s">
        <v>0</v>
      </c>
      <c r="D218" t="s">
        <v>416</v>
      </c>
      <c r="E218">
        <v>780</v>
      </c>
      <c r="F218">
        <v>1440</v>
      </c>
      <c r="G218" s="106">
        <v>542</v>
      </c>
      <c r="H218" s="106">
        <v>863</v>
      </c>
      <c r="I218" s="106">
        <v>746</v>
      </c>
      <c r="J218" s="106">
        <v>1265</v>
      </c>
      <c r="L218" s="106">
        <f t="shared" si="12"/>
        <v>623</v>
      </c>
      <c r="M218" s="106">
        <f t="shared" si="13"/>
        <v>992</v>
      </c>
      <c r="N218" s="106">
        <f t="shared" si="14"/>
        <v>858</v>
      </c>
      <c r="O218" s="106">
        <f t="shared" si="15"/>
        <v>1455</v>
      </c>
    </row>
    <row r="219" spans="1:15" x14ac:dyDescent="0.25">
      <c r="A219">
        <v>5204</v>
      </c>
      <c r="B219" t="s">
        <v>200</v>
      </c>
      <c r="C219" t="s">
        <v>0</v>
      </c>
      <c r="D219" t="s">
        <v>417</v>
      </c>
      <c r="E219">
        <v>780</v>
      </c>
      <c r="F219">
        <v>1800</v>
      </c>
      <c r="G219" s="106">
        <v>668</v>
      </c>
      <c r="H219" s="106">
        <v>1315</v>
      </c>
      <c r="I219" s="106">
        <v>917</v>
      </c>
      <c r="J219" s="106">
        <v>1496</v>
      </c>
      <c r="L219" s="106">
        <f t="shared" si="12"/>
        <v>768</v>
      </c>
      <c r="M219" s="106">
        <f t="shared" si="13"/>
        <v>1512</v>
      </c>
      <c r="N219" s="106">
        <f t="shared" si="14"/>
        <v>1055</v>
      </c>
      <c r="O219" s="106">
        <f t="shared" si="15"/>
        <v>1720</v>
      </c>
    </row>
    <row r="220" spans="1:15" x14ac:dyDescent="0.25">
      <c r="A220">
        <v>5205</v>
      </c>
      <c r="B220" t="s">
        <v>200</v>
      </c>
      <c r="C220" t="s">
        <v>0</v>
      </c>
      <c r="D220" t="s">
        <v>418</v>
      </c>
      <c r="E220">
        <v>980</v>
      </c>
      <c r="F220">
        <v>360</v>
      </c>
      <c r="G220" s="106">
        <v>269</v>
      </c>
      <c r="H220" s="106">
        <v>406</v>
      </c>
      <c r="I220" s="106">
        <v>363</v>
      </c>
      <c r="J220" s="106">
        <v>888</v>
      </c>
      <c r="L220" s="106">
        <f t="shared" si="12"/>
        <v>309</v>
      </c>
      <c r="M220" s="106">
        <f t="shared" si="13"/>
        <v>467</v>
      </c>
      <c r="N220" s="106">
        <f t="shared" si="14"/>
        <v>417</v>
      </c>
      <c r="O220" s="106">
        <f t="shared" si="15"/>
        <v>1021</v>
      </c>
    </row>
    <row r="221" spans="1:15" x14ac:dyDescent="0.25">
      <c r="A221">
        <v>5206</v>
      </c>
      <c r="B221" t="s">
        <v>200</v>
      </c>
      <c r="C221" t="s">
        <v>0</v>
      </c>
      <c r="D221" t="s">
        <v>419</v>
      </c>
      <c r="E221">
        <v>980</v>
      </c>
      <c r="F221">
        <v>720</v>
      </c>
      <c r="G221" s="106">
        <v>375</v>
      </c>
      <c r="H221" s="106">
        <v>587</v>
      </c>
      <c r="I221" s="106">
        <v>517</v>
      </c>
      <c r="J221" s="106">
        <v>944</v>
      </c>
      <c r="L221" s="106">
        <f t="shared" si="12"/>
        <v>431</v>
      </c>
      <c r="M221" s="106">
        <f t="shared" si="13"/>
        <v>675</v>
      </c>
      <c r="N221" s="106">
        <f t="shared" si="14"/>
        <v>595</v>
      </c>
      <c r="O221" s="106">
        <f t="shared" si="15"/>
        <v>1086</v>
      </c>
    </row>
    <row r="222" spans="1:15" x14ac:dyDescent="0.25">
      <c r="A222">
        <v>5207</v>
      </c>
      <c r="B222" t="s">
        <v>200</v>
      </c>
      <c r="C222" t="s">
        <v>0</v>
      </c>
      <c r="D222" t="s">
        <v>420</v>
      </c>
      <c r="E222">
        <v>980</v>
      </c>
      <c r="F222">
        <v>1080</v>
      </c>
      <c r="G222" s="106">
        <v>523</v>
      </c>
      <c r="H222" s="106">
        <v>817</v>
      </c>
      <c r="I222" s="106">
        <v>717</v>
      </c>
      <c r="J222" s="106">
        <v>1349</v>
      </c>
      <c r="L222" s="106">
        <f t="shared" si="12"/>
        <v>601</v>
      </c>
      <c r="M222" s="106">
        <f t="shared" si="13"/>
        <v>940</v>
      </c>
      <c r="N222" s="106">
        <f t="shared" si="14"/>
        <v>825</v>
      </c>
      <c r="O222" s="106">
        <f t="shared" si="15"/>
        <v>1551</v>
      </c>
    </row>
    <row r="223" spans="1:15" x14ac:dyDescent="0.25">
      <c r="A223">
        <v>5208</v>
      </c>
      <c r="B223" t="s">
        <v>200</v>
      </c>
      <c r="C223" t="s">
        <v>0</v>
      </c>
      <c r="D223" t="s">
        <v>421</v>
      </c>
      <c r="E223">
        <v>980</v>
      </c>
      <c r="F223">
        <v>1440</v>
      </c>
      <c r="G223" s="106">
        <v>625</v>
      </c>
      <c r="H223" s="106">
        <v>998</v>
      </c>
      <c r="I223" s="106">
        <v>869</v>
      </c>
      <c r="J223" s="106">
        <v>1635</v>
      </c>
      <c r="L223" s="106">
        <f t="shared" si="12"/>
        <v>719</v>
      </c>
      <c r="M223" s="106">
        <f t="shared" si="13"/>
        <v>1148</v>
      </c>
      <c r="N223" s="106">
        <f t="shared" si="14"/>
        <v>999</v>
      </c>
      <c r="O223" s="106">
        <f t="shared" si="15"/>
        <v>1880</v>
      </c>
    </row>
    <row r="224" spans="1:15" x14ac:dyDescent="0.25">
      <c r="A224">
        <v>5209</v>
      </c>
      <c r="B224" t="s">
        <v>200</v>
      </c>
      <c r="C224" t="s">
        <v>0</v>
      </c>
      <c r="D224" t="s">
        <v>422</v>
      </c>
      <c r="E224">
        <v>980</v>
      </c>
      <c r="F224">
        <v>1800</v>
      </c>
      <c r="G224" s="106">
        <v>769</v>
      </c>
      <c r="H224" s="106">
        <v>1514</v>
      </c>
      <c r="I224" s="106">
        <v>1072</v>
      </c>
      <c r="J224" s="106">
        <v>2017</v>
      </c>
      <c r="L224" s="106">
        <f t="shared" si="12"/>
        <v>884</v>
      </c>
      <c r="M224" s="106">
        <f t="shared" si="13"/>
        <v>1741</v>
      </c>
      <c r="N224" s="106">
        <f t="shared" si="14"/>
        <v>1233</v>
      </c>
      <c r="O224" s="106">
        <f t="shared" si="15"/>
        <v>2320</v>
      </c>
    </row>
    <row r="225" spans="1:15" x14ac:dyDescent="0.25">
      <c r="A225">
        <v>5300</v>
      </c>
      <c r="B225" t="s">
        <v>200</v>
      </c>
      <c r="C225" t="s">
        <v>61</v>
      </c>
      <c r="D225" t="s">
        <v>423</v>
      </c>
      <c r="E225">
        <v>420</v>
      </c>
      <c r="F225">
        <v>180</v>
      </c>
      <c r="G225" s="106">
        <v>285</v>
      </c>
      <c r="H225" s="106">
        <v>345</v>
      </c>
      <c r="I225" s="106">
        <v>329</v>
      </c>
      <c r="J225" s="106">
        <v>619</v>
      </c>
      <c r="L225" s="106">
        <f t="shared" si="12"/>
        <v>328</v>
      </c>
      <c r="M225" s="106">
        <f t="shared" si="13"/>
        <v>397</v>
      </c>
      <c r="N225" s="106">
        <f t="shared" si="14"/>
        <v>378</v>
      </c>
      <c r="O225" s="106">
        <f t="shared" si="15"/>
        <v>712</v>
      </c>
    </row>
    <row r="226" spans="1:15" x14ac:dyDescent="0.25">
      <c r="A226">
        <v>5301</v>
      </c>
      <c r="B226" t="s">
        <v>200</v>
      </c>
      <c r="C226" t="s">
        <v>61</v>
      </c>
      <c r="D226" t="s">
        <v>424</v>
      </c>
      <c r="E226">
        <v>420</v>
      </c>
      <c r="F226">
        <v>360</v>
      </c>
      <c r="G226" s="106">
        <v>352</v>
      </c>
      <c r="H226" s="106">
        <v>439</v>
      </c>
      <c r="I226" s="106">
        <v>420</v>
      </c>
      <c r="J226" s="106">
        <v>429</v>
      </c>
      <c r="L226" s="106">
        <f t="shared" si="12"/>
        <v>405</v>
      </c>
      <c r="M226" s="106">
        <f t="shared" si="13"/>
        <v>505</v>
      </c>
      <c r="N226" s="106">
        <f t="shared" si="14"/>
        <v>483</v>
      </c>
      <c r="O226" s="106">
        <f t="shared" si="15"/>
        <v>493</v>
      </c>
    </row>
    <row r="227" spans="1:15" x14ac:dyDescent="0.25">
      <c r="A227">
        <v>5302</v>
      </c>
      <c r="B227" t="s">
        <v>200</v>
      </c>
      <c r="C227" t="s">
        <v>61</v>
      </c>
      <c r="D227" t="s">
        <v>425</v>
      </c>
      <c r="E227">
        <v>580</v>
      </c>
      <c r="F227">
        <v>180</v>
      </c>
      <c r="G227" s="106">
        <v>298</v>
      </c>
      <c r="H227" s="106">
        <v>368</v>
      </c>
      <c r="I227" s="106">
        <v>351</v>
      </c>
      <c r="J227" s="106">
        <v>358</v>
      </c>
      <c r="L227" s="106">
        <f t="shared" si="12"/>
        <v>343</v>
      </c>
      <c r="M227" s="106">
        <f t="shared" si="13"/>
        <v>423</v>
      </c>
      <c r="N227" s="106">
        <f t="shared" si="14"/>
        <v>404</v>
      </c>
      <c r="O227" s="106">
        <f t="shared" si="15"/>
        <v>412</v>
      </c>
    </row>
    <row r="228" spans="1:15" x14ac:dyDescent="0.25">
      <c r="A228">
        <v>5303</v>
      </c>
      <c r="B228" t="s">
        <v>200</v>
      </c>
      <c r="C228" t="s">
        <v>61</v>
      </c>
      <c r="D228" t="s">
        <v>426</v>
      </c>
      <c r="E228">
        <v>580</v>
      </c>
      <c r="F228">
        <v>360</v>
      </c>
      <c r="G228" s="106">
        <v>353</v>
      </c>
      <c r="H228" s="106">
        <v>470</v>
      </c>
      <c r="I228" s="106">
        <v>445</v>
      </c>
      <c r="J228" s="106">
        <v>460</v>
      </c>
      <c r="L228" s="106">
        <f t="shared" si="12"/>
        <v>406</v>
      </c>
      <c r="M228" s="106">
        <f t="shared" si="13"/>
        <v>541</v>
      </c>
      <c r="N228" s="106">
        <f t="shared" si="14"/>
        <v>512</v>
      </c>
      <c r="O228" s="106">
        <f t="shared" si="15"/>
        <v>529</v>
      </c>
    </row>
    <row r="229" spans="1:15" x14ac:dyDescent="0.25">
      <c r="A229">
        <v>5304</v>
      </c>
      <c r="B229" t="s">
        <v>200</v>
      </c>
      <c r="C229" t="s">
        <v>61</v>
      </c>
      <c r="D229" t="s">
        <v>427</v>
      </c>
      <c r="E229">
        <v>780</v>
      </c>
      <c r="F229">
        <v>180</v>
      </c>
      <c r="G229" s="106">
        <v>309</v>
      </c>
      <c r="H229" s="106">
        <v>391</v>
      </c>
      <c r="I229" s="106">
        <v>372</v>
      </c>
      <c r="J229" s="106">
        <v>381</v>
      </c>
      <c r="L229" s="106">
        <f t="shared" si="12"/>
        <v>355</v>
      </c>
      <c r="M229" s="106">
        <f t="shared" si="13"/>
        <v>450</v>
      </c>
      <c r="N229" s="106">
        <f t="shared" si="14"/>
        <v>428</v>
      </c>
      <c r="O229" s="106">
        <f t="shared" si="15"/>
        <v>438</v>
      </c>
    </row>
    <row r="230" spans="1:15" x14ac:dyDescent="0.25">
      <c r="A230">
        <v>5305</v>
      </c>
      <c r="B230" t="s">
        <v>200</v>
      </c>
      <c r="C230" t="s">
        <v>61</v>
      </c>
      <c r="D230" t="s">
        <v>428</v>
      </c>
      <c r="E230">
        <v>780</v>
      </c>
      <c r="F230">
        <v>360</v>
      </c>
      <c r="G230" s="106">
        <v>356</v>
      </c>
      <c r="H230" s="106">
        <v>501</v>
      </c>
      <c r="I230" s="106">
        <v>471</v>
      </c>
      <c r="J230" s="106">
        <v>491</v>
      </c>
      <c r="L230" s="106">
        <f t="shared" si="12"/>
        <v>409</v>
      </c>
      <c r="M230" s="106">
        <f t="shared" si="13"/>
        <v>576</v>
      </c>
      <c r="N230" s="106">
        <f t="shared" si="14"/>
        <v>542</v>
      </c>
      <c r="O230" s="106">
        <f t="shared" si="15"/>
        <v>565</v>
      </c>
    </row>
    <row r="231" spans="1:15" x14ac:dyDescent="0.25">
      <c r="A231">
        <v>5306</v>
      </c>
      <c r="B231" t="s">
        <v>200</v>
      </c>
      <c r="C231" t="s">
        <v>61</v>
      </c>
      <c r="D231" t="s">
        <v>429</v>
      </c>
      <c r="E231">
        <v>980</v>
      </c>
      <c r="F231">
        <v>180</v>
      </c>
      <c r="G231" s="106">
        <v>348</v>
      </c>
      <c r="H231" s="106">
        <v>474</v>
      </c>
      <c r="I231" s="106">
        <v>417</v>
      </c>
      <c r="J231" s="106">
        <v>464</v>
      </c>
      <c r="L231" s="106">
        <f t="shared" si="12"/>
        <v>400</v>
      </c>
      <c r="M231" s="106">
        <f t="shared" si="13"/>
        <v>545</v>
      </c>
      <c r="N231" s="106">
        <f t="shared" si="14"/>
        <v>480</v>
      </c>
      <c r="O231" s="106">
        <f t="shared" si="15"/>
        <v>534</v>
      </c>
    </row>
    <row r="232" spans="1:15" x14ac:dyDescent="0.25">
      <c r="A232">
        <v>5307</v>
      </c>
      <c r="B232" t="s">
        <v>200</v>
      </c>
      <c r="C232" t="s">
        <v>61</v>
      </c>
      <c r="D232" t="s">
        <v>430</v>
      </c>
      <c r="E232">
        <v>980</v>
      </c>
      <c r="F232">
        <v>360</v>
      </c>
      <c r="G232" s="106">
        <v>429</v>
      </c>
      <c r="H232" s="106">
        <v>610</v>
      </c>
      <c r="I232" s="106">
        <v>553</v>
      </c>
      <c r="J232" s="106">
        <v>600</v>
      </c>
      <c r="L232" s="106">
        <f t="shared" si="12"/>
        <v>493</v>
      </c>
      <c r="M232" s="106">
        <f t="shared" si="13"/>
        <v>702</v>
      </c>
      <c r="N232" s="106">
        <f t="shared" si="14"/>
        <v>636</v>
      </c>
      <c r="O232" s="106">
        <f t="shared" si="15"/>
        <v>690</v>
      </c>
    </row>
    <row r="233" spans="1:15" x14ac:dyDescent="0.25">
      <c r="A233" t="s">
        <v>187</v>
      </c>
      <c r="B233" t="s">
        <v>200</v>
      </c>
      <c r="C233" t="s">
        <v>67</v>
      </c>
      <c r="D233" t="s">
        <v>431</v>
      </c>
      <c r="E233">
        <v>780</v>
      </c>
      <c r="F233">
        <v>180</v>
      </c>
      <c r="G233" s="106">
        <v>309</v>
      </c>
      <c r="H233" s="106">
        <v>608</v>
      </c>
      <c r="I233" s="106">
        <v>372</v>
      </c>
      <c r="J233" s="106"/>
      <c r="L233" s="106">
        <f t="shared" si="12"/>
        <v>355</v>
      </c>
      <c r="M233" s="106">
        <f t="shared" si="13"/>
        <v>699</v>
      </c>
      <c r="N233" s="106">
        <f t="shared" si="14"/>
        <v>428</v>
      </c>
      <c r="O233" s="106" t="str">
        <f t="shared" si="15"/>
        <v/>
      </c>
    </row>
    <row r="234" spans="1:15" x14ac:dyDescent="0.25">
      <c r="A234" t="s">
        <v>41</v>
      </c>
      <c r="B234" t="s">
        <v>200</v>
      </c>
      <c r="C234" t="s">
        <v>61</v>
      </c>
      <c r="D234" t="s">
        <v>432</v>
      </c>
      <c r="E234">
        <v>420</v>
      </c>
      <c r="F234">
        <v>134</v>
      </c>
      <c r="G234" s="106">
        <v>285</v>
      </c>
      <c r="H234" s="106">
        <v>561</v>
      </c>
      <c r="I234" s="106"/>
      <c r="J234" s="106"/>
      <c r="K234" s="108" t="s">
        <v>319</v>
      </c>
      <c r="L234" s="106">
        <f t="shared" si="12"/>
        <v>328</v>
      </c>
      <c r="M234" s="106">
        <f t="shared" si="13"/>
        <v>645</v>
      </c>
      <c r="N234" s="106" t="str">
        <f t="shared" si="14"/>
        <v/>
      </c>
      <c r="O234" s="106" t="str">
        <f t="shared" si="15"/>
        <v/>
      </c>
    </row>
    <row r="235" spans="1:15" x14ac:dyDescent="0.25">
      <c r="A235" t="s">
        <v>40</v>
      </c>
      <c r="B235" t="s">
        <v>200</v>
      </c>
      <c r="C235" t="s">
        <v>61</v>
      </c>
      <c r="D235" t="s">
        <v>433</v>
      </c>
      <c r="E235">
        <v>420</v>
      </c>
      <c r="F235">
        <v>220</v>
      </c>
      <c r="G235" s="106">
        <v>285</v>
      </c>
      <c r="H235" s="106">
        <v>561</v>
      </c>
      <c r="I235" s="106"/>
      <c r="J235" s="106"/>
      <c r="K235" s="108" t="s">
        <v>319</v>
      </c>
      <c r="L235" s="106">
        <f t="shared" si="12"/>
        <v>328</v>
      </c>
      <c r="M235" s="106">
        <f t="shared" si="13"/>
        <v>645</v>
      </c>
      <c r="N235" s="106" t="str">
        <f t="shared" si="14"/>
        <v/>
      </c>
      <c r="O235" s="106" t="str">
        <f t="shared" si="15"/>
        <v/>
      </c>
    </row>
    <row r="236" spans="1:15" x14ac:dyDescent="0.25">
      <c r="A236" t="s">
        <v>29</v>
      </c>
      <c r="B236" t="s">
        <v>200</v>
      </c>
      <c r="C236" t="s">
        <v>61</v>
      </c>
      <c r="D236" t="s">
        <v>434</v>
      </c>
      <c r="E236">
        <v>412</v>
      </c>
      <c r="F236">
        <v>121</v>
      </c>
      <c r="G236" s="106">
        <v>285</v>
      </c>
      <c r="H236" s="106">
        <v>561</v>
      </c>
      <c r="I236" s="106"/>
      <c r="J236" s="106"/>
      <c r="K236" s="108" t="s">
        <v>319</v>
      </c>
      <c r="L236" s="106">
        <f t="shared" si="12"/>
        <v>328</v>
      </c>
      <c r="M236" s="106">
        <f t="shared" si="13"/>
        <v>645</v>
      </c>
      <c r="N236" s="106" t="str">
        <f t="shared" si="14"/>
        <v/>
      </c>
      <c r="O236" s="106" t="str">
        <f t="shared" si="15"/>
        <v/>
      </c>
    </row>
    <row r="237" spans="1:15" x14ac:dyDescent="0.25">
      <c r="A237" t="s">
        <v>28</v>
      </c>
      <c r="B237" t="s">
        <v>200</v>
      </c>
      <c r="C237" t="s">
        <v>61</v>
      </c>
      <c r="D237" t="s">
        <v>435</v>
      </c>
      <c r="E237">
        <v>412</v>
      </c>
      <c r="F237">
        <v>400</v>
      </c>
      <c r="G237" s="106">
        <v>352</v>
      </c>
      <c r="H237" s="106">
        <v>693</v>
      </c>
      <c r="I237" s="106"/>
      <c r="J237" s="106"/>
      <c r="K237" s="108" t="s">
        <v>319</v>
      </c>
      <c r="L237" s="106">
        <f t="shared" si="12"/>
        <v>405</v>
      </c>
      <c r="M237" s="106">
        <f t="shared" si="13"/>
        <v>797</v>
      </c>
      <c r="N237" s="106" t="str">
        <f t="shared" si="14"/>
        <v/>
      </c>
      <c r="O237" s="106" t="str">
        <f t="shared" si="15"/>
        <v/>
      </c>
    </row>
    <row r="238" spans="1:15" x14ac:dyDescent="0.25">
      <c r="A238" t="s">
        <v>19</v>
      </c>
      <c r="B238" t="s">
        <v>200</v>
      </c>
      <c r="C238" t="s">
        <v>61</v>
      </c>
      <c r="D238" t="s">
        <v>436</v>
      </c>
      <c r="E238">
        <v>420</v>
      </c>
      <c r="F238">
        <v>145</v>
      </c>
      <c r="G238" s="106">
        <v>285</v>
      </c>
      <c r="H238" s="106">
        <v>561</v>
      </c>
      <c r="I238" s="106"/>
      <c r="J238" s="106"/>
      <c r="K238" s="108" t="s">
        <v>319</v>
      </c>
      <c r="L238" s="106">
        <f t="shared" si="12"/>
        <v>328</v>
      </c>
      <c r="M238" s="106">
        <f t="shared" si="13"/>
        <v>645</v>
      </c>
      <c r="N238" s="106" t="str">
        <f t="shared" si="14"/>
        <v/>
      </c>
      <c r="O238" s="106" t="str">
        <f t="shared" si="15"/>
        <v/>
      </c>
    </row>
    <row r="239" spans="1:15" x14ac:dyDescent="0.25">
      <c r="A239" t="s">
        <v>18</v>
      </c>
      <c r="B239" t="s">
        <v>200</v>
      </c>
      <c r="C239" t="s">
        <v>61</v>
      </c>
      <c r="D239" t="s">
        <v>437</v>
      </c>
      <c r="E239">
        <v>420</v>
      </c>
      <c r="F239">
        <v>293</v>
      </c>
      <c r="G239" s="106">
        <v>352</v>
      </c>
      <c r="H239" s="106">
        <v>693</v>
      </c>
      <c r="I239" s="106"/>
      <c r="J239" s="106"/>
      <c r="K239" s="108" t="s">
        <v>319</v>
      </c>
      <c r="L239" s="106">
        <f t="shared" si="12"/>
        <v>405</v>
      </c>
      <c r="M239" s="106">
        <f t="shared" si="13"/>
        <v>797</v>
      </c>
      <c r="N239" s="106" t="str">
        <f t="shared" si="14"/>
        <v/>
      </c>
      <c r="O239" s="106" t="str">
        <f t="shared" si="15"/>
        <v/>
      </c>
    </row>
    <row r="240" spans="1:15" x14ac:dyDescent="0.25">
      <c r="A240" t="s">
        <v>4</v>
      </c>
      <c r="B240" t="s">
        <v>200</v>
      </c>
      <c r="C240" t="s">
        <v>61</v>
      </c>
      <c r="D240" t="s">
        <v>438</v>
      </c>
      <c r="E240">
        <v>420</v>
      </c>
      <c r="F240">
        <v>67</v>
      </c>
      <c r="G240" s="106">
        <v>285</v>
      </c>
      <c r="H240" s="106">
        <v>561</v>
      </c>
      <c r="I240" s="106"/>
      <c r="J240" s="106"/>
      <c r="K240" s="108" t="s">
        <v>319</v>
      </c>
      <c r="L240" s="106">
        <f t="shared" si="12"/>
        <v>328</v>
      </c>
      <c r="M240" s="106">
        <f t="shared" si="13"/>
        <v>645</v>
      </c>
      <c r="N240" s="106" t="str">
        <f t="shared" si="14"/>
        <v/>
      </c>
      <c r="O240" s="106" t="str">
        <f t="shared" si="15"/>
        <v/>
      </c>
    </row>
    <row r="241" spans="1:15" x14ac:dyDescent="0.25">
      <c r="A241" t="s">
        <v>183</v>
      </c>
      <c r="B241" t="s">
        <v>200</v>
      </c>
      <c r="C241" t="s">
        <v>61</v>
      </c>
      <c r="D241" t="s">
        <v>439</v>
      </c>
      <c r="E241">
        <v>420</v>
      </c>
      <c r="F241">
        <v>142</v>
      </c>
      <c r="G241" s="106">
        <v>285</v>
      </c>
      <c r="H241" s="106">
        <v>561</v>
      </c>
      <c r="I241" s="106"/>
      <c r="J241" s="106"/>
      <c r="K241" s="108" t="s">
        <v>319</v>
      </c>
      <c r="L241" s="106">
        <f t="shared" si="12"/>
        <v>328</v>
      </c>
      <c r="M241" s="106">
        <f t="shared" si="13"/>
        <v>645</v>
      </c>
      <c r="N241" s="106" t="str">
        <f t="shared" si="14"/>
        <v/>
      </c>
      <c r="O241" s="106" t="str">
        <f t="shared" si="15"/>
        <v/>
      </c>
    </row>
    <row r="242" spans="1:15" x14ac:dyDescent="0.25">
      <c r="A242" t="s">
        <v>184</v>
      </c>
      <c r="B242" t="s">
        <v>200</v>
      </c>
      <c r="C242" t="s">
        <v>61</v>
      </c>
      <c r="D242" t="s">
        <v>440</v>
      </c>
      <c r="E242">
        <v>420</v>
      </c>
      <c r="F242">
        <v>280</v>
      </c>
      <c r="G242" s="106">
        <v>285</v>
      </c>
      <c r="H242" s="106">
        <v>561</v>
      </c>
      <c r="I242" s="106"/>
      <c r="J242" s="106"/>
      <c r="K242" s="108" t="s">
        <v>319</v>
      </c>
      <c r="L242" s="106">
        <f t="shared" si="12"/>
        <v>328</v>
      </c>
      <c r="M242" s="106">
        <f t="shared" si="13"/>
        <v>645</v>
      </c>
      <c r="N242" s="106" t="str">
        <f t="shared" si="14"/>
        <v/>
      </c>
      <c r="O242" s="106" t="str">
        <f t="shared" si="15"/>
        <v/>
      </c>
    </row>
    <row r="243" spans="1:15" x14ac:dyDescent="0.25">
      <c r="A243" t="s">
        <v>3</v>
      </c>
      <c r="B243" t="s">
        <v>200</v>
      </c>
      <c r="C243" t="s">
        <v>61</v>
      </c>
      <c r="D243" t="s">
        <v>441</v>
      </c>
      <c r="E243">
        <v>420</v>
      </c>
      <c r="F243">
        <v>141</v>
      </c>
      <c r="G243" s="106">
        <v>285</v>
      </c>
      <c r="H243" s="106">
        <v>561</v>
      </c>
      <c r="I243" s="106"/>
      <c r="J243" s="106"/>
      <c r="K243" s="108" t="s">
        <v>319</v>
      </c>
      <c r="L243" s="106">
        <f t="shared" si="12"/>
        <v>328</v>
      </c>
      <c r="M243" s="106">
        <f t="shared" si="13"/>
        <v>645</v>
      </c>
      <c r="N243" s="106" t="str">
        <f t="shared" si="14"/>
        <v/>
      </c>
      <c r="O243" s="106" t="str">
        <f t="shared" si="15"/>
        <v/>
      </c>
    </row>
    <row r="244" spans="1:15" x14ac:dyDescent="0.25">
      <c r="A244">
        <v>5400</v>
      </c>
      <c r="B244" t="s">
        <v>200</v>
      </c>
      <c r="C244" t="s">
        <v>79</v>
      </c>
      <c r="D244" t="s">
        <v>442</v>
      </c>
      <c r="E244">
        <v>420</v>
      </c>
      <c r="F244">
        <v>180</v>
      </c>
      <c r="G244" s="106">
        <v>285</v>
      </c>
      <c r="H244" s="106">
        <v>345</v>
      </c>
      <c r="I244" s="106">
        <v>329</v>
      </c>
      <c r="J244" s="106">
        <v>335</v>
      </c>
      <c r="L244" s="106">
        <f t="shared" si="12"/>
        <v>328</v>
      </c>
      <c r="M244" s="106">
        <f t="shared" si="13"/>
        <v>397</v>
      </c>
      <c r="N244" s="106">
        <f t="shared" si="14"/>
        <v>378</v>
      </c>
      <c r="O244" s="106">
        <f t="shared" si="15"/>
        <v>385</v>
      </c>
    </row>
    <row r="245" spans="1:15" x14ac:dyDescent="0.25">
      <c r="A245">
        <v>5401</v>
      </c>
      <c r="B245" t="s">
        <v>200</v>
      </c>
      <c r="C245" t="s">
        <v>79</v>
      </c>
      <c r="D245" t="s">
        <v>443</v>
      </c>
      <c r="E245">
        <v>420</v>
      </c>
      <c r="F245">
        <v>360</v>
      </c>
      <c r="G245" s="106">
        <v>352</v>
      </c>
      <c r="H245" s="106">
        <v>439</v>
      </c>
      <c r="I245" s="106">
        <v>420</v>
      </c>
      <c r="J245" s="106">
        <v>429</v>
      </c>
      <c r="L245" s="106">
        <f t="shared" si="12"/>
        <v>405</v>
      </c>
      <c r="M245" s="106">
        <f t="shared" si="13"/>
        <v>505</v>
      </c>
      <c r="N245" s="106">
        <f t="shared" si="14"/>
        <v>483</v>
      </c>
      <c r="O245" s="106">
        <f t="shared" si="15"/>
        <v>493</v>
      </c>
    </row>
    <row r="246" spans="1:15" x14ac:dyDescent="0.25">
      <c r="A246">
        <v>5402</v>
      </c>
      <c r="B246" t="s">
        <v>200</v>
      </c>
      <c r="C246" t="s">
        <v>79</v>
      </c>
      <c r="D246" t="s">
        <v>444</v>
      </c>
      <c r="E246">
        <v>580</v>
      </c>
      <c r="F246">
        <v>180</v>
      </c>
      <c r="G246" s="106">
        <v>298</v>
      </c>
      <c r="H246" s="106">
        <v>368</v>
      </c>
      <c r="I246" s="106">
        <v>351</v>
      </c>
      <c r="J246" s="106">
        <v>358</v>
      </c>
      <c r="L246" s="106">
        <f t="shared" si="12"/>
        <v>343</v>
      </c>
      <c r="M246" s="106">
        <f t="shared" si="13"/>
        <v>423</v>
      </c>
      <c r="N246" s="106">
        <f t="shared" si="14"/>
        <v>404</v>
      </c>
      <c r="O246" s="106">
        <f t="shared" si="15"/>
        <v>412</v>
      </c>
    </row>
    <row r="247" spans="1:15" x14ac:dyDescent="0.25">
      <c r="A247">
        <v>5403</v>
      </c>
      <c r="B247" t="s">
        <v>200</v>
      </c>
      <c r="C247" t="s">
        <v>79</v>
      </c>
      <c r="D247" t="s">
        <v>445</v>
      </c>
      <c r="E247">
        <v>580</v>
      </c>
      <c r="F247">
        <v>360</v>
      </c>
      <c r="G247" s="106">
        <v>353</v>
      </c>
      <c r="H247" s="106">
        <v>470</v>
      </c>
      <c r="I247" s="106">
        <v>445</v>
      </c>
      <c r="J247" s="106">
        <v>460</v>
      </c>
      <c r="L247" s="106">
        <f t="shared" si="12"/>
        <v>406</v>
      </c>
      <c r="M247" s="106">
        <f t="shared" si="13"/>
        <v>541</v>
      </c>
      <c r="N247" s="106">
        <f t="shared" si="14"/>
        <v>512</v>
      </c>
      <c r="O247" s="106">
        <f t="shared" si="15"/>
        <v>529</v>
      </c>
    </row>
    <row r="248" spans="1:15" x14ac:dyDescent="0.25">
      <c r="A248">
        <v>5404</v>
      </c>
      <c r="B248" t="s">
        <v>200</v>
      </c>
      <c r="C248" t="s">
        <v>79</v>
      </c>
      <c r="D248" t="s">
        <v>446</v>
      </c>
      <c r="E248">
        <v>780</v>
      </c>
      <c r="F248">
        <v>180</v>
      </c>
      <c r="G248" s="106">
        <v>309</v>
      </c>
      <c r="H248" s="106">
        <v>391</v>
      </c>
      <c r="I248" s="106">
        <v>372</v>
      </c>
      <c r="J248" s="106">
        <v>381</v>
      </c>
      <c r="L248" s="106">
        <f t="shared" si="12"/>
        <v>355</v>
      </c>
      <c r="M248" s="106">
        <f t="shared" si="13"/>
        <v>450</v>
      </c>
      <c r="N248" s="106">
        <f t="shared" si="14"/>
        <v>428</v>
      </c>
      <c r="O248" s="106">
        <f t="shared" si="15"/>
        <v>438</v>
      </c>
    </row>
    <row r="249" spans="1:15" x14ac:dyDescent="0.25">
      <c r="A249">
        <v>5405</v>
      </c>
      <c r="B249" t="s">
        <v>200</v>
      </c>
      <c r="C249" t="s">
        <v>79</v>
      </c>
      <c r="D249" t="s">
        <v>447</v>
      </c>
      <c r="E249">
        <v>780</v>
      </c>
      <c r="F249">
        <v>360</v>
      </c>
      <c r="G249" s="106">
        <v>356</v>
      </c>
      <c r="H249" s="106">
        <v>501</v>
      </c>
      <c r="I249" s="106">
        <v>471</v>
      </c>
      <c r="J249" s="106">
        <v>491</v>
      </c>
      <c r="L249" s="106">
        <f t="shared" si="12"/>
        <v>409</v>
      </c>
      <c r="M249" s="106">
        <f t="shared" si="13"/>
        <v>576</v>
      </c>
      <c r="N249" s="106">
        <f t="shared" si="14"/>
        <v>542</v>
      </c>
      <c r="O249" s="106">
        <f t="shared" si="15"/>
        <v>565</v>
      </c>
    </row>
    <row r="250" spans="1:15" x14ac:dyDescent="0.25">
      <c r="A250">
        <v>5406</v>
      </c>
      <c r="B250" t="s">
        <v>200</v>
      </c>
      <c r="C250" t="s">
        <v>79</v>
      </c>
      <c r="D250" t="s">
        <v>448</v>
      </c>
      <c r="E250">
        <v>980</v>
      </c>
      <c r="F250">
        <v>180</v>
      </c>
      <c r="G250" s="106">
        <v>348</v>
      </c>
      <c r="H250" s="106">
        <v>474</v>
      </c>
      <c r="I250" s="106">
        <v>417</v>
      </c>
      <c r="J250" s="106">
        <v>464</v>
      </c>
      <c r="L250" s="106">
        <f t="shared" si="12"/>
        <v>400</v>
      </c>
      <c r="M250" s="106">
        <f t="shared" si="13"/>
        <v>545</v>
      </c>
      <c r="N250" s="106">
        <f t="shared" si="14"/>
        <v>480</v>
      </c>
      <c r="O250" s="106">
        <f t="shared" si="15"/>
        <v>534</v>
      </c>
    </row>
    <row r="251" spans="1:15" x14ac:dyDescent="0.25">
      <c r="A251">
        <v>5407</v>
      </c>
      <c r="B251" t="s">
        <v>200</v>
      </c>
      <c r="C251" t="s">
        <v>79</v>
      </c>
      <c r="D251" t="s">
        <v>449</v>
      </c>
      <c r="E251">
        <v>980</v>
      </c>
      <c r="F251">
        <v>360</v>
      </c>
      <c r="G251" s="106">
        <v>429</v>
      </c>
      <c r="H251" s="106">
        <v>610</v>
      </c>
      <c r="I251" s="106">
        <v>553</v>
      </c>
      <c r="J251" s="106">
        <v>600</v>
      </c>
      <c r="L251" s="106">
        <f t="shared" si="12"/>
        <v>493</v>
      </c>
      <c r="M251" s="106">
        <f t="shared" si="13"/>
        <v>702</v>
      </c>
      <c r="N251" s="106">
        <f t="shared" si="14"/>
        <v>636</v>
      </c>
      <c r="O251" s="106">
        <f t="shared" si="15"/>
        <v>690</v>
      </c>
    </row>
    <row r="252" spans="1:15" x14ac:dyDescent="0.25">
      <c r="A252">
        <v>5500</v>
      </c>
      <c r="B252" t="s">
        <v>200</v>
      </c>
      <c r="C252" t="s">
        <v>80</v>
      </c>
      <c r="D252" t="s">
        <v>450</v>
      </c>
      <c r="E252">
        <v>420</v>
      </c>
      <c r="F252">
        <v>180</v>
      </c>
      <c r="G252" s="106">
        <v>285</v>
      </c>
      <c r="H252" s="106">
        <v>345</v>
      </c>
      <c r="I252" s="106">
        <v>329</v>
      </c>
      <c r="J252" s="106">
        <v>335</v>
      </c>
      <c r="L252" s="106">
        <f t="shared" si="12"/>
        <v>328</v>
      </c>
      <c r="M252" s="106">
        <f t="shared" si="13"/>
        <v>397</v>
      </c>
      <c r="N252" s="106">
        <f t="shared" si="14"/>
        <v>378</v>
      </c>
      <c r="O252" s="106">
        <f t="shared" si="15"/>
        <v>385</v>
      </c>
    </row>
    <row r="253" spans="1:15" x14ac:dyDescent="0.25">
      <c r="A253">
        <v>5501</v>
      </c>
      <c r="B253" t="s">
        <v>200</v>
      </c>
      <c r="C253" t="s">
        <v>80</v>
      </c>
      <c r="D253" t="s">
        <v>451</v>
      </c>
      <c r="E253">
        <v>420</v>
      </c>
      <c r="F253">
        <v>360</v>
      </c>
      <c r="G253" s="106">
        <v>352</v>
      </c>
      <c r="H253" s="106">
        <v>439</v>
      </c>
      <c r="I253" s="106">
        <v>420</v>
      </c>
      <c r="J253" s="106">
        <v>429</v>
      </c>
      <c r="L253" s="106">
        <f t="shared" si="12"/>
        <v>405</v>
      </c>
      <c r="M253" s="106">
        <f t="shared" si="13"/>
        <v>505</v>
      </c>
      <c r="N253" s="106">
        <f t="shared" si="14"/>
        <v>483</v>
      </c>
      <c r="O253" s="106">
        <f t="shared" si="15"/>
        <v>493</v>
      </c>
    </row>
    <row r="254" spans="1:15" x14ac:dyDescent="0.25">
      <c r="A254">
        <v>5502</v>
      </c>
      <c r="B254" t="s">
        <v>200</v>
      </c>
      <c r="C254" t="s">
        <v>80</v>
      </c>
      <c r="D254" t="s">
        <v>452</v>
      </c>
      <c r="E254">
        <v>580</v>
      </c>
      <c r="F254">
        <v>180</v>
      </c>
      <c r="G254" s="106">
        <v>298</v>
      </c>
      <c r="H254" s="106">
        <v>368</v>
      </c>
      <c r="I254" s="106">
        <v>351</v>
      </c>
      <c r="J254" s="106">
        <v>358</v>
      </c>
      <c r="L254" s="106">
        <f t="shared" si="12"/>
        <v>343</v>
      </c>
      <c r="M254" s="106">
        <f t="shared" si="13"/>
        <v>423</v>
      </c>
      <c r="N254" s="106">
        <f t="shared" si="14"/>
        <v>404</v>
      </c>
      <c r="O254" s="106">
        <f t="shared" si="15"/>
        <v>412</v>
      </c>
    </row>
    <row r="255" spans="1:15" x14ac:dyDescent="0.25">
      <c r="A255">
        <v>5503</v>
      </c>
      <c r="B255" t="s">
        <v>200</v>
      </c>
      <c r="C255" t="s">
        <v>80</v>
      </c>
      <c r="D255" t="s">
        <v>453</v>
      </c>
      <c r="E255">
        <v>580</v>
      </c>
      <c r="F255">
        <v>360</v>
      </c>
      <c r="G255" s="106">
        <v>353</v>
      </c>
      <c r="H255" s="106">
        <v>470</v>
      </c>
      <c r="I255" s="106">
        <v>445</v>
      </c>
      <c r="J255" s="106">
        <v>460</v>
      </c>
      <c r="L255" s="106">
        <f t="shared" si="12"/>
        <v>406</v>
      </c>
      <c r="M255" s="106">
        <f t="shared" si="13"/>
        <v>541</v>
      </c>
      <c r="N255" s="106">
        <f t="shared" si="14"/>
        <v>512</v>
      </c>
      <c r="O255" s="106">
        <f t="shared" si="15"/>
        <v>529</v>
      </c>
    </row>
    <row r="256" spans="1:15" x14ac:dyDescent="0.25">
      <c r="A256">
        <v>5504</v>
      </c>
      <c r="B256" t="s">
        <v>200</v>
      </c>
      <c r="C256" t="s">
        <v>80</v>
      </c>
      <c r="D256" t="s">
        <v>454</v>
      </c>
      <c r="E256">
        <v>780</v>
      </c>
      <c r="F256">
        <v>180</v>
      </c>
      <c r="G256" s="106">
        <v>309</v>
      </c>
      <c r="H256" s="106">
        <v>391</v>
      </c>
      <c r="I256" s="106">
        <v>372</v>
      </c>
      <c r="J256" s="106">
        <v>381</v>
      </c>
      <c r="L256" s="106">
        <f t="shared" si="12"/>
        <v>355</v>
      </c>
      <c r="M256" s="106">
        <f t="shared" si="13"/>
        <v>450</v>
      </c>
      <c r="N256" s="106">
        <f t="shared" si="14"/>
        <v>428</v>
      </c>
      <c r="O256" s="106">
        <f t="shared" si="15"/>
        <v>438</v>
      </c>
    </row>
    <row r="257" spans="1:15" x14ac:dyDescent="0.25">
      <c r="A257">
        <v>5505</v>
      </c>
      <c r="B257" t="s">
        <v>200</v>
      </c>
      <c r="C257" t="s">
        <v>80</v>
      </c>
      <c r="D257" t="s">
        <v>455</v>
      </c>
      <c r="E257">
        <v>780</v>
      </c>
      <c r="F257">
        <v>360</v>
      </c>
      <c r="G257" s="106">
        <v>356</v>
      </c>
      <c r="H257" s="106">
        <v>501</v>
      </c>
      <c r="I257" s="106">
        <v>471</v>
      </c>
      <c r="J257" s="106">
        <v>491</v>
      </c>
      <c r="L257" s="106">
        <f t="shared" si="12"/>
        <v>409</v>
      </c>
      <c r="M257" s="106">
        <f t="shared" si="13"/>
        <v>576</v>
      </c>
      <c r="N257" s="106">
        <f t="shared" si="14"/>
        <v>542</v>
      </c>
      <c r="O257" s="106">
        <f t="shared" si="15"/>
        <v>565</v>
      </c>
    </row>
    <row r="258" spans="1:15" x14ac:dyDescent="0.25">
      <c r="A258">
        <v>5506</v>
      </c>
      <c r="B258" t="s">
        <v>200</v>
      </c>
      <c r="C258" t="s">
        <v>80</v>
      </c>
      <c r="D258" t="s">
        <v>456</v>
      </c>
      <c r="E258">
        <v>980</v>
      </c>
      <c r="F258">
        <v>180</v>
      </c>
      <c r="G258" s="106">
        <v>348</v>
      </c>
      <c r="H258" s="106">
        <v>474</v>
      </c>
      <c r="I258" s="106">
        <v>417</v>
      </c>
      <c r="J258" s="106">
        <v>464</v>
      </c>
      <c r="L258" s="106">
        <f t="shared" si="12"/>
        <v>400</v>
      </c>
      <c r="M258" s="106">
        <f t="shared" si="13"/>
        <v>545</v>
      </c>
      <c r="N258" s="106">
        <f t="shared" si="14"/>
        <v>480</v>
      </c>
      <c r="O258" s="106">
        <f t="shared" si="15"/>
        <v>534</v>
      </c>
    </row>
    <row r="259" spans="1:15" x14ac:dyDescent="0.25">
      <c r="A259">
        <v>5507</v>
      </c>
      <c r="B259" t="s">
        <v>200</v>
      </c>
      <c r="C259" t="s">
        <v>80</v>
      </c>
      <c r="D259" t="s">
        <v>457</v>
      </c>
      <c r="E259">
        <v>980</v>
      </c>
      <c r="F259">
        <v>360</v>
      </c>
      <c r="G259" s="106">
        <v>429</v>
      </c>
      <c r="H259" s="106">
        <v>610</v>
      </c>
      <c r="I259" s="106">
        <v>553</v>
      </c>
      <c r="J259" s="106">
        <v>600</v>
      </c>
      <c r="L259" s="106">
        <f t="shared" si="12"/>
        <v>493</v>
      </c>
      <c r="M259" s="106">
        <f t="shared" si="13"/>
        <v>702</v>
      </c>
      <c r="N259" s="106">
        <f t="shared" si="14"/>
        <v>636</v>
      </c>
      <c r="O259" s="106">
        <f t="shared" si="15"/>
        <v>690</v>
      </c>
    </row>
    <row r="260" spans="1:15" x14ac:dyDescent="0.25">
      <c r="G260" s="106"/>
      <c r="H260" s="106"/>
      <c r="I260" s="106"/>
      <c r="J260" s="106"/>
      <c r="L260" s="106" t="str">
        <f t="shared" si="12"/>
        <v/>
      </c>
      <c r="M260" s="106" t="str">
        <f t="shared" si="13"/>
        <v/>
      </c>
      <c r="N260" s="106" t="str">
        <f t="shared" si="14"/>
        <v/>
      </c>
      <c r="O260" s="106" t="str">
        <f t="shared" si="15"/>
        <v/>
      </c>
    </row>
    <row r="261" spans="1:15" x14ac:dyDescent="0.25">
      <c r="G261" s="106"/>
      <c r="H261" s="106"/>
      <c r="I261" s="106"/>
      <c r="J261" s="106"/>
      <c r="L261" s="106" t="str">
        <f t="shared" si="12"/>
        <v/>
      </c>
      <c r="M261" s="106" t="str">
        <f t="shared" si="13"/>
        <v/>
      </c>
      <c r="N261" s="106" t="str">
        <f t="shared" si="14"/>
        <v/>
      </c>
      <c r="O261" s="106" t="str">
        <f t="shared" si="15"/>
        <v/>
      </c>
    </row>
    <row r="262" spans="1:15" x14ac:dyDescent="0.25">
      <c r="A262" s="105" t="s">
        <v>188</v>
      </c>
      <c r="B262" s="105" t="s">
        <v>198</v>
      </c>
      <c r="C262" s="105" t="s">
        <v>189</v>
      </c>
      <c r="D262" s="105" t="s">
        <v>190</v>
      </c>
      <c r="E262" s="105"/>
      <c r="F262" s="105"/>
      <c r="G262" s="107" t="s">
        <v>458</v>
      </c>
      <c r="H262" s="107"/>
      <c r="I262" s="107"/>
      <c r="J262" s="107"/>
      <c r="K262" s="105"/>
      <c r="L262" s="107" t="s">
        <v>464</v>
      </c>
      <c r="M262" s="107"/>
      <c r="N262" s="107"/>
      <c r="O262" s="107"/>
    </row>
    <row r="263" spans="1:15" x14ac:dyDescent="0.25">
      <c r="A263">
        <v>1000</v>
      </c>
      <c r="B263" t="s">
        <v>459</v>
      </c>
      <c r="D263" t="s">
        <v>131</v>
      </c>
      <c r="G263" s="106">
        <v>6</v>
      </c>
      <c r="H263" s="106"/>
      <c r="I263" s="106"/>
      <c r="J263" s="106"/>
      <c r="L263" s="106">
        <f t="shared" ref="L263:L309" si="16">IF(G263="","",ROUND(G263*1.15,0))</f>
        <v>7</v>
      </c>
      <c r="M263" s="106"/>
      <c r="N263" s="106"/>
      <c r="O263" s="106"/>
    </row>
    <row r="264" spans="1:15" x14ac:dyDescent="0.25">
      <c r="A264">
        <v>1001</v>
      </c>
      <c r="B264" t="s">
        <v>459</v>
      </c>
      <c r="D264" t="s">
        <v>131</v>
      </c>
      <c r="G264" s="106">
        <v>6</v>
      </c>
      <c r="H264" s="106"/>
      <c r="I264" s="106"/>
      <c r="J264" s="106"/>
      <c r="L264" s="106">
        <f t="shared" si="16"/>
        <v>7</v>
      </c>
      <c r="M264" s="106"/>
      <c r="N264" s="106"/>
      <c r="O264" s="106"/>
    </row>
    <row r="265" spans="1:15" x14ac:dyDescent="0.25">
      <c r="A265">
        <v>1002</v>
      </c>
      <c r="B265" t="s">
        <v>459</v>
      </c>
      <c r="D265" t="s">
        <v>131</v>
      </c>
      <c r="G265" s="106">
        <v>6</v>
      </c>
      <c r="H265" s="106"/>
      <c r="I265" s="106"/>
      <c r="J265" s="106"/>
      <c r="L265" s="106">
        <f t="shared" si="16"/>
        <v>7</v>
      </c>
      <c r="M265" s="106"/>
      <c r="N265" s="106"/>
      <c r="O265" s="106"/>
    </row>
    <row r="266" spans="1:15" x14ac:dyDescent="0.25">
      <c r="A266">
        <v>1100</v>
      </c>
      <c r="B266" t="s">
        <v>459</v>
      </c>
      <c r="D266" t="s">
        <v>130</v>
      </c>
      <c r="G266" s="106">
        <v>6</v>
      </c>
      <c r="H266" s="106"/>
      <c r="I266" s="106"/>
      <c r="J266" s="106"/>
      <c r="L266" s="106">
        <f t="shared" si="16"/>
        <v>7</v>
      </c>
      <c r="M266" s="106"/>
      <c r="N266" s="106"/>
      <c r="O266" s="106"/>
    </row>
    <row r="267" spans="1:15" x14ac:dyDescent="0.25">
      <c r="A267">
        <v>1101</v>
      </c>
      <c r="B267" t="s">
        <v>459</v>
      </c>
      <c r="D267" t="s">
        <v>130</v>
      </c>
      <c r="G267" s="106">
        <v>6</v>
      </c>
      <c r="H267" s="106"/>
      <c r="I267" s="106"/>
      <c r="J267" s="106"/>
      <c r="L267" s="106">
        <f t="shared" si="16"/>
        <v>7</v>
      </c>
      <c r="M267" s="106"/>
      <c r="N267" s="106"/>
      <c r="O267" s="106"/>
    </row>
    <row r="268" spans="1:15" x14ac:dyDescent="0.25">
      <c r="A268">
        <v>1102</v>
      </c>
      <c r="B268" t="s">
        <v>459</v>
      </c>
      <c r="D268" t="s">
        <v>130</v>
      </c>
      <c r="G268" s="106">
        <v>6</v>
      </c>
      <c r="H268" s="106"/>
      <c r="I268" s="106"/>
      <c r="J268" s="106"/>
      <c r="L268" s="106">
        <f t="shared" si="16"/>
        <v>7</v>
      </c>
      <c r="M268" s="106"/>
      <c r="N268" s="106"/>
      <c r="O268" s="106"/>
    </row>
    <row r="269" spans="1:15" x14ac:dyDescent="0.25">
      <c r="A269">
        <v>2000</v>
      </c>
      <c r="B269" t="s">
        <v>459</v>
      </c>
      <c r="C269" t="s">
        <v>129</v>
      </c>
      <c r="D269" t="s">
        <v>128</v>
      </c>
      <c r="G269" s="106">
        <v>80</v>
      </c>
      <c r="H269" s="106"/>
      <c r="I269" s="106"/>
      <c r="J269" s="106"/>
      <c r="L269" s="106">
        <f t="shared" si="16"/>
        <v>92</v>
      </c>
      <c r="M269" s="106"/>
      <c r="N269" s="106"/>
      <c r="O269" s="106"/>
    </row>
    <row r="270" spans="1:15" x14ac:dyDescent="0.25">
      <c r="A270">
        <v>2001</v>
      </c>
      <c r="B270" t="s">
        <v>459</v>
      </c>
      <c r="C270" t="s">
        <v>129</v>
      </c>
      <c r="D270" t="s">
        <v>128</v>
      </c>
      <c r="G270" s="106">
        <v>40</v>
      </c>
      <c r="H270" s="106"/>
      <c r="I270" s="106"/>
      <c r="J270" s="106"/>
      <c r="L270" s="106">
        <f t="shared" si="16"/>
        <v>46</v>
      </c>
      <c r="M270" s="106"/>
      <c r="N270" s="106"/>
      <c r="O270" s="106"/>
    </row>
    <row r="271" spans="1:15" x14ac:dyDescent="0.25">
      <c r="A271">
        <v>2005</v>
      </c>
      <c r="B271" t="s">
        <v>459</v>
      </c>
      <c r="C271" t="s">
        <v>129</v>
      </c>
      <c r="D271" t="s">
        <v>136</v>
      </c>
      <c r="G271" s="106">
        <v>20</v>
      </c>
      <c r="H271" s="106"/>
      <c r="I271" s="106"/>
      <c r="J271" s="106"/>
      <c r="L271" s="106">
        <f t="shared" si="16"/>
        <v>23</v>
      </c>
      <c r="M271" s="106"/>
      <c r="N271" s="106"/>
      <c r="O271" s="106"/>
    </row>
    <row r="272" spans="1:15" x14ac:dyDescent="0.25">
      <c r="A272">
        <v>2010</v>
      </c>
      <c r="B272" t="s">
        <v>459</v>
      </c>
      <c r="C272" t="s">
        <v>129</v>
      </c>
      <c r="D272" t="s">
        <v>137</v>
      </c>
      <c r="G272" s="106">
        <v>20</v>
      </c>
      <c r="H272" s="106"/>
      <c r="I272" s="106"/>
      <c r="J272" s="106"/>
      <c r="L272" s="106">
        <f t="shared" si="16"/>
        <v>23</v>
      </c>
      <c r="M272" s="106"/>
      <c r="N272" s="106"/>
      <c r="O272" s="106"/>
    </row>
    <row r="273" spans="1:15" x14ac:dyDescent="0.25">
      <c r="A273">
        <v>2015</v>
      </c>
      <c r="B273" t="s">
        <v>459</v>
      </c>
      <c r="C273" t="s">
        <v>129</v>
      </c>
      <c r="D273" t="s">
        <v>138</v>
      </c>
      <c r="G273" s="106">
        <v>20</v>
      </c>
      <c r="H273" s="106"/>
      <c r="I273" s="106"/>
      <c r="J273" s="106"/>
      <c r="L273" s="106">
        <f t="shared" si="16"/>
        <v>23</v>
      </c>
      <c r="M273" s="106"/>
      <c r="N273" s="106"/>
      <c r="O273" s="106"/>
    </row>
    <row r="274" spans="1:15" x14ac:dyDescent="0.25">
      <c r="A274">
        <v>2020</v>
      </c>
      <c r="B274" t="s">
        <v>459</v>
      </c>
      <c r="C274" t="s">
        <v>129</v>
      </c>
      <c r="D274" t="s">
        <v>139</v>
      </c>
      <c r="G274" s="106">
        <v>22</v>
      </c>
      <c r="H274" s="106"/>
      <c r="I274" s="106"/>
      <c r="J274" s="106"/>
      <c r="L274" s="106">
        <f t="shared" si="16"/>
        <v>25</v>
      </c>
      <c r="M274" s="106"/>
      <c r="N274" s="106"/>
      <c r="O274" s="106"/>
    </row>
    <row r="275" spans="1:15" x14ac:dyDescent="0.25">
      <c r="A275">
        <v>2021</v>
      </c>
      <c r="B275" t="s">
        <v>459</v>
      </c>
      <c r="C275" t="s">
        <v>129</v>
      </c>
      <c r="D275" t="s">
        <v>140</v>
      </c>
      <c r="G275" s="106">
        <v>22</v>
      </c>
      <c r="H275" s="106"/>
      <c r="I275" s="106"/>
      <c r="J275" s="106"/>
      <c r="L275" s="106">
        <f t="shared" si="16"/>
        <v>25</v>
      </c>
      <c r="M275" s="106"/>
      <c r="N275" s="106"/>
      <c r="O275" s="106"/>
    </row>
    <row r="276" spans="1:15" x14ac:dyDescent="0.25">
      <c r="A276">
        <v>2025</v>
      </c>
      <c r="B276" t="s">
        <v>459</v>
      </c>
      <c r="C276" t="s">
        <v>129</v>
      </c>
      <c r="D276" t="s">
        <v>141</v>
      </c>
      <c r="G276" s="106">
        <v>25</v>
      </c>
      <c r="H276" s="106"/>
      <c r="I276" s="106"/>
      <c r="J276" s="106"/>
      <c r="L276" s="106">
        <f t="shared" si="16"/>
        <v>29</v>
      </c>
      <c r="M276" s="106"/>
      <c r="N276" s="106"/>
      <c r="O276" s="106"/>
    </row>
    <row r="277" spans="1:15" x14ac:dyDescent="0.25">
      <c r="A277">
        <v>2030</v>
      </c>
      <c r="B277" t="s">
        <v>459</v>
      </c>
      <c r="C277" t="s">
        <v>129</v>
      </c>
      <c r="D277" t="s">
        <v>142</v>
      </c>
      <c r="G277" s="106">
        <v>25</v>
      </c>
      <c r="H277" s="106"/>
      <c r="I277" s="106"/>
      <c r="J277" s="106"/>
      <c r="L277" s="106">
        <f t="shared" si="16"/>
        <v>29</v>
      </c>
      <c r="M277" s="106"/>
      <c r="N277" s="106"/>
      <c r="O277" s="106"/>
    </row>
    <row r="278" spans="1:15" x14ac:dyDescent="0.25">
      <c r="A278">
        <v>2035</v>
      </c>
      <c r="B278" t="s">
        <v>459</v>
      </c>
      <c r="C278" t="s">
        <v>129</v>
      </c>
      <c r="D278" t="s">
        <v>143</v>
      </c>
      <c r="G278" s="106">
        <v>27</v>
      </c>
      <c r="H278" s="106"/>
      <c r="I278" s="106"/>
      <c r="J278" s="106"/>
      <c r="L278" s="106">
        <f t="shared" si="16"/>
        <v>31</v>
      </c>
      <c r="M278" s="106"/>
      <c r="N278" s="106"/>
      <c r="O278" s="106"/>
    </row>
    <row r="279" spans="1:15" x14ac:dyDescent="0.25">
      <c r="A279">
        <v>2040</v>
      </c>
      <c r="B279" t="s">
        <v>459</v>
      </c>
      <c r="C279" t="s">
        <v>129</v>
      </c>
      <c r="D279" t="s">
        <v>144</v>
      </c>
      <c r="G279" s="106">
        <v>29</v>
      </c>
      <c r="H279" s="106"/>
      <c r="I279" s="106"/>
      <c r="J279" s="106"/>
      <c r="L279" s="106">
        <f t="shared" si="16"/>
        <v>33</v>
      </c>
      <c r="M279" s="106"/>
      <c r="N279" s="106"/>
      <c r="O279" s="106"/>
    </row>
    <row r="280" spans="1:15" x14ac:dyDescent="0.25">
      <c r="A280">
        <v>2045</v>
      </c>
      <c r="B280" t="s">
        <v>459</v>
      </c>
      <c r="C280" t="s">
        <v>129</v>
      </c>
      <c r="D280" t="s">
        <v>145</v>
      </c>
      <c r="G280" s="106">
        <v>35</v>
      </c>
      <c r="H280" s="106"/>
      <c r="I280" s="106"/>
      <c r="J280" s="106"/>
      <c r="L280" s="106">
        <f t="shared" si="16"/>
        <v>40</v>
      </c>
      <c r="M280" s="106"/>
      <c r="N280" s="106"/>
      <c r="O280" s="106"/>
    </row>
    <row r="281" spans="1:15" x14ac:dyDescent="0.25">
      <c r="A281">
        <v>2050</v>
      </c>
      <c r="B281" t="s">
        <v>459</v>
      </c>
      <c r="C281" t="s">
        <v>129</v>
      </c>
      <c r="D281" t="s">
        <v>146</v>
      </c>
      <c r="G281" s="106">
        <v>39</v>
      </c>
      <c r="H281" s="106"/>
      <c r="I281" s="106"/>
      <c r="J281" s="106"/>
      <c r="L281" s="106">
        <f t="shared" si="16"/>
        <v>45</v>
      </c>
      <c r="M281" s="106"/>
      <c r="N281" s="106"/>
      <c r="O281" s="106"/>
    </row>
    <row r="282" spans="1:15" x14ac:dyDescent="0.25">
      <c r="A282">
        <v>2300</v>
      </c>
      <c r="B282" t="s">
        <v>459</v>
      </c>
      <c r="C282" t="s">
        <v>129</v>
      </c>
      <c r="D282" t="s">
        <v>127</v>
      </c>
      <c r="G282" s="106">
        <v>100</v>
      </c>
      <c r="H282" s="106"/>
      <c r="I282" s="106"/>
      <c r="J282" s="106"/>
      <c r="L282" s="106">
        <f t="shared" si="16"/>
        <v>115</v>
      </c>
      <c r="M282" s="106"/>
      <c r="N282" s="106"/>
      <c r="O282" s="106"/>
    </row>
    <row r="283" spans="1:15" x14ac:dyDescent="0.25">
      <c r="A283">
        <v>8140</v>
      </c>
      <c r="B283" t="s">
        <v>459</v>
      </c>
      <c r="C283" t="s">
        <v>124</v>
      </c>
      <c r="D283" t="s">
        <v>123</v>
      </c>
      <c r="G283" s="106">
        <v>180</v>
      </c>
      <c r="H283" s="106"/>
      <c r="I283" s="106"/>
      <c r="J283" s="106"/>
      <c r="L283" s="106">
        <f t="shared" si="16"/>
        <v>207</v>
      </c>
      <c r="M283" s="106"/>
      <c r="N283" s="106"/>
      <c r="O283" s="106"/>
    </row>
    <row r="284" spans="1:15" x14ac:dyDescent="0.25">
      <c r="A284">
        <v>8300</v>
      </c>
      <c r="B284" t="s">
        <v>459</v>
      </c>
      <c r="C284" t="s">
        <v>117</v>
      </c>
      <c r="D284" t="s">
        <v>177</v>
      </c>
      <c r="G284" s="106">
        <v>25</v>
      </c>
      <c r="H284" s="106"/>
      <c r="I284" s="106"/>
      <c r="J284" s="106"/>
      <c r="L284" s="106">
        <f t="shared" si="16"/>
        <v>29</v>
      </c>
      <c r="M284" s="106"/>
      <c r="N284" s="106"/>
      <c r="O284" s="106"/>
    </row>
    <row r="285" spans="1:15" x14ac:dyDescent="0.25">
      <c r="A285">
        <v>8301</v>
      </c>
      <c r="B285" t="s">
        <v>459</v>
      </c>
      <c r="C285" t="s">
        <v>117</v>
      </c>
      <c r="D285" t="s">
        <v>162</v>
      </c>
      <c r="G285" s="106">
        <v>29</v>
      </c>
      <c r="H285" s="106"/>
      <c r="I285" s="106"/>
      <c r="J285" s="106"/>
      <c r="L285" s="106">
        <f t="shared" si="16"/>
        <v>33</v>
      </c>
      <c r="M285" s="106"/>
      <c r="N285" s="106"/>
      <c r="O285" s="106"/>
    </row>
    <row r="286" spans="1:15" x14ac:dyDescent="0.25">
      <c r="A286">
        <v>8302</v>
      </c>
      <c r="B286" t="s">
        <v>459</v>
      </c>
      <c r="C286" t="s">
        <v>117</v>
      </c>
      <c r="D286" t="s">
        <v>163</v>
      </c>
      <c r="G286" s="106">
        <v>17</v>
      </c>
      <c r="H286" s="106"/>
      <c r="I286" s="106"/>
      <c r="J286" s="106"/>
      <c r="L286" s="106">
        <f t="shared" si="16"/>
        <v>20</v>
      </c>
      <c r="M286" s="106"/>
      <c r="N286" s="106"/>
      <c r="O286" s="106"/>
    </row>
    <row r="287" spans="1:15" x14ac:dyDescent="0.25">
      <c r="A287">
        <v>8303</v>
      </c>
      <c r="B287" t="s">
        <v>459</v>
      </c>
      <c r="C287" t="s">
        <v>117</v>
      </c>
      <c r="D287" t="s">
        <v>164</v>
      </c>
      <c r="G287" s="106">
        <v>10</v>
      </c>
      <c r="H287" s="106"/>
      <c r="I287" s="106"/>
      <c r="J287" s="106"/>
      <c r="L287" s="106">
        <f t="shared" si="16"/>
        <v>12</v>
      </c>
      <c r="M287" s="106"/>
      <c r="N287" s="106"/>
      <c r="O287" s="106"/>
    </row>
    <row r="288" spans="1:15" x14ac:dyDescent="0.25">
      <c r="A288">
        <v>8304</v>
      </c>
      <c r="B288" t="s">
        <v>459</v>
      </c>
      <c r="C288" t="s">
        <v>117</v>
      </c>
      <c r="D288" t="s">
        <v>165</v>
      </c>
      <c r="G288" s="106">
        <v>29</v>
      </c>
      <c r="H288" s="106"/>
      <c r="I288" s="106"/>
      <c r="J288" s="106"/>
      <c r="L288" s="106">
        <f t="shared" si="16"/>
        <v>33</v>
      </c>
      <c r="M288" s="106"/>
      <c r="N288" s="106"/>
      <c r="O288" s="106"/>
    </row>
    <row r="289" spans="1:15" x14ac:dyDescent="0.25">
      <c r="A289">
        <v>8305</v>
      </c>
      <c r="B289" t="s">
        <v>459</v>
      </c>
      <c r="C289" t="s">
        <v>117</v>
      </c>
      <c r="D289" t="s">
        <v>166</v>
      </c>
      <c r="G289" s="106">
        <v>41</v>
      </c>
      <c r="H289" s="106"/>
      <c r="I289" s="106"/>
      <c r="J289" s="106"/>
      <c r="L289" s="106">
        <f t="shared" si="16"/>
        <v>47</v>
      </c>
      <c r="M289" s="106"/>
      <c r="N289" s="106"/>
      <c r="O289" s="106"/>
    </row>
    <row r="290" spans="1:15" x14ac:dyDescent="0.25">
      <c r="A290">
        <v>8306</v>
      </c>
      <c r="B290" t="s">
        <v>459</v>
      </c>
      <c r="C290" t="s">
        <v>117</v>
      </c>
      <c r="D290" t="s">
        <v>167</v>
      </c>
      <c r="G290" s="106">
        <v>19</v>
      </c>
      <c r="H290" s="106"/>
      <c r="I290" s="106"/>
      <c r="J290" s="106"/>
      <c r="L290" s="106">
        <f t="shared" si="16"/>
        <v>22</v>
      </c>
      <c r="M290" s="106"/>
      <c r="N290" s="106"/>
      <c r="O290" s="106"/>
    </row>
    <row r="291" spans="1:15" x14ac:dyDescent="0.25">
      <c r="A291">
        <v>8307</v>
      </c>
      <c r="B291" t="s">
        <v>459</v>
      </c>
      <c r="C291" t="s">
        <v>117</v>
      </c>
      <c r="D291" t="s">
        <v>168</v>
      </c>
      <c r="G291" s="106">
        <v>12</v>
      </c>
      <c r="H291" s="106"/>
      <c r="I291" s="106"/>
      <c r="J291" s="106"/>
      <c r="L291" s="106">
        <f t="shared" si="16"/>
        <v>14</v>
      </c>
      <c r="M291" s="106"/>
      <c r="N291" s="106"/>
      <c r="O291" s="106"/>
    </row>
    <row r="292" spans="1:15" x14ac:dyDescent="0.25">
      <c r="A292">
        <v>8308</v>
      </c>
      <c r="B292" t="s">
        <v>459</v>
      </c>
      <c r="C292" t="s">
        <v>117</v>
      </c>
      <c r="D292" t="s">
        <v>169</v>
      </c>
      <c r="G292" s="106">
        <v>15</v>
      </c>
      <c r="H292" s="106"/>
      <c r="I292" s="106"/>
      <c r="J292" s="106"/>
      <c r="L292" s="106">
        <f t="shared" si="16"/>
        <v>17</v>
      </c>
      <c r="M292" s="106"/>
      <c r="N292" s="106"/>
      <c r="O292" s="106"/>
    </row>
    <row r="293" spans="1:15" x14ac:dyDescent="0.25">
      <c r="A293">
        <v>8309</v>
      </c>
      <c r="B293" t="s">
        <v>459</v>
      </c>
      <c r="C293" t="s">
        <v>117</v>
      </c>
      <c r="D293" t="s">
        <v>170</v>
      </c>
      <c r="G293" s="106">
        <v>18</v>
      </c>
      <c r="H293" s="106"/>
      <c r="I293" s="106"/>
      <c r="J293" s="106"/>
      <c r="L293" s="106">
        <f t="shared" si="16"/>
        <v>21</v>
      </c>
      <c r="M293" s="106"/>
      <c r="N293" s="106"/>
      <c r="O293" s="106"/>
    </row>
    <row r="294" spans="1:15" x14ac:dyDescent="0.25">
      <c r="A294">
        <v>8310</v>
      </c>
      <c r="B294" t="s">
        <v>459</v>
      </c>
      <c r="C294" t="s">
        <v>117</v>
      </c>
      <c r="D294" t="s">
        <v>171</v>
      </c>
      <c r="G294" s="106">
        <v>39</v>
      </c>
      <c r="H294" s="106"/>
      <c r="I294" s="106"/>
      <c r="J294" s="106"/>
      <c r="L294" s="106">
        <f t="shared" si="16"/>
        <v>45</v>
      </c>
      <c r="M294" s="106"/>
      <c r="N294" s="106"/>
      <c r="O294" s="106"/>
    </row>
    <row r="295" spans="1:15" x14ac:dyDescent="0.25">
      <c r="A295">
        <v>8311</v>
      </c>
      <c r="B295" t="s">
        <v>459</v>
      </c>
      <c r="C295" t="s">
        <v>117</v>
      </c>
      <c r="D295" t="s">
        <v>172</v>
      </c>
      <c r="G295" s="106">
        <v>44</v>
      </c>
      <c r="H295" s="106"/>
      <c r="I295" s="106"/>
      <c r="J295" s="106"/>
      <c r="L295" s="106">
        <f t="shared" si="16"/>
        <v>51</v>
      </c>
      <c r="M295" s="106"/>
      <c r="N295" s="106"/>
      <c r="O295" s="106"/>
    </row>
    <row r="296" spans="1:15" x14ac:dyDescent="0.25">
      <c r="A296">
        <v>8312</v>
      </c>
      <c r="B296" t="s">
        <v>459</v>
      </c>
      <c r="C296" t="s">
        <v>117</v>
      </c>
      <c r="D296" t="s">
        <v>173</v>
      </c>
      <c r="G296" s="106">
        <v>38</v>
      </c>
      <c r="H296" s="106"/>
      <c r="I296" s="106"/>
      <c r="J296" s="106"/>
      <c r="L296" s="106">
        <f t="shared" si="16"/>
        <v>44</v>
      </c>
      <c r="M296" s="106"/>
      <c r="N296" s="106"/>
      <c r="O296" s="106"/>
    </row>
    <row r="297" spans="1:15" x14ac:dyDescent="0.25">
      <c r="A297">
        <v>8313</v>
      </c>
      <c r="B297" t="s">
        <v>459</v>
      </c>
      <c r="C297" t="s">
        <v>117</v>
      </c>
      <c r="D297" t="s">
        <v>174</v>
      </c>
      <c r="G297" s="106">
        <v>19</v>
      </c>
      <c r="H297" s="106"/>
      <c r="I297" s="106"/>
      <c r="J297" s="106"/>
      <c r="L297" s="106">
        <f t="shared" si="16"/>
        <v>22</v>
      </c>
      <c r="M297" s="106"/>
      <c r="N297" s="106"/>
      <c r="O297" s="106"/>
    </row>
    <row r="298" spans="1:15" x14ac:dyDescent="0.25">
      <c r="A298">
        <v>8314</v>
      </c>
      <c r="B298" t="s">
        <v>459</v>
      </c>
      <c r="C298" t="s">
        <v>117</v>
      </c>
      <c r="D298" t="s">
        <v>175</v>
      </c>
      <c r="G298" s="106">
        <v>22</v>
      </c>
      <c r="H298" s="106"/>
      <c r="I298" s="106"/>
      <c r="J298" s="106"/>
      <c r="L298" s="106">
        <f t="shared" si="16"/>
        <v>25</v>
      </c>
      <c r="M298" s="106"/>
      <c r="N298" s="106"/>
      <c r="O298" s="106"/>
    </row>
    <row r="299" spans="1:15" x14ac:dyDescent="0.25">
      <c r="A299">
        <v>8315</v>
      </c>
      <c r="B299" t="s">
        <v>459</v>
      </c>
      <c r="C299" t="s">
        <v>117</v>
      </c>
      <c r="D299" t="s">
        <v>176</v>
      </c>
      <c r="G299" s="106">
        <v>29</v>
      </c>
      <c r="H299" s="106"/>
      <c r="I299" s="106"/>
      <c r="J299" s="106"/>
      <c r="L299" s="106">
        <f t="shared" si="16"/>
        <v>33</v>
      </c>
      <c r="M299" s="106"/>
      <c r="N299" s="106"/>
      <c r="O299" s="106"/>
    </row>
    <row r="300" spans="1:15" x14ac:dyDescent="0.25">
      <c r="A300">
        <v>8503</v>
      </c>
      <c r="B300" t="s">
        <v>459</v>
      </c>
      <c r="C300" t="s">
        <v>116</v>
      </c>
      <c r="D300" t="s">
        <v>116</v>
      </c>
      <c r="G300" s="106">
        <v>262</v>
      </c>
      <c r="H300" s="106"/>
      <c r="I300" s="106"/>
      <c r="J300" s="106"/>
      <c r="L300" s="106">
        <f t="shared" si="16"/>
        <v>301</v>
      </c>
      <c r="M300" s="106"/>
      <c r="N300" s="106"/>
      <c r="O300" s="106"/>
    </row>
    <row r="301" spans="1:15" x14ac:dyDescent="0.25">
      <c r="A301">
        <v>8504</v>
      </c>
      <c r="B301" t="s">
        <v>459</v>
      </c>
      <c r="C301" t="s">
        <v>116</v>
      </c>
      <c r="D301" t="s">
        <v>116</v>
      </c>
      <c r="G301" s="106">
        <v>263</v>
      </c>
      <c r="H301" s="106"/>
      <c r="I301" s="106"/>
      <c r="J301" s="106"/>
      <c r="L301" s="106">
        <f t="shared" si="16"/>
        <v>302</v>
      </c>
      <c r="M301" s="106"/>
      <c r="N301" s="106"/>
      <c r="O301" s="106"/>
    </row>
    <row r="302" spans="1:15" x14ac:dyDescent="0.25">
      <c r="A302">
        <v>8505</v>
      </c>
      <c r="B302" t="s">
        <v>459</v>
      </c>
      <c r="C302" t="s">
        <v>116</v>
      </c>
      <c r="D302" t="s">
        <v>116</v>
      </c>
      <c r="G302" s="106">
        <v>265</v>
      </c>
      <c r="H302" s="106"/>
      <c r="I302" s="106"/>
      <c r="J302" s="106"/>
      <c r="L302" s="106">
        <f t="shared" si="16"/>
        <v>305</v>
      </c>
      <c r="M302" s="106"/>
      <c r="N302" s="106"/>
      <c r="O302" s="106"/>
    </row>
    <row r="303" spans="1:15" x14ac:dyDescent="0.25">
      <c r="A303">
        <v>8506</v>
      </c>
      <c r="B303" t="s">
        <v>459</v>
      </c>
      <c r="C303" t="s">
        <v>116</v>
      </c>
      <c r="D303" t="s">
        <v>116</v>
      </c>
      <c r="G303" s="106">
        <v>319</v>
      </c>
      <c r="H303" s="106"/>
      <c r="I303" s="106"/>
      <c r="J303" s="106"/>
      <c r="L303" s="106">
        <f t="shared" si="16"/>
        <v>367</v>
      </c>
      <c r="M303" s="106"/>
      <c r="N303" s="106"/>
      <c r="O303" s="106"/>
    </row>
    <row r="304" spans="1:15" x14ac:dyDescent="0.25">
      <c r="A304">
        <v>8050</v>
      </c>
      <c r="B304" t="s">
        <v>459</v>
      </c>
      <c r="C304" t="s">
        <v>115</v>
      </c>
      <c r="D304" t="s">
        <v>114</v>
      </c>
      <c r="G304" s="106">
        <v>5</v>
      </c>
      <c r="H304" s="106"/>
      <c r="I304" s="106"/>
      <c r="J304" s="106"/>
      <c r="L304" s="106">
        <f t="shared" si="16"/>
        <v>6</v>
      </c>
      <c r="M304" s="106"/>
      <c r="N304" s="106"/>
      <c r="O304" s="106"/>
    </row>
    <row r="305" spans="1:15" x14ac:dyDescent="0.25">
      <c r="A305">
        <v>8051</v>
      </c>
      <c r="B305" t="s">
        <v>459</v>
      </c>
      <c r="C305" t="s">
        <v>115</v>
      </c>
      <c r="D305" t="s">
        <v>113</v>
      </c>
      <c r="G305" s="106">
        <v>5</v>
      </c>
      <c r="H305" s="106"/>
      <c r="I305" s="106"/>
      <c r="J305" s="106"/>
      <c r="L305" s="106">
        <f t="shared" si="16"/>
        <v>6</v>
      </c>
      <c r="M305" s="106"/>
      <c r="N305" s="106"/>
      <c r="O305" s="106"/>
    </row>
    <row r="306" spans="1:15" x14ac:dyDescent="0.25">
      <c r="A306">
        <v>8080</v>
      </c>
      <c r="B306" t="s">
        <v>459</v>
      </c>
      <c r="C306" t="s">
        <v>115</v>
      </c>
      <c r="D306" t="s">
        <v>112</v>
      </c>
      <c r="G306" s="106">
        <v>8</v>
      </c>
      <c r="H306" s="106"/>
      <c r="I306" s="106"/>
      <c r="J306" s="106"/>
      <c r="L306" s="106">
        <f t="shared" si="16"/>
        <v>9</v>
      </c>
      <c r="M306" s="106"/>
      <c r="N306" s="106"/>
      <c r="O306" s="106"/>
    </row>
    <row r="307" spans="1:15" x14ac:dyDescent="0.25">
      <c r="A307">
        <v>8081</v>
      </c>
      <c r="B307" t="s">
        <v>459</v>
      </c>
      <c r="C307" t="s">
        <v>115</v>
      </c>
      <c r="D307" t="s">
        <v>111</v>
      </c>
      <c r="G307" s="106">
        <v>6</v>
      </c>
      <c r="H307" s="106"/>
      <c r="I307" s="106"/>
      <c r="J307" s="106"/>
      <c r="L307" s="106">
        <f t="shared" si="16"/>
        <v>7</v>
      </c>
      <c r="M307" s="106"/>
      <c r="N307" s="106"/>
      <c r="O307" s="106"/>
    </row>
    <row r="308" spans="1:15" x14ac:dyDescent="0.25">
      <c r="A308">
        <v>8152</v>
      </c>
      <c r="B308" t="s">
        <v>459</v>
      </c>
      <c r="C308" t="s">
        <v>115</v>
      </c>
      <c r="D308" t="s">
        <v>108</v>
      </c>
      <c r="G308" s="106">
        <v>70</v>
      </c>
      <c r="H308" s="106"/>
      <c r="I308" s="106"/>
      <c r="J308" s="106"/>
      <c r="L308" s="106">
        <f t="shared" si="16"/>
        <v>81</v>
      </c>
      <c r="M308" s="106"/>
      <c r="N308" s="106"/>
      <c r="O308" s="106"/>
    </row>
    <row r="309" spans="1:15" x14ac:dyDescent="0.25">
      <c r="A309">
        <v>8411</v>
      </c>
      <c r="B309" t="s">
        <v>459</v>
      </c>
      <c r="C309" t="s">
        <v>107</v>
      </c>
      <c r="D309" t="s">
        <v>96</v>
      </c>
      <c r="G309" s="106">
        <v>500</v>
      </c>
      <c r="H309" s="106"/>
      <c r="I309" s="106"/>
      <c r="J309" s="106"/>
      <c r="L309" s="106">
        <f t="shared" si="16"/>
        <v>575</v>
      </c>
      <c r="M309" s="106"/>
      <c r="N309" s="106"/>
      <c r="O309" s="10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Preislisten</vt:lpstr>
      <vt:lpstr>Kalkulation_Platten</vt:lpstr>
      <vt:lpstr>Größenfaktoren</vt:lpstr>
      <vt:lpstr>Preise_Würfel_Profile_Kleinteil</vt:lpstr>
      <vt:lpstr>Erklärung</vt:lpstr>
      <vt:lpstr>Konfigurator_Export</vt:lpstr>
    </vt:vector>
  </TitlesOfParts>
  <Company>MHZ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Hachtel</dc:creator>
  <cp:lastModifiedBy>Daniel Hachtel</cp:lastModifiedBy>
  <dcterms:created xsi:type="dcterms:W3CDTF">2023-07-13T09:30:08Z</dcterms:created>
  <dcterms:modified xsi:type="dcterms:W3CDTF">2026-03-30T13:54:11Z</dcterms:modified>
</cp:coreProperties>
</file>