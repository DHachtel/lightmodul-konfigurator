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Hachtel\Documents\Development\Konfigurator\artmodul-konfigurator\"/>
    </mc:Choice>
  </mc:AlternateContent>
  <xr:revisionPtr revIDLastSave="0" documentId="13_ncr:1_{41C902A1-A8F0-431A-89E6-94CB91C897F1}" xr6:coauthVersionLast="47" xr6:coauthVersionMax="47" xr10:uidLastSave="{00000000-0000-0000-0000-000000000000}"/>
  <bookViews>
    <workbookView xWindow="-120" yWindow="-120" windowWidth="29040" windowHeight="15720" tabRatio="500" firstSheet="6" activeTab="10" xr2:uid="{00000000-000D-0000-FFFF-FFFF00000000}"/>
  </bookViews>
  <sheets>
    <sheet name="Annahmen &amp; Aufschläge" sheetId="2" state="hidden" r:id="rId1"/>
    <sheet name="Brutto-Übersicht (T=350)" sheetId="3" state="hidden" r:id="rId2"/>
    <sheet name="Preismodell_Artmodul_alt" sheetId="7" state="hidden" r:id="rId3"/>
    <sheet name="Artmodul_Einzelteilpreise_alt" sheetId="4" state="hidden" r:id="rId4"/>
    <sheet name="Größentabelle" sheetId="6" state="hidden" r:id="rId5"/>
    <sheet name="Steuerungsdaten" sheetId="14" r:id="rId6"/>
    <sheet name="Aktiv" sheetId="15" r:id="rId7"/>
    <sheet name="Archiv" sheetId="16" state="hidden" r:id="rId8"/>
    <sheet name="Preisliste 2012" sheetId="17" r:id="rId9"/>
    <sheet name="Vergleich Preislogik" sheetId="19" r:id="rId10"/>
    <sheet name="Preismodell NEU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nalyse">#REF!</definedName>
    <definedName name="Angebotsnr">[1]Angebot!$H$14</definedName>
    <definedName name="ANZ_Breite" localSheetId="4">[1]Bestellvorlage_neu!$K$31</definedName>
    <definedName name="ANZ_Breite">[2]Bestellvorlage_neu!$F$24</definedName>
    <definedName name="ANZ_Elemente" localSheetId="4">[1]Bestellvorlage_neu!$K$34</definedName>
    <definedName name="ANZ_Elemente">[2]Bestellvorlage_neu!$F$27</definedName>
    <definedName name="ANZ_Höhe" localSheetId="4">[1]Bestellvorlage_neu!$K$32</definedName>
    <definedName name="ANZ_Höhe">[2]Bestellvorlage_neu!$F$25</definedName>
    <definedName name="ANZ_Tiefe" localSheetId="4">[1]Bestellvorlage_neu!$K$33</definedName>
    <definedName name="ANZ_Tiefe">[2]Bestellvorlage_neu!$F$26</definedName>
    <definedName name="Bericht">'[3]Bericht gesamt'!$B$4:$DG$59</definedName>
    <definedName name="_xlnm.Database">[4]Archiv!$C$1286:$F$1358</definedName>
    <definedName name="Einkauf">#REF!</definedName>
    <definedName name="Ertragssicherung">#REF!</definedName>
    <definedName name="EXT">#REF!</definedName>
    <definedName name="F_Doppeltür_PG1">#REF!</definedName>
    <definedName name="F_Doppeltür_PG2_3">#REF!</definedName>
    <definedName name="F_Doppeltür_PG4">#REF!</definedName>
    <definedName name="F_Klappe_PG1">#REF!</definedName>
    <definedName name="F_Klappe_PG2_3">#REF!</definedName>
    <definedName name="F_Klappe_PG4">#REF!</definedName>
    <definedName name="F_Platten_PG1">#REF!</definedName>
    <definedName name="F_Platten_PG2_3">#REF!</definedName>
    <definedName name="F_Platten_PG4">#REF!</definedName>
    <definedName name="F_Schublade_PG1">#REF!</definedName>
    <definedName name="F_Schublade_PG2_3">#REF!</definedName>
    <definedName name="F_Schublade_PG4">#REF!</definedName>
    <definedName name="F_Tür_PG1">#REF!</definedName>
    <definedName name="F_Tür_PG2_3">#REF!</definedName>
    <definedName name="F_Tür_PG4">#REF!</definedName>
    <definedName name="Freigabe">#REF!</definedName>
    <definedName name="Gewicht_Klappe">[1]Gewichte!$D$6</definedName>
    <definedName name="Gewicht_Platte">[1]Gewichte!$D$2</definedName>
    <definedName name="Gewicht_Profil">[1]Gewichte!$D$3</definedName>
    <definedName name="Gewicht_Scharnier">[1]Gewichte!$D$7</definedName>
    <definedName name="Gewicht_Schubkasten">[1]Gewichte!$D$5</definedName>
    <definedName name="Ideen">#REF!</definedName>
    <definedName name="Innovations__prozeß">#REF!</definedName>
    <definedName name="KDN">[1]Angebot!$H$7</definedName>
    <definedName name="KDName2">[1]Angebot!$A$10</definedName>
    <definedName name="Komminikation">#REF!</definedName>
    <definedName name="Kommunikation">#REF!</definedName>
    <definedName name="Kompetenz">#REF!</definedName>
    <definedName name="Konfektion">[5]Orga!$U$41:$AF$46</definedName>
    <definedName name="Konstruktion">#REF!</definedName>
    <definedName name="Kreativpotential">#REF!</definedName>
    <definedName name="LPU">#REF!</definedName>
    <definedName name="Ludwig">#REF!</definedName>
    <definedName name="Marketing">#REF!</definedName>
    <definedName name="Organisation">#REF!</definedName>
    <definedName name="Preisniveau">#REF!</definedName>
    <definedName name="Produkt__und_Preissystematik">#REF!</definedName>
    <definedName name="Rabatt">[1]Bestellvorlage_neu!$N$4</definedName>
    <definedName name="SkriptBeschreibung">#REF!</definedName>
    <definedName name="_xlnm.Criteria">[4]Archiv!$C$1152:$F$1152</definedName>
    <definedName name="Telephonmarketing">#REF!</definedName>
    <definedName name="TEST">#REF!</definedName>
    <definedName name="Tiefe" localSheetId="4">[1]Bestellvorlage_neu!$D$4</definedName>
    <definedName name="Tiefe">[2]Bestellvorlage_neu!$C$4</definedName>
    <definedName name="Umsetzung">#REF!</definedName>
    <definedName name="Vertrieb">[5]Orga!$U$48:$AE$56</definedName>
    <definedName name="Vertriebs_steuerung">#REF!</definedName>
    <definedName name="Werkzeugbau">#REF!</definedName>
    <definedName name="WH">#REF!</definedName>
    <definedName name="_xlnm.Extract">[6]Archiv!#REF!</definedName>
    <definedName name="Zusatzrabatt">[1]Bestellvorlage_neu!$O$4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8" i="21" l="1"/>
  <c r="C318" i="21"/>
  <c r="D318" i="21"/>
  <c r="E318" i="21"/>
  <c r="B319" i="21"/>
  <c r="C319" i="21"/>
  <c r="D319" i="21"/>
  <c r="E319" i="21"/>
  <c r="B320" i="21"/>
  <c r="C320" i="21"/>
  <c r="D320" i="21"/>
  <c r="E320" i="21"/>
  <c r="B314" i="21" a="1"/>
  <c r="B314" i="21" s="1"/>
  <c r="C314" i="21" a="1"/>
  <c r="C314" i="21" s="1"/>
  <c r="D314" i="21" a="1"/>
  <c r="D314" i="21" s="1"/>
  <c r="E314" i="21" a="1"/>
  <c r="E314" i="21" s="1"/>
  <c r="B309" i="21" a="1"/>
  <c r="B309" i="21" s="1"/>
  <c r="C309" i="21" a="1"/>
  <c r="C309" i="21" s="1"/>
  <c r="D309" i="21" a="1"/>
  <c r="D309" i="21" s="1"/>
  <c r="E309" i="21" a="1"/>
  <c r="E309" i="21" s="1"/>
  <c r="B310" i="21" a="1"/>
  <c r="B310" i="21" s="1"/>
  <c r="C310" i="21" a="1"/>
  <c r="C310" i="21" s="1"/>
  <c r="D310" i="21" a="1"/>
  <c r="D310" i="21"/>
  <c r="E310" i="21" a="1"/>
  <c r="E310" i="21" s="1"/>
  <c r="B311" i="21" a="1"/>
  <c r="B311" i="21" s="1"/>
  <c r="C311" i="21" a="1"/>
  <c r="C311" i="21" s="1"/>
  <c r="D311" i="21" a="1"/>
  <c r="D311" i="21" s="1"/>
  <c r="E311" i="21" a="1"/>
  <c r="E311" i="21" s="1"/>
  <c r="B312" i="21" a="1"/>
  <c r="B312" i="21" s="1"/>
  <c r="C312" i="21" a="1"/>
  <c r="C312" i="21" s="1"/>
  <c r="D312" i="21" a="1"/>
  <c r="D312" i="21" s="1"/>
  <c r="E312" i="21" a="1"/>
  <c r="E312" i="21" s="1"/>
  <c r="F278" i="21"/>
  <c r="H278" i="21"/>
  <c r="I278" i="21" s="1"/>
  <c r="K278" i="21"/>
  <c r="L278" i="21"/>
  <c r="F279" i="21"/>
  <c r="H279" i="21"/>
  <c r="I279" i="21"/>
  <c r="K279" i="21"/>
  <c r="L279" i="21"/>
  <c r="F280" i="21"/>
  <c r="H280" i="21" s="1"/>
  <c r="I280" i="21" s="1"/>
  <c r="F281" i="21"/>
  <c r="H281" i="21" s="1"/>
  <c r="I281" i="21" s="1"/>
  <c r="F282" i="21"/>
  <c r="H282" i="21" s="1"/>
  <c r="I282" i="21" s="1"/>
  <c r="K282" i="21"/>
  <c r="L282" i="21"/>
  <c r="F283" i="21"/>
  <c r="K283" i="21" s="1"/>
  <c r="L283" i="21" s="1"/>
  <c r="H283" i="21"/>
  <c r="I283" i="21" s="1"/>
  <c r="F284" i="21"/>
  <c r="K284" i="21" s="1"/>
  <c r="L284" i="21" s="1"/>
  <c r="H284" i="21"/>
  <c r="I284" i="21" s="1"/>
  <c r="F286" i="21"/>
  <c r="K286" i="21" s="1"/>
  <c r="L286" i="21" s="1"/>
  <c r="H286" i="21"/>
  <c r="I286" i="21" s="1"/>
  <c r="N286" i="21"/>
  <c r="O286" i="21"/>
  <c r="Q286" i="21"/>
  <c r="R286" i="21" s="1"/>
  <c r="F287" i="21"/>
  <c r="N287" i="21" s="1"/>
  <c r="O287" i="21" s="1"/>
  <c r="H287" i="21"/>
  <c r="I287" i="21"/>
  <c r="K287" i="21"/>
  <c r="L287" i="21" s="1"/>
  <c r="F288" i="21"/>
  <c r="H288" i="21"/>
  <c r="I288" i="21"/>
  <c r="K288" i="21"/>
  <c r="L288" i="21"/>
  <c r="N288" i="21"/>
  <c r="O288" i="21" s="1"/>
  <c r="Q288" i="21"/>
  <c r="R288" i="21"/>
  <c r="F289" i="21"/>
  <c r="K289" i="21" s="1"/>
  <c r="L289" i="21" s="1"/>
  <c r="H289" i="21"/>
  <c r="I289" i="21" s="1"/>
  <c r="F290" i="21"/>
  <c r="N290" i="21" s="1"/>
  <c r="O290" i="21" s="1"/>
  <c r="H290" i="21"/>
  <c r="I290" i="21"/>
  <c r="K290" i="21"/>
  <c r="L290" i="21" s="1"/>
  <c r="Q290" i="21"/>
  <c r="R290" i="21"/>
  <c r="F291" i="21"/>
  <c r="H291" i="21"/>
  <c r="I291" i="21" s="1"/>
  <c r="K291" i="21"/>
  <c r="L291" i="21"/>
  <c r="N291" i="21"/>
  <c r="O291" i="21"/>
  <c r="Q291" i="21"/>
  <c r="R291" i="21"/>
  <c r="F292" i="21"/>
  <c r="Q292" i="21" s="1"/>
  <c r="R292" i="21" s="1"/>
  <c r="H292" i="21"/>
  <c r="I292" i="21" s="1"/>
  <c r="F293" i="21"/>
  <c r="H293" i="21"/>
  <c r="I293" i="21"/>
  <c r="K293" i="21"/>
  <c r="L293" i="21"/>
  <c r="N293" i="21"/>
  <c r="O293" i="21"/>
  <c r="Q293" i="21"/>
  <c r="R293" i="21"/>
  <c r="F295" i="21"/>
  <c r="N295" i="21" s="1"/>
  <c r="O295" i="21" s="1"/>
  <c r="H295" i="21"/>
  <c r="I295" i="21"/>
  <c r="K295" i="21"/>
  <c r="L295" i="21"/>
  <c r="F296" i="21"/>
  <c r="H296" i="21" s="1"/>
  <c r="I296" i="21" s="1"/>
  <c r="K296" i="21"/>
  <c r="L296" i="21"/>
  <c r="N296" i="21"/>
  <c r="O296" i="21"/>
  <c r="F297" i="21"/>
  <c r="K297" i="21" s="1"/>
  <c r="L297" i="21" s="1"/>
  <c r="H297" i="21"/>
  <c r="I297" i="21"/>
  <c r="F298" i="21"/>
  <c r="N298" i="21" s="1"/>
  <c r="O298" i="21" s="1"/>
  <c r="H298" i="21"/>
  <c r="I298" i="21"/>
  <c r="K298" i="21"/>
  <c r="L298" i="21"/>
  <c r="Q298" i="21"/>
  <c r="R298" i="21"/>
  <c r="F299" i="21"/>
  <c r="H299" i="21" s="1"/>
  <c r="I299" i="21" s="1"/>
  <c r="F300" i="21"/>
  <c r="K300" i="21" s="1"/>
  <c r="L300" i="21" s="1"/>
  <c r="H300" i="21"/>
  <c r="I300" i="21"/>
  <c r="Q300" i="21"/>
  <c r="R300" i="21" s="1"/>
  <c r="F301" i="21"/>
  <c r="H301" i="21" s="1"/>
  <c r="I301" i="21" s="1"/>
  <c r="K301" i="21"/>
  <c r="L301" i="21" s="1"/>
  <c r="N301" i="21"/>
  <c r="O301" i="21"/>
  <c r="Q301" i="21"/>
  <c r="R301" i="21"/>
  <c r="F302" i="21"/>
  <c r="Q302" i="21" s="1"/>
  <c r="R302" i="21" s="1"/>
  <c r="F195" i="21"/>
  <c r="H195" i="21"/>
  <c r="I195" i="21"/>
  <c r="K195" i="21"/>
  <c r="L195" i="21" s="1"/>
  <c r="F196" i="21"/>
  <c r="H196" i="21"/>
  <c r="I196" i="21"/>
  <c r="K196" i="21"/>
  <c r="L196" i="21" s="1"/>
  <c r="F198" i="21"/>
  <c r="Q198" i="21" s="1"/>
  <c r="R198" i="21" s="1"/>
  <c r="H198" i="21"/>
  <c r="I198" i="21"/>
  <c r="K198" i="21"/>
  <c r="L198" i="21"/>
  <c r="N198" i="21"/>
  <c r="O198" i="21" s="1"/>
  <c r="F199" i="21"/>
  <c r="K199" i="21" s="1"/>
  <c r="L199" i="21" s="1"/>
  <c r="H199" i="21"/>
  <c r="I199" i="21" s="1"/>
  <c r="N199" i="21"/>
  <c r="O199" i="21" s="1"/>
  <c r="F200" i="21"/>
  <c r="N200" i="21" s="1"/>
  <c r="O200" i="21" s="1"/>
  <c r="H200" i="21"/>
  <c r="I200" i="21"/>
  <c r="K200" i="21"/>
  <c r="L200" i="21" s="1"/>
  <c r="F201" i="21"/>
  <c r="H201" i="21"/>
  <c r="I201" i="21"/>
  <c r="K201" i="21"/>
  <c r="L201" i="21" s="1"/>
  <c r="N201" i="21"/>
  <c r="O201" i="21"/>
  <c r="Q201" i="21"/>
  <c r="R201" i="21"/>
  <c r="F202" i="21"/>
  <c r="K202" i="21" s="1"/>
  <c r="L202" i="21" s="1"/>
  <c r="H202" i="21"/>
  <c r="I202" i="21" s="1"/>
  <c r="F203" i="21"/>
  <c r="K203" i="21" s="1"/>
  <c r="L203" i="21" s="1"/>
  <c r="H203" i="21"/>
  <c r="I203" i="21" s="1"/>
  <c r="N203" i="21"/>
  <c r="O203" i="21"/>
  <c r="Q203" i="21"/>
  <c r="R203" i="21"/>
  <c r="F204" i="21"/>
  <c r="H204" i="21"/>
  <c r="I204" i="21"/>
  <c r="K204" i="21"/>
  <c r="L204" i="21"/>
  <c r="N204" i="21"/>
  <c r="O204" i="21"/>
  <c r="Q204" i="21"/>
  <c r="R204" i="21"/>
  <c r="F205" i="21"/>
  <c r="Q205" i="21" s="1"/>
  <c r="R205" i="21" s="1"/>
  <c r="H205" i="21"/>
  <c r="I205" i="21"/>
  <c r="K205" i="21"/>
  <c r="L205" i="21"/>
  <c r="N205" i="21"/>
  <c r="O205" i="21"/>
  <c r="F206" i="21"/>
  <c r="Q206" i="21" s="1"/>
  <c r="R206" i="21" s="1"/>
  <c r="H206" i="21"/>
  <c r="I206" i="21"/>
  <c r="K206" i="21"/>
  <c r="L206" i="21"/>
  <c r="N206" i="21"/>
  <c r="O206" i="21"/>
  <c r="F207" i="21"/>
  <c r="N207" i="21" s="1"/>
  <c r="O207" i="21" s="1"/>
  <c r="H207" i="21"/>
  <c r="I207" i="21"/>
  <c r="K207" i="21"/>
  <c r="L207" i="21"/>
  <c r="F208" i="21"/>
  <c r="H208" i="21" s="1"/>
  <c r="I208" i="21" s="1"/>
  <c r="K208" i="21"/>
  <c r="L208" i="21"/>
  <c r="Q208" i="21"/>
  <c r="R208" i="21"/>
  <c r="F209" i="21"/>
  <c r="K209" i="21" s="1"/>
  <c r="L209" i="21" s="1"/>
  <c r="H209" i="21"/>
  <c r="I209" i="21"/>
  <c r="F210" i="21"/>
  <c r="H210" i="21"/>
  <c r="I210" i="21"/>
  <c r="K210" i="21"/>
  <c r="L210" i="21"/>
  <c r="F212" i="21"/>
  <c r="K212" i="21" s="1"/>
  <c r="L212" i="21" s="1"/>
  <c r="H212" i="21"/>
  <c r="I212" i="21" s="1"/>
  <c r="N212" i="21"/>
  <c r="O212" i="21"/>
  <c r="Q212" i="21"/>
  <c r="R212" i="21"/>
  <c r="F213" i="21"/>
  <c r="H213" i="21"/>
  <c r="I213" i="21"/>
  <c r="K213" i="21"/>
  <c r="L213" i="21"/>
  <c r="N213" i="21"/>
  <c r="O213" i="21"/>
  <c r="Q213" i="21"/>
  <c r="R213" i="21"/>
  <c r="F214" i="21"/>
  <c r="Q214" i="21" s="1"/>
  <c r="R214" i="21" s="1"/>
  <c r="H214" i="21"/>
  <c r="I214" i="21"/>
  <c r="K214" i="21"/>
  <c r="L214" i="21"/>
  <c r="N214" i="21"/>
  <c r="O214" i="21"/>
  <c r="F215" i="21"/>
  <c r="Q215" i="21" s="1"/>
  <c r="R215" i="21" s="1"/>
  <c r="H215" i="21"/>
  <c r="I215" i="21"/>
  <c r="K215" i="21"/>
  <c r="L215" i="21"/>
  <c r="N215" i="21"/>
  <c r="O215" i="21"/>
  <c r="F216" i="21"/>
  <c r="N216" i="21" s="1"/>
  <c r="O216" i="21" s="1"/>
  <c r="H216" i="21"/>
  <c r="I216" i="21"/>
  <c r="K216" i="21"/>
  <c r="L216" i="21"/>
  <c r="F217" i="21"/>
  <c r="H217" i="21" s="1"/>
  <c r="I217" i="21" s="1"/>
  <c r="K217" i="21"/>
  <c r="L217" i="21"/>
  <c r="Q217" i="21"/>
  <c r="R217" i="21"/>
  <c r="F218" i="21"/>
  <c r="K218" i="21" s="1"/>
  <c r="L218" i="21" s="1"/>
  <c r="H218" i="21"/>
  <c r="I218" i="21"/>
  <c r="F219" i="21"/>
  <c r="K219" i="21" s="1"/>
  <c r="L219" i="21" s="1"/>
  <c r="H219" i="21"/>
  <c r="I219" i="21"/>
  <c r="N219" i="21"/>
  <c r="O219" i="21"/>
  <c r="Q219" i="21"/>
  <c r="R219" i="21"/>
  <c r="F220" i="21"/>
  <c r="H220" i="21" s="1"/>
  <c r="I220" i="21" s="1"/>
  <c r="F221" i="21"/>
  <c r="H221" i="21" s="1"/>
  <c r="I221" i="21" s="1"/>
  <c r="N221" i="21"/>
  <c r="O221" i="21"/>
  <c r="Q221" i="21"/>
  <c r="R221" i="21" s="1"/>
  <c r="F222" i="21"/>
  <c r="H222" i="21" s="1"/>
  <c r="I222" i="21" s="1"/>
  <c r="K222" i="21"/>
  <c r="L222" i="21" s="1"/>
  <c r="F223" i="21"/>
  <c r="K223" i="21" s="1"/>
  <c r="L223" i="21" s="1"/>
  <c r="H223" i="21"/>
  <c r="I223" i="21"/>
  <c r="F224" i="21"/>
  <c r="N224" i="21" s="1"/>
  <c r="O224" i="21" s="1"/>
  <c r="H224" i="21"/>
  <c r="I224" i="21"/>
  <c r="K224" i="21"/>
  <c r="L224" i="21"/>
  <c r="F225" i="21"/>
  <c r="H225" i="21" s="1"/>
  <c r="I225" i="21" s="1"/>
  <c r="K225" i="21"/>
  <c r="L225" i="21"/>
  <c r="F226" i="21"/>
  <c r="H226" i="21"/>
  <c r="I226" i="21"/>
  <c r="K226" i="21"/>
  <c r="L226" i="21"/>
  <c r="F227" i="21"/>
  <c r="K227" i="21" s="1"/>
  <c r="L227" i="21" s="1"/>
  <c r="H227" i="21"/>
  <c r="I227" i="21" s="1"/>
  <c r="F229" i="21"/>
  <c r="K229" i="21" s="1"/>
  <c r="L229" i="21" s="1"/>
  <c r="H229" i="21"/>
  <c r="I229" i="21" s="1"/>
  <c r="N229" i="21"/>
  <c r="O229" i="21" s="1"/>
  <c r="F230" i="21"/>
  <c r="N230" i="21" s="1"/>
  <c r="O230" i="21" s="1"/>
  <c r="H230" i="21"/>
  <c r="I230" i="21"/>
  <c r="K230" i="21"/>
  <c r="L230" i="21" s="1"/>
  <c r="F231" i="21"/>
  <c r="H231" i="21"/>
  <c r="I231" i="21"/>
  <c r="K231" i="21"/>
  <c r="L231" i="21" s="1"/>
  <c r="N231" i="21"/>
  <c r="O231" i="21"/>
  <c r="Q231" i="21"/>
  <c r="R231" i="21"/>
  <c r="F232" i="21"/>
  <c r="N232" i="21" s="1"/>
  <c r="O232" i="21" s="1"/>
  <c r="H232" i="21"/>
  <c r="I232" i="21" s="1"/>
  <c r="F233" i="21"/>
  <c r="K233" i="21" s="1"/>
  <c r="L233" i="21" s="1"/>
  <c r="H233" i="21"/>
  <c r="I233" i="21" s="1"/>
  <c r="N233" i="21"/>
  <c r="O233" i="21"/>
  <c r="Q233" i="21"/>
  <c r="R233" i="21"/>
  <c r="F234" i="21"/>
  <c r="H234" i="21"/>
  <c r="I234" i="21" s="1"/>
  <c r="K234" i="21"/>
  <c r="L234" i="21"/>
  <c r="N234" i="21"/>
  <c r="O234" i="21"/>
  <c r="Q234" i="21"/>
  <c r="R234" i="21"/>
  <c r="F235" i="21"/>
  <c r="Q235" i="21" s="1"/>
  <c r="R235" i="21" s="1"/>
  <c r="H235" i="21"/>
  <c r="I235" i="21"/>
  <c r="K235" i="21"/>
  <c r="L235" i="21"/>
  <c r="N235" i="21"/>
  <c r="O235" i="21"/>
  <c r="F236" i="21"/>
  <c r="Q236" i="21" s="1"/>
  <c r="R236" i="21" s="1"/>
  <c r="H236" i="21"/>
  <c r="I236" i="21"/>
  <c r="K236" i="21"/>
  <c r="L236" i="21"/>
  <c r="N236" i="21"/>
  <c r="O236" i="21"/>
  <c r="F237" i="21"/>
  <c r="N237" i="21" s="1"/>
  <c r="O237" i="21" s="1"/>
  <c r="H237" i="21"/>
  <c r="I237" i="21"/>
  <c r="K237" i="21"/>
  <c r="L237" i="21"/>
  <c r="F238" i="21"/>
  <c r="H238" i="21" s="1"/>
  <c r="I238" i="21" s="1"/>
  <c r="K238" i="21"/>
  <c r="L238" i="21"/>
  <c r="Q238" i="21"/>
  <c r="R238" i="21"/>
  <c r="F239" i="21"/>
  <c r="K239" i="21" s="1"/>
  <c r="L239" i="21" s="1"/>
  <c r="H239" i="21"/>
  <c r="I239" i="21"/>
  <c r="F241" i="21"/>
  <c r="K241" i="21" s="1"/>
  <c r="L241" i="21" s="1"/>
  <c r="H241" i="21"/>
  <c r="I241" i="21"/>
  <c r="N241" i="21"/>
  <c r="O241" i="21"/>
  <c r="Q241" i="21"/>
  <c r="R241" i="21"/>
  <c r="F242" i="21"/>
  <c r="H242" i="21" s="1"/>
  <c r="I242" i="21" s="1"/>
  <c r="F243" i="21"/>
  <c r="H243" i="21" s="1"/>
  <c r="I243" i="21" s="1"/>
  <c r="N243" i="21"/>
  <c r="O243" i="21"/>
  <c r="Q243" i="21"/>
  <c r="R243" i="21" s="1"/>
  <c r="F244" i="21"/>
  <c r="H244" i="21" s="1"/>
  <c r="I244" i="21" s="1"/>
  <c r="K244" i="21"/>
  <c r="L244" i="21" s="1"/>
  <c r="N244" i="21"/>
  <c r="O244" i="21"/>
  <c r="Q244" i="21"/>
  <c r="R244" i="21" s="1"/>
  <c r="F245" i="21"/>
  <c r="Q245" i="21" s="1"/>
  <c r="R245" i="21" s="1"/>
  <c r="H245" i="21"/>
  <c r="I245" i="21"/>
  <c r="K245" i="21"/>
  <c r="L245" i="21"/>
  <c r="N245" i="21"/>
  <c r="O245" i="21" s="1"/>
  <c r="F246" i="21"/>
  <c r="K246" i="21" s="1"/>
  <c r="L246" i="21" s="1"/>
  <c r="H246" i="21"/>
  <c r="I246" i="21" s="1"/>
  <c r="N246" i="21"/>
  <c r="O246" i="21" s="1"/>
  <c r="F247" i="21"/>
  <c r="Q247" i="21" s="1"/>
  <c r="R247" i="21" s="1"/>
  <c r="H247" i="21"/>
  <c r="I247" i="21"/>
  <c r="K247" i="21"/>
  <c r="L247" i="21" s="1"/>
  <c r="F248" i="21"/>
  <c r="H248" i="21"/>
  <c r="I248" i="21"/>
  <c r="K248" i="21"/>
  <c r="L248" i="21" s="1"/>
  <c r="N248" i="21"/>
  <c r="O248" i="21"/>
  <c r="Q248" i="21"/>
  <c r="R248" i="21"/>
  <c r="F249" i="21"/>
  <c r="K249" i="21" s="1"/>
  <c r="L249" i="21" s="1"/>
  <c r="H249" i="21"/>
  <c r="I249" i="21" s="1"/>
  <c r="F250" i="21"/>
  <c r="K250" i="21" s="1"/>
  <c r="L250" i="21" s="1"/>
  <c r="H250" i="21"/>
  <c r="I250" i="21" s="1"/>
  <c r="N250" i="21"/>
  <c r="O250" i="21"/>
  <c r="Q250" i="21"/>
  <c r="R250" i="21"/>
  <c r="F251" i="21"/>
  <c r="H251" i="21"/>
  <c r="I251" i="21" s="1"/>
  <c r="K251" i="21"/>
  <c r="L251" i="21"/>
  <c r="N251" i="21"/>
  <c r="O251" i="21"/>
  <c r="Q251" i="21"/>
  <c r="R251" i="21"/>
  <c r="F252" i="21"/>
  <c r="N252" i="21"/>
  <c r="O252" i="21"/>
  <c r="Q252" i="21"/>
  <c r="R252" i="21"/>
  <c r="F254" i="21"/>
  <c r="K254" i="21" s="1"/>
  <c r="L254" i="21" s="1"/>
  <c r="H254" i="21"/>
  <c r="I254" i="21" s="1"/>
  <c r="F255" i="21"/>
  <c r="K255" i="21" s="1"/>
  <c r="L255" i="21" s="1"/>
  <c r="H255" i="21"/>
  <c r="I255" i="21" s="1"/>
  <c r="N255" i="21"/>
  <c r="O255" i="21"/>
  <c r="Q255" i="21"/>
  <c r="R255" i="21"/>
  <c r="F256" i="21"/>
  <c r="H256" i="21"/>
  <c r="I256" i="21" s="1"/>
  <c r="K256" i="21"/>
  <c r="L256" i="21"/>
  <c r="N256" i="21"/>
  <c r="O256" i="21"/>
  <c r="Q256" i="21"/>
  <c r="R256" i="21"/>
  <c r="F257" i="21"/>
  <c r="Q257" i="21" s="1"/>
  <c r="R257" i="21" s="1"/>
  <c r="H257" i="21"/>
  <c r="I257" i="21"/>
  <c r="K257" i="21"/>
  <c r="L257" i="21"/>
  <c r="N257" i="21"/>
  <c r="O257" i="21"/>
  <c r="F258" i="21"/>
  <c r="Q258" i="21" s="1"/>
  <c r="R258" i="21" s="1"/>
  <c r="H258" i="21"/>
  <c r="I258" i="21"/>
  <c r="K258" i="21"/>
  <c r="L258" i="21"/>
  <c r="N258" i="21"/>
  <c r="O258" i="21"/>
  <c r="F259" i="21"/>
  <c r="N259" i="21" s="1"/>
  <c r="O259" i="21" s="1"/>
  <c r="H259" i="21"/>
  <c r="I259" i="21"/>
  <c r="K259" i="21"/>
  <c r="L259" i="21"/>
  <c r="F260" i="21"/>
  <c r="H260" i="21" s="1"/>
  <c r="I260" i="21" s="1"/>
  <c r="K260" i="21"/>
  <c r="L260" i="21"/>
  <c r="Q260" i="21"/>
  <c r="R260" i="21"/>
  <c r="F261" i="21"/>
  <c r="K261" i="21" s="1"/>
  <c r="L261" i="21" s="1"/>
  <c r="H261" i="21"/>
  <c r="I261" i="21"/>
  <c r="F262" i="21"/>
  <c r="K262" i="21" s="1"/>
  <c r="L262" i="21" s="1"/>
  <c r="H262" i="21"/>
  <c r="I262" i="21"/>
  <c r="N262" i="21"/>
  <c r="O262" i="21"/>
  <c r="Q262" i="21"/>
  <c r="R262" i="21"/>
  <c r="F263" i="21"/>
  <c r="H263" i="21" s="1"/>
  <c r="I263" i="21" s="1"/>
  <c r="F264" i="21"/>
  <c r="H264" i="21" s="1"/>
  <c r="I264" i="21" s="1"/>
  <c r="N264" i="21"/>
  <c r="O264" i="21"/>
  <c r="Q264" i="21"/>
  <c r="R264" i="21" s="1"/>
  <c r="F266" i="21"/>
  <c r="H266" i="21" s="1"/>
  <c r="I266" i="21" s="1"/>
  <c r="K266" i="21"/>
  <c r="L266" i="21" s="1"/>
  <c r="N266" i="21"/>
  <c r="O266" i="21"/>
  <c r="Q266" i="21"/>
  <c r="R266" i="21" s="1"/>
  <c r="F267" i="21"/>
  <c r="Q267" i="21" s="1"/>
  <c r="R267" i="21" s="1"/>
  <c r="H267" i="21"/>
  <c r="I267" i="21"/>
  <c r="K267" i="21"/>
  <c r="L267" i="21"/>
  <c r="N267" i="21"/>
  <c r="O267" i="21" s="1"/>
  <c r="F268" i="21"/>
  <c r="Q268" i="21" s="1"/>
  <c r="R268" i="21" s="1"/>
  <c r="H268" i="21"/>
  <c r="I268" i="21" s="1"/>
  <c r="K268" i="21"/>
  <c r="L268" i="21"/>
  <c r="N268" i="21"/>
  <c r="O268" i="21" s="1"/>
  <c r="F269" i="21"/>
  <c r="Q269" i="21" s="1"/>
  <c r="R269" i="21" s="1"/>
  <c r="H269" i="21"/>
  <c r="I269" i="21"/>
  <c r="K269" i="21"/>
  <c r="L269" i="21" s="1"/>
  <c r="F270" i="21"/>
  <c r="H270" i="21"/>
  <c r="I270" i="21"/>
  <c r="K270" i="21"/>
  <c r="L270" i="21" s="1"/>
  <c r="N270" i="21"/>
  <c r="O270" i="21"/>
  <c r="Q270" i="21"/>
  <c r="R270" i="21"/>
  <c r="F271" i="21"/>
  <c r="K271" i="21" s="1"/>
  <c r="L271" i="21" s="1"/>
  <c r="H271" i="21"/>
  <c r="I271" i="21" s="1"/>
  <c r="F272" i="21"/>
  <c r="K272" i="21" s="1"/>
  <c r="L272" i="21" s="1"/>
  <c r="H272" i="21"/>
  <c r="I272" i="21" s="1"/>
  <c r="N272" i="21"/>
  <c r="O272" i="21"/>
  <c r="Q272" i="21"/>
  <c r="R272" i="21"/>
  <c r="F273" i="21"/>
  <c r="H273" i="21"/>
  <c r="I273" i="21" s="1"/>
  <c r="K273" i="21"/>
  <c r="L273" i="21"/>
  <c r="N273" i="21"/>
  <c r="O273" i="21"/>
  <c r="Q273" i="21"/>
  <c r="R273" i="21"/>
  <c r="F274" i="21"/>
  <c r="H274" i="21"/>
  <c r="I274" i="21"/>
  <c r="K274" i="21"/>
  <c r="L274" i="21"/>
  <c r="N274" i="21"/>
  <c r="O274" i="21"/>
  <c r="F275" i="21"/>
  <c r="H275" i="21"/>
  <c r="I275" i="21" s="1"/>
  <c r="K275" i="21"/>
  <c r="L275" i="21"/>
  <c r="F276" i="21"/>
  <c r="H276" i="21"/>
  <c r="I276" i="21"/>
  <c r="K276" i="21"/>
  <c r="L276" i="21" s="1"/>
  <c r="F277" i="21"/>
  <c r="H277" i="21"/>
  <c r="I277" i="21"/>
  <c r="K277" i="21"/>
  <c r="L277" i="21"/>
  <c r="F112" i="21"/>
  <c r="H112" i="21"/>
  <c r="I112" i="21" s="1"/>
  <c r="K112" i="21"/>
  <c r="L112" i="21" s="1"/>
  <c r="N112" i="21"/>
  <c r="O112" i="21"/>
  <c r="Q112" i="21"/>
  <c r="R112" i="21"/>
  <c r="F113" i="21"/>
  <c r="Q113" i="21" s="1"/>
  <c r="R113" i="21" s="1"/>
  <c r="H113" i="21"/>
  <c r="I113" i="21"/>
  <c r="K113" i="21"/>
  <c r="L113" i="21"/>
  <c r="N113" i="21"/>
  <c r="O113" i="21"/>
  <c r="F114" i="21"/>
  <c r="H114" i="21"/>
  <c r="I114" i="21" s="1"/>
  <c r="K114" i="21"/>
  <c r="L114" i="21"/>
  <c r="N114" i="21"/>
  <c r="O114" i="21"/>
  <c r="Q114" i="21"/>
  <c r="R114" i="21"/>
  <c r="F115" i="21"/>
  <c r="N115" i="21" s="1"/>
  <c r="O115" i="21" s="1"/>
  <c r="H115" i="21"/>
  <c r="I115" i="21"/>
  <c r="K115" i="21"/>
  <c r="L115" i="21"/>
  <c r="F116" i="21"/>
  <c r="H116" i="21" s="1"/>
  <c r="I116" i="21" s="1"/>
  <c r="K116" i="21"/>
  <c r="L116" i="21"/>
  <c r="Q116" i="21"/>
  <c r="R116" i="21"/>
  <c r="F117" i="21"/>
  <c r="K117" i="21" s="1"/>
  <c r="L117" i="21" s="1"/>
  <c r="H117" i="21"/>
  <c r="I117" i="21"/>
  <c r="F118" i="21"/>
  <c r="K118" i="21" s="1"/>
  <c r="L118" i="21" s="1"/>
  <c r="H118" i="21"/>
  <c r="I118" i="21"/>
  <c r="N118" i="21"/>
  <c r="O118" i="21"/>
  <c r="Q118" i="21"/>
  <c r="R118" i="21"/>
  <c r="F119" i="21"/>
  <c r="H119" i="21" s="1"/>
  <c r="I119" i="21" s="1"/>
  <c r="F120" i="21"/>
  <c r="H120" i="21" s="1"/>
  <c r="I120" i="21" s="1"/>
  <c r="N120" i="21"/>
  <c r="O120" i="21"/>
  <c r="Q120" i="21"/>
  <c r="R120" i="21" s="1"/>
  <c r="F121" i="21"/>
  <c r="H121" i="21" s="1"/>
  <c r="I121" i="21" s="1"/>
  <c r="K121" i="21"/>
  <c r="L121" i="21" s="1"/>
  <c r="N121" i="21"/>
  <c r="O121" i="21"/>
  <c r="Q121" i="21"/>
  <c r="R121" i="21" s="1"/>
  <c r="F122" i="21"/>
  <c r="Q122" i="21" s="1"/>
  <c r="R122" i="21" s="1"/>
  <c r="H122" i="21"/>
  <c r="I122" i="21"/>
  <c r="K122" i="21"/>
  <c r="L122" i="21"/>
  <c r="N122" i="21"/>
  <c r="O122" i="21" s="1"/>
  <c r="F123" i="21"/>
  <c r="H123" i="21" s="1"/>
  <c r="I123" i="21" s="1"/>
  <c r="N123" i="21"/>
  <c r="O123" i="21" s="1"/>
  <c r="Q123" i="21"/>
  <c r="R123" i="21"/>
  <c r="F124" i="21"/>
  <c r="N124" i="21" s="1"/>
  <c r="O124" i="21" s="1"/>
  <c r="H124" i="21"/>
  <c r="I124" i="21"/>
  <c r="K124" i="21"/>
  <c r="L124" i="21" s="1"/>
  <c r="F125" i="21"/>
  <c r="H125" i="21"/>
  <c r="I125" i="21"/>
  <c r="K125" i="21"/>
  <c r="L125" i="21" s="1"/>
  <c r="N125" i="21"/>
  <c r="O125" i="21"/>
  <c r="Q125" i="21"/>
  <c r="R125" i="21"/>
  <c r="F126" i="21"/>
  <c r="K126" i="21" s="1"/>
  <c r="L126" i="21" s="1"/>
  <c r="H126" i="21"/>
  <c r="I126" i="21" s="1"/>
  <c r="F128" i="21"/>
  <c r="K128" i="21" s="1"/>
  <c r="L128" i="21" s="1"/>
  <c r="H128" i="21"/>
  <c r="I128" i="21" s="1"/>
  <c r="N128" i="21"/>
  <c r="O128" i="21"/>
  <c r="Q128" i="21"/>
  <c r="R128" i="21"/>
  <c r="F129" i="21"/>
  <c r="H129" i="21"/>
  <c r="I129" i="21" s="1"/>
  <c r="K129" i="21"/>
  <c r="L129" i="21" s="1"/>
  <c r="N129" i="21"/>
  <c r="O129" i="21"/>
  <c r="Q129" i="21"/>
  <c r="R129" i="21"/>
  <c r="F130" i="21"/>
  <c r="Q130" i="21" s="1"/>
  <c r="R130" i="21" s="1"/>
  <c r="H130" i="21"/>
  <c r="I130" i="21"/>
  <c r="K130" i="21"/>
  <c r="L130" i="21"/>
  <c r="N130" i="21"/>
  <c r="O130" i="21"/>
  <c r="F131" i="21"/>
  <c r="H131" i="21"/>
  <c r="I131" i="21" s="1"/>
  <c r="K131" i="21"/>
  <c r="L131" i="21"/>
  <c r="N131" i="21"/>
  <c r="O131" i="21"/>
  <c r="Q131" i="21"/>
  <c r="R131" i="21"/>
  <c r="F132" i="21"/>
  <c r="N132" i="21" s="1"/>
  <c r="O132" i="21" s="1"/>
  <c r="H132" i="21"/>
  <c r="I132" i="21"/>
  <c r="K132" i="21"/>
  <c r="L132" i="21"/>
  <c r="F133" i="21"/>
  <c r="H133" i="21" s="1"/>
  <c r="I133" i="21" s="1"/>
  <c r="K133" i="21"/>
  <c r="L133" i="21"/>
  <c r="Q133" i="21"/>
  <c r="R133" i="21"/>
  <c r="F134" i="21"/>
  <c r="K134" i="21" s="1"/>
  <c r="L134" i="21" s="1"/>
  <c r="H134" i="21"/>
  <c r="I134" i="21"/>
  <c r="F135" i="21"/>
  <c r="K135" i="21" s="1"/>
  <c r="L135" i="21" s="1"/>
  <c r="H135" i="21"/>
  <c r="I135" i="21"/>
  <c r="N135" i="21"/>
  <c r="O135" i="21"/>
  <c r="Q135" i="21"/>
  <c r="R135" i="21"/>
  <c r="F136" i="21"/>
  <c r="H136" i="21" s="1"/>
  <c r="I136" i="21" s="1"/>
  <c r="F137" i="21"/>
  <c r="H137" i="21" s="1"/>
  <c r="I137" i="21" s="1"/>
  <c r="N137" i="21"/>
  <c r="O137" i="21"/>
  <c r="Q137" i="21"/>
  <c r="R137" i="21" s="1"/>
  <c r="F138" i="21"/>
  <c r="H138" i="21" s="1"/>
  <c r="I138" i="21" s="1"/>
  <c r="K138" i="21"/>
  <c r="L138" i="21" s="1"/>
  <c r="N138" i="21"/>
  <c r="O138" i="21"/>
  <c r="Q138" i="21"/>
  <c r="R138" i="21" s="1"/>
  <c r="F139" i="21"/>
  <c r="Q139" i="21" s="1"/>
  <c r="R139" i="21" s="1"/>
  <c r="H139" i="21"/>
  <c r="I139" i="21"/>
  <c r="K139" i="21"/>
  <c r="L139" i="21"/>
  <c r="N139" i="21"/>
  <c r="O139" i="21" s="1"/>
  <c r="F140" i="21"/>
  <c r="H140" i="21" s="1"/>
  <c r="I140" i="21" s="1"/>
  <c r="N140" i="21"/>
  <c r="O140" i="21" s="1"/>
  <c r="Q140" i="21"/>
  <c r="R140" i="21"/>
  <c r="F141" i="21"/>
  <c r="N141" i="21" s="1"/>
  <c r="O141" i="21" s="1"/>
  <c r="H141" i="21"/>
  <c r="I141" i="21"/>
  <c r="K141" i="21"/>
  <c r="L141" i="21" s="1"/>
  <c r="F142" i="21"/>
  <c r="H142" i="21"/>
  <c r="I142" i="21"/>
  <c r="K142" i="21"/>
  <c r="L142" i="21" s="1"/>
  <c r="N142" i="21"/>
  <c r="O142" i="21"/>
  <c r="Q142" i="21"/>
  <c r="R142" i="21"/>
  <c r="F143" i="21"/>
  <c r="K143" i="21" s="1"/>
  <c r="L143" i="21" s="1"/>
  <c r="H143" i="21"/>
  <c r="I143" i="21" s="1"/>
  <c r="F144" i="21"/>
  <c r="K144" i="21" s="1"/>
  <c r="L144" i="21" s="1"/>
  <c r="H144" i="21"/>
  <c r="I144" i="21" s="1"/>
  <c r="N144" i="21"/>
  <c r="O144" i="21"/>
  <c r="Q144" i="21"/>
  <c r="R144" i="21"/>
  <c r="F145" i="21"/>
  <c r="H145" i="21"/>
  <c r="I145" i="21" s="1"/>
  <c r="K145" i="21"/>
  <c r="L145" i="21" s="1"/>
  <c r="N145" i="21"/>
  <c r="O145" i="21"/>
  <c r="Q145" i="21"/>
  <c r="R145" i="21"/>
  <c r="F146" i="21"/>
  <c r="Q146" i="21" s="1"/>
  <c r="R146" i="21" s="1"/>
  <c r="H146" i="21"/>
  <c r="I146" i="21"/>
  <c r="K146" i="21"/>
  <c r="L146" i="21"/>
  <c r="N146" i="21"/>
  <c r="O146" i="21"/>
  <c r="F147" i="21"/>
  <c r="H147" i="21"/>
  <c r="I147" i="21" s="1"/>
  <c r="K147" i="21"/>
  <c r="L147" i="21"/>
  <c r="N147" i="21"/>
  <c r="O147" i="21"/>
  <c r="Q147" i="21"/>
  <c r="R147" i="21"/>
  <c r="F148" i="21"/>
  <c r="N148" i="21" s="1"/>
  <c r="O148" i="21" s="1"/>
  <c r="H148" i="21"/>
  <c r="I148" i="21"/>
  <c r="K148" i="21"/>
  <c r="L148" i="21"/>
  <c r="F149" i="21"/>
  <c r="H149" i="21" s="1"/>
  <c r="I149" i="21" s="1"/>
  <c r="K149" i="21"/>
  <c r="L149" i="21"/>
  <c r="Q149" i="21"/>
  <c r="R149" i="21"/>
  <c r="F150" i="21"/>
  <c r="K150" i="21" s="1"/>
  <c r="L150" i="21" s="1"/>
  <c r="H150" i="21"/>
  <c r="I150" i="21"/>
  <c r="F151" i="21"/>
  <c r="K151" i="21" s="1"/>
  <c r="L151" i="21" s="1"/>
  <c r="H151" i="21"/>
  <c r="I151" i="21"/>
  <c r="N151" i="21"/>
  <c r="O151" i="21"/>
  <c r="Q151" i="21"/>
  <c r="R151" i="21"/>
  <c r="F152" i="21"/>
  <c r="H152" i="21" s="1"/>
  <c r="I152" i="21" s="1"/>
  <c r="F154" i="21"/>
  <c r="H154" i="21" s="1"/>
  <c r="I154" i="21" s="1"/>
  <c r="N154" i="21"/>
  <c r="O154" i="21"/>
  <c r="Q154" i="21"/>
  <c r="R154" i="21" s="1"/>
  <c r="F155" i="21"/>
  <c r="H155" i="21" s="1"/>
  <c r="I155" i="21" s="1"/>
  <c r="K155" i="21"/>
  <c r="L155" i="21" s="1"/>
  <c r="N155" i="21"/>
  <c r="O155" i="21"/>
  <c r="Q155" i="21"/>
  <c r="R155" i="21" s="1"/>
  <c r="F156" i="21"/>
  <c r="Q156" i="21" s="1"/>
  <c r="R156" i="21" s="1"/>
  <c r="H156" i="21"/>
  <c r="I156" i="21"/>
  <c r="K156" i="21"/>
  <c r="L156" i="21"/>
  <c r="N156" i="21"/>
  <c r="O156" i="21" s="1"/>
  <c r="F157" i="21"/>
  <c r="H157" i="21" s="1"/>
  <c r="I157" i="21" s="1"/>
  <c r="N157" i="21"/>
  <c r="O157" i="21" s="1"/>
  <c r="Q157" i="21"/>
  <c r="R157" i="21"/>
  <c r="F158" i="21"/>
  <c r="N158" i="21" s="1"/>
  <c r="O158" i="21" s="1"/>
  <c r="H158" i="21"/>
  <c r="I158" i="21"/>
  <c r="K158" i="21"/>
  <c r="L158" i="21" s="1"/>
  <c r="F159" i="21"/>
  <c r="H159" i="21"/>
  <c r="I159" i="21"/>
  <c r="K159" i="21"/>
  <c r="L159" i="21" s="1"/>
  <c r="N159" i="21"/>
  <c r="O159" i="21"/>
  <c r="Q159" i="21"/>
  <c r="R159" i="21"/>
  <c r="F160" i="21"/>
  <c r="K160" i="21" s="1"/>
  <c r="L160" i="21" s="1"/>
  <c r="H160" i="21"/>
  <c r="I160" i="21" s="1"/>
  <c r="F161" i="21"/>
  <c r="K161" i="21" s="1"/>
  <c r="L161" i="21" s="1"/>
  <c r="H161" i="21"/>
  <c r="I161" i="21" s="1"/>
  <c r="N161" i="21"/>
  <c r="O161" i="21"/>
  <c r="Q161" i="21"/>
  <c r="R161" i="21"/>
  <c r="F162" i="21"/>
  <c r="H162" i="21"/>
  <c r="I162" i="21" s="1"/>
  <c r="K162" i="21"/>
  <c r="L162" i="21"/>
  <c r="N162" i="21"/>
  <c r="O162" i="21"/>
  <c r="Q162" i="21"/>
  <c r="R162" i="21"/>
  <c r="F163" i="21"/>
  <c r="Q163" i="21" s="1"/>
  <c r="R163" i="21" s="1"/>
  <c r="H163" i="21"/>
  <c r="I163" i="21"/>
  <c r="K163" i="21"/>
  <c r="L163" i="21"/>
  <c r="N163" i="21"/>
  <c r="O163" i="21"/>
  <c r="F164" i="21"/>
  <c r="H164" i="21"/>
  <c r="I164" i="21"/>
  <c r="K164" i="21"/>
  <c r="L164" i="21"/>
  <c r="N164" i="21"/>
  <c r="O164" i="21"/>
  <c r="Q164" i="21"/>
  <c r="R164" i="21"/>
  <c r="F165" i="21"/>
  <c r="N165" i="21" s="1"/>
  <c r="O165" i="21" s="1"/>
  <c r="H165" i="21"/>
  <c r="I165" i="21"/>
  <c r="K165" i="21"/>
  <c r="L165" i="21"/>
  <c r="F166" i="21"/>
  <c r="H166" i="21" s="1"/>
  <c r="I166" i="21" s="1"/>
  <c r="K166" i="21"/>
  <c r="L166" i="21"/>
  <c r="Q166" i="21"/>
  <c r="R166" i="21"/>
  <c r="F167" i="21"/>
  <c r="K167" i="21" s="1"/>
  <c r="L167" i="21" s="1"/>
  <c r="H167" i="21"/>
  <c r="I167" i="21"/>
  <c r="F168" i="21"/>
  <c r="K168" i="21" s="1"/>
  <c r="L168" i="21" s="1"/>
  <c r="H168" i="21"/>
  <c r="I168" i="21"/>
  <c r="N168" i="21"/>
  <c r="O168" i="21"/>
  <c r="Q168" i="21"/>
  <c r="R168" i="21"/>
  <c r="F169" i="21"/>
  <c r="H169" i="21" s="1"/>
  <c r="I169" i="21" s="1"/>
  <c r="F170" i="21"/>
  <c r="H170" i="21" s="1"/>
  <c r="I170" i="21" s="1"/>
  <c r="N170" i="21"/>
  <c r="O170" i="21"/>
  <c r="Q170" i="21"/>
  <c r="R170" i="21" s="1"/>
  <c r="F171" i="21"/>
  <c r="H171" i="21" s="1"/>
  <c r="I171" i="21" s="1"/>
  <c r="K171" i="21"/>
  <c r="L171" i="21" s="1"/>
  <c r="N171" i="21"/>
  <c r="O171" i="21"/>
  <c r="Q171" i="21"/>
  <c r="R171" i="21" s="1"/>
  <c r="F173" i="21"/>
  <c r="Q173" i="21" s="1"/>
  <c r="R173" i="21" s="1"/>
  <c r="H173" i="21"/>
  <c r="I173" i="21"/>
  <c r="K173" i="21"/>
  <c r="L173" i="21"/>
  <c r="N173" i="21"/>
  <c r="O173" i="21" s="1"/>
  <c r="F174" i="21"/>
  <c r="K174" i="21" s="1"/>
  <c r="L174" i="21" s="1"/>
  <c r="H174" i="21"/>
  <c r="I174" i="21" s="1"/>
  <c r="N174" i="21"/>
  <c r="O174" i="21" s="1"/>
  <c r="Q174" i="21"/>
  <c r="R174" i="21"/>
  <c r="F175" i="21"/>
  <c r="N175" i="21" s="1"/>
  <c r="O175" i="21" s="1"/>
  <c r="H175" i="21"/>
  <c r="I175" i="21"/>
  <c r="K175" i="21"/>
  <c r="L175" i="21" s="1"/>
  <c r="F176" i="21"/>
  <c r="H176" i="21"/>
  <c r="I176" i="21"/>
  <c r="K176" i="21"/>
  <c r="L176" i="21" s="1"/>
  <c r="N176" i="21"/>
  <c r="O176" i="21"/>
  <c r="Q176" i="21"/>
  <c r="R176" i="21"/>
  <c r="F177" i="21"/>
  <c r="N177" i="21" s="1"/>
  <c r="O177" i="21" s="1"/>
  <c r="H177" i="21"/>
  <c r="I177" i="21" s="1"/>
  <c r="F178" i="21"/>
  <c r="K178" i="21" s="1"/>
  <c r="L178" i="21" s="1"/>
  <c r="H178" i="21"/>
  <c r="I178" i="21" s="1"/>
  <c r="N178" i="21"/>
  <c r="O178" i="21"/>
  <c r="Q178" i="21"/>
  <c r="R178" i="21"/>
  <c r="F179" i="21"/>
  <c r="H179" i="21"/>
  <c r="I179" i="21" s="1"/>
  <c r="K179" i="21"/>
  <c r="L179" i="21"/>
  <c r="N179" i="21"/>
  <c r="O179" i="21"/>
  <c r="Q179" i="21"/>
  <c r="R179" i="21"/>
  <c r="F180" i="21"/>
  <c r="Q180" i="21" s="1"/>
  <c r="R180" i="21" s="1"/>
  <c r="H180" i="21"/>
  <c r="I180" i="21"/>
  <c r="K180" i="21"/>
  <c r="L180" i="21"/>
  <c r="N180" i="21"/>
  <c r="O180" i="21"/>
  <c r="F181" i="21"/>
  <c r="H181" i="21"/>
  <c r="I181" i="21"/>
  <c r="K181" i="21"/>
  <c r="L181" i="21"/>
  <c r="N181" i="21"/>
  <c r="O181" i="21"/>
  <c r="Q181" i="21"/>
  <c r="R181" i="21"/>
  <c r="F182" i="21"/>
  <c r="N182" i="21" s="1"/>
  <c r="O182" i="21" s="1"/>
  <c r="H182" i="21"/>
  <c r="I182" i="21"/>
  <c r="K182" i="21"/>
  <c r="L182" i="21"/>
  <c r="F184" i="21"/>
  <c r="H184" i="21" s="1"/>
  <c r="I184" i="21" s="1"/>
  <c r="K184" i="21"/>
  <c r="L184" i="21"/>
  <c r="Q184" i="21"/>
  <c r="R184" i="21"/>
  <c r="F185" i="21"/>
  <c r="K185" i="21" s="1"/>
  <c r="L185" i="21" s="1"/>
  <c r="H185" i="21"/>
  <c r="I185" i="21"/>
  <c r="F186" i="21"/>
  <c r="K186" i="21" s="1"/>
  <c r="L186" i="21" s="1"/>
  <c r="H186" i="21"/>
  <c r="I186" i="21"/>
  <c r="N186" i="21"/>
  <c r="O186" i="21"/>
  <c r="Q186" i="21"/>
  <c r="R186" i="21"/>
  <c r="F187" i="21"/>
  <c r="H187" i="21" s="1"/>
  <c r="I187" i="21" s="1"/>
  <c r="F188" i="21"/>
  <c r="H188" i="21" s="1"/>
  <c r="I188" i="21" s="1"/>
  <c r="N188" i="21"/>
  <c r="O188" i="21"/>
  <c r="Q188" i="21"/>
  <c r="R188" i="21" s="1"/>
  <c r="F189" i="21"/>
  <c r="H189" i="21" s="1"/>
  <c r="I189" i="21" s="1"/>
  <c r="K189" i="21"/>
  <c r="L189" i="21" s="1"/>
  <c r="N189" i="21"/>
  <c r="O189" i="21"/>
  <c r="Q189" i="21"/>
  <c r="R189" i="21" s="1"/>
  <c r="F190" i="21"/>
  <c r="Q190" i="21" s="1"/>
  <c r="R190" i="21" s="1"/>
  <c r="H190" i="21"/>
  <c r="I190" i="21"/>
  <c r="K190" i="21"/>
  <c r="L190" i="21"/>
  <c r="N190" i="21"/>
  <c r="O190" i="21" s="1"/>
  <c r="F191" i="21"/>
  <c r="K191" i="21" s="1"/>
  <c r="L191" i="21" s="1"/>
  <c r="H191" i="21"/>
  <c r="I191" i="21" s="1"/>
  <c r="N191" i="21"/>
  <c r="O191" i="21" s="1"/>
  <c r="Q191" i="21"/>
  <c r="R191" i="21"/>
  <c r="F192" i="21"/>
  <c r="Q192" i="21" s="1"/>
  <c r="R192" i="21" s="1"/>
  <c r="H192" i="21"/>
  <c r="I192" i="21"/>
  <c r="K192" i="21"/>
  <c r="L192" i="21" s="1"/>
  <c r="F193" i="21"/>
  <c r="H193" i="21"/>
  <c r="I193" i="21"/>
  <c r="K193" i="21"/>
  <c r="L193" i="21" s="1"/>
  <c r="N193" i="21"/>
  <c r="O193" i="21"/>
  <c r="Q193" i="21"/>
  <c r="R193" i="21"/>
  <c r="F194" i="21"/>
  <c r="K194" i="21" s="1"/>
  <c r="L194" i="21" s="1"/>
  <c r="H194" i="21"/>
  <c r="I194" i="21" s="1"/>
  <c r="F30" i="21"/>
  <c r="H30" i="21"/>
  <c r="I30" i="21"/>
  <c r="K30" i="21"/>
  <c r="L30" i="21"/>
  <c r="N30" i="21"/>
  <c r="O30" i="21"/>
  <c r="Q30" i="21"/>
  <c r="R30" i="21"/>
  <c r="F31" i="21"/>
  <c r="Q31" i="21" s="1"/>
  <c r="R31" i="21" s="1"/>
  <c r="H31" i="21"/>
  <c r="I31" i="21"/>
  <c r="K31" i="21"/>
  <c r="L31" i="21"/>
  <c r="N31" i="21"/>
  <c r="O31" i="21"/>
  <c r="F32" i="21"/>
  <c r="H32" i="21" s="1"/>
  <c r="I32" i="21" s="1"/>
  <c r="N32" i="21"/>
  <c r="O32" i="21" s="1"/>
  <c r="Q32" i="21"/>
  <c r="R32" i="21"/>
  <c r="F33" i="21"/>
  <c r="H33" i="21"/>
  <c r="I33" i="21"/>
  <c r="K33" i="21"/>
  <c r="L33" i="21"/>
  <c r="F34" i="21"/>
  <c r="H34" i="21"/>
  <c r="I34" i="21"/>
  <c r="K34" i="21"/>
  <c r="L34" i="21"/>
  <c r="N34" i="21"/>
  <c r="O34" i="21"/>
  <c r="Q34" i="21"/>
  <c r="R34" i="21" s="1"/>
  <c r="F35" i="21"/>
  <c r="H35" i="21"/>
  <c r="I35" i="21"/>
  <c r="F36" i="21"/>
  <c r="H36" i="21"/>
  <c r="I36" i="21"/>
  <c r="K36" i="21"/>
  <c r="L36" i="21"/>
  <c r="N36" i="21"/>
  <c r="O36" i="21"/>
  <c r="Q36" i="21"/>
  <c r="R36" i="21"/>
  <c r="F37" i="21"/>
  <c r="Q37" i="21"/>
  <c r="R37" i="21"/>
  <c r="F38" i="21"/>
  <c r="H38" i="21"/>
  <c r="I38" i="21"/>
  <c r="K38" i="21"/>
  <c r="L38" i="21"/>
  <c r="N38" i="21"/>
  <c r="O38" i="21"/>
  <c r="Q38" i="21"/>
  <c r="R38" i="21" s="1"/>
  <c r="F39" i="21"/>
  <c r="K39" i="21" s="1"/>
  <c r="L39" i="21" s="1"/>
  <c r="H39" i="21"/>
  <c r="I39" i="21" s="1"/>
  <c r="N39" i="21"/>
  <c r="O39" i="21"/>
  <c r="Q39" i="21"/>
  <c r="R39" i="21" s="1"/>
  <c r="F40" i="21"/>
  <c r="Q40" i="21" s="1"/>
  <c r="R40" i="21" s="1"/>
  <c r="H40" i="21"/>
  <c r="I40" i="21" s="1"/>
  <c r="K40" i="21"/>
  <c r="L40" i="21"/>
  <c r="N40" i="21"/>
  <c r="O40" i="21" s="1"/>
  <c r="F41" i="21"/>
  <c r="H41" i="21"/>
  <c r="I41" i="21"/>
  <c r="K41" i="21"/>
  <c r="L41" i="21"/>
  <c r="N41" i="21"/>
  <c r="O41" i="21"/>
  <c r="Q41" i="21"/>
  <c r="R41" i="21"/>
  <c r="F42" i="21"/>
  <c r="H42" i="21"/>
  <c r="I42" i="21"/>
  <c r="K42" i="21"/>
  <c r="L42" i="21" s="1"/>
  <c r="F43" i="21"/>
  <c r="H43" i="21"/>
  <c r="I43" i="21"/>
  <c r="K43" i="21"/>
  <c r="L43" i="21"/>
  <c r="N43" i="21"/>
  <c r="O43" i="21"/>
  <c r="Q43" i="21"/>
  <c r="R43" i="21"/>
  <c r="F44" i="21"/>
  <c r="H44" i="21"/>
  <c r="I44" i="21" s="1"/>
  <c r="F45" i="21"/>
  <c r="H45" i="21"/>
  <c r="I45" i="21"/>
  <c r="K45" i="21"/>
  <c r="L45" i="21"/>
  <c r="N45" i="21"/>
  <c r="O45" i="21"/>
  <c r="Q45" i="21"/>
  <c r="R45" i="21"/>
  <c r="F47" i="21"/>
  <c r="H47" i="21"/>
  <c r="I47" i="21"/>
  <c r="K47" i="21"/>
  <c r="L47" i="21"/>
  <c r="N47" i="21"/>
  <c r="O47" i="21"/>
  <c r="Q47" i="21"/>
  <c r="R47" i="21"/>
  <c r="F48" i="21"/>
  <c r="Q48" i="21" s="1"/>
  <c r="R48" i="21" s="1"/>
  <c r="N48" i="21"/>
  <c r="O48" i="21"/>
  <c r="F49" i="21"/>
  <c r="H49" i="21" s="1"/>
  <c r="I49" i="21" s="1"/>
  <c r="N49" i="21"/>
  <c r="O49" i="21"/>
  <c r="Q49" i="21"/>
  <c r="R49" i="21"/>
  <c r="F50" i="21"/>
  <c r="F51" i="21"/>
  <c r="H51" i="21"/>
  <c r="I51" i="21"/>
  <c r="K51" i="21"/>
  <c r="L51" i="21"/>
  <c r="N51" i="21"/>
  <c r="O51" i="21"/>
  <c r="Q51" i="21"/>
  <c r="R51" i="21"/>
  <c r="F52" i="21"/>
  <c r="H52" i="21"/>
  <c r="I52" i="21"/>
  <c r="F53" i="21"/>
  <c r="H53" i="21"/>
  <c r="I53" i="21"/>
  <c r="K53" i="21"/>
  <c r="L53" i="21"/>
  <c r="N53" i="21"/>
  <c r="O53" i="21"/>
  <c r="Q53" i="21"/>
  <c r="R53" i="21"/>
  <c r="F54" i="21"/>
  <c r="Q54" i="21"/>
  <c r="R54" i="21"/>
  <c r="F55" i="21"/>
  <c r="N55" i="21" s="1"/>
  <c r="O55" i="21" s="1"/>
  <c r="H55" i="21"/>
  <c r="I55" i="21"/>
  <c r="K55" i="21"/>
  <c r="L55" i="21" s="1"/>
  <c r="F56" i="21"/>
  <c r="K56" i="21" s="1"/>
  <c r="L56" i="21" s="1"/>
  <c r="H56" i="21"/>
  <c r="I56" i="21" s="1"/>
  <c r="N56" i="21"/>
  <c r="O56" i="21"/>
  <c r="Q56" i="21"/>
  <c r="R56" i="21"/>
  <c r="F57" i="21"/>
  <c r="Q57" i="21" s="1"/>
  <c r="R57" i="21" s="1"/>
  <c r="H57" i="21"/>
  <c r="I57" i="21"/>
  <c r="K57" i="21"/>
  <c r="L57" i="21"/>
  <c r="N57" i="21"/>
  <c r="O57" i="21" s="1"/>
  <c r="F58" i="21"/>
  <c r="H58" i="21"/>
  <c r="I58" i="21"/>
  <c r="K58" i="21"/>
  <c r="L58" i="21"/>
  <c r="N58" i="21"/>
  <c r="O58" i="21"/>
  <c r="Q58" i="21"/>
  <c r="R58" i="21"/>
  <c r="F59" i="21"/>
  <c r="H59" i="21"/>
  <c r="I59" i="21"/>
  <c r="K59" i="21"/>
  <c r="L59" i="21" s="1"/>
  <c r="F60" i="21"/>
  <c r="H60" i="21"/>
  <c r="I60" i="21" s="1"/>
  <c r="K60" i="21"/>
  <c r="L60" i="21"/>
  <c r="N60" i="21"/>
  <c r="O60" i="21"/>
  <c r="Q60" i="21"/>
  <c r="R60" i="21"/>
  <c r="F61" i="21"/>
  <c r="H61" i="21"/>
  <c r="I61" i="21" s="1"/>
  <c r="F62" i="21"/>
  <c r="N62" i="21" s="1"/>
  <c r="O62" i="21" s="1"/>
  <c r="H62" i="21"/>
  <c r="I62" i="21"/>
  <c r="K62" i="21"/>
  <c r="L62" i="21"/>
  <c r="F63" i="21"/>
  <c r="H63" i="21"/>
  <c r="I63" i="21"/>
  <c r="K63" i="21"/>
  <c r="L63" i="21"/>
  <c r="N63" i="21"/>
  <c r="O63" i="21"/>
  <c r="Q63" i="21"/>
  <c r="R63" i="21"/>
  <c r="F64" i="21"/>
  <c r="Q64" i="21" s="1"/>
  <c r="R64" i="21" s="1"/>
  <c r="H64" i="21"/>
  <c r="I64" i="21"/>
  <c r="F65" i="21"/>
  <c r="N65" i="21"/>
  <c r="O65" i="21"/>
  <c r="Q65" i="21"/>
  <c r="R65" i="21"/>
  <c r="F66" i="21"/>
  <c r="N66" i="21" s="1"/>
  <c r="O66" i="21" s="1"/>
  <c r="H66" i="21"/>
  <c r="I66" i="21"/>
  <c r="K66" i="21"/>
  <c r="L66" i="21"/>
  <c r="Q66" i="21"/>
  <c r="R66" i="21" s="1"/>
  <c r="F67" i="21"/>
  <c r="H67" i="21"/>
  <c r="I67" i="21"/>
  <c r="K67" i="21"/>
  <c r="L67" i="21"/>
  <c r="N67" i="21"/>
  <c r="O67" i="21"/>
  <c r="Q67" i="21"/>
  <c r="R67" i="21"/>
  <c r="F68" i="21"/>
  <c r="H68" i="21"/>
  <c r="I68" i="21"/>
  <c r="N68" i="21"/>
  <c r="O68" i="21" s="1"/>
  <c r="F69" i="21"/>
  <c r="K69" i="21" s="1"/>
  <c r="L69" i="21" s="1"/>
  <c r="H69" i="21"/>
  <c r="I69" i="21"/>
  <c r="F70" i="21"/>
  <c r="K70" i="21"/>
  <c r="L70" i="21" s="1"/>
  <c r="Q70" i="21"/>
  <c r="R70" i="21"/>
  <c r="F71" i="21"/>
  <c r="Q71" i="21" s="1"/>
  <c r="R71" i="21" s="1"/>
  <c r="H71" i="21"/>
  <c r="I71" i="21"/>
  <c r="K71" i="21"/>
  <c r="L71" i="21"/>
  <c r="N71" i="21"/>
  <c r="O71" i="21" s="1"/>
  <c r="F72" i="21"/>
  <c r="K72" i="21" s="1"/>
  <c r="L72" i="21" s="1"/>
  <c r="H72" i="21"/>
  <c r="I72" i="21" s="1"/>
  <c r="N72" i="21"/>
  <c r="O72" i="21"/>
  <c r="Q72" i="21"/>
  <c r="R72" i="21"/>
  <c r="F74" i="21"/>
  <c r="Q74" i="21" s="1"/>
  <c r="H74" i="21"/>
  <c r="I74" i="21"/>
  <c r="K74" i="21"/>
  <c r="L74" i="21"/>
  <c r="N74" i="21"/>
  <c r="O74" i="21" s="1"/>
  <c r="R74" i="21"/>
  <c r="F75" i="21"/>
  <c r="H75" i="21"/>
  <c r="I75" i="21"/>
  <c r="K75" i="21"/>
  <c r="L75" i="21" s="1"/>
  <c r="N75" i="21"/>
  <c r="O75" i="21"/>
  <c r="Q75" i="21"/>
  <c r="R75" i="21"/>
  <c r="F76" i="21"/>
  <c r="H76" i="21"/>
  <c r="I76" i="21"/>
  <c r="K76" i="21"/>
  <c r="L76" i="21" s="1"/>
  <c r="F77" i="21"/>
  <c r="H77" i="21"/>
  <c r="I77" i="21"/>
  <c r="K77" i="21"/>
  <c r="L77" i="21"/>
  <c r="N77" i="21"/>
  <c r="O77" i="21" s="1"/>
  <c r="Q77" i="21"/>
  <c r="R77" i="21"/>
  <c r="F78" i="21"/>
  <c r="H78" i="21"/>
  <c r="I78" i="21" s="1"/>
  <c r="F79" i="21"/>
  <c r="Q79" i="21" s="1"/>
  <c r="R79" i="21" s="1"/>
  <c r="H79" i="21"/>
  <c r="I79" i="21"/>
  <c r="K79" i="21"/>
  <c r="L79" i="21"/>
  <c r="N79" i="21"/>
  <c r="O79" i="21" s="1"/>
  <c r="F80" i="21"/>
  <c r="H80" i="21"/>
  <c r="I80" i="21"/>
  <c r="K80" i="21"/>
  <c r="L80" i="21"/>
  <c r="N80" i="21"/>
  <c r="O80" i="21"/>
  <c r="Q80" i="21"/>
  <c r="R80" i="21"/>
  <c r="F81" i="21"/>
  <c r="Q81" i="21" s="1"/>
  <c r="R81" i="21" s="1"/>
  <c r="H81" i="21"/>
  <c r="I81" i="21"/>
  <c r="K81" i="21"/>
  <c r="L81" i="21" s="1"/>
  <c r="F82" i="21"/>
  <c r="N82" i="21"/>
  <c r="O82" i="21"/>
  <c r="Q82" i="21"/>
  <c r="R82" i="21"/>
  <c r="F83" i="21"/>
  <c r="N83" i="21" s="1"/>
  <c r="O83" i="21" s="1"/>
  <c r="H83" i="21"/>
  <c r="I83" i="21"/>
  <c r="K83" i="21"/>
  <c r="L83" i="21"/>
  <c r="Q83" i="21"/>
  <c r="R83" i="21" s="1"/>
  <c r="F84" i="21"/>
  <c r="H84" i="21"/>
  <c r="I84" i="21"/>
  <c r="K84" i="21"/>
  <c r="L84" i="21" s="1"/>
  <c r="N84" i="21"/>
  <c r="O84" i="21"/>
  <c r="Q84" i="21"/>
  <c r="R84" i="21"/>
  <c r="F85" i="21"/>
  <c r="H85" i="21"/>
  <c r="I85" i="21"/>
  <c r="N85" i="21"/>
  <c r="O85" i="21" s="1"/>
  <c r="F86" i="21"/>
  <c r="K86" i="21" s="1"/>
  <c r="L86" i="21" s="1"/>
  <c r="H86" i="21"/>
  <c r="I86" i="21"/>
  <c r="F87" i="21"/>
  <c r="K87" i="21"/>
  <c r="L87" i="21" s="1"/>
  <c r="Q87" i="21"/>
  <c r="R87" i="21"/>
  <c r="F88" i="21"/>
  <c r="N88" i="21" s="1"/>
  <c r="O88" i="21" s="1"/>
  <c r="H88" i="21"/>
  <c r="I88" i="21"/>
  <c r="K88" i="21"/>
  <c r="L88" i="21"/>
  <c r="F89" i="21"/>
  <c r="K89" i="21" s="1"/>
  <c r="H89" i="21"/>
  <c r="I89" i="21" s="1"/>
  <c r="L89" i="21"/>
  <c r="N89" i="21"/>
  <c r="O89" i="21"/>
  <c r="Q89" i="21"/>
  <c r="R89" i="21"/>
  <c r="F90" i="21"/>
  <c r="Q90" i="21" s="1"/>
  <c r="R90" i="21" s="1"/>
  <c r="H90" i="21"/>
  <c r="I90" i="21"/>
  <c r="K90" i="21"/>
  <c r="L90" i="21"/>
  <c r="N90" i="21"/>
  <c r="O90" i="21" s="1"/>
  <c r="F91" i="21"/>
  <c r="H91" i="21"/>
  <c r="I91" i="21"/>
  <c r="K91" i="21"/>
  <c r="L91" i="21"/>
  <c r="N91" i="21"/>
  <c r="O91" i="21"/>
  <c r="Q91" i="21"/>
  <c r="R91" i="21"/>
  <c r="F92" i="21"/>
  <c r="H92" i="21"/>
  <c r="I92" i="21"/>
  <c r="K92" i="21"/>
  <c r="L92" i="21" s="1"/>
  <c r="F93" i="21"/>
  <c r="H93" i="21" s="1"/>
  <c r="I93" i="21" s="1"/>
  <c r="F94" i="21"/>
  <c r="H94" i="21"/>
  <c r="I94" i="21" s="1"/>
  <c r="Q94" i="21"/>
  <c r="R94" i="21"/>
  <c r="F95" i="21"/>
  <c r="K95" i="21" s="1"/>
  <c r="L95" i="21" s="1"/>
  <c r="H95" i="21"/>
  <c r="I95" i="21"/>
  <c r="F97" i="21"/>
  <c r="H97" i="21"/>
  <c r="I97" i="21"/>
  <c r="K97" i="21"/>
  <c r="L97" i="21"/>
  <c r="N97" i="21"/>
  <c r="O97" i="21"/>
  <c r="Q97" i="21"/>
  <c r="R97" i="21"/>
  <c r="F98" i="21"/>
  <c r="Q98" i="21" s="1"/>
  <c r="R98" i="21" s="1"/>
  <c r="F99" i="21"/>
  <c r="H99" i="21" s="1"/>
  <c r="I99" i="21" s="1"/>
  <c r="K99" i="21"/>
  <c r="L99" i="21"/>
  <c r="N99" i="21"/>
  <c r="O99" i="21"/>
  <c r="Q99" i="21"/>
  <c r="R99" i="21"/>
  <c r="F100" i="21"/>
  <c r="N100" i="21" s="1"/>
  <c r="O100" i="21" s="1"/>
  <c r="H100" i="21"/>
  <c r="I100" i="21"/>
  <c r="F101" i="21"/>
  <c r="H101" i="21"/>
  <c r="I101" i="21"/>
  <c r="K101" i="21"/>
  <c r="L101" i="21"/>
  <c r="N101" i="21"/>
  <c r="O101" i="21"/>
  <c r="Q101" i="21"/>
  <c r="R101" i="21"/>
  <c r="F102" i="21"/>
  <c r="H102" i="21"/>
  <c r="I102" i="21"/>
  <c r="N102" i="21"/>
  <c r="O102" i="21" s="1"/>
  <c r="F103" i="21"/>
  <c r="K103" i="21" s="1"/>
  <c r="L103" i="21" s="1"/>
  <c r="H103" i="21"/>
  <c r="I103" i="21" s="1"/>
  <c r="N103" i="21"/>
  <c r="O103" i="21"/>
  <c r="Q103" i="21"/>
  <c r="R103" i="21"/>
  <c r="F104" i="21"/>
  <c r="K104" i="21"/>
  <c r="L104" i="21" s="1"/>
  <c r="Q104" i="21"/>
  <c r="R104" i="21"/>
  <c r="F105" i="21"/>
  <c r="H105" i="21" s="1"/>
  <c r="I105" i="21" s="1"/>
  <c r="F106" i="21"/>
  <c r="K106" i="21" s="1"/>
  <c r="H106" i="21"/>
  <c r="I106" i="21" s="1"/>
  <c r="L106" i="21"/>
  <c r="N106" i="21"/>
  <c r="O106" i="21"/>
  <c r="Q106" i="21"/>
  <c r="R106" i="21"/>
  <c r="F107" i="21"/>
  <c r="Q107" i="21" s="1"/>
  <c r="R107" i="21" s="1"/>
  <c r="H107" i="21"/>
  <c r="I107" i="21" s="1"/>
  <c r="F108" i="21"/>
  <c r="H108" i="21"/>
  <c r="I108" i="21"/>
  <c r="K108" i="21"/>
  <c r="L108" i="21"/>
  <c r="N108" i="21"/>
  <c r="O108" i="21"/>
  <c r="Q108" i="21"/>
  <c r="R108" i="21"/>
  <c r="F109" i="21"/>
  <c r="H109" i="21"/>
  <c r="I109" i="21" s="1"/>
  <c r="F110" i="21"/>
  <c r="H110" i="21"/>
  <c r="I110" i="21"/>
  <c r="K110" i="21"/>
  <c r="L110" i="21"/>
  <c r="N110" i="21"/>
  <c r="O110" i="21"/>
  <c r="Q110" i="21"/>
  <c r="R110" i="21"/>
  <c r="F111" i="21"/>
  <c r="H111" i="21"/>
  <c r="I111" i="21" s="1"/>
  <c r="Q111" i="21"/>
  <c r="R111" i="21" s="1"/>
  <c r="N302" i="21" l="1"/>
  <c r="O302" i="21" s="1"/>
  <c r="N292" i="21"/>
  <c r="O292" i="21" s="1"/>
  <c r="K302" i="21"/>
  <c r="L302" i="21" s="1"/>
  <c r="N300" i="21"/>
  <c r="O300" i="21" s="1"/>
  <c r="K280" i="21"/>
  <c r="L280" i="21" s="1"/>
  <c r="K292" i="21"/>
  <c r="L292" i="21" s="1"/>
  <c r="H302" i="21"/>
  <c r="I302" i="21" s="1"/>
  <c r="Q296" i="21"/>
  <c r="R296" i="21" s="1"/>
  <c r="Q299" i="21"/>
  <c r="R299" i="21" s="1"/>
  <c r="Q289" i="21"/>
  <c r="R289" i="21" s="1"/>
  <c r="N289" i="21"/>
  <c r="O289" i="21" s="1"/>
  <c r="Q287" i="21"/>
  <c r="R287" i="21" s="1"/>
  <c r="K299" i="21"/>
  <c r="L299" i="21" s="1"/>
  <c r="N297" i="21"/>
  <c r="O297" i="21" s="1"/>
  <c r="Q295" i="21"/>
  <c r="R295" i="21" s="1"/>
  <c r="K281" i="21"/>
  <c r="L281" i="21" s="1"/>
  <c r="N299" i="21"/>
  <c r="O299" i="21" s="1"/>
  <c r="Q297" i="21"/>
  <c r="R297" i="21" s="1"/>
  <c r="K264" i="21"/>
  <c r="L264" i="21" s="1"/>
  <c r="K243" i="21"/>
  <c r="L243" i="21" s="1"/>
  <c r="K221" i="21"/>
  <c r="L221" i="21" s="1"/>
  <c r="Q246" i="21"/>
  <c r="R246" i="21" s="1"/>
  <c r="Q229" i="21"/>
  <c r="R229" i="21" s="1"/>
  <c r="Q199" i="21"/>
  <c r="R199" i="21" s="1"/>
  <c r="N260" i="21"/>
  <c r="O260" i="21" s="1"/>
  <c r="N238" i="21"/>
  <c r="O238" i="21" s="1"/>
  <c r="N217" i="21"/>
  <c r="O217" i="21" s="1"/>
  <c r="N208" i="21"/>
  <c r="O208" i="21" s="1"/>
  <c r="Q263" i="21"/>
  <c r="R263" i="21" s="1"/>
  <c r="Q242" i="21"/>
  <c r="R242" i="21" s="1"/>
  <c r="Q220" i="21"/>
  <c r="R220" i="21" s="1"/>
  <c r="Q271" i="21"/>
  <c r="R271" i="21" s="1"/>
  <c r="Q254" i="21"/>
  <c r="R254" i="21" s="1"/>
  <c r="Q249" i="21"/>
  <c r="R249" i="21" s="1"/>
  <c r="Q232" i="21"/>
  <c r="R232" i="21" s="1"/>
  <c r="Q202" i="21"/>
  <c r="R202" i="21" s="1"/>
  <c r="Q218" i="21"/>
  <c r="R218" i="21" s="1"/>
  <c r="Q230" i="21"/>
  <c r="R230" i="21" s="1"/>
  <c r="N271" i="21"/>
  <c r="O271" i="21" s="1"/>
  <c r="N254" i="21"/>
  <c r="O254" i="21" s="1"/>
  <c r="Q200" i="21"/>
  <c r="R200" i="21" s="1"/>
  <c r="K263" i="21"/>
  <c r="L263" i="21" s="1"/>
  <c r="N261" i="21"/>
  <c r="O261" i="21" s="1"/>
  <c r="Q259" i="21"/>
  <c r="R259" i="21" s="1"/>
  <c r="K242" i="21"/>
  <c r="L242" i="21" s="1"/>
  <c r="N239" i="21"/>
  <c r="O239" i="21" s="1"/>
  <c r="Q237" i="21"/>
  <c r="R237" i="21" s="1"/>
  <c r="Q224" i="21"/>
  <c r="R224" i="21" s="1"/>
  <c r="K220" i="21"/>
  <c r="L220" i="21" s="1"/>
  <c r="N218" i="21"/>
  <c r="O218" i="21" s="1"/>
  <c r="Q216" i="21"/>
  <c r="R216" i="21" s="1"/>
  <c r="Q207" i="21"/>
  <c r="R207" i="21" s="1"/>
  <c r="N249" i="21"/>
  <c r="O249" i="21" s="1"/>
  <c r="N202" i="21"/>
  <c r="O202" i="21" s="1"/>
  <c r="N269" i="21"/>
  <c r="O269" i="21" s="1"/>
  <c r="N247" i="21"/>
  <c r="O247" i="21" s="1"/>
  <c r="K232" i="21"/>
  <c r="L232" i="21" s="1"/>
  <c r="N263" i="21"/>
  <c r="O263" i="21" s="1"/>
  <c r="Q261" i="21"/>
  <c r="R261" i="21" s="1"/>
  <c r="N242" i="21"/>
  <c r="O242" i="21" s="1"/>
  <c r="Q239" i="21"/>
  <c r="R239" i="21" s="1"/>
  <c r="N220" i="21"/>
  <c r="O220" i="21" s="1"/>
  <c r="K188" i="21"/>
  <c r="L188" i="21" s="1"/>
  <c r="K170" i="21"/>
  <c r="L170" i="21" s="1"/>
  <c r="K154" i="21"/>
  <c r="L154" i="21" s="1"/>
  <c r="K137" i="21"/>
  <c r="L137" i="21" s="1"/>
  <c r="K120" i="21"/>
  <c r="L120" i="21" s="1"/>
  <c r="N184" i="21"/>
  <c r="O184" i="21" s="1"/>
  <c r="N166" i="21"/>
  <c r="O166" i="21" s="1"/>
  <c r="N149" i="21"/>
  <c r="O149" i="21" s="1"/>
  <c r="N133" i="21"/>
  <c r="O133" i="21" s="1"/>
  <c r="N116" i="21"/>
  <c r="O116" i="21" s="1"/>
  <c r="Q187" i="21"/>
  <c r="R187" i="21" s="1"/>
  <c r="Q169" i="21"/>
  <c r="R169" i="21" s="1"/>
  <c r="K157" i="21"/>
  <c r="L157" i="21" s="1"/>
  <c r="Q152" i="21"/>
  <c r="R152" i="21" s="1"/>
  <c r="K140" i="21"/>
  <c r="L140" i="21" s="1"/>
  <c r="Q136" i="21"/>
  <c r="R136" i="21" s="1"/>
  <c r="K123" i="21"/>
  <c r="L123" i="21" s="1"/>
  <c r="Q119" i="21"/>
  <c r="R119" i="21" s="1"/>
  <c r="Q194" i="21"/>
  <c r="R194" i="21" s="1"/>
  <c r="Q177" i="21"/>
  <c r="R177" i="21" s="1"/>
  <c r="Q160" i="21"/>
  <c r="R160" i="21" s="1"/>
  <c r="Q143" i="21"/>
  <c r="R143" i="21" s="1"/>
  <c r="Q126" i="21"/>
  <c r="R126" i="21" s="1"/>
  <c r="N187" i="21"/>
  <c r="O187" i="21" s="1"/>
  <c r="Q185" i="21"/>
  <c r="R185" i="21" s="1"/>
  <c r="N169" i="21"/>
  <c r="O169" i="21" s="1"/>
  <c r="Q167" i="21"/>
  <c r="R167" i="21" s="1"/>
  <c r="N152" i="21"/>
  <c r="O152" i="21" s="1"/>
  <c r="Q150" i="21"/>
  <c r="R150" i="21" s="1"/>
  <c r="N136" i="21"/>
  <c r="O136" i="21" s="1"/>
  <c r="Q134" i="21"/>
  <c r="R134" i="21" s="1"/>
  <c r="N119" i="21"/>
  <c r="O119" i="21" s="1"/>
  <c r="Q117" i="21"/>
  <c r="R117" i="21" s="1"/>
  <c r="N160" i="21"/>
  <c r="O160" i="21" s="1"/>
  <c r="Q158" i="21"/>
  <c r="R158" i="21" s="1"/>
  <c r="N143" i="21"/>
  <c r="O143" i="21" s="1"/>
  <c r="Q141" i="21"/>
  <c r="R141" i="21" s="1"/>
  <c r="N126" i="21"/>
  <c r="O126" i="21" s="1"/>
  <c r="Q124" i="21"/>
  <c r="R124" i="21" s="1"/>
  <c r="Q175" i="21"/>
  <c r="R175" i="21" s="1"/>
  <c r="K187" i="21"/>
  <c r="L187" i="21" s="1"/>
  <c r="N185" i="21"/>
  <c r="O185" i="21" s="1"/>
  <c r="Q182" i="21"/>
  <c r="R182" i="21" s="1"/>
  <c r="K169" i="21"/>
  <c r="L169" i="21" s="1"/>
  <c r="N167" i="21"/>
  <c r="O167" i="21" s="1"/>
  <c r="Q165" i="21"/>
  <c r="R165" i="21" s="1"/>
  <c r="K152" i="21"/>
  <c r="L152" i="21" s="1"/>
  <c r="N150" i="21"/>
  <c r="O150" i="21" s="1"/>
  <c r="Q148" i="21"/>
  <c r="R148" i="21" s="1"/>
  <c r="K136" i="21"/>
  <c r="L136" i="21" s="1"/>
  <c r="N134" i="21"/>
  <c r="O134" i="21" s="1"/>
  <c r="Q132" i="21"/>
  <c r="R132" i="21" s="1"/>
  <c r="K119" i="21"/>
  <c r="L119" i="21" s="1"/>
  <c r="N117" i="21"/>
  <c r="O117" i="21" s="1"/>
  <c r="Q115" i="21"/>
  <c r="R115" i="21" s="1"/>
  <c r="N194" i="21"/>
  <c r="O194" i="21" s="1"/>
  <c r="N192" i="21"/>
  <c r="O192" i="21" s="1"/>
  <c r="K177" i="21"/>
  <c r="L177" i="21" s="1"/>
  <c r="N50" i="21"/>
  <c r="O50" i="21" s="1"/>
  <c r="Q50" i="21"/>
  <c r="R50" i="21" s="1"/>
  <c r="K44" i="21"/>
  <c r="L44" i="21" s="1"/>
  <c r="N44" i="21"/>
  <c r="O44" i="21" s="1"/>
  <c r="Q44" i="21"/>
  <c r="R44" i="21" s="1"/>
  <c r="K102" i="21"/>
  <c r="L102" i="21" s="1"/>
  <c r="Q102" i="21"/>
  <c r="R102" i="21" s="1"/>
  <c r="H104" i="21"/>
  <c r="I104" i="21" s="1"/>
  <c r="N104" i="21"/>
  <c r="O104" i="21" s="1"/>
  <c r="N92" i="21"/>
  <c r="O92" i="21" s="1"/>
  <c r="Q92" i="21"/>
  <c r="R92" i="21" s="1"/>
  <c r="N59" i="21"/>
  <c r="O59" i="21" s="1"/>
  <c r="Q59" i="21"/>
  <c r="R59" i="21" s="1"/>
  <c r="H54" i="21"/>
  <c r="I54" i="21" s="1"/>
  <c r="K54" i="21"/>
  <c r="L54" i="21" s="1"/>
  <c r="N54" i="21"/>
  <c r="O54" i="21" s="1"/>
  <c r="K61" i="21"/>
  <c r="L61" i="21" s="1"/>
  <c r="N61" i="21"/>
  <c r="O61" i="21" s="1"/>
  <c r="Q61" i="21"/>
  <c r="R61" i="21" s="1"/>
  <c r="Q105" i="21"/>
  <c r="R105" i="21" s="1"/>
  <c r="Q93" i="21"/>
  <c r="R93" i="21" s="1"/>
  <c r="H87" i="21"/>
  <c r="I87" i="21" s="1"/>
  <c r="N87" i="21"/>
  <c r="O87" i="21" s="1"/>
  <c r="K78" i="21"/>
  <c r="L78" i="21" s="1"/>
  <c r="N78" i="21"/>
  <c r="O78" i="21" s="1"/>
  <c r="Q78" i="21"/>
  <c r="R78" i="21" s="1"/>
  <c r="H70" i="21"/>
  <c r="I70" i="21" s="1"/>
  <c r="N70" i="21"/>
  <c r="O70" i="21" s="1"/>
  <c r="N33" i="21"/>
  <c r="O33" i="21" s="1"/>
  <c r="Q33" i="21"/>
  <c r="R33" i="21" s="1"/>
  <c r="K48" i="21"/>
  <c r="L48" i="21" s="1"/>
  <c r="N105" i="21"/>
  <c r="O105" i="21" s="1"/>
  <c r="N98" i="21"/>
  <c r="O98" i="21" s="1"/>
  <c r="Q95" i="21"/>
  <c r="R95" i="21" s="1"/>
  <c r="N93" i="21"/>
  <c r="O93" i="21" s="1"/>
  <c r="Q86" i="21"/>
  <c r="R86" i="21" s="1"/>
  <c r="Q69" i="21"/>
  <c r="R69" i="21" s="1"/>
  <c r="H65" i="21"/>
  <c r="I65" i="21" s="1"/>
  <c r="K65" i="21"/>
  <c r="L65" i="21" s="1"/>
  <c r="K35" i="21"/>
  <c r="L35" i="21" s="1"/>
  <c r="N35" i="21"/>
  <c r="O35" i="21" s="1"/>
  <c r="Q35" i="21"/>
  <c r="R35" i="21" s="1"/>
  <c r="N107" i="21"/>
  <c r="O107" i="21" s="1"/>
  <c r="H82" i="21"/>
  <c r="I82" i="21" s="1"/>
  <c r="K82" i="21"/>
  <c r="L82" i="21" s="1"/>
  <c r="Q55" i="21"/>
  <c r="R55" i="21" s="1"/>
  <c r="H48" i="21"/>
  <c r="I48" i="21" s="1"/>
  <c r="N109" i="21"/>
  <c r="O109" i="21" s="1"/>
  <c r="Q109" i="21"/>
  <c r="R109" i="21" s="1"/>
  <c r="K52" i="21"/>
  <c r="L52" i="21" s="1"/>
  <c r="N52" i="21"/>
  <c r="O52" i="21" s="1"/>
  <c r="Q52" i="21"/>
  <c r="R52" i="21" s="1"/>
  <c r="K111" i="21"/>
  <c r="L111" i="21" s="1"/>
  <c r="N111" i="21"/>
  <c r="O111" i="21" s="1"/>
  <c r="K68" i="21"/>
  <c r="L68" i="21" s="1"/>
  <c r="Q68" i="21"/>
  <c r="R68" i="21" s="1"/>
  <c r="K94" i="21"/>
  <c r="L94" i="21" s="1"/>
  <c r="N94" i="21"/>
  <c r="O94" i="21" s="1"/>
  <c r="K85" i="21"/>
  <c r="L85" i="21" s="1"/>
  <c r="Q85" i="21"/>
  <c r="R85" i="21" s="1"/>
  <c r="N76" i="21"/>
  <c r="O76" i="21" s="1"/>
  <c r="Q76" i="21"/>
  <c r="R76" i="21" s="1"/>
  <c r="K105" i="21"/>
  <c r="L105" i="21" s="1"/>
  <c r="Q100" i="21"/>
  <c r="R100" i="21" s="1"/>
  <c r="K98" i="21"/>
  <c r="L98" i="21" s="1"/>
  <c r="N95" i="21"/>
  <c r="O95" i="21" s="1"/>
  <c r="K93" i="21"/>
  <c r="L93" i="21" s="1"/>
  <c r="Q88" i="21"/>
  <c r="R88" i="21" s="1"/>
  <c r="N86" i="21"/>
  <c r="O86" i="21" s="1"/>
  <c r="N69" i="21"/>
  <c r="O69" i="21" s="1"/>
  <c r="N64" i="21"/>
  <c r="O64" i="21" s="1"/>
  <c r="Q62" i="21"/>
  <c r="R62" i="21" s="1"/>
  <c r="K50" i="21"/>
  <c r="L50" i="21" s="1"/>
  <c r="K109" i="21"/>
  <c r="L109" i="21" s="1"/>
  <c r="K107" i="21"/>
  <c r="L107" i="21" s="1"/>
  <c r="N81" i="21"/>
  <c r="O81" i="21" s="1"/>
  <c r="K100" i="21"/>
  <c r="L100" i="21" s="1"/>
  <c r="H98" i="21"/>
  <c r="I98" i="21" s="1"/>
  <c r="K64" i="21"/>
  <c r="L64" i="21" s="1"/>
  <c r="H50" i="21"/>
  <c r="I50" i="21" s="1"/>
  <c r="N42" i="21"/>
  <c r="O42" i="21" s="1"/>
  <c r="Q42" i="21"/>
  <c r="R42" i="21" s="1"/>
  <c r="H37" i="21"/>
  <c r="I37" i="21" s="1"/>
  <c r="K37" i="21"/>
  <c r="L37" i="21" s="1"/>
  <c r="N37" i="21"/>
  <c r="O37" i="21" s="1"/>
  <c r="K49" i="21"/>
  <c r="L49" i="21" s="1"/>
  <c r="K32" i="21"/>
  <c r="L32" i="21" s="1"/>
  <c r="C313" i="21" l="1" a="1"/>
  <c r="C313" i="21" s="1"/>
  <c r="B313" i="21" a="1"/>
  <c r="B313" i="21" s="1"/>
  <c r="C308" i="21"/>
  <c r="B308" i="21"/>
  <c r="D313" i="21" a="1"/>
  <c r="D313" i="21" s="1"/>
  <c r="E313" i="21" a="1"/>
  <c r="E313" i="21" s="1"/>
  <c r="D308" i="21"/>
  <c r="E308" i="21"/>
  <c r="B133" i="19" l="1"/>
  <c r="C133" i="19" a="1"/>
  <c r="C133" i="19" s="1"/>
  <c r="D133" i="19" a="1"/>
  <c r="D133" i="19"/>
  <c r="B132" i="19"/>
  <c r="C132" i="19" a="1"/>
  <c r="C132" i="19"/>
  <c r="D132" i="19" a="1"/>
  <c r="D132" i="19"/>
  <c r="B131" i="19"/>
  <c r="C131" i="19" a="1"/>
  <c r="C131" i="19" s="1"/>
  <c r="D131" i="19" a="1"/>
  <c r="D131" i="19" s="1"/>
  <c r="B130" i="19"/>
  <c r="C130" i="19" a="1"/>
  <c r="C130" i="19" s="1"/>
  <c r="D130" i="19" a="1"/>
  <c r="D130" i="19" s="1"/>
  <c r="B129" i="19"/>
  <c r="C129" i="19" a="1"/>
  <c r="C129" i="19" s="1"/>
  <c r="D129" i="19" a="1"/>
  <c r="D129" i="19" s="1"/>
  <c r="B128" i="19"/>
  <c r="C128" i="19" a="1"/>
  <c r="C128" i="19" s="1"/>
  <c r="D128" i="19" a="1"/>
  <c r="D128" i="19" s="1"/>
  <c r="B144" i="19" l="1"/>
  <c r="C144" i="19"/>
  <c r="D144" i="19"/>
  <c r="E144" i="19"/>
  <c r="F144" i="19"/>
  <c r="B143" i="19"/>
  <c r="C143" i="19"/>
  <c r="D143" i="19"/>
  <c r="E143" i="19"/>
  <c r="F143" i="19"/>
  <c r="B142" i="19"/>
  <c r="C142" i="19"/>
  <c r="D142" i="19"/>
  <c r="E142" i="19"/>
  <c r="F142" i="19"/>
  <c r="B141" i="19"/>
  <c r="C141" i="19"/>
  <c r="D141" i="19" s="1"/>
  <c r="E141" i="19"/>
  <c r="F141" i="19"/>
  <c r="B140" i="19"/>
  <c r="C140" i="19"/>
  <c r="D140" i="19"/>
  <c r="E140" i="19"/>
  <c r="F140" i="19"/>
  <c r="B139" i="19"/>
  <c r="C139" i="19"/>
  <c r="D139" i="19"/>
  <c r="E139" i="19"/>
  <c r="F139" i="19"/>
  <c r="B122" i="19"/>
  <c r="F122" i="19"/>
  <c r="B121" i="19"/>
  <c r="F121" i="19"/>
  <c r="H121" i="19"/>
  <c r="B120" i="19"/>
  <c r="F120" i="19"/>
  <c r="H120" i="19"/>
  <c r="B119" i="19"/>
  <c r="F119" i="19"/>
  <c r="H119" i="19"/>
  <c r="B118" i="19"/>
  <c r="F118" i="19"/>
  <c r="H118" i="19"/>
  <c r="B117" i="19"/>
  <c r="F117" i="19"/>
  <c r="H117" i="19"/>
  <c r="H122" i="19" s="1"/>
  <c r="B116" i="19"/>
  <c r="F116" i="19"/>
  <c r="H116" i="19"/>
  <c r="A104" i="19"/>
  <c r="B104" i="19"/>
  <c r="C104" i="19"/>
  <c r="D104" i="19"/>
  <c r="E104" i="19"/>
  <c r="F104" i="19"/>
  <c r="G104" i="19"/>
  <c r="H104" i="19"/>
  <c r="I104" i="19"/>
  <c r="J104" i="19"/>
  <c r="K104" i="19"/>
  <c r="L104" i="19"/>
  <c r="M104" i="19"/>
  <c r="N104" i="19"/>
  <c r="Z104" i="19" s="1"/>
  <c r="X104" i="19"/>
  <c r="Y104" i="19"/>
  <c r="A105" i="19"/>
  <c r="B105" i="19"/>
  <c r="C105" i="19"/>
  <c r="D105" i="19"/>
  <c r="E105" i="19"/>
  <c r="F105" i="19"/>
  <c r="Y105" i="19" s="1"/>
  <c r="G105" i="19"/>
  <c r="H105" i="19"/>
  <c r="I105" i="19"/>
  <c r="J105" i="19"/>
  <c r="K105" i="19"/>
  <c r="L105" i="19"/>
  <c r="M105" i="19"/>
  <c r="N105" i="19"/>
  <c r="O105" i="19"/>
  <c r="S105" i="19" s="1"/>
  <c r="P105" i="19"/>
  <c r="U105" i="19" s="1"/>
  <c r="V105" i="19"/>
  <c r="X105" i="19"/>
  <c r="Z105" i="19" s="1"/>
  <c r="A106" i="19"/>
  <c r="B106" i="19"/>
  <c r="C106" i="19"/>
  <c r="D106" i="19"/>
  <c r="E106" i="19"/>
  <c r="F106" i="19"/>
  <c r="R106" i="19" s="1"/>
  <c r="G106" i="19"/>
  <c r="H106" i="19"/>
  <c r="I106" i="19"/>
  <c r="J106" i="19"/>
  <c r="K106" i="19"/>
  <c r="L106" i="19"/>
  <c r="M106" i="19"/>
  <c r="N106" i="19"/>
  <c r="V106" i="19"/>
  <c r="X106" i="19"/>
  <c r="Y106" i="19"/>
  <c r="Z106" i="19"/>
  <c r="A107" i="19"/>
  <c r="B107" i="19"/>
  <c r="C107" i="19"/>
  <c r="D107" i="19"/>
  <c r="E107" i="19"/>
  <c r="F107" i="19"/>
  <c r="G107" i="19"/>
  <c r="H107" i="19"/>
  <c r="I107" i="19"/>
  <c r="J107" i="19"/>
  <c r="K107" i="19"/>
  <c r="L107" i="19"/>
  <c r="M107" i="19"/>
  <c r="N107" i="19"/>
  <c r="O107" i="19"/>
  <c r="R107" i="19"/>
  <c r="X107" i="19"/>
  <c r="Y107" i="19"/>
  <c r="Z107" i="19"/>
  <c r="A108" i="19"/>
  <c r="B108" i="19"/>
  <c r="C108" i="19"/>
  <c r="D108" i="19"/>
  <c r="E108" i="19"/>
  <c r="F108" i="19"/>
  <c r="V108" i="19" s="1"/>
  <c r="G108" i="19"/>
  <c r="H108" i="19"/>
  <c r="I108" i="19"/>
  <c r="J108" i="19"/>
  <c r="K108" i="19"/>
  <c r="L108" i="19"/>
  <c r="M108" i="19"/>
  <c r="N108" i="19"/>
  <c r="O108" i="19"/>
  <c r="W108" i="19" s="1"/>
  <c r="P108" i="19"/>
  <c r="U108" i="19" s="1"/>
  <c r="X108" i="19"/>
  <c r="A98" i="19"/>
  <c r="B98" i="19"/>
  <c r="C98" i="19"/>
  <c r="D98" i="19"/>
  <c r="E98" i="19"/>
  <c r="F98" i="19"/>
  <c r="Y98" i="19" s="1"/>
  <c r="G98" i="19"/>
  <c r="H98" i="19"/>
  <c r="I98" i="19"/>
  <c r="J98" i="19"/>
  <c r="K98" i="19"/>
  <c r="L98" i="19"/>
  <c r="M98" i="19"/>
  <c r="N98" i="19"/>
  <c r="X98" i="19"/>
  <c r="A99" i="19"/>
  <c r="B99" i="19"/>
  <c r="C99" i="19"/>
  <c r="D99" i="19"/>
  <c r="E99" i="19"/>
  <c r="F99" i="19"/>
  <c r="G99" i="19"/>
  <c r="V99" i="19" s="1"/>
  <c r="H99" i="19"/>
  <c r="I99" i="19"/>
  <c r="J99" i="19"/>
  <c r="K99" i="19"/>
  <c r="L99" i="19"/>
  <c r="M99" i="19"/>
  <c r="N99" i="19"/>
  <c r="R99" i="19"/>
  <c r="X99" i="19"/>
  <c r="Y99" i="19"/>
  <c r="A100" i="19"/>
  <c r="B100" i="19"/>
  <c r="C100" i="19"/>
  <c r="D100" i="19"/>
  <c r="E100" i="19"/>
  <c r="F100" i="19"/>
  <c r="G100" i="19"/>
  <c r="H100" i="19"/>
  <c r="I100" i="19"/>
  <c r="J100" i="19"/>
  <c r="K100" i="19"/>
  <c r="L100" i="19"/>
  <c r="M100" i="19"/>
  <c r="N100" i="19"/>
  <c r="R100" i="19"/>
  <c r="V100" i="19"/>
  <c r="X100" i="19"/>
  <c r="Y100" i="19"/>
  <c r="Z100" i="19"/>
  <c r="A101" i="19"/>
  <c r="B101" i="19"/>
  <c r="C101" i="19"/>
  <c r="D101" i="19"/>
  <c r="E101" i="19"/>
  <c r="F101" i="19"/>
  <c r="R101" i="19" s="1"/>
  <c r="G101" i="19"/>
  <c r="H101" i="19"/>
  <c r="I101" i="19"/>
  <c r="J101" i="19"/>
  <c r="K101" i="19"/>
  <c r="L101" i="19"/>
  <c r="M101" i="19"/>
  <c r="N101" i="19"/>
  <c r="O101" i="19"/>
  <c r="X101" i="19"/>
  <c r="Y101" i="19"/>
  <c r="Z101" i="19"/>
  <c r="A102" i="19"/>
  <c r="B102" i="19"/>
  <c r="C102" i="19"/>
  <c r="D102" i="19"/>
  <c r="E102" i="19"/>
  <c r="F102" i="19"/>
  <c r="Y102" i="19" s="1"/>
  <c r="G102" i="19"/>
  <c r="H102" i="19"/>
  <c r="I102" i="19"/>
  <c r="J102" i="19"/>
  <c r="K102" i="19"/>
  <c r="L102" i="19"/>
  <c r="M102" i="19"/>
  <c r="N102" i="19"/>
  <c r="V102" i="19"/>
  <c r="X102" i="19"/>
  <c r="A73" i="19"/>
  <c r="B73" i="19"/>
  <c r="C73" i="19"/>
  <c r="D73" i="19"/>
  <c r="E73" i="19"/>
  <c r="F73" i="19"/>
  <c r="R73" i="19" s="1"/>
  <c r="G73" i="19"/>
  <c r="H73" i="19"/>
  <c r="I73" i="19"/>
  <c r="J73" i="19"/>
  <c r="K73" i="19"/>
  <c r="L73" i="19"/>
  <c r="M73" i="19"/>
  <c r="N73" i="19"/>
  <c r="X73" i="19"/>
  <c r="Y73" i="19"/>
  <c r="Z73" i="19"/>
  <c r="A74" i="19"/>
  <c r="B74" i="19"/>
  <c r="C74" i="19"/>
  <c r="D74" i="19"/>
  <c r="E74" i="19"/>
  <c r="F74" i="19"/>
  <c r="G74" i="19"/>
  <c r="H74" i="19"/>
  <c r="I74" i="19"/>
  <c r="J74" i="19"/>
  <c r="K74" i="19"/>
  <c r="L74" i="19"/>
  <c r="M74" i="19"/>
  <c r="N74" i="19"/>
  <c r="R74" i="19"/>
  <c r="X74" i="19"/>
  <c r="Y74" i="19"/>
  <c r="Z74" i="19"/>
  <c r="A75" i="19"/>
  <c r="B75" i="19"/>
  <c r="C75" i="19"/>
  <c r="D75" i="19"/>
  <c r="E75" i="19"/>
  <c r="F75" i="19"/>
  <c r="G75" i="19"/>
  <c r="H75" i="19"/>
  <c r="I75" i="19"/>
  <c r="J75" i="19"/>
  <c r="K75" i="19"/>
  <c r="L75" i="19"/>
  <c r="M75" i="19"/>
  <c r="N75" i="19"/>
  <c r="R75" i="19"/>
  <c r="X75" i="19"/>
  <c r="A76" i="19"/>
  <c r="B76" i="19"/>
  <c r="C76" i="19"/>
  <c r="D76" i="19"/>
  <c r="E76" i="19"/>
  <c r="F76" i="19"/>
  <c r="R76" i="19" s="1"/>
  <c r="G76" i="19"/>
  <c r="S76" i="19" s="1"/>
  <c r="H76" i="19"/>
  <c r="I76" i="19"/>
  <c r="J76" i="19"/>
  <c r="K76" i="19"/>
  <c r="L76" i="19"/>
  <c r="M76" i="19"/>
  <c r="N76" i="19"/>
  <c r="O76" i="19"/>
  <c r="W76" i="19"/>
  <c r="X76" i="19"/>
  <c r="Z76" i="19"/>
  <c r="A77" i="19"/>
  <c r="B77" i="19"/>
  <c r="C77" i="19"/>
  <c r="D77" i="19"/>
  <c r="E77" i="19"/>
  <c r="F77" i="19"/>
  <c r="G77" i="19"/>
  <c r="V77" i="19" s="1"/>
  <c r="H77" i="19"/>
  <c r="I77" i="19"/>
  <c r="J77" i="19"/>
  <c r="K77" i="19"/>
  <c r="L77" i="19"/>
  <c r="M77" i="19"/>
  <c r="N77" i="19"/>
  <c r="O77" i="19"/>
  <c r="S77" i="19" s="1"/>
  <c r="R77" i="19"/>
  <c r="X77" i="19"/>
  <c r="Y77" i="19"/>
  <c r="A78" i="19"/>
  <c r="B78" i="19"/>
  <c r="C78" i="19"/>
  <c r="D78" i="19"/>
  <c r="E78" i="19"/>
  <c r="F78" i="19"/>
  <c r="R78" i="19" s="1"/>
  <c r="G78" i="19"/>
  <c r="V78" i="19" s="1"/>
  <c r="H78" i="19"/>
  <c r="I78" i="19"/>
  <c r="J78" i="19"/>
  <c r="K78" i="19"/>
  <c r="L78" i="19"/>
  <c r="M78" i="19"/>
  <c r="N78" i="19"/>
  <c r="O78" i="19"/>
  <c r="W78" i="19" s="1"/>
  <c r="X78" i="19"/>
  <c r="Y78" i="19"/>
  <c r="Z78" i="19"/>
  <c r="A79" i="19"/>
  <c r="B79" i="19"/>
  <c r="C79" i="19"/>
  <c r="D79" i="19"/>
  <c r="E79" i="19"/>
  <c r="F79" i="19"/>
  <c r="V79" i="19" s="1"/>
  <c r="G79" i="19"/>
  <c r="H79" i="19"/>
  <c r="I79" i="19"/>
  <c r="J79" i="19"/>
  <c r="K79" i="19"/>
  <c r="L79" i="19"/>
  <c r="M79" i="19"/>
  <c r="N79" i="19"/>
  <c r="X79" i="19"/>
  <c r="Y79" i="19"/>
  <c r="Z79" i="19"/>
  <c r="A80" i="19"/>
  <c r="B80" i="19"/>
  <c r="C80" i="19"/>
  <c r="D80" i="19"/>
  <c r="E80" i="19"/>
  <c r="F80" i="19"/>
  <c r="Y80" i="19" s="1"/>
  <c r="G80" i="19"/>
  <c r="H80" i="19"/>
  <c r="I80" i="19"/>
  <c r="J80" i="19"/>
  <c r="K80" i="19"/>
  <c r="L80" i="19"/>
  <c r="M80" i="19"/>
  <c r="N80" i="19"/>
  <c r="O80" i="19"/>
  <c r="S80" i="19" s="1"/>
  <c r="P80" i="19"/>
  <c r="U80" i="19" s="1"/>
  <c r="Q80" i="19"/>
  <c r="T80" i="19" s="1"/>
  <c r="X80" i="19"/>
  <c r="A81" i="19"/>
  <c r="B81" i="19"/>
  <c r="C81" i="19"/>
  <c r="D81" i="19"/>
  <c r="E81" i="19"/>
  <c r="F81" i="19"/>
  <c r="R81" i="19" s="1"/>
  <c r="G81" i="19"/>
  <c r="H81" i="19"/>
  <c r="I81" i="19"/>
  <c r="J81" i="19"/>
  <c r="K81" i="19"/>
  <c r="L81" i="19"/>
  <c r="M81" i="19"/>
  <c r="N81" i="19"/>
  <c r="P81" i="19"/>
  <c r="U81" i="19" s="1"/>
  <c r="X81" i="19"/>
  <c r="Y81" i="19"/>
  <c r="Z81" i="19"/>
  <c r="A82" i="19"/>
  <c r="B82" i="19"/>
  <c r="C82" i="19"/>
  <c r="D82" i="19"/>
  <c r="E82" i="19"/>
  <c r="F82" i="19"/>
  <c r="G82" i="19"/>
  <c r="H82" i="19"/>
  <c r="I82" i="19"/>
  <c r="J82" i="19"/>
  <c r="K82" i="19"/>
  <c r="L82" i="19"/>
  <c r="M82" i="19"/>
  <c r="N82" i="19"/>
  <c r="X82" i="19"/>
  <c r="Y82" i="19"/>
  <c r="A83" i="19"/>
  <c r="B83" i="19"/>
  <c r="C83" i="19"/>
  <c r="D83" i="19"/>
  <c r="E83" i="19"/>
  <c r="F83" i="19"/>
  <c r="R83" i="19" s="1"/>
  <c r="G83" i="19"/>
  <c r="H83" i="19"/>
  <c r="I83" i="19"/>
  <c r="J83" i="19"/>
  <c r="K83" i="19"/>
  <c r="L83" i="19"/>
  <c r="M83" i="19"/>
  <c r="N83" i="19"/>
  <c r="X83" i="19"/>
  <c r="A84" i="19"/>
  <c r="B84" i="19"/>
  <c r="C84" i="19"/>
  <c r="D84" i="19"/>
  <c r="E84" i="19"/>
  <c r="F84" i="19"/>
  <c r="G84" i="19"/>
  <c r="H84" i="19"/>
  <c r="I84" i="19"/>
  <c r="J84" i="19"/>
  <c r="K84" i="19"/>
  <c r="L84" i="19"/>
  <c r="M84" i="19"/>
  <c r="N84" i="19"/>
  <c r="V84" i="19"/>
  <c r="X84" i="19"/>
  <c r="Y84" i="19" s="1"/>
  <c r="A85" i="19"/>
  <c r="B85" i="19"/>
  <c r="C85" i="19"/>
  <c r="D85" i="19"/>
  <c r="E85" i="19"/>
  <c r="F85" i="19"/>
  <c r="G85" i="19"/>
  <c r="V85" i="19" s="1"/>
  <c r="H85" i="19"/>
  <c r="I85" i="19"/>
  <c r="J85" i="19"/>
  <c r="K85" i="19"/>
  <c r="L85" i="19"/>
  <c r="M85" i="19"/>
  <c r="N85" i="19"/>
  <c r="R85" i="19" s="1"/>
  <c r="O85" i="19"/>
  <c r="S85" i="19" s="1"/>
  <c r="X85" i="19"/>
  <c r="Y85" i="19"/>
  <c r="A86" i="19"/>
  <c r="B86" i="19"/>
  <c r="C86" i="19"/>
  <c r="D86" i="19"/>
  <c r="E86" i="19"/>
  <c r="F86" i="19"/>
  <c r="R86" i="19" s="1"/>
  <c r="G86" i="19"/>
  <c r="V86" i="19" s="1"/>
  <c r="H86" i="19"/>
  <c r="I86" i="19"/>
  <c r="J86" i="19"/>
  <c r="K86" i="19"/>
  <c r="L86" i="19"/>
  <c r="M86" i="19"/>
  <c r="N86" i="19"/>
  <c r="O86" i="19"/>
  <c r="W86" i="19"/>
  <c r="X86" i="19"/>
  <c r="Y86" i="19" s="1"/>
  <c r="A87" i="19"/>
  <c r="B87" i="19"/>
  <c r="C87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X87" i="19"/>
  <c r="Y87" i="19"/>
  <c r="A88" i="19"/>
  <c r="B88" i="19"/>
  <c r="C88" i="19"/>
  <c r="D88" i="19"/>
  <c r="E88" i="19"/>
  <c r="F88" i="19"/>
  <c r="Y88" i="19" s="1"/>
  <c r="G88" i="19"/>
  <c r="H88" i="19"/>
  <c r="I88" i="19"/>
  <c r="J88" i="19"/>
  <c r="K88" i="19"/>
  <c r="L88" i="19"/>
  <c r="M88" i="19"/>
  <c r="N88" i="19"/>
  <c r="X88" i="19"/>
  <c r="Z88" i="19" s="1"/>
  <c r="A89" i="19"/>
  <c r="B89" i="19"/>
  <c r="C89" i="19"/>
  <c r="D89" i="19"/>
  <c r="E89" i="19"/>
  <c r="F89" i="19"/>
  <c r="R89" i="19" s="1"/>
  <c r="G89" i="19"/>
  <c r="H89" i="19"/>
  <c r="I89" i="19"/>
  <c r="J89" i="19"/>
  <c r="K89" i="19"/>
  <c r="L89" i="19"/>
  <c r="M89" i="19"/>
  <c r="N89" i="19"/>
  <c r="X89" i="19"/>
  <c r="Y89" i="19"/>
  <c r="Z89" i="19"/>
  <c r="A90" i="19"/>
  <c r="B90" i="19"/>
  <c r="C90" i="19"/>
  <c r="D90" i="19"/>
  <c r="E90" i="19"/>
  <c r="F90" i="19"/>
  <c r="G90" i="19"/>
  <c r="H90" i="19"/>
  <c r="I90" i="19"/>
  <c r="J90" i="19"/>
  <c r="K90" i="19"/>
  <c r="L90" i="19"/>
  <c r="M90" i="19"/>
  <c r="N90" i="19"/>
  <c r="O90" i="19"/>
  <c r="R90" i="19"/>
  <c r="X90" i="19"/>
  <c r="Y90" i="19"/>
  <c r="Z90" i="19"/>
  <c r="A91" i="19"/>
  <c r="B91" i="19"/>
  <c r="C91" i="19"/>
  <c r="D91" i="19"/>
  <c r="E91" i="19"/>
  <c r="F91" i="19"/>
  <c r="R91" i="19" s="1"/>
  <c r="G91" i="19"/>
  <c r="H91" i="19"/>
  <c r="I91" i="19"/>
  <c r="J91" i="19"/>
  <c r="K91" i="19"/>
  <c r="L91" i="19"/>
  <c r="M91" i="19"/>
  <c r="N91" i="19"/>
  <c r="O91" i="19"/>
  <c r="S91" i="19" s="1"/>
  <c r="V91" i="19"/>
  <c r="X91" i="19"/>
  <c r="A92" i="19"/>
  <c r="B92" i="19"/>
  <c r="C92" i="19"/>
  <c r="D92" i="19"/>
  <c r="E92" i="19"/>
  <c r="F92" i="19"/>
  <c r="G92" i="19"/>
  <c r="H92" i="19"/>
  <c r="I92" i="19"/>
  <c r="J92" i="19"/>
  <c r="K92" i="19"/>
  <c r="L92" i="19"/>
  <c r="M92" i="19"/>
  <c r="N92" i="19"/>
  <c r="X92" i="19"/>
  <c r="A93" i="19"/>
  <c r="B93" i="19"/>
  <c r="C93" i="19"/>
  <c r="D93" i="19"/>
  <c r="E93" i="19"/>
  <c r="F93" i="19"/>
  <c r="G93" i="19"/>
  <c r="V93" i="19" s="1"/>
  <c r="H93" i="19"/>
  <c r="I93" i="19"/>
  <c r="J93" i="19"/>
  <c r="K93" i="19"/>
  <c r="L93" i="19"/>
  <c r="M93" i="19"/>
  <c r="N93" i="19"/>
  <c r="R93" i="19"/>
  <c r="X93" i="19"/>
  <c r="Y93" i="19"/>
  <c r="A94" i="19"/>
  <c r="B94" i="19"/>
  <c r="C94" i="19"/>
  <c r="D94" i="19"/>
  <c r="E94" i="19"/>
  <c r="F94" i="19"/>
  <c r="G94" i="19"/>
  <c r="H94" i="19"/>
  <c r="I94" i="19"/>
  <c r="J94" i="19"/>
  <c r="K94" i="19"/>
  <c r="L94" i="19"/>
  <c r="M94" i="19"/>
  <c r="N94" i="19"/>
  <c r="R94" i="19"/>
  <c r="X94" i="19"/>
  <c r="Y94" i="19"/>
  <c r="Z94" i="19"/>
  <c r="A95" i="19"/>
  <c r="B95" i="19"/>
  <c r="C95" i="19"/>
  <c r="D95" i="19"/>
  <c r="E95" i="19"/>
  <c r="F95" i="19"/>
  <c r="R95" i="19" s="1"/>
  <c r="G95" i="19"/>
  <c r="V95" i="19" s="1"/>
  <c r="H95" i="19"/>
  <c r="I95" i="19"/>
  <c r="J95" i="19"/>
  <c r="K95" i="19"/>
  <c r="L95" i="19"/>
  <c r="M95" i="19"/>
  <c r="N95" i="19"/>
  <c r="X95" i="19"/>
  <c r="Y95" i="19"/>
  <c r="Z95" i="19"/>
  <c r="A96" i="19"/>
  <c r="B96" i="19"/>
  <c r="C96" i="19"/>
  <c r="D96" i="19"/>
  <c r="E96" i="19"/>
  <c r="F96" i="19"/>
  <c r="Y96" i="19" s="1"/>
  <c r="G96" i="19"/>
  <c r="H96" i="19"/>
  <c r="I96" i="19"/>
  <c r="J96" i="19"/>
  <c r="K96" i="19"/>
  <c r="L96" i="19"/>
  <c r="M96" i="19"/>
  <c r="N96" i="19"/>
  <c r="O96" i="19"/>
  <c r="R96" i="19"/>
  <c r="S96" i="19"/>
  <c r="V96" i="19"/>
  <c r="X96" i="19"/>
  <c r="A48" i="19"/>
  <c r="B48" i="19"/>
  <c r="C48" i="19"/>
  <c r="D48" i="19"/>
  <c r="E48" i="19"/>
  <c r="F48" i="19"/>
  <c r="R48" i="19" s="1"/>
  <c r="G48" i="19"/>
  <c r="H48" i="19"/>
  <c r="I48" i="19"/>
  <c r="J48" i="19"/>
  <c r="K48" i="19"/>
  <c r="L48" i="19"/>
  <c r="M48" i="19"/>
  <c r="N48" i="19"/>
  <c r="O48" i="19"/>
  <c r="W48" i="19" s="1"/>
  <c r="X48" i="19"/>
  <c r="Y48" i="19"/>
  <c r="Z48" i="19"/>
  <c r="A49" i="19"/>
  <c r="B49" i="19"/>
  <c r="C49" i="19"/>
  <c r="D49" i="19"/>
  <c r="E49" i="19"/>
  <c r="F49" i="19"/>
  <c r="G49" i="19"/>
  <c r="H49" i="19"/>
  <c r="I49" i="19"/>
  <c r="J49" i="19"/>
  <c r="K49" i="19"/>
  <c r="L49" i="19"/>
  <c r="M49" i="19"/>
  <c r="N49" i="19"/>
  <c r="O49" i="19"/>
  <c r="R49" i="19"/>
  <c r="X49" i="19"/>
  <c r="Y49" i="19"/>
  <c r="Z49" i="19"/>
  <c r="A50" i="19"/>
  <c r="B50" i="19"/>
  <c r="C50" i="19"/>
  <c r="D50" i="19"/>
  <c r="E50" i="19"/>
  <c r="F50" i="19"/>
  <c r="R50" i="19" s="1"/>
  <c r="G50" i="19"/>
  <c r="H50" i="19"/>
  <c r="I50" i="19"/>
  <c r="J50" i="19"/>
  <c r="K50" i="19"/>
  <c r="L50" i="19"/>
  <c r="M50" i="19"/>
  <c r="N50" i="19"/>
  <c r="X50" i="19"/>
  <c r="A51" i="19"/>
  <c r="B51" i="19"/>
  <c r="C51" i="19"/>
  <c r="D51" i="19"/>
  <c r="E51" i="19"/>
  <c r="F51" i="19"/>
  <c r="R51" i="19" s="1"/>
  <c r="G51" i="19"/>
  <c r="S51" i="19" s="1"/>
  <c r="H51" i="19"/>
  <c r="I51" i="19"/>
  <c r="J51" i="19"/>
  <c r="K51" i="19"/>
  <c r="L51" i="19"/>
  <c r="M51" i="19"/>
  <c r="N51" i="19"/>
  <c r="O51" i="19"/>
  <c r="W51" i="19"/>
  <c r="X51" i="19"/>
  <c r="Z51" i="19"/>
  <c r="A52" i="19"/>
  <c r="B52" i="19"/>
  <c r="C52" i="19"/>
  <c r="D52" i="19"/>
  <c r="E52" i="19"/>
  <c r="F52" i="19"/>
  <c r="G52" i="19"/>
  <c r="V52" i="19" s="1"/>
  <c r="H52" i="19"/>
  <c r="I52" i="19"/>
  <c r="J52" i="19"/>
  <c r="K52" i="19"/>
  <c r="L52" i="19"/>
  <c r="M52" i="19"/>
  <c r="N52" i="19"/>
  <c r="Q52" i="19"/>
  <c r="T52" i="19" s="1"/>
  <c r="R52" i="19"/>
  <c r="X52" i="19"/>
  <c r="Y52" i="19"/>
  <c r="A53" i="19"/>
  <c r="B53" i="19"/>
  <c r="C53" i="19"/>
  <c r="D53" i="19"/>
  <c r="E53" i="19"/>
  <c r="F53" i="19"/>
  <c r="R53" i="19" s="1"/>
  <c r="G53" i="19"/>
  <c r="V53" i="19" s="1"/>
  <c r="H53" i="19"/>
  <c r="I53" i="19"/>
  <c r="J53" i="19"/>
  <c r="K53" i="19"/>
  <c r="L53" i="19"/>
  <c r="M53" i="19"/>
  <c r="N53" i="19"/>
  <c r="O53" i="19"/>
  <c r="W53" i="19" s="1"/>
  <c r="X53" i="19"/>
  <c r="Y53" i="19"/>
  <c r="Z53" i="19"/>
  <c r="A54" i="19"/>
  <c r="B54" i="19"/>
  <c r="C54" i="19"/>
  <c r="D54" i="19"/>
  <c r="E54" i="19"/>
  <c r="F54" i="19"/>
  <c r="G54" i="19"/>
  <c r="V54" i="19" s="1"/>
  <c r="H54" i="19"/>
  <c r="I54" i="19"/>
  <c r="J54" i="19"/>
  <c r="K54" i="19"/>
  <c r="L54" i="19"/>
  <c r="M54" i="19"/>
  <c r="N54" i="19"/>
  <c r="X54" i="19"/>
  <c r="Y54" i="19" s="1"/>
  <c r="A55" i="19"/>
  <c r="B55" i="19"/>
  <c r="C55" i="19"/>
  <c r="D55" i="19"/>
  <c r="E55" i="19"/>
  <c r="F55" i="19"/>
  <c r="Y55" i="19" s="1"/>
  <c r="G55" i="19"/>
  <c r="H55" i="19"/>
  <c r="I55" i="19"/>
  <c r="J55" i="19"/>
  <c r="K55" i="19"/>
  <c r="L55" i="19"/>
  <c r="M55" i="19"/>
  <c r="N55" i="19"/>
  <c r="V55" i="19"/>
  <c r="X55" i="19"/>
  <c r="A56" i="19"/>
  <c r="B56" i="19"/>
  <c r="C56" i="19"/>
  <c r="D56" i="19"/>
  <c r="E56" i="19"/>
  <c r="F56" i="19"/>
  <c r="R56" i="19" s="1"/>
  <c r="G56" i="19"/>
  <c r="H56" i="19"/>
  <c r="I56" i="19"/>
  <c r="J56" i="19"/>
  <c r="K56" i="19"/>
  <c r="L56" i="19"/>
  <c r="M56" i="19"/>
  <c r="N56" i="19"/>
  <c r="X56" i="19"/>
  <c r="Z56" i="19" s="1"/>
  <c r="Y56" i="19"/>
  <c r="A57" i="19"/>
  <c r="B57" i="19"/>
  <c r="C57" i="19"/>
  <c r="D57" i="19"/>
  <c r="E57" i="19"/>
  <c r="F57" i="19"/>
  <c r="G57" i="19"/>
  <c r="H57" i="19"/>
  <c r="I57" i="19"/>
  <c r="J57" i="19"/>
  <c r="K57" i="19"/>
  <c r="L57" i="19"/>
  <c r="M57" i="19"/>
  <c r="N57" i="19"/>
  <c r="R57" i="19" s="1"/>
  <c r="O57" i="19"/>
  <c r="P57" i="19"/>
  <c r="U57" i="19" s="1"/>
  <c r="X57" i="19"/>
  <c r="Y57" i="19"/>
  <c r="A58" i="19"/>
  <c r="B58" i="19"/>
  <c r="C58" i="19"/>
  <c r="D58" i="19"/>
  <c r="E58" i="19"/>
  <c r="F58" i="19"/>
  <c r="R58" i="19" s="1"/>
  <c r="G58" i="19"/>
  <c r="V58" i="19" s="1"/>
  <c r="H58" i="19"/>
  <c r="I58" i="19"/>
  <c r="J58" i="19"/>
  <c r="K58" i="19"/>
  <c r="L58" i="19"/>
  <c r="M58" i="19"/>
  <c r="N58" i="19"/>
  <c r="X58" i="19"/>
  <c r="A59" i="19"/>
  <c r="B59" i="19"/>
  <c r="C59" i="19"/>
  <c r="D59" i="19"/>
  <c r="E59" i="19"/>
  <c r="F59" i="19"/>
  <c r="G59" i="19"/>
  <c r="H59" i="19"/>
  <c r="I59" i="19"/>
  <c r="J59" i="19"/>
  <c r="K59" i="19"/>
  <c r="L59" i="19"/>
  <c r="M59" i="19"/>
  <c r="N59" i="19"/>
  <c r="V59" i="19"/>
  <c r="X59" i="19"/>
  <c r="Y59" i="19" s="1"/>
  <c r="A60" i="19"/>
  <c r="B60" i="19"/>
  <c r="C60" i="19"/>
  <c r="D60" i="19"/>
  <c r="E60" i="19"/>
  <c r="F60" i="19"/>
  <c r="G60" i="19"/>
  <c r="V60" i="19" s="1"/>
  <c r="H60" i="19"/>
  <c r="I60" i="19"/>
  <c r="J60" i="19"/>
  <c r="K60" i="19"/>
  <c r="L60" i="19"/>
  <c r="M60" i="19"/>
  <c r="N60" i="19"/>
  <c r="R60" i="19"/>
  <c r="X60" i="19"/>
  <c r="Y60" i="19"/>
  <c r="A61" i="19"/>
  <c r="B61" i="19"/>
  <c r="C61" i="19"/>
  <c r="D61" i="19"/>
  <c r="E61" i="19"/>
  <c r="F61" i="19"/>
  <c r="R61" i="19" s="1"/>
  <c r="G61" i="19"/>
  <c r="H61" i="19"/>
  <c r="I61" i="19"/>
  <c r="J61" i="19"/>
  <c r="K61" i="19"/>
  <c r="L61" i="19"/>
  <c r="M61" i="19"/>
  <c r="N61" i="19"/>
  <c r="V61" i="19"/>
  <c r="X61" i="19"/>
  <c r="Y61" i="19" s="1"/>
  <c r="Z61" i="19"/>
  <c r="A62" i="19"/>
  <c r="B62" i="19"/>
  <c r="C62" i="19"/>
  <c r="D62" i="19"/>
  <c r="E62" i="19"/>
  <c r="F62" i="19"/>
  <c r="R62" i="19" s="1"/>
  <c r="G62" i="19"/>
  <c r="H62" i="19"/>
  <c r="I62" i="19"/>
  <c r="J62" i="19"/>
  <c r="K62" i="19"/>
  <c r="L62" i="19"/>
  <c r="M62" i="19"/>
  <c r="N62" i="19"/>
  <c r="X62" i="19"/>
  <c r="Y62" i="19"/>
  <c r="Z62" i="19"/>
  <c r="A63" i="19"/>
  <c r="B63" i="19"/>
  <c r="C63" i="19"/>
  <c r="D63" i="19"/>
  <c r="E63" i="19"/>
  <c r="F63" i="19"/>
  <c r="Y63" i="19" s="1"/>
  <c r="G63" i="19"/>
  <c r="H63" i="19"/>
  <c r="I63" i="19"/>
  <c r="J63" i="19"/>
  <c r="K63" i="19"/>
  <c r="L63" i="19"/>
  <c r="M63" i="19"/>
  <c r="N63" i="19"/>
  <c r="O63" i="19"/>
  <c r="P63" i="19"/>
  <c r="U63" i="19" s="1"/>
  <c r="S63" i="19"/>
  <c r="X63" i="19"/>
  <c r="Z63" i="19" s="1"/>
  <c r="A64" i="19"/>
  <c r="B64" i="19"/>
  <c r="C64" i="19"/>
  <c r="D64" i="19"/>
  <c r="E64" i="19"/>
  <c r="F64" i="19"/>
  <c r="R64" i="19" s="1"/>
  <c r="G64" i="19"/>
  <c r="H64" i="19"/>
  <c r="I64" i="19"/>
  <c r="J64" i="19"/>
  <c r="K64" i="19"/>
  <c r="L64" i="19"/>
  <c r="M64" i="19"/>
  <c r="N64" i="19"/>
  <c r="O64" i="19"/>
  <c r="W64" i="19" s="1"/>
  <c r="X64" i="19"/>
  <c r="Y64" i="19"/>
  <c r="Z64" i="19"/>
  <c r="A65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R65" i="19"/>
  <c r="X65" i="19"/>
  <c r="Y65" i="19"/>
  <c r="Z65" i="19"/>
  <c r="A66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R66" i="19"/>
  <c r="V66" i="19"/>
  <c r="X66" i="19"/>
  <c r="A67" i="19"/>
  <c r="B67" i="19"/>
  <c r="C67" i="19"/>
  <c r="D67" i="19"/>
  <c r="E67" i="19"/>
  <c r="F67" i="19"/>
  <c r="R67" i="19" s="1"/>
  <c r="G67" i="19"/>
  <c r="H67" i="19"/>
  <c r="I67" i="19"/>
  <c r="J67" i="19"/>
  <c r="K67" i="19"/>
  <c r="L67" i="19"/>
  <c r="M67" i="19"/>
  <c r="N67" i="19"/>
  <c r="O67" i="19"/>
  <c r="W67" i="19" s="1"/>
  <c r="P67" i="19"/>
  <c r="U67" i="19" s="1"/>
  <c r="X67" i="19"/>
  <c r="Z67" i="19"/>
  <c r="A68" i="19"/>
  <c r="B68" i="19"/>
  <c r="C68" i="19"/>
  <c r="D68" i="19"/>
  <c r="E68" i="19"/>
  <c r="F68" i="19"/>
  <c r="G68" i="19"/>
  <c r="V68" i="19" s="1"/>
  <c r="H68" i="19"/>
  <c r="I68" i="19"/>
  <c r="J68" i="19"/>
  <c r="K68" i="19"/>
  <c r="L68" i="19"/>
  <c r="M68" i="19"/>
  <c r="N68" i="19"/>
  <c r="P68" i="19"/>
  <c r="U68" i="19" s="1"/>
  <c r="Q68" i="19"/>
  <c r="T68" i="19" s="1"/>
  <c r="R68" i="19"/>
  <c r="X68" i="19"/>
  <c r="Y68" i="19"/>
  <c r="A69" i="19"/>
  <c r="B69" i="19"/>
  <c r="C69" i="19"/>
  <c r="D69" i="19"/>
  <c r="E69" i="19"/>
  <c r="F69" i="19"/>
  <c r="R69" i="19" s="1"/>
  <c r="G69" i="19"/>
  <c r="H69" i="19"/>
  <c r="I69" i="19"/>
  <c r="J69" i="19"/>
  <c r="K69" i="19"/>
  <c r="L69" i="19"/>
  <c r="M69" i="19"/>
  <c r="N69" i="19"/>
  <c r="X69" i="19"/>
  <c r="Y69" i="19"/>
  <c r="Z69" i="19"/>
  <c r="A70" i="19"/>
  <c r="B70" i="19"/>
  <c r="C70" i="19"/>
  <c r="D70" i="19"/>
  <c r="E70" i="19"/>
  <c r="F70" i="19"/>
  <c r="R70" i="19" s="1"/>
  <c r="G70" i="19"/>
  <c r="V70" i="19" s="1"/>
  <c r="H70" i="19"/>
  <c r="I70" i="19"/>
  <c r="J70" i="19"/>
  <c r="K70" i="19"/>
  <c r="L70" i="19"/>
  <c r="M70" i="19"/>
  <c r="N70" i="19"/>
  <c r="O70" i="19"/>
  <c r="P70" i="19"/>
  <c r="U70" i="19" s="1"/>
  <c r="X70" i="19"/>
  <c r="Y70" i="19"/>
  <c r="Z70" i="19"/>
  <c r="A71" i="19"/>
  <c r="B71" i="19"/>
  <c r="C71" i="19"/>
  <c r="D71" i="19"/>
  <c r="E71" i="19"/>
  <c r="F71" i="19"/>
  <c r="Y71" i="19" s="1"/>
  <c r="G71" i="19"/>
  <c r="H71" i="19"/>
  <c r="I71" i="19"/>
  <c r="J71" i="19"/>
  <c r="K71" i="19"/>
  <c r="L71" i="19"/>
  <c r="M71" i="19"/>
  <c r="N71" i="19"/>
  <c r="R71" i="19"/>
  <c r="V71" i="19"/>
  <c r="X71" i="19"/>
  <c r="A27" i="19"/>
  <c r="B27" i="19"/>
  <c r="C27" i="19"/>
  <c r="D27" i="19"/>
  <c r="E27" i="19"/>
  <c r="F27" i="19"/>
  <c r="R27" i="19" s="1"/>
  <c r="G27" i="19"/>
  <c r="H27" i="19"/>
  <c r="I27" i="19"/>
  <c r="J27" i="19"/>
  <c r="K27" i="19"/>
  <c r="L27" i="19"/>
  <c r="M27" i="19"/>
  <c r="N27" i="19"/>
  <c r="O27" i="19"/>
  <c r="W27" i="19" s="1"/>
  <c r="X27" i="19"/>
  <c r="Y27" i="19"/>
  <c r="Z27" i="19"/>
  <c r="A28" i="19"/>
  <c r="B28" i="19"/>
  <c r="C28" i="19"/>
  <c r="D28" i="19"/>
  <c r="E28" i="19"/>
  <c r="F28" i="19"/>
  <c r="G28" i="19"/>
  <c r="H28" i="19"/>
  <c r="I28" i="19"/>
  <c r="J28" i="19"/>
  <c r="K28" i="19"/>
  <c r="L28" i="19"/>
  <c r="M28" i="19"/>
  <c r="N28" i="19"/>
  <c r="R28" i="19"/>
  <c r="X28" i="19"/>
  <c r="Y28" i="19"/>
  <c r="A29" i="19"/>
  <c r="B29" i="19"/>
  <c r="C29" i="19"/>
  <c r="D29" i="19"/>
  <c r="E29" i="19"/>
  <c r="F29" i="19"/>
  <c r="R29" i="19" s="1"/>
  <c r="G29" i="19"/>
  <c r="V29" i="19" s="1"/>
  <c r="H29" i="19"/>
  <c r="I29" i="19"/>
  <c r="J29" i="19"/>
  <c r="K29" i="19"/>
  <c r="L29" i="19"/>
  <c r="M29" i="19"/>
  <c r="N29" i="19"/>
  <c r="X29" i="19"/>
  <c r="A30" i="19"/>
  <c r="B30" i="19"/>
  <c r="C30" i="19"/>
  <c r="D30" i="19"/>
  <c r="E30" i="19"/>
  <c r="F30" i="19"/>
  <c r="R30" i="19" s="1"/>
  <c r="G30" i="19"/>
  <c r="H30" i="19"/>
  <c r="I30" i="19"/>
  <c r="J30" i="19"/>
  <c r="K30" i="19"/>
  <c r="L30" i="19"/>
  <c r="M30" i="19"/>
  <c r="N30" i="19"/>
  <c r="P30" i="19"/>
  <c r="U30" i="19" s="1"/>
  <c r="Q30" i="19"/>
  <c r="T30" i="19" s="1"/>
  <c r="X30" i="19"/>
  <c r="Z30" i="19" s="1"/>
  <c r="Y30" i="19"/>
  <c r="A31" i="19"/>
  <c r="B31" i="19"/>
  <c r="C31" i="19"/>
  <c r="D31" i="19"/>
  <c r="E31" i="19"/>
  <c r="F31" i="19"/>
  <c r="G31" i="19"/>
  <c r="V31" i="19" s="1"/>
  <c r="H31" i="19"/>
  <c r="I31" i="19"/>
  <c r="J31" i="19"/>
  <c r="K31" i="19"/>
  <c r="L31" i="19"/>
  <c r="M31" i="19"/>
  <c r="N31" i="19"/>
  <c r="O31" i="19"/>
  <c r="S31" i="19" s="1"/>
  <c r="X31" i="19"/>
  <c r="Y31" i="19"/>
  <c r="A32" i="19"/>
  <c r="B32" i="19"/>
  <c r="C32" i="19"/>
  <c r="D32" i="19"/>
  <c r="E32" i="19"/>
  <c r="F32" i="19"/>
  <c r="R32" i="19" s="1"/>
  <c r="G32" i="19"/>
  <c r="V32" i="19" s="1"/>
  <c r="H32" i="19"/>
  <c r="I32" i="19"/>
  <c r="J32" i="19"/>
  <c r="K32" i="19"/>
  <c r="L32" i="19"/>
  <c r="M32" i="19"/>
  <c r="N32" i="19"/>
  <c r="X32" i="19"/>
  <c r="Z32" i="19" s="1"/>
  <c r="Y32" i="19"/>
  <c r="A33" i="19"/>
  <c r="B33" i="19"/>
  <c r="C33" i="19"/>
  <c r="D33" i="19"/>
  <c r="E33" i="19"/>
  <c r="F33" i="19"/>
  <c r="G33" i="19"/>
  <c r="H33" i="19"/>
  <c r="I33" i="19"/>
  <c r="J33" i="19"/>
  <c r="K33" i="19"/>
  <c r="L33" i="19"/>
  <c r="M33" i="19"/>
  <c r="N33" i="19"/>
  <c r="X33" i="19"/>
  <c r="Y33" i="19"/>
  <c r="A34" i="19"/>
  <c r="B34" i="19"/>
  <c r="C34" i="19"/>
  <c r="D34" i="19"/>
  <c r="E34" i="19"/>
  <c r="F34" i="19"/>
  <c r="Y34" i="19" s="1"/>
  <c r="G34" i="19"/>
  <c r="H34" i="19"/>
  <c r="I34" i="19"/>
  <c r="J34" i="19"/>
  <c r="K34" i="19"/>
  <c r="L34" i="19"/>
  <c r="M34" i="19"/>
  <c r="N34" i="19"/>
  <c r="V34" i="19"/>
  <c r="X34" i="19"/>
  <c r="Z34" i="19" s="1"/>
  <c r="A35" i="19"/>
  <c r="B35" i="19"/>
  <c r="C35" i="19"/>
  <c r="D35" i="19"/>
  <c r="E35" i="19"/>
  <c r="F35" i="19"/>
  <c r="R35" i="19" s="1"/>
  <c r="G35" i="19"/>
  <c r="V35" i="19" s="1"/>
  <c r="H35" i="19"/>
  <c r="I35" i="19"/>
  <c r="J35" i="19"/>
  <c r="K35" i="19"/>
  <c r="L35" i="19"/>
  <c r="M35" i="19"/>
  <c r="N35" i="19"/>
  <c r="O35" i="19"/>
  <c r="S35" i="19" s="1"/>
  <c r="P35" i="19"/>
  <c r="U35" i="19" s="1"/>
  <c r="Q35" i="19"/>
  <c r="T35" i="19" s="1"/>
  <c r="X35" i="19"/>
  <c r="Y35" i="19"/>
  <c r="Z35" i="19"/>
  <c r="A36" i="19"/>
  <c r="B36" i="19"/>
  <c r="C36" i="19"/>
  <c r="D36" i="19"/>
  <c r="E36" i="19"/>
  <c r="F36" i="19"/>
  <c r="G36" i="19"/>
  <c r="H36" i="19"/>
  <c r="I36" i="19"/>
  <c r="J36" i="19"/>
  <c r="K36" i="19"/>
  <c r="L36" i="19"/>
  <c r="M36" i="19"/>
  <c r="N36" i="19"/>
  <c r="R36" i="19"/>
  <c r="X36" i="19"/>
  <c r="Y36" i="19"/>
  <c r="Z36" i="19"/>
  <c r="A37" i="19"/>
  <c r="B37" i="19"/>
  <c r="C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W37" i="19" s="1"/>
  <c r="P37" i="19"/>
  <c r="U37" i="19" s="1"/>
  <c r="R37" i="19"/>
  <c r="V37" i="19"/>
  <c r="X37" i="19"/>
  <c r="A38" i="19"/>
  <c r="B38" i="19"/>
  <c r="C38" i="19"/>
  <c r="D38" i="19"/>
  <c r="E38" i="19"/>
  <c r="F38" i="19"/>
  <c r="R38" i="19" s="1"/>
  <c r="G38" i="19"/>
  <c r="H38" i="19"/>
  <c r="I38" i="19"/>
  <c r="J38" i="19"/>
  <c r="K38" i="19"/>
  <c r="L38" i="19"/>
  <c r="M38" i="19"/>
  <c r="N38" i="19"/>
  <c r="O38" i="19"/>
  <c r="W38" i="19" s="1"/>
  <c r="X38" i="19"/>
  <c r="Y38" i="19"/>
  <c r="Z38" i="19"/>
  <c r="A39" i="19"/>
  <c r="B39" i="19"/>
  <c r="C39" i="19"/>
  <c r="D39" i="19"/>
  <c r="E39" i="19"/>
  <c r="F39" i="19"/>
  <c r="G39" i="19"/>
  <c r="V39" i="19" s="1"/>
  <c r="H39" i="19"/>
  <c r="I39" i="19"/>
  <c r="J39" i="19"/>
  <c r="K39" i="19"/>
  <c r="L39" i="19"/>
  <c r="M39" i="19"/>
  <c r="N39" i="19"/>
  <c r="R39" i="19"/>
  <c r="X39" i="19"/>
  <c r="Y39" i="19"/>
  <c r="A40" i="19"/>
  <c r="B40" i="19"/>
  <c r="C40" i="19"/>
  <c r="D40" i="19"/>
  <c r="E40" i="19"/>
  <c r="F40" i="19"/>
  <c r="V40" i="19" s="1"/>
  <c r="G40" i="19"/>
  <c r="S40" i="19" s="1"/>
  <c r="H40" i="19"/>
  <c r="I40" i="19"/>
  <c r="J40" i="19"/>
  <c r="K40" i="19"/>
  <c r="L40" i="19"/>
  <c r="M40" i="19"/>
  <c r="N40" i="19"/>
  <c r="O40" i="19"/>
  <c r="P40" i="19"/>
  <c r="U40" i="19" s="1"/>
  <c r="Q40" i="19"/>
  <c r="T40" i="19" s="1"/>
  <c r="W40" i="19"/>
  <c r="X40" i="19"/>
  <c r="Y40" i="19"/>
  <c r="Z40" i="19"/>
  <c r="A41" i="19"/>
  <c r="B41" i="19"/>
  <c r="C41" i="19"/>
  <c r="D41" i="19"/>
  <c r="E41" i="19"/>
  <c r="F41" i="19"/>
  <c r="R41" i="19" s="1"/>
  <c r="G41" i="19"/>
  <c r="H41" i="19"/>
  <c r="I41" i="19"/>
  <c r="J41" i="19"/>
  <c r="K41" i="19"/>
  <c r="L41" i="19"/>
  <c r="M41" i="19"/>
  <c r="N41" i="19"/>
  <c r="X41" i="19"/>
  <c r="Y41" i="19"/>
  <c r="Z41" i="19"/>
  <c r="A42" i="19"/>
  <c r="B42" i="19"/>
  <c r="C42" i="19"/>
  <c r="D42" i="19"/>
  <c r="E42" i="19"/>
  <c r="F42" i="19"/>
  <c r="Y42" i="19" s="1"/>
  <c r="G42" i="19"/>
  <c r="H42" i="19"/>
  <c r="I42" i="19"/>
  <c r="J42" i="19"/>
  <c r="K42" i="19"/>
  <c r="L42" i="19"/>
  <c r="M42" i="19"/>
  <c r="N42" i="19"/>
  <c r="V42" i="19"/>
  <c r="X42" i="19"/>
  <c r="A43" i="19"/>
  <c r="B43" i="19"/>
  <c r="C43" i="19"/>
  <c r="D43" i="19"/>
  <c r="E43" i="19"/>
  <c r="F43" i="19"/>
  <c r="R43" i="19" s="1"/>
  <c r="G43" i="19"/>
  <c r="H43" i="19"/>
  <c r="I43" i="19"/>
  <c r="J43" i="19"/>
  <c r="K43" i="19"/>
  <c r="L43" i="19"/>
  <c r="M43" i="19"/>
  <c r="N43" i="19"/>
  <c r="Q43" i="19"/>
  <c r="T43" i="19" s="1"/>
  <c r="X43" i="19"/>
  <c r="Y43" i="19"/>
  <c r="Z43" i="19"/>
  <c r="A44" i="19"/>
  <c r="B44" i="19"/>
  <c r="C44" i="19"/>
  <c r="D44" i="19"/>
  <c r="E44" i="19"/>
  <c r="F44" i="19"/>
  <c r="G44" i="19"/>
  <c r="H44" i="19"/>
  <c r="I44" i="19"/>
  <c r="J44" i="19"/>
  <c r="K44" i="19"/>
  <c r="L44" i="19"/>
  <c r="M44" i="19"/>
  <c r="N44" i="19"/>
  <c r="Z44" i="19" s="1"/>
  <c r="O44" i="19"/>
  <c r="X44" i="19"/>
  <c r="Y44" i="19"/>
  <c r="A45" i="19"/>
  <c r="B45" i="19"/>
  <c r="C45" i="19"/>
  <c r="D45" i="19"/>
  <c r="E45" i="19"/>
  <c r="F45" i="19"/>
  <c r="R45" i="19" s="1"/>
  <c r="G45" i="19"/>
  <c r="H45" i="19"/>
  <c r="I45" i="19"/>
  <c r="J45" i="19"/>
  <c r="K45" i="19"/>
  <c r="L45" i="19"/>
  <c r="M45" i="19"/>
  <c r="N45" i="19"/>
  <c r="X45" i="19"/>
  <c r="A46" i="19"/>
  <c r="B46" i="19"/>
  <c r="C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W46" i="19" s="1"/>
  <c r="V46" i="19"/>
  <c r="X46" i="19"/>
  <c r="Y46" i="19" s="1"/>
  <c r="A7" i="19"/>
  <c r="B7" i="19"/>
  <c r="C7" i="19"/>
  <c r="D7" i="19"/>
  <c r="E7" i="19"/>
  <c r="F7" i="19"/>
  <c r="G7" i="19"/>
  <c r="V7" i="19" s="1"/>
  <c r="H7" i="19"/>
  <c r="I7" i="19"/>
  <c r="J7" i="19"/>
  <c r="K7" i="19"/>
  <c r="L7" i="19"/>
  <c r="M7" i="19"/>
  <c r="N7" i="19"/>
  <c r="R7" i="19"/>
  <c r="X7" i="19"/>
  <c r="Y7" i="19"/>
  <c r="A8" i="19"/>
  <c r="B8" i="19"/>
  <c r="C8" i="19"/>
  <c r="D8" i="19"/>
  <c r="E8" i="19"/>
  <c r="F8" i="19"/>
  <c r="R8" i="19" s="1"/>
  <c r="G8" i="19"/>
  <c r="V8" i="19" s="1"/>
  <c r="H8" i="19"/>
  <c r="I8" i="19"/>
  <c r="J8" i="19"/>
  <c r="K8" i="19"/>
  <c r="L8" i="19"/>
  <c r="M8" i="19"/>
  <c r="N8" i="19"/>
  <c r="X8" i="19"/>
  <c r="Y8" i="19" s="1"/>
  <c r="A9" i="19"/>
  <c r="B9" i="19"/>
  <c r="C9" i="19"/>
  <c r="D9" i="19"/>
  <c r="E9" i="19"/>
  <c r="F9" i="19"/>
  <c r="R9" i="19" s="1"/>
  <c r="G9" i="19"/>
  <c r="H9" i="19"/>
  <c r="I9" i="19"/>
  <c r="J9" i="19"/>
  <c r="K9" i="19"/>
  <c r="L9" i="19"/>
  <c r="M9" i="19"/>
  <c r="N9" i="19"/>
  <c r="X9" i="19"/>
  <c r="Y9" i="19"/>
  <c r="Z9" i="19"/>
  <c r="A10" i="19"/>
  <c r="B10" i="19"/>
  <c r="C10" i="19"/>
  <c r="D10" i="19"/>
  <c r="E10" i="19"/>
  <c r="F10" i="19"/>
  <c r="Y10" i="19" s="1"/>
  <c r="G10" i="19"/>
  <c r="H10" i="19"/>
  <c r="I10" i="19"/>
  <c r="J10" i="19"/>
  <c r="K10" i="19"/>
  <c r="L10" i="19"/>
  <c r="M10" i="19"/>
  <c r="N10" i="19"/>
  <c r="V10" i="19"/>
  <c r="X10" i="19"/>
  <c r="Z10" i="19" s="1"/>
  <c r="A11" i="19"/>
  <c r="B11" i="19"/>
  <c r="C11" i="19"/>
  <c r="D11" i="19"/>
  <c r="E11" i="19"/>
  <c r="F11" i="19"/>
  <c r="R11" i="19" s="1"/>
  <c r="G11" i="19"/>
  <c r="H11" i="19"/>
  <c r="I11" i="19"/>
  <c r="J11" i="19"/>
  <c r="K11" i="19"/>
  <c r="L11" i="19"/>
  <c r="M11" i="19"/>
  <c r="N11" i="19"/>
  <c r="X11" i="19"/>
  <c r="Y11" i="19"/>
  <c r="Z11" i="19"/>
  <c r="A12" i="19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R12" i="19"/>
  <c r="X12" i="19"/>
  <c r="Y12" i="19"/>
  <c r="Z12" i="19"/>
  <c r="A13" i="19"/>
  <c r="B13" i="19"/>
  <c r="C13" i="19"/>
  <c r="D13" i="19"/>
  <c r="E13" i="19"/>
  <c r="F13" i="19"/>
  <c r="G13" i="19"/>
  <c r="V13" i="19" s="1"/>
  <c r="H13" i="19"/>
  <c r="I13" i="19"/>
  <c r="J13" i="19"/>
  <c r="K13" i="19"/>
  <c r="L13" i="19"/>
  <c r="M13" i="19"/>
  <c r="N13" i="19"/>
  <c r="O13" i="19"/>
  <c r="W13" i="19" s="1"/>
  <c r="P13" i="19"/>
  <c r="U13" i="19" s="1"/>
  <c r="R13" i="19"/>
  <c r="X13" i="19"/>
  <c r="A14" i="19"/>
  <c r="B14" i="19"/>
  <c r="C14" i="19"/>
  <c r="D14" i="19"/>
  <c r="E14" i="19"/>
  <c r="F14" i="19"/>
  <c r="R14" i="19" s="1"/>
  <c r="G14" i="19"/>
  <c r="H14" i="19"/>
  <c r="I14" i="19"/>
  <c r="J14" i="19"/>
  <c r="K14" i="19"/>
  <c r="L14" i="19"/>
  <c r="M14" i="19"/>
  <c r="N14" i="19"/>
  <c r="X14" i="19"/>
  <c r="Z14" i="19"/>
  <c r="A15" i="19"/>
  <c r="B15" i="19"/>
  <c r="C15" i="19"/>
  <c r="D15" i="19"/>
  <c r="E15" i="19"/>
  <c r="F15" i="19"/>
  <c r="G15" i="19"/>
  <c r="V15" i="19" s="1"/>
  <c r="H15" i="19"/>
  <c r="I15" i="19"/>
  <c r="J15" i="19"/>
  <c r="K15" i="19"/>
  <c r="L15" i="19"/>
  <c r="M15" i="19"/>
  <c r="N15" i="19"/>
  <c r="Q15" i="19"/>
  <c r="T15" i="19" s="1"/>
  <c r="R15" i="19"/>
  <c r="X15" i="19"/>
  <c r="Y15" i="19"/>
  <c r="A16" i="19"/>
  <c r="B16" i="19"/>
  <c r="C16" i="19"/>
  <c r="D16" i="19"/>
  <c r="E16" i="19"/>
  <c r="F16" i="19"/>
  <c r="R16" i="19" s="1"/>
  <c r="G16" i="19"/>
  <c r="V16" i="19" s="1"/>
  <c r="H16" i="19"/>
  <c r="I16" i="19"/>
  <c r="J16" i="19"/>
  <c r="K16" i="19"/>
  <c r="L16" i="19"/>
  <c r="M16" i="19"/>
  <c r="N16" i="19"/>
  <c r="X16" i="19"/>
  <c r="Y16" i="19"/>
  <c r="Z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X17" i="19"/>
  <c r="Z17" i="19" s="1"/>
  <c r="Y17" i="19"/>
  <c r="A18" i="19"/>
  <c r="B18" i="19"/>
  <c r="C18" i="19"/>
  <c r="D18" i="19"/>
  <c r="E18" i="19"/>
  <c r="F18" i="19"/>
  <c r="Y18" i="19" s="1"/>
  <c r="G18" i="19"/>
  <c r="H18" i="19"/>
  <c r="I18" i="19"/>
  <c r="J18" i="19"/>
  <c r="K18" i="19"/>
  <c r="L18" i="19"/>
  <c r="M18" i="19"/>
  <c r="N18" i="19"/>
  <c r="X18" i="19"/>
  <c r="A19" i="19"/>
  <c r="B19" i="19"/>
  <c r="C19" i="19"/>
  <c r="D19" i="19"/>
  <c r="E19" i="19"/>
  <c r="F19" i="19"/>
  <c r="R19" i="19" s="1"/>
  <c r="G19" i="19"/>
  <c r="S19" i="19" s="1"/>
  <c r="H19" i="19"/>
  <c r="I19" i="19"/>
  <c r="J19" i="19"/>
  <c r="K19" i="19"/>
  <c r="L19" i="19"/>
  <c r="M19" i="19"/>
  <c r="N19" i="19"/>
  <c r="O19" i="19"/>
  <c r="W19" i="19"/>
  <c r="X19" i="19"/>
  <c r="Z19" i="19" s="1"/>
  <c r="Y19" i="19"/>
  <c r="A20" i="19"/>
  <c r="B20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R20" i="19" s="1"/>
  <c r="O20" i="19"/>
  <c r="Q20" i="19"/>
  <c r="T20" i="19" s="1"/>
  <c r="X20" i="19"/>
  <c r="Y20" i="19"/>
  <c r="A21" i="19"/>
  <c r="B21" i="19"/>
  <c r="C21" i="19"/>
  <c r="D21" i="19"/>
  <c r="E21" i="19"/>
  <c r="F21" i="19"/>
  <c r="R21" i="19" s="1"/>
  <c r="G21" i="19"/>
  <c r="H21" i="19"/>
  <c r="I21" i="19"/>
  <c r="J21" i="19"/>
  <c r="K21" i="19"/>
  <c r="L21" i="19"/>
  <c r="M21" i="19"/>
  <c r="N21" i="19"/>
  <c r="O21" i="19"/>
  <c r="W21" i="19" s="1"/>
  <c r="P21" i="19"/>
  <c r="U21" i="19" s="1"/>
  <c r="X21" i="19"/>
  <c r="A22" i="19"/>
  <c r="B22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X22" i="19"/>
  <c r="Y22" i="19"/>
  <c r="A23" i="19"/>
  <c r="B23" i="19"/>
  <c r="C23" i="19"/>
  <c r="D23" i="19"/>
  <c r="E23" i="19"/>
  <c r="F23" i="19"/>
  <c r="G23" i="19"/>
  <c r="V23" i="19" s="1"/>
  <c r="H23" i="19"/>
  <c r="I23" i="19"/>
  <c r="J23" i="19"/>
  <c r="K23" i="19"/>
  <c r="L23" i="19"/>
  <c r="M23" i="19"/>
  <c r="N23" i="19"/>
  <c r="R23" i="19"/>
  <c r="X23" i="19"/>
  <c r="Y23" i="19"/>
  <c r="A24" i="19"/>
  <c r="B24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R24" i="19"/>
  <c r="V24" i="19"/>
  <c r="X24" i="19"/>
  <c r="Y24" i="19"/>
  <c r="Z24" i="19"/>
  <c r="A25" i="19"/>
  <c r="B25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X25" i="19"/>
  <c r="Y25" i="19"/>
  <c r="Z25" i="19"/>
  <c r="M28" i="15"/>
  <c r="G326" i="15"/>
  <c r="H326" i="15"/>
  <c r="I326" i="15"/>
  <c r="M326" i="15" s="1"/>
  <c r="J326" i="15"/>
  <c r="N326" i="15" s="1"/>
  <c r="J7" i="15"/>
  <c r="Q93" i="19" s="1"/>
  <c r="T93" i="19" s="1"/>
  <c r="J8" i="15"/>
  <c r="Q10" i="19" s="1"/>
  <c r="T10" i="19" s="1"/>
  <c r="J9" i="15"/>
  <c r="Q91" i="19" s="1"/>
  <c r="T91" i="19" s="1"/>
  <c r="J10" i="15"/>
  <c r="Q14" i="19" s="1"/>
  <c r="T14" i="19" s="1"/>
  <c r="J11" i="15"/>
  <c r="N11" i="15" s="1"/>
  <c r="J12" i="15"/>
  <c r="N12" i="15" s="1"/>
  <c r="J13" i="15"/>
  <c r="N13" i="15" s="1"/>
  <c r="J14" i="15"/>
  <c r="Q13" i="19" s="1"/>
  <c r="T13" i="19" s="1"/>
  <c r="J15" i="15"/>
  <c r="Q101" i="19" s="1"/>
  <c r="T101" i="19" s="1"/>
  <c r="J16" i="15"/>
  <c r="Q106" i="19" s="1"/>
  <c r="T106" i="19" s="1"/>
  <c r="J17" i="15"/>
  <c r="Q105" i="19" s="1"/>
  <c r="T105" i="19" s="1"/>
  <c r="J18" i="15"/>
  <c r="Q98" i="19" s="1"/>
  <c r="J19" i="15"/>
  <c r="J20" i="15"/>
  <c r="J21" i="15"/>
  <c r="J23" i="15"/>
  <c r="N23" i="15" s="1"/>
  <c r="J24" i="15"/>
  <c r="Q16" i="19" s="1"/>
  <c r="T16" i="19" s="1"/>
  <c r="J25" i="15"/>
  <c r="Q17" i="19" s="1"/>
  <c r="T17" i="19" s="1"/>
  <c r="J26" i="15"/>
  <c r="Q18" i="19" s="1"/>
  <c r="T18" i="19" s="1"/>
  <c r="J27" i="15"/>
  <c r="Q19" i="19" s="1"/>
  <c r="T19" i="19" s="1"/>
  <c r="J28" i="15"/>
  <c r="N28" i="15" s="1"/>
  <c r="J29" i="15"/>
  <c r="N29" i="15" s="1"/>
  <c r="J30" i="15"/>
  <c r="N30" i="15" s="1"/>
  <c r="J31" i="15"/>
  <c r="Q22" i="19" s="1"/>
  <c r="T22" i="19" s="1"/>
  <c r="J32" i="15"/>
  <c r="Q23" i="19" s="1"/>
  <c r="T23" i="19" s="1"/>
  <c r="J33" i="15"/>
  <c r="Q24" i="19" s="1"/>
  <c r="T24" i="19" s="1"/>
  <c r="J34" i="15"/>
  <c r="Q25" i="19" s="1"/>
  <c r="T25" i="19" s="1"/>
  <c r="J35" i="15"/>
  <c r="J36" i="15"/>
  <c r="J37" i="15"/>
  <c r="J38" i="15"/>
  <c r="J39" i="15"/>
  <c r="N39" i="15" s="1"/>
  <c r="J40" i="15"/>
  <c r="J41" i="15"/>
  <c r="J42" i="15"/>
  <c r="J43" i="15"/>
  <c r="J44" i="15"/>
  <c r="N44" i="15" s="1"/>
  <c r="J45" i="15"/>
  <c r="N45" i="15" s="1"/>
  <c r="J46" i="15"/>
  <c r="N46" i="15" s="1"/>
  <c r="J47" i="15"/>
  <c r="N47" i="15" s="1"/>
  <c r="J48" i="15"/>
  <c r="J50" i="15"/>
  <c r="J51" i="15"/>
  <c r="J52" i="15"/>
  <c r="J53" i="15"/>
  <c r="J54" i="15"/>
  <c r="J55" i="15"/>
  <c r="J56" i="15"/>
  <c r="N56" i="15" s="1"/>
  <c r="J57" i="15"/>
  <c r="J58" i="15"/>
  <c r="J59" i="15"/>
  <c r="J60" i="15"/>
  <c r="J61" i="15"/>
  <c r="N61" i="15" s="1"/>
  <c r="J62" i="15"/>
  <c r="N62" i="15" s="1"/>
  <c r="J63" i="15"/>
  <c r="N63" i="15" s="1"/>
  <c r="J64" i="15"/>
  <c r="J65" i="15"/>
  <c r="J66" i="15"/>
  <c r="J67" i="15"/>
  <c r="J68" i="15"/>
  <c r="J69" i="15"/>
  <c r="J70" i="15"/>
  <c r="J71" i="15"/>
  <c r="J73" i="15"/>
  <c r="R66" i="16" s="1"/>
  <c r="V66" i="16" s="1"/>
  <c r="J74" i="15"/>
  <c r="J75" i="15"/>
  <c r="J76" i="15"/>
  <c r="J77" i="15"/>
  <c r="J78" i="15"/>
  <c r="N78" i="15" s="1"/>
  <c r="J79" i="15"/>
  <c r="N79" i="15" s="1"/>
  <c r="J80" i="15"/>
  <c r="N80" i="15" s="1"/>
  <c r="J81" i="15"/>
  <c r="N81" i="15" s="1"/>
  <c r="J82" i="15"/>
  <c r="Q42" i="19" s="1"/>
  <c r="T42" i="19" s="1"/>
  <c r="J83" i="15"/>
  <c r="N83" i="15" s="1"/>
  <c r="J84" i="15"/>
  <c r="N84" i="15" s="1"/>
  <c r="J85" i="15"/>
  <c r="Q33" i="19" s="1"/>
  <c r="T33" i="19" s="1"/>
  <c r="J86" i="15"/>
  <c r="Q38" i="19" s="1"/>
  <c r="T38" i="19" s="1"/>
  <c r="J87" i="15"/>
  <c r="J88" i="15"/>
  <c r="J89" i="15"/>
  <c r="N89" i="15" s="1"/>
  <c r="J90" i="15"/>
  <c r="Q34" i="19" s="1"/>
  <c r="T34" i="19" s="1"/>
  <c r="J91" i="15"/>
  <c r="Q39" i="19" s="1"/>
  <c r="T39" i="19" s="1"/>
  <c r="J92" i="15"/>
  <c r="Q44" i="19" s="1"/>
  <c r="T44" i="19" s="1"/>
  <c r="J93" i="15"/>
  <c r="J94" i="15"/>
  <c r="N94" i="15" s="1"/>
  <c r="J95" i="15"/>
  <c r="N95" i="15" s="1"/>
  <c r="J96" i="15"/>
  <c r="N96" i="15" s="1"/>
  <c r="J97" i="15"/>
  <c r="Q45" i="19" s="1"/>
  <c r="T45" i="19" s="1"/>
  <c r="J98" i="15"/>
  <c r="J99" i="15"/>
  <c r="N99" i="15" s="1"/>
  <c r="J100" i="15"/>
  <c r="Q36" i="19" s="1"/>
  <c r="T36" i="19" s="1"/>
  <c r="J101" i="15"/>
  <c r="Q41" i="19" s="1"/>
  <c r="T41" i="19" s="1"/>
  <c r="J102" i="15"/>
  <c r="Q46" i="19" s="1"/>
  <c r="T46" i="19" s="1"/>
  <c r="J104" i="15"/>
  <c r="J105" i="15"/>
  <c r="J106" i="15"/>
  <c r="N106" i="15" s="1"/>
  <c r="J107" i="15"/>
  <c r="J108" i="15"/>
  <c r="J109" i="15"/>
  <c r="J110" i="15"/>
  <c r="J111" i="15"/>
  <c r="N111" i="15" s="1"/>
  <c r="J112" i="15"/>
  <c r="N112" i="15" s="1"/>
  <c r="J113" i="15"/>
  <c r="N113" i="15" s="1"/>
  <c r="J114" i="15"/>
  <c r="J115" i="15"/>
  <c r="J116" i="15"/>
  <c r="N116" i="15" s="1"/>
  <c r="J117" i="15"/>
  <c r="N117" i="15" s="1"/>
  <c r="J118" i="15"/>
  <c r="J119" i="15"/>
  <c r="J120" i="15"/>
  <c r="N120" i="15" s="1"/>
  <c r="J121" i="15"/>
  <c r="J122" i="15"/>
  <c r="N122" i="15" s="1"/>
  <c r="J123" i="15"/>
  <c r="J124" i="15"/>
  <c r="J125" i="15"/>
  <c r="J126" i="15"/>
  <c r="J127" i="15"/>
  <c r="N127" i="15" s="1"/>
  <c r="J128" i="15"/>
  <c r="N128" i="15" s="1"/>
  <c r="J130" i="15"/>
  <c r="N130" i="15" s="1"/>
  <c r="J131" i="15"/>
  <c r="J132" i="15"/>
  <c r="J133" i="15"/>
  <c r="J134" i="15"/>
  <c r="N134" i="15" s="1"/>
  <c r="J135" i="15"/>
  <c r="J136" i="15"/>
  <c r="J137" i="15"/>
  <c r="N137" i="15" s="1"/>
  <c r="J138" i="15"/>
  <c r="J139" i="15"/>
  <c r="N139" i="15" s="1"/>
  <c r="J140" i="15"/>
  <c r="J141" i="15"/>
  <c r="J142" i="15"/>
  <c r="J143" i="15"/>
  <c r="J144" i="15"/>
  <c r="N144" i="15" s="1"/>
  <c r="J145" i="15"/>
  <c r="N145" i="15" s="1"/>
  <c r="J146" i="15"/>
  <c r="N146" i="15" s="1"/>
  <c r="J147" i="15"/>
  <c r="J149" i="15"/>
  <c r="J150" i="15"/>
  <c r="N150" i="15" s="1"/>
  <c r="J151" i="15"/>
  <c r="N151" i="15" s="1"/>
  <c r="J152" i="15"/>
  <c r="J153" i="15"/>
  <c r="R143" i="16" s="1"/>
  <c r="V143" i="16" s="1"/>
  <c r="J154" i="15"/>
  <c r="N154" i="15" s="1"/>
  <c r="J155" i="15"/>
  <c r="R145" i="16" s="1"/>
  <c r="V145" i="16" s="1"/>
  <c r="J156" i="15"/>
  <c r="N156" i="15" s="1"/>
  <c r="J157" i="15"/>
  <c r="J158" i="15"/>
  <c r="J160" i="15"/>
  <c r="J161" i="15"/>
  <c r="J162" i="15"/>
  <c r="N162" i="15" s="1"/>
  <c r="J163" i="15"/>
  <c r="N163" i="15" s="1"/>
  <c r="J164" i="15"/>
  <c r="N164" i="15" s="1"/>
  <c r="J165" i="15"/>
  <c r="J166" i="15"/>
  <c r="J167" i="15"/>
  <c r="J168" i="15"/>
  <c r="N168" i="15" s="1"/>
  <c r="J169" i="15"/>
  <c r="J170" i="15"/>
  <c r="J171" i="15"/>
  <c r="J172" i="15"/>
  <c r="J174" i="15"/>
  <c r="N174" i="15" s="1"/>
  <c r="J175" i="15"/>
  <c r="J176" i="15"/>
  <c r="J177" i="15"/>
  <c r="J178" i="15"/>
  <c r="J179" i="15"/>
  <c r="N179" i="15" s="1"/>
  <c r="J180" i="15"/>
  <c r="N180" i="15" s="1"/>
  <c r="J181" i="15"/>
  <c r="N181" i="15" s="1"/>
  <c r="J182" i="15"/>
  <c r="J183" i="15"/>
  <c r="J184" i="15"/>
  <c r="N184" i="15" s="1"/>
  <c r="J185" i="15"/>
  <c r="N185" i="15" s="1"/>
  <c r="J186" i="15"/>
  <c r="J188" i="15"/>
  <c r="J189" i="15"/>
  <c r="N189" i="15" s="1"/>
  <c r="J190" i="15"/>
  <c r="J191" i="15"/>
  <c r="N191" i="15" s="1"/>
  <c r="J192" i="15"/>
  <c r="J193" i="15"/>
  <c r="J194" i="15"/>
  <c r="J195" i="15"/>
  <c r="J196" i="15"/>
  <c r="N196" i="15" s="1"/>
  <c r="J197" i="15"/>
  <c r="N197" i="15" s="1"/>
  <c r="J198" i="15"/>
  <c r="N198" i="15" s="1"/>
  <c r="J199" i="15"/>
  <c r="J200" i="15"/>
  <c r="J201" i="15"/>
  <c r="J202" i="15"/>
  <c r="N202" i="15" s="1"/>
  <c r="J203" i="15"/>
  <c r="J205" i="15"/>
  <c r="J206" i="15"/>
  <c r="Q48" i="19" s="1"/>
  <c r="J207" i="15"/>
  <c r="J208" i="15"/>
  <c r="N208" i="15" s="1"/>
  <c r="J209" i="15"/>
  <c r="J210" i="15"/>
  <c r="Q50" i="19" s="1"/>
  <c r="T50" i="19" s="1"/>
  <c r="J211" i="15"/>
  <c r="J212" i="15"/>
  <c r="Q51" i="19" s="1"/>
  <c r="T51" i="19" s="1"/>
  <c r="J213" i="15"/>
  <c r="N213" i="15" s="1"/>
  <c r="J214" i="15"/>
  <c r="N214" i="15" s="1"/>
  <c r="J215" i="15"/>
  <c r="N215" i="15" s="1"/>
  <c r="J217" i="15"/>
  <c r="J218" i="15"/>
  <c r="Q53" i="19" s="1"/>
  <c r="T53" i="19" s="1"/>
  <c r="J219" i="15"/>
  <c r="N219" i="15" s="1"/>
  <c r="J220" i="15"/>
  <c r="N220" i="15" s="1"/>
  <c r="J221" i="15"/>
  <c r="Q56" i="19" s="1"/>
  <c r="T56" i="19" s="1"/>
  <c r="J222" i="15"/>
  <c r="Q57" i="19" s="1"/>
  <c r="T57" i="19" s="1"/>
  <c r="J223" i="15"/>
  <c r="N223" i="15" s="1"/>
  <c r="J224" i="15"/>
  <c r="Q59" i="19" s="1"/>
  <c r="T59" i="19" s="1"/>
  <c r="J225" i="15"/>
  <c r="N225" i="15" s="1"/>
  <c r="J226" i="15"/>
  <c r="Q61" i="19" s="1"/>
  <c r="T61" i="19" s="1"/>
  <c r="J227" i="15"/>
  <c r="J228" i="15"/>
  <c r="J230" i="15"/>
  <c r="Q62" i="19" s="1"/>
  <c r="T62" i="19" s="1"/>
  <c r="J231" i="15"/>
  <c r="N231" i="15" s="1"/>
  <c r="J232" i="15"/>
  <c r="N232" i="15" s="1"/>
  <c r="J233" i="15"/>
  <c r="N233" i="15" s="1"/>
  <c r="J234" i="15"/>
  <c r="Q65" i="19" s="1"/>
  <c r="T65" i="19" s="1"/>
  <c r="J235" i="15"/>
  <c r="Q66" i="19" s="1"/>
  <c r="T66" i="19" s="1"/>
  <c r="J236" i="15"/>
  <c r="Q67" i="19" s="1"/>
  <c r="T67" i="19" s="1"/>
  <c r="J237" i="15"/>
  <c r="N237" i="15" s="1"/>
  <c r="J238" i="15"/>
  <c r="Q69" i="19" s="1"/>
  <c r="T69" i="19" s="1"/>
  <c r="J239" i="15"/>
  <c r="Q70" i="19" s="1"/>
  <c r="T70" i="19" s="1"/>
  <c r="J240" i="15"/>
  <c r="Q71" i="19" s="1"/>
  <c r="T71" i="19" s="1"/>
  <c r="J242" i="15"/>
  <c r="Q73" i="19" s="1"/>
  <c r="J243" i="15"/>
  <c r="N243" i="15" s="1"/>
  <c r="J244" i="15"/>
  <c r="Q75" i="19" s="1"/>
  <c r="T75" i="19" s="1"/>
  <c r="J245" i="15"/>
  <c r="Q84" i="19" s="1"/>
  <c r="T84" i="19" s="1"/>
  <c r="J246" i="15"/>
  <c r="Q77" i="19" s="1"/>
  <c r="T77" i="19" s="1"/>
  <c r="J247" i="15"/>
  <c r="Q78" i="19" s="1"/>
  <c r="T78" i="19" s="1"/>
  <c r="J248" i="15"/>
  <c r="N248" i="15" s="1"/>
  <c r="J249" i="15"/>
  <c r="N249" i="15" s="1"/>
  <c r="J250" i="15"/>
  <c r="N250" i="15" s="1"/>
  <c r="J251" i="15"/>
  <c r="J252" i="15"/>
  <c r="J253" i="15"/>
  <c r="N253" i="15" s="1"/>
  <c r="J254" i="15"/>
  <c r="N254" i="15" s="1"/>
  <c r="J255" i="15"/>
  <c r="J256" i="15"/>
  <c r="J257" i="15"/>
  <c r="N257" i="15" s="1"/>
  <c r="J258" i="15"/>
  <c r="J259" i="15"/>
  <c r="N259" i="15" s="1"/>
  <c r="J260" i="15"/>
  <c r="J262" i="15"/>
  <c r="J263" i="15"/>
  <c r="J264" i="15"/>
  <c r="J265" i="15"/>
  <c r="N265" i="15" s="1"/>
  <c r="J266" i="15"/>
  <c r="N266" i="15" s="1"/>
  <c r="J267" i="15"/>
  <c r="N267" i="15" s="1"/>
  <c r="J268" i="15"/>
  <c r="J269" i="15"/>
  <c r="J271" i="15"/>
  <c r="J272" i="15"/>
  <c r="N272" i="15" s="1"/>
  <c r="J273" i="15"/>
  <c r="J274" i="15"/>
  <c r="J275" i="15"/>
  <c r="J276" i="15"/>
  <c r="J277" i="15"/>
  <c r="N277" i="15" s="1"/>
  <c r="J278" i="15"/>
  <c r="J280" i="15"/>
  <c r="J281" i="15"/>
  <c r="J282" i="15"/>
  <c r="J283" i="15"/>
  <c r="N283" i="15" s="1"/>
  <c r="J284" i="15"/>
  <c r="N284" i="15" s="1"/>
  <c r="J285" i="15"/>
  <c r="N285" i="15" s="1"/>
  <c r="J286" i="15"/>
  <c r="J287" i="15"/>
  <c r="J288" i="15"/>
  <c r="N288" i="15" s="1"/>
  <c r="J289" i="15"/>
  <c r="N289" i="15" s="1"/>
  <c r="J290" i="15"/>
  <c r="J291" i="15"/>
  <c r="J292" i="15"/>
  <c r="N292" i="15" s="1"/>
  <c r="J293" i="15"/>
  <c r="J294" i="15"/>
  <c r="N294" i="15" s="1"/>
  <c r="J295" i="15"/>
  <c r="J296" i="15"/>
  <c r="J297" i="15"/>
  <c r="J298" i="15"/>
  <c r="J299" i="15"/>
  <c r="N299" i="15" s="1"/>
  <c r="J300" i="15"/>
  <c r="N300" i="15" s="1"/>
  <c r="J301" i="15"/>
  <c r="N301" i="15" s="1"/>
  <c r="J302" i="15"/>
  <c r="J303" i="15"/>
  <c r="J304" i="15"/>
  <c r="J305" i="15"/>
  <c r="N305" i="15" s="1"/>
  <c r="J306" i="15"/>
  <c r="J307" i="15"/>
  <c r="J308" i="15"/>
  <c r="J309" i="15"/>
  <c r="J310" i="15"/>
  <c r="N310" i="15" s="1"/>
  <c r="J311" i="15"/>
  <c r="J312" i="15"/>
  <c r="J313" i="15"/>
  <c r="J314" i="15"/>
  <c r="J315" i="15"/>
  <c r="N315" i="15" s="1"/>
  <c r="J316" i="15"/>
  <c r="N316" i="15" s="1"/>
  <c r="J317" i="15"/>
  <c r="N317" i="15" s="1"/>
  <c r="J318" i="15"/>
  <c r="J319" i="15"/>
  <c r="J320" i="15"/>
  <c r="N320" i="15" s="1"/>
  <c r="J321" i="15"/>
  <c r="N321" i="15" s="1"/>
  <c r="J322" i="15"/>
  <c r="J323" i="15"/>
  <c r="J324" i="15"/>
  <c r="N324" i="15" s="1"/>
  <c r="J325" i="15"/>
  <c r="J6" i="15"/>
  <c r="Q7" i="19" s="1"/>
  <c r="I7" i="15"/>
  <c r="P93" i="19" s="1"/>
  <c r="U93" i="19" s="1"/>
  <c r="I8" i="15"/>
  <c r="P10" i="19" s="1"/>
  <c r="U10" i="19" s="1"/>
  <c r="I9" i="15"/>
  <c r="P91" i="19" s="1"/>
  <c r="U91" i="19" s="1"/>
  <c r="I10" i="15"/>
  <c r="M10" i="15" s="1"/>
  <c r="I11" i="15"/>
  <c r="M11" i="15" s="1"/>
  <c r="I12" i="15"/>
  <c r="M12" i="15" s="1"/>
  <c r="I13" i="15"/>
  <c r="M13" i="15" s="1"/>
  <c r="I14" i="15"/>
  <c r="I15" i="15"/>
  <c r="P101" i="19" s="1"/>
  <c r="U101" i="19" s="1"/>
  <c r="I16" i="15"/>
  <c r="M16" i="15" s="1"/>
  <c r="I17" i="15"/>
  <c r="P99" i="19" s="1"/>
  <c r="U99" i="19" s="1"/>
  <c r="I18" i="15"/>
  <c r="P98" i="19" s="1"/>
  <c r="I19" i="15"/>
  <c r="M19" i="15" s="1"/>
  <c r="I20" i="15"/>
  <c r="I21" i="15"/>
  <c r="M21" i="15" s="1"/>
  <c r="I23" i="15"/>
  <c r="Q18" i="16" s="1"/>
  <c r="U18" i="16" s="1"/>
  <c r="I24" i="15"/>
  <c r="P16" i="19" s="1"/>
  <c r="U16" i="19" s="1"/>
  <c r="I25" i="15"/>
  <c r="P17" i="19" s="1"/>
  <c r="U17" i="19" s="1"/>
  <c r="I26" i="15"/>
  <c r="P18" i="19" s="1"/>
  <c r="U18" i="19" s="1"/>
  <c r="I27" i="15"/>
  <c r="M27" i="15" s="1"/>
  <c r="I28" i="15"/>
  <c r="P20" i="19" s="1"/>
  <c r="U20" i="19" s="1"/>
  <c r="I29" i="15"/>
  <c r="M29" i="15" s="1"/>
  <c r="I30" i="15"/>
  <c r="M30" i="15" s="1"/>
  <c r="I31" i="15"/>
  <c r="P22" i="19" s="1"/>
  <c r="U22" i="19" s="1"/>
  <c r="I32" i="15"/>
  <c r="M32" i="15" s="1"/>
  <c r="I33" i="15"/>
  <c r="M33" i="15" s="1"/>
  <c r="I34" i="15"/>
  <c r="P25" i="19" s="1"/>
  <c r="U25" i="19" s="1"/>
  <c r="I35" i="15"/>
  <c r="I36" i="15"/>
  <c r="M36" i="15" s="1"/>
  <c r="I37" i="15"/>
  <c r="I38" i="15"/>
  <c r="M38" i="15" s="1"/>
  <c r="I39" i="15"/>
  <c r="M39" i="15" s="1"/>
  <c r="I40" i="15"/>
  <c r="I41" i="15"/>
  <c r="I42" i="15"/>
  <c r="I43" i="15"/>
  <c r="M43" i="15" s="1"/>
  <c r="I44" i="15"/>
  <c r="M44" i="15" s="1"/>
  <c r="I45" i="15"/>
  <c r="M45" i="15" s="1"/>
  <c r="I46" i="15"/>
  <c r="M46" i="15" s="1"/>
  <c r="I47" i="15"/>
  <c r="I48" i="15"/>
  <c r="I50" i="15"/>
  <c r="M50" i="15" s="1"/>
  <c r="I51" i="15"/>
  <c r="I52" i="15"/>
  <c r="I53" i="15"/>
  <c r="M53" i="15" s="1"/>
  <c r="I54" i="15"/>
  <c r="I55" i="15"/>
  <c r="M55" i="15" s="1"/>
  <c r="I56" i="15"/>
  <c r="M56" i="15" s="1"/>
  <c r="I57" i="15"/>
  <c r="I58" i="15"/>
  <c r="I59" i="15"/>
  <c r="I60" i="15"/>
  <c r="M60" i="15" s="1"/>
  <c r="I61" i="15"/>
  <c r="M61" i="15" s="1"/>
  <c r="I62" i="15"/>
  <c r="M62" i="15" s="1"/>
  <c r="I63" i="15"/>
  <c r="M63" i="15" s="1"/>
  <c r="I64" i="15"/>
  <c r="I65" i="15"/>
  <c r="M65" i="15" s="1"/>
  <c r="I66" i="15"/>
  <c r="I67" i="15"/>
  <c r="I68" i="15"/>
  <c r="I69" i="15"/>
  <c r="M69" i="15" s="1"/>
  <c r="I70" i="15"/>
  <c r="I71" i="15"/>
  <c r="M71" i="15" s="1"/>
  <c r="I73" i="15"/>
  <c r="Q66" i="16" s="1"/>
  <c r="U66" i="16" s="1"/>
  <c r="I74" i="15"/>
  <c r="I75" i="15"/>
  <c r="I76" i="15"/>
  <c r="I77" i="15"/>
  <c r="M77" i="15" s="1"/>
  <c r="I78" i="15"/>
  <c r="M78" i="15" s="1"/>
  <c r="I79" i="15"/>
  <c r="M79" i="15" s="1"/>
  <c r="I80" i="15"/>
  <c r="M80" i="15" s="1"/>
  <c r="I81" i="15"/>
  <c r="I82" i="15"/>
  <c r="P42" i="19" s="1"/>
  <c r="U42" i="19" s="1"/>
  <c r="I83" i="15"/>
  <c r="I84" i="15"/>
  <c r="P28" i="19" s="1"/>
  <c r="U28" i="19" s="1"/>
  <c r="I85" i="15"/>
  <c r="P33" i="19" s="1"/>
  <c r="U33" i="19" s="1"/>
  <c r="I86" i="15"/>
  <c r="M86" i="15" s="1"/>
  <c r="I87" i="15"/>
  <c r="P43" i="19" s="1"/>
  <c r="U43" i="19" s="1"/>
  <c r="I88" i="15"/>
  <c r="M88" i="15" s="1"/>
  <c r="I89" i="15"/>
  <c r="M89" i="15" s="1"/>
  <c r="I90" i="15"/>
  <c r="P34" i="19" s="1"/>
  <c r="U34" i="19" s="1"/>
  <c r="I91" i="15"/>
  <c r="P39" i="19" s="1"/>
  <c r="U39" i="19" s="1"/>
  <c r="I92" i="15"/>
  <c r="P44" i="19" s="1"/>
  <c r="U44" i="19" s="1"/>
  <c r="I93" i="15"/>
  <c r="M93" i="15" s="1"/>
  <c r="I94" i="15"/>
  <c r="M94" i="15" s="1"/>
  <c r="I95" i="15"/>
  <c r="M95" i="15" s="1"/>
  <c r="I96" i="15"/>
  <c r="M96" i="15" s="1"/>
  <c r="I97" i="15"/>
  <c r="P45" i="19" s="1"/>
  <c r="U45" i="19" s="1"/>
  <c r="I98" i="15"/>
  <c r="I99" i="15"/>
  <c r="P31" i="19" s="1"/>
  <c r="U31" i="19" s="1"/>
  <c r="I100" i="15"/>
  <c r="P36" i="19" s="1"/>
  <c r="U36" i="19" s="1"/>
  <c r="I101" i="15"/>
  <c r="P41" i="19" s="1"/>
  <c r="U41" i="19" s="1"/>
  <c r="I102" i="15"/>
  <c r="M102" i="15" s="1"/>
  <c r="I104" i="15"/>
  <c r="I105" i="15"/>
  <c r="M105" i="15" s="1"/>
  <c r="I106" i="15"/>
  <c r="M106" i="15" s="1"/>
  <c r="I107" i="15"/>
  <c r="I108" i="15"/>
  <c r="I109" i="15"/>
  <c r="I110" i="15"/>
  <c r="M110" i="15" s="1"/>
  <c r="I111" i="15"/>
  <c r="M111" i="15" s="1"/>
  <c r="I112" i="15"/>
  <c r="M112" i="15" s="1"/>
  <c r="I113" i="15"/>
  <c r="I114" i="15"/>
  <c r="I115" i="15"/>
  <c r="I116" i="15"/>
  <c r="I117" i="15"/>
  <c r="I118" i="15"/>
  <c r="I119" i="15"/>
  <c r="M119" i="15" s="1"/>
  <c r="I120" i="15"/>
  <c r="I121" i="15"/>
  <c r="M121" i="15" s="1"/>
  <c r="I122" i="15"/>
  <c r="M122" i="15" s="1"/>
  <c r="I123" i="15"/>
  <c r="I124" i="15"/>
  <c r="I125" i="15"/>
  <c r="I126" i="15"/>
  <c r="M126" i="15" s="1"/>
  <c r="I127" i="15"/>
  <c r="Q119" i="16" s="1"/>
  <c r="U119" i="16" s="1"/>
  <c r="I128" i="15"/>
  <c r="M128" i="15" s="1"/>
  <c r="I130" i="15"/>
  <c r="I131" i="15"/>
  <c r="I132" i="15"/>
  <c r="I133" i="15"/>
  <c r="I134" i="15"/>
  <c r="I135" i="15"/>
  <c r="I136" i="15"/>
  <c r="M136" i="15" s="1"/>
  <c r="I137" i="15"/>
  <c r="I138" i="15"/>
  <c r="M138" i="15" s="1"/>
  <c r="I139" i="15"/>
  <c r="M139" i="15" s="1"/>
  <c r="I140" i="15"/>
  <c r="I141" i="15"/>
  <c r="I142" i="15"/>
  <c r="I143" i="15"/>
  <c r="M143" i="15" s="1"/>
  <c r="I144" i="15"/>
  <c r="M144" i="15" s="1"/>
  <c r="I145" i="15"/>
  <c r="M145" i="15" s="1"/>
  <c r="I146" i="15"/>
  <c r="I147" i="15"/>
  <c r="M147" i="15" s="1"/>
  <c r="I149" i="15"/>
  <c r="M149" i="15" s="1"/>
  <c r="I150" i="15"/>
  <c r="M150" i="15" s="1"/>
  <c r="I151" i="15"/>
  <c r="I152" i="15"/>
  <c r="I153" i="15"/>
  <c r="M153" i="15" s="1"/>
  <c r="I154" i="15"/>
  <c r="I155" i="15"/>
  <c r="M155" i="15" s="1"/>
  <c r="I156" i="15"/>
  <c r="M156" i="15" s="1"/>
  <c r="I157" i="15"/>
  <c r="I158" i="15"/>
  <c r="I160" i="15"/>
  <c r="I161" i="15"/>
  <c r="M161" i="15" s="1"/>
  <c r="I162" i="15"/>
  <c r="M162" i="15" s="1"/>
  <c r="I163" i="15"/>
  <c r="M163" i="15" s="1"/>
  <c r="I164" i="15"/>
  <c r="M164" i="15" s="1"/>
  <c r="I165" i="15"/>
  <c r="Q154" i="16" s="1"/>
  <c r="U154" i="16" s="1"/>
  <c r="I166" i="15"/>
  <c r="M166" i="15" s="1"/>
  <c r="I167" i="15"/>
  <c r="I168" i="15"/>
  <c r="I169" i="15"/>
  <c r="I170" i="15"/>
  <c r="M170" i="15" s="1"/>
  <c r="I171" i="15"/>
  <c r="I172" i="15"/>
  <c r="M172" i="15" s="1"/>
  <c r="I174" i="15"/>
  <c r="I175" i="15"/>
  <c r="I176" i="15"/>
  <c r="I177" i="15"/>
  <c r="I178" i="15"/>
  <c r="M178" i="15" s="1"/>
  <c r="I179" i="15"/>
  <c r="M179" i="15" s="1"/>
  <c r="I180" i="15"/>
  <c r="M180" i="15" s="1"/>
  <c r="I181" i="15"/>
  <c r="M181" i="15" s="1"/>
  <c r="I182" i="15"/>
  <c r="I183" i="15"/>
  <c r="I184" i="15"/>
  <c r="I185" i="15"/>
  <c r="I186" i="15"/>
  <c r="I188" i="15"/>
  <c r="M188" i="15" s="1"/>
  <c r="I189" i="15"/>
  <c r="I190" i="15"/>
  <c r="M190" i="15" s="1"/>
  <c r="I191" i="15"/>
  <c r="M191" i="15" s="1"/>
  <c r="I192" i="15"/>
  <c r="I193" i="15"/>
  <c r="I194" i="15"/>
  <c r="I195" i="15"/>
  <c r="M195" i="15" s="1"/>
  <c r="I196" i="15"/>
  <c r="M196" i="15" s="1"/>
  <c r="I197" i="15"/>
  <c r="I198" i="15"/>
  <c r="I199" i="15"/>
  <c r="I200" i="15"/>
  <c r="I201" i="15"/>
  <c r="M201" i="15" s="1"/>
  <c r="I202" i="15"/>
  <c r="I203" i="15"/>
  <c r="I205" i="15"/>
  <c r="M205" i="15" s="1"/>
  <c r="I206" i="15"/>
  <c r="P48" i="19" s="1"/>
  <c r="I207" i="15"/>
  <c r="M207" i="15" s="1"/>
  <c r="I208" i="15"/>
  <c r="M208" i="15" s="1"/>
  <c r="I209" i="15"/>
  <c r="I210" i="15"/>
  <c r="P50" i="19" s="1"/>
  <c r="U50" i="19" s="1"/>
  <c r="I211" i="15"/>
  <c r="I212" i="15"/>
  <c r="P51" i="19" s="1"/>
  <c r="U51" i="19" s="1"/>
  <c r="I213" i="15"/>
  <c r="I214" i="15"/>
  <c r="I215" i="15"/>
  <c r="I217" i="15"/>
  <c r="P52" i="19" s="1"/>
  <c r="U52" i="19" s="1"/>
  <c r="I218" i="15"/>
  <c r="M218" i="15" s="1"/>
  <c r="I219" i="15"/>
  <c r="P54" i="19" s="1"/>
  <c r="U54" i="19" s="1"/>
  <c r="I220" i="15"/>
  <c r="P55" i="19" s="1"/>
  <c r="U55" i="19" s="1"/>
  <c r="I221" i="15"/>
  <c r="P56" i="19" s="1"/>
  <c r="U56" i="19" s="1"/>
  <c r="I222" i="15"/>
  <c r="M222" i="15" s="1"/>
  <c r="I223" i="15"/>
  <c r="P58" i="19" s="1"/>
  <c r="U58" i="19" s="1"/>
  <c r="I224" i="15"/>
  <c r="M224" i="15" s="1"/>
  <c r="I225" i="15"/>
  <c r="P60" i="19" s="1"/>
  <c r="U60" i="19" s="1"/>
  <c r="I226" i="15"/>
  <c r="P61" i="19" s="1"/>
  <c r="U61" i="19" s="1"/>
  <c r="I227" i="15"/>
  <c r="I228" i="15"/>
  <c r="I230" i="15"/>
  <c r="P62" i="19" s="1"/>
  <c r="U62" i="19" s="1"/>
  <c r="I231" i="15"/>
  <c r="I232" i="15"/>
  <c r="M232" i="15" s="1"/>
  <c r="I233" i="15"/>
  <c r="M233" i="15" s="1"/>
  <c r="I234" i="15"/>
  <c r="M234" i="15" s="1"/>
  <c r="I235" i="15"/>
  <c r="M235" i="15" s="1"/>
  <c r="I236" i="15"/>
  <c r="I237" i="15"/>
  <c r="I238" i="15"/>
  <c r="P69" i="19" s="1"/>
  <c r="U69" i="19" s="1"/>
  <c r="I239" i="15"/>
  <c r="I240" i="15"/>
  <c r="P71" i="19" s="1"/>
  <c r="U71" i="19" s="1"/>
  <c r="I242" i="15"/>
  <c r="Q225" i="16" s="1"/>
  <c r="U225" i="16" s="1"/>
  <c r="I243" i="15"/>
  <c r="P74" i="19" s="1"/>
  <c r="U74" i="19" s="1"/>
  <c r="I244" i="15"/>
  <c r="P75" i="19" s="1"/>
  <c r="U75" i="19" s="1"/>
  <c r="I245" i="15"/>
  <c r="P84" i="19" s="1"/>
  <c r="U84" i="19" s="1"/>
  <c r="I246" i="15"/>
  <c r="P77" i="19" s="1"/>
  <c r="U77" i="19" s="1"/>
  <c r="I247" i="15"/>
  <c r="P78" i="19" s="1"/>
  <c r="U78" i="19" s="1"/>
  <c r="I248" i="15"/>
  <c r="M248" i="15" s="1"/>
  <c r="I249" i="15"/>
  <c r="P88" i="19" s="1"/>
  <c r="U88" i="19" s="1"/>
  <c r="I250" i="15"/>
  <c r="M250" i="15" s="1"/>
  <c r="I251" i="15"/>
  <c r="Q234" i="16" s="1"/>
  <c r="U234" i="16" s="1"/>
  <c r="I252" i="15"/>
  <c r="I253" i="15"/>
  <c r="I254" i="15"/>
  <c r="I255" i="15"/>
  <c r="I256" i="15"/>
  <c r="I257" i="15"/>
  <c r="I258" i="15"/>
  <c r="M258" i="15" s="1"/>
  <c r="I259" i="15"/>
  <c r="M259" i="15" s="1"/>
  <c r="I260" i="15"/>
  <c r="I262" i="15"/>
  <c r="I263" i="15"/>
  <c r="I264" i="15"/>
  <c r="M264" i="15" s="1"/>
  <c r="I265" i="15"/>
  <c r="M265" i="15" s="1"/>
  <c r="I266" i="15"/>
  <c r="I267" i="15"/>
  <c r="I268" i="15"/>
  <c r="I269" i="15"/>
  <c r="I271" i="15"/>
  <c r="I272" i="15"/>
  <c r="I273" i="15"/>
  <c r="I274" i="15"/>
  <c r="M274" i="15" s="1"/>
  <c r="I275" i="15"/>
  <c r="I276" i="15"/>
  <c r="I277" i="15"/>
  <c r="M277" i="15" s="1"/>
  <c r="I278" i="15"/>
  <c r="I280" i="15"/>
  <c r="I281" i="15"/>
  <c r="I282" i="15"/>
  <c r="I283" i="15"/>
  <c r="I284" i="15"/>
  <c r="I285" i="15"/>
  <c r="I286" i="15"/>
  <c r="M286" i="15" s="1"/>
  <c r="I287" i="15"/>
  <c r="M287" i="15" s="1"/>
  <c r="I288" i="15"/>
  <c r="M288" i="15" s="1"/>
  <c r="I289" i="15"/>
  <c r="I290" i="15"/>
  <c r="I291" i="15"/>
  <c r="M291" i="15" s="1"/>
  <c r="I292" i="15"/>
  <c r="I293" i="15"/>
  <c r="I294" i="15"/>
  <c r="I295" i="15"/>
  <c r="I296" i="15"/>
  <c r="I297" i="15"/>
  <c r="I298" i="15"/>
  <c r="I299" i="15"/>
  <c r="I300" i="15"/>
  <c r="I301" i="15"/>
  <c r="M301" i="15" s="1"/>
  <c r="I302" i="15"/>
  <c r="I303" i="15"/>
  <c r="M303" i="15" s="1"/>
  <c r="I304" i="15"/>
  <c r="I305" i="15"/>
  <c r="I306" i="15"/>
  <c r="I307" i="15"/>
  <c r="I308" i="15"/>
  <c r="I309" i="15"/>
  <c r="I310" i="15"/>
  <c r="I311" i="15"/>
  <c r="I312" i="15"/>
  <c r="I313" i="15"/>
  <c r="I314" i="15"/>
  <c r="M314" i="15" s="1"/>
  <c r="I315" i="15"/>
  <c r="M315" i="15" s="1"/>
  <c r="I316" i="15"/>
  <c r="M316" i="15" s="1"/>
  <c r="I317" i="15"/>
  <c r="M317" i="15" s="1"/>
  <c r="I318" i="15"/>
  <c r="I319" i="15"/>
  <c r="I320" i="15"/>
  <c r="I321" i="15"/>
  <c r="I322" i="15"/>
  <c r="I323" i="15"/>
  <c r="I324" i="15"/>
  <c r="I325" i="15"/>
  <c r="I6" i="15"/>
  <c r="P7" i="19" s="1"/>
  <c r="H7" i="15"/>
  <c r="O89" i="19" s="1"/>
  <c r="W89" i="19" s="1"/>
  <c r="H8" i="15"/>
  <c r="O10" i="19" s="1"/>
  <c r="S10" i="19" s="1"/>
  <c r="H9" i="15"/>
  <c r="O95" i="19" s="1"/>
  <c r="H10" i="15"/>
  <c r="L10" i="15" s="1"/>
  <c r="H11" i="15"/>
  <c r="H12" i="15"/>
  <c r="O9" i="19" s="1"/>
  <c r="W9" i="19" s="1"/>
  <c r="H13" i="15"/>
  <c r="O102" i="19" s="1"/>
  <c r="S102" i="19" s="1"/>
  <c r="H14" i="15"/>
  <c r="H15" i="15"/>
  <c r="L15" i="15" s="1"/>
  <c r="H16" i="15"/>
  <c r="O106" i="19" s="1"/>
  <c r="W106" i="19" s="1"/>
  <c r="H17" i="15"/>
  <c r="O99" i="19" s="1"/>
  <c r="S99" i="19" s="1"/>
  <c r="H18" i="15"/>
  <c r="L18" i="15" s="1"/>
  <c r="H19" i="15"/>
  <c r="H20" i="15"/>
  <c r="L20" i="15" s="1"/>
  <c r="H21" i="15"/>
  <c r="L21" i="15" s="1"/>
  <c r="H23" i="15"/>
  <c r="H24" i="15"/>
  <c r="O16" i="19" s="1"/>
  <c r="W16" i="19" s="1"/>
  <c r="H25" i="15"/>
  <c r="O17" i="19" s="1"/>
  <c r="W17" i="19" s="1"/>
  <c r="H26" i="15"/>
  <c r="O18" i="19" s="1"/>
  <c r="S18" i="19" s="1"/>
  <c r="H27" i="15"/>
  <c r="H28" i="15"/>
  <c r="H29" i="15"/>
  <c r="H30" i="15"/>
  <c r="H31" i="15"/>
  <c r="L31" i="15" s="1"/>
  <c r="H32" i="15"/>
  <c r="O23" i="19" s="1"/>
  <c r="S23" i="19" s="1"/>
  <c r="H33" i="15"/>
  <c r="O24" i="19" s="1"/>
  <c r="H34" i="15"/>
  <c r="O25" i="19" s="1"/>
  <c r="W25" i="19" s="1"/>
  <c r="H35" i="15"/>
  <c r="L35" i="15" s="1"/>
  <c r="H36" i="15"/>
  <c r="H37" i="15"/>
  <c r="H38" i="15"/>
  <c r="H39" i="15"/>
  <c r="H40" i="15"/>
  <c r="H41" i="15"/>
  <c r="H42" i="15"/>
  <c r="H43" i="15"/>
  <c r="H44" i="15"/>
  <c r="L44" i="15" s="1"/>
  <c r="H45" i="15"/>
  <c r="L45" i="15" s="1"/>
  <c r="H46" i="15"/>
  <c r="L46" i="15" s="1"/>
  <c r="H47" i="15"/>
  <c r="L47" i="15" s="1"/>
  <c r="H48" i="15"/>
  <c r="H50" i="15"/>
  <c r="H51" i="15"/>
  <c r="H52" i="15"/>
  <c r="H53" i="15"/>
  <c r="H54" i="15"/>
  <c r="H55" i="15"/>
  <c r="H56" i="15"/>
  <c r="H57" i="15"/>
  <c r="H58" i="15"/>
  <c r="H59" i="15"/>
  <c r="H60" i="15"/>
  <c r="L60" i="15" s="1"/>
  <c r="H61" i="15"/>
  <c r="H62" i="15"/>
  <c r="L62" i="15" s="1"/>
  <c r="H63" i="15"/>
  <c r="H64" i="15"/>
  <c r="H65" i="15"/>
  <c r="H66" i="15"/>
  <c r="H67" i="15"/>
  <c r="H68" i="15"/>
  <c r="H69" i="15"/>
  <c r="H70" i="15"/>
  <c r="L70" i="15" s="1"/>
  <c r="H71" i="15"/>
  <c r="L71" i="15" s="1"/>
  <c r="H73" i="15"/>
  <c r="H74" i="15"/>
  <c r="H75" i="15"/>
  <c r="H76" i="15"/>
  <c r="L76" i="15" s="1"/>
  <c r="H77" i="15"/>
  <c r="L77" i="15" s="1"/>
  <c r="H78" i="15"/>
  <c r="H79" i="15"/>
  <c r="H80" i="15"/>
  <c r="O32" i="19" s="1"/>
  <c r="W32" i="19" s="1"/>
  <c r="H81" i="15"/>
  <c r="H82" i="15"/>
  <c r="O42" i="19" s="1"/>
  <c r="S42" i="19" s="1"/>
  <c r="H83" i="15"/>
  <c r="H84" i="15"/>
  <c r="O28" i="19" s="1"/>
  <c r="H85" i="15"/>
  <c r="L85" i="15" s="1"/>
  <c r="H86" i="15"/>
  <c r="H87" i="15"/>
  <c r="O43" i="19" s="1"/>
  <c r="W43" i="19" s="1"/>
  <c r="H88" i="15"/>
  <c r="L88" i="15" s="1"/>
  <c r="H89" i="15"/>
  <c r="O29" i="19" s="1"/>
  <c r="W29" i="19" s="1"/>
  <c r="H90" i="15"/>
  <c r="O34" i="19" s="1"/>
  <c r="S34" i="19" s="1"/>
  <c r="H91" i="15"/>
  <c r="O39" i="19" s="1"/>
  <c r="S39" i="19" s="1"/>
  <c r="H92" i="15"/>
  <c r="H93" i="15"/>
  <c r="H94" i="15"/>
  <c r="O30" i="19" s="1"/>
  <c r="W30" i="19" s="1"/>
  <c r="H95" i="15"/>
  <c r="H96" i="15"/>
  <c r="L96" i="15" s="1"/>
  <c r="H97" i="15"/>
  <c r="L97" i="15" s="1"/>
  <c r="H98" i="15"/>
  <c r="L98" i="15" s="1"/>
  <c r="H99" i="15"/>
  <c r="L99" i="15" s="1"/>
  <c r="H100" i="15"/>
  <c r="O36" i="19" s="1"/>
  <c r="H101" i="15"/>
  <c r="O41" i="19" s="1"/>
  <c r="W41" i="19" s="1"/>
  <c r="H102" i="15"/>
  <c r="H104" i="15"/>
  <c r="H105" i="15"/>
  <c r="H106" i="15"/>
  <c r="H107" i="15"/>
  <c r="H108" i="15"/>
  <c r="H109" i="15"/>
  <c r="L109" i="15" s="1"/>
  <c r="H110" i="15"/>
  <c r="H111" i="15"/>
  <c r="L111" i="15" s="1"/>
  <c r="H112" i="15"/>
  <c r="H113" i="15"/>
  <c r="H114" i="15"/>
  <c r="H115" i="15"/>
  <c r="H116" i="15"/>
  <c r="L116" i="15" s="1"/>
  <c r="H117" i="15"/>
  <c r="H118" i="15"/>
  <c r="L118" i="15" s="1"/>
  <c r="H119" i="15"/>
  <c r="L119" i="15" s="1"/>
  <c r="H120" i="15"/>
  <c r="L120" i="15" s="1"/>
  <c r="H121" i="15"/>
  <c r="H122" i="15"/>
  <c r="H123" i="15"/>
  <c r="H124" i="15"/>
  <c r="H125" i="15"/>
  <c r="H126" i="15"/>
  <c r="H127" i="15"/>
  <c r="H128" i="15"/>
  <c r="L128" i="15" s="1"/>
  <c r="H130" i="15"/>
  <c r="H131" i="15"/>
  <c r="L131" i="15" s="1"/>
  <c r="H132" i="15"/>
  <c r="H133" i="15"/>
  <c r="H134" i="15"/>
  <c r="H135" i="15"/>
  <c r="H136" i="15"/>
  <c r="H137" i="15"/>
  <c r="L137" i="15" s="1"/>
  <c r="H138" i="15"/>
  <c r="L138" i="15" s="1"/>
  <c r="H139" i="15"/>
  <c r="L139" i="15" s="1"/>
  <c r="H140" i="15"/>
  <c r="H141" i="15"/>
  <c r="H142" i="15"/>
  <c r="L142" i="15" s="1"/>
  <c r="H143" i="15"/>
  <c r="H144" i="15"/>
  <c r="H145" i="15"/>
  <c r="H146" i="15"/>
  <c r="H147" i="15"/>
  <c r="H149" i="15"/>
  <c r="L149" i="15" s="1"/>
  <c r="H150" i="15"/>
  <c r="H151" i="15"/>
  <c r="H152" i="15"/>
  <c r="L152" i="15" s="1"/>
  <c r="H153" i="15"/>
  <c r="H154" i="15"/>
  <c r="H155" i="15"/>
  <c r="H156" i="15"/>
  <c r="H157" i="15"/>
  <c r="H158" i="15"/>
  <c r="H160" i="15"/>
  <c r="L160" i="15" s="1"/>
  <c r="H161" i="15"/>
  <c r="L161" i="15" s="1"/>
  <c r="H162" i="15"/>
  <c r="L162" i="15" s="1"/>
  <c r="H163" i="15"/>
  <c r="L163" i="15" s="1"/>
  <c r="H164" i="15"/>
  <c r="H165" i="15"/>
  <c r="H166" i="15"/>
  <c r="H167" i="15"/>
  <c r="H168" i="15"/>
  <c r="H169" i="15"/>
  <c r="L169" i="15" s="1"/>
  <c r="H170" i="15"/>
  <c r="H171" i="15"/>
  <c r="L171" i="15" s="1"/>
  <c r="H172" i="15"/>
  <c r="H174" i="15"/>
  <c r="H175" i="15"/>
  <c r="H176" i="15"/>
  <c r="H177" i="15"/>
  <c r="L177" i="15" s="1"/>
  <c r="H178" i="15"/>
  <c r="L178" i="15" s="1"/>
  <c r="H179" i="15"/>
  <c r="L179" i="15" s="1"/>
  <c r="H180" i="15"/>
  <c r="L180" i="15" s="1"/>
  <c r="H181" i="15"/>
  <c r="H182" i="15"/>
  <c r="H183" i="15"/>
  <c r="H184" i="15"/>
  <c r="H185" i="15"/>
  <c r="H186" i="15"/>
  <c r="L186" i="15" s="1"/>
  <c r="H188" i="15"/>
  <c r="H189" i="15"/>
  <c r="L189" i="15" s="1"/>
  <c r="H190" i="15"/>
  <c r="H191" i="15"/>
  <c r="H192" i="15"/>
  <c r="H193" i="15"/>
  <c r="H194" i="15"/>
  <c r="L194" i="15" s="1"/>
  <c r="H195" i="15"/>
  <c r="L195" i="15" s="1"/>
  <c r="H196" i="15"/>
  <c r="L196" i="15" s="1"/>
  <c r="H197" i="15"/>
  <c r="L197" i="15" s="1"/>
  <c r="H198" i="15"/>
  <c r="H199" i="15"/>
  <c r="H200" i="15"/>
  <c r="H201" i="15"/>
  <c r="H202" i="15"/>
  <c r="H203" i="15"/>
  <c r="L203" i="15" s="1"/>
  <c r="H205" i="15"/>
  <c r="H206" i="15"/>
  <c r="L206" i="15" s="1"/>
  <c r="H207" i="15"/>
  <c r="H208" i="15"/>
  <c r="H209" i="15"/>
  <c r="H210" i="15"/>
  <c r="O50" i="19" s="1"/>
  <c r="W50" i="19" s="1"/>
  <c r="H211" i="15"/>
  <c r="L211" i="15" s="1"/>
  <c r="H212" i="15"/>
  <c r="L212" i="15" s="1"/>
  <c r="H213" i="15"/>
  <c r="L213" i="15" s="1"/>
  <c r="H214" i="15"/>
  <c r="L214" i="15" s="1"/>
  <c r="H215" i="15"/>
  <c r="H217" i="15"/>
  <c r="O52" i="19" s="1"/>
  <c r="S52" i="19" s="1"/>
  <c r="H218" i="15"/>
  <c r="H219" i="15"/>
  <c r="O54" i="19" s="1"/>
  <c r="H220" i="15"/>
  <c r="O55" i="19" s="1"/>
  <c r="S55" i="19" s="1"/>
  <c r="H221" i="15"/>
  <c r="L221" i="15" s="1"/>
  <c r="H222" i="15"/>
  <c r="H223" i="15"/>
  <c r="L223" i="15" s="1"/>
  <c r="H224" i="15"/>
  <c r="O59" i="19" s="1"/>
  <c r="H225" i="15"/>
  <c r="O60" i="19" s="1"/>
  <c r="S60" i="19" s="1"/>
  <c r="H226" i="15"/>
  <c r="O61" i="19" s="1"/>
  <c r="H227" i="15"/>
  <c r="H228" i="15"/>
  <c r="L228" i="15" s="1"/>
  <c r="H230" i="15"/>
  <c r="L230" i="15" s="1"/>
  <c r="H231" i="15"/>
  <c r="L231" i="15" s="1"/>
  <c r="H232" i="15"/>
  <c r="L232" i="15" s="1"/>
  <c r="H233" i="15"/>
  <c r="H234" i="15"/>
  <c r="H235" i="15"/>
  <c r="O66" i="19" s="1"/>
  <c r="H236" i="15"/>
  <c r="H237" i="15"/>
  <c r="O68" i="19" s="1"/>
  <c r="S68" i="19" s="1"/>
  <c r="H238" i="15"/>
  <c r="L238" i="15" s="1"/>
  <c r="H239" i="15"/>
  <c r="H240" i="15"/>
  <c r="L240" i="15" s="1"/>
  <c r="H242" i="15"/>
  <c r="O73" i="19" s="1"/>
  <c r="W73" i="19" s="1"/>
  <c r="H243" i="15"/>
  <c r="O82" i="19" s="1"/>
  <c r="H244" i="15"/>
  <c r="O75" i="19" s="1"/>
  <c r="W75" i="19" s="1"/>
  <c r="H245" i="15"/>
  <c r="O84" i="19" s="1"/>
  <c r="W84" i="19" s="1"/>
  <c r="H246" i="15"/>
  <c r="L246" i="15" s="1"/>
  <c r="H247" i="15"/>
  <c r="L247" i="15" s="1"/>
  <c r="H248" i="15"/>
  <c r="L248" i="15" s="1"/>
  <c r="H249" i="15"/>
  <c r="L249" i="15" s="1"/>
  <c r="H250" i="15"/>
  <c r="H251" i="15"/>
  <c r="H252" i="15"/>
  <c r="H253" i="15"/>
  <c r="H254" i="15"/>
  <c r="H255" i="15"/>
  <c r="L255" i="15" s="1"/>
  <c r="H256" i="15"/>
  <c r="H257" i="15"/>
  <c r="L257" i="15" s="1"/>
  <c r="H258" i="15"/>
  <c r="H259" i="15"/>
  <c r="H260" i="15"/>
  <c r="H262" i="15"/>
  <c r="H263" i="15"/>
  <c r="L263" i="15" s="1"/>
  <c r="H264" i="15"/>
  <c r="L264" i="15" s="1"/>
  <c r="H265" i="15"/>
  <c r="L265" i="15" s="1"/>
  <c r="H266" i="15"/>
  <c r="L266" i="15" s="1"/>
  <c r="H267" i="15"/>
  <c r="H268" i="15"/>
  <c r="H269" i="15"/>
  <c r="H271" i="15"/>
  <c r="H272" i="15"/>
  <c r="H273" i="15"/>
  <c r="L273" i="15" s="1"/>
  <c r="H274" i="15"/>
  <c r="H275" i="15"/>
  <c r="L275" i="15" s="1"/>
  <c r="H276" i="15"/>
  <c r="H277" i="15"/>
  <c r="H278" i="15"/>
  <c r="H280" i="15"/>
  <c r="H281" i="15"/>
  <c r="L281" i="15" s="1"/>
  <c r="H282" i="15"/>
  <c r="L282" i="15" s="1"/>
  <c r="H283" i="15"/>
  <c r="L283" i="15" s="1"/>
  <c r="H284" i="15"/>
  <c r="L284" i="15" s="1"/>
  <c r="H285" i="15"/>
  <c r="H286" i="15"/>
  <c r="H287" i="15"/>
  <c r="H288" i="15"/>
  <c r="H289" i="15"/>
  <c r="H290" i="15"/>
  <c r="L290" i="15" s="1"/>
  <c r="H291" i="15"/>
  <c r="H292" i="15"/>
  <c r="L292" i="15" s="1"/>
  <c r="H293" i="15"/>
  <c r="H294" i="15"/>
  <c r="H295" i="15"/>
  <c r="H296" i="15"/>
  <c r="H297" i="15"/>
  <c r="L297" i="15" s="1"/>
  <c r="H298" i="15"/>
  <c r="L298" i="15" s="1"/>
  <c r="H299" i="15"/>
  <c r="L299" i="15" s="1"/>
  <c r="H300" i="15"/>
  <c r="L300" i="15" s="1"/>
  <c r="H301" i="15"/>
  <c r="H302" i="15"/>
  <c r="H303" i="15"/>
  <c r="H304" i="15"/>
  <c r="H305" i="15"/>
  <c r="H306" i="15"/>
  <c r="L306" i="15" s="1"/>
  <c r="H307" i="15"/>
  <c r="H308" i="15"/>
  <c r="L308" i="15" s="1"/>
  <c r="H309" i="15"/>
  <c r="H310" i="15"/>
  <c r="H311" i="15"/>
  <c r="H312" i="15"/>
  <c r="H313" i="15"/>
  <c r="L313" i="15" s="1"/>
  <c r="H314" i="15"/>
  <c r="L314" i="15" s="1"/>
  <c r="H315" i="15"/>
  <c r="L315" i="15" s="1"/>
  <c r="H316" i="15"/>
  <c r="L316" i="15" s="1"/>
  <c r="H317" i="15"/>
  <c r="H318" i="15"/>
  <c r="H319" i="15"/>
  <c r="H320" i="15"/>
  <c r="H321" i="15"/>
  <c r="H322" i="15"/>
  <c r="L322" i="15" s="1"/>
  <c r="H323" i="15"/>
  <c r="H324" i="15"/>
  <c r="L324" i="15" s="1"/>
  <c r="H325" i="15"/>
  <c r="H6" i="15"/>
  <c r="O7" i="19" s="1"/>
  <c r="S7" i="19" s="1"/>
  <c r="G7" i="15"/>
  <c r="G8" i="15"/>
  <c r="K8" i="15" s="1"/>
  <c r="G9" i="15"/>
  <c r="K9" i="15" s="1"/>
  <c r="G10" i="15"/>
  <c r="K10" i="15" s="1"/>
  <c r="G11" i="15"/>
  <c r="K11" i="15" s="1"/>
  <c r="G12" i="15"/>
  <c r="G13" i="15"/>
  <c r="G14" i="15"/>
  <c r="G15" i="15"/>
  <c r="G16" i="15"/>
  <c r="G17" i="15"/>
  <c r="K17" i="15" s="1"/>
  <c r="G18" i="15"/>
  <c r="G19" i="15"/>
  <c r="K19" i="15" s="1"/>
  <c r="G20" i="15"/>
  <c r="G21" i="15"/>
  <c r="G23" i="15"/>
  <c r="G24" i="15"/>
  <c r="G25" i="15"/>
  <c r="K25" i="15" s="1"/>
  <c r="G26" i="15"/>
  <c r="K26" i="15" s="1"/>
  <c r="G27" i="15"/>
  <c r="K27" i="15" s="1"/>
  <c r="G28" i="15"/>
  <c r="K28" i="15" s="1"/>
  <c r="G29" i="15"/>
  <c r="G30" i="15"/>
  <c r="G31" i="15"/>
  <c r="G32" i="15"/>
  <c r="G33" i="15"/>
  <c r="G34" i="15"/>
  <c r="K34" i="15" s="1"/>
  <c r="G35" i="15"/>
  <c r="G36" i="15"/>
  <c r="K36" i="15" s="1"/>
  <c r="G37" i="15"/>
  <c r="G38" i="15"/>
  <c r="G39" i="15"/>
  <c r="G40" i="15"/>
  <c r="G41" i="15"/>
  <c r="K41" i="15" s="1"/>
  <c r="G42" i="15"/>
  <c r="K42" i="15" s="1"/>
  <c r="G43" i="15"/>
  <c r="K43" i="15" s="1"/>
  <c r="G44" i="15"/>
  <c r="K44" i="15" s="1"/>
  <c r="G45" i="15"/>
  <c r="G46" i="15"/>
  <c r="G47" i="15"/>
  <c r="G48" i="15"/>
  <c r="G50" i="15"/>
  <c r="G51" i="15"/>
  <c r="K51" i="15" s="1"/>
  <c r="G52" i="15"/>
  <c r="G53" i="15"/>
  <c r="K53" i="15" s="1"/>
  <c r="G54" i="15"/>
  <c r="G55" i="15"/>
  <c r="G56" i="15"/>
  <c r="G57" i="15"/>
  <c r="G58" i="15"/>
  <c r="K58" i="15" s="1"/>
  <c r="G59" i="15"/>
  <c r="K59" i="15" s="1"/>
  <c r="G60" i="15"/>
  <c r="K60" i="15" s="1"/>
  <c r="G61" i="15"/>
  <c r="K61" i="15" s="1"/>
  <c r="G62" i="15"/>
  <c r="G63" i="15"/>
  <c r="G64" i="15"/>
  <c r="G65" i="15"/>
  <c r="G66" i="15"/>
  <c r="G67" i="15"/>
  <c r="K67" i="15" s="1"/>
  <c r="G68" i="15"/>
  <c r="G69" i="15"/>
  <c r="K69" i="15" s="1"/>
  <c r="G70" i="15"/>
  <c r="G71" i="15"/>
  <c r="G73" i="15"/>
  <c r="G74" i="15"/>
  <c r="G75" i="15"/>
  <c r="K75" i="15" s="1"/>
  <c r="G76" i="15"/>
  <c r="K76" i="15" s="1"/>
  <c r="G77" i="15"/>
  <c r="K77" i="15" s="1"/>
  <c r="G78" i="15"/>
  <c r="K78" i="15" s="1"/>
  <c r="G79" i="15"/>
  <c r="G80" i="15"/>
  <c r="G81" i="15"/>
  <c r="G82" i="15"/>
  <c r="G83" i="15"/>
  <c r="G84" i="15"/>
  <c r="K84" i="15" s="1"/>
  <c r="G85" i="15"/>
  <c r="G86" i="15"/>
  <c r="K86" i="15" s="1"/>
  <c r="G87" i="15"/>
  <c r="G88" i="15"/>
  <c r="G89" i="15"/>
  <c r="G90" i="15"/>
  <c r="G91" i="15"/>
  <c r="K91" i="15" s="1"/>
  <c r="G92" i="15"/>
  <c r="K92" i="15" s="1"/>
  <c r="G93" i="15"/>
  <c r="K93" i="15" s="1"/>
  <c r="G94" i="15"/>
  <c r="K94" i="15" s="1"/>
  <c r="G95" i="15"/>
  <c r="G96" i="15"/>
  <c r="G97" i="15"/>
  <c r="G98" i="15"/>
  <c r="G99" i="15"/>
  <c r="G100" i="15"/>
  <c r="K100" i="15" s="1"/>
  <c r="G101" i="15"/>
  <c r="G102" i="15"/>
  <c r="K102" i="15" s="1"/>
  <c r="G104" i="15"/>
  <c r="G105" i="15"/>
  <c r="G106" i="15"/>
  <c r="G107" i="15"/>
  <c r="G108" i="15"/>
  <c r="K108" i="15" s="1"/>
  <c r="G109" i="15"/>
  <c r="K109" i="15" s="1"/>
  <c r="G110" i="15"/>
  <c r="K110" i="15" s="1"/>
  <c r="G111" i="15"/>
  <c r="K111" i="15" s="1"/>
  <c r="G112" i="15"/>
  <c r="G113" i="15"/>
  <c r="G114" i="15"/>
  <c r="G115" i="15"/>
  <c r="G116" i="15"/>
  <c r="G117" i="15"/>
  <c r="K117" i="15" s="1"/>
  <c r="G118" i="15"/>
  <c r="G119" i="15"/>
  <c r="K119" i="15" s="1"/>
  <c r="G120" i="15"/>
  <c r="G121" i="15"/>
  <c r="G122" i="15"/>
  <c r="G123" i="15"/>
  <c r="G124" i="15"/>
  <c r="K124" i="15" s="1"/>
  <c r="G125" i="15"/>
  <c r="K125" i="15" s="1"/>
  <c r="G126" i="15"/>
  <c r="K126" i="15" s="1"/>
  <c r="G127" i="15"/>
  <c r="K127" i="15" s="1"/>
  <c r="G128" i="15"/>
  <c r="G130" i="15"/>
  <c r="G131" i="15"/>
  <c r="G132" i="15"/>
  <c r="G133" i="15"/>
  <c r="G134" i="15"/>
  <c r="K134" i="15" s="1"/>
  <c r="G135" i="15"/>
  <c r="G136" i="15"/>
  <c r="K136" i="15" s="1"/>
  <c r="G137" i="15"/>
  <c r="G138" i="15"/>
  <c r="G139" i="15"/>
  <c r="G140" i="15"/>
  <c r="G141" i="15"/>
  <c r="K141" i="15" s="1"/>
  <c r="G142" i="15"/>
  <c r="K142" i="15" s="1"/>
  <c r="G143" i="15"/>
  <c r="K143" i="15" s="1"/>
  <c r="G144" i="15"/>
  <c r="K144" i="15" s="1"/>
  <c r="G145" i="15"/>
  <c r="G146" i="15"/>
  <c r="G147" i="15"/>
  <c r="G149" i="15"/>
  <c r="G150" i="15"/>
  <c r="G151" i="15"/>
  <c r="K151" i="15" s="1"/>
  <c r="G152" i="15"/>
  <c r="G153" i="15"/>
  <c r="K153" i="15" s="1"/>
  <c r="G154" i="15"/>
  <c r="G155" i="15"/>
  <c r="G156" i="15"/>
  <c r="G157" i="15"/>
  <c r="G158" i="15"/>
  <c r="K158" i="15" s="1"/>
  <c r="G160" i="15"/>
  <c r="K160" i="15" s="1"/>
  <c r="G161" i="15"/>
  <c r="K161" i="15" s="1"/>
  <c r="G162" i="15"/>
  <c r="K162" i="15" s="1"/>
  <c r="G163" i="15"/>
  <c r="G164" i="15"/>
  <c r="G165" i="15"/>
  <c r="G166" i="15"/>
  <c r="G167" i="15"/>
  <c r="G168" i="15"/>
  <c r="K168" i="15" s="1"/>
  <c r="G169" i="15"/>
  <c r="G170" i="15"/>
  <c r="K170" i="15" s="1"/>
  <c r="G171" i="15"/>
  <c r="G172" i="15"/>
  <c r="G174" i="15"/>
  <c r="G175" i="15"/>
  <c r="G176" i="15"/>
  <c r="K176" i="15" s="1"/>
  <c r="G177" i="15"/>
  <c r="K177" i="15" s="1"/>
  <c r="G178" i="15"/>
  <c r="K178" i="15" s="1"/>
  <c r="G179" i="15"/>
  <c r="K179" i="15" s="1"/>
  <c r="G180" i="15"/>
  <c r="G181" i="15"/>
  <c r="G182" i="15"/>
  <c r="G183" i="15"/>
  <c r="G184" i="15"/>
  <c r="G185" i="15"/>
  <c r="K185" i="15" s="1"/>
  <c r="G186" i="15"/>
  <c r="G188" i="15"/>
  <c r="K188" i="15" s="1"/>
  <c r="G189" i="15"/>
  <c r="G190" i="15"/>
  <c r="G191" i="15"/>
  <c r="G192" i="15"/>
  <c r="G193" i="15"/>
  <c r="K193" i="15" s="1"/>
  <c r="G194" i="15"/>
  <c r="K194" i="15" s="1"/>
  <c r="G195" i="15"/>
  <c r="K195" i="15" s="1"/>
  <c r="G196" i="15"/>
  <c r="K196" i="15" s="1"/>
  <c r="G197" i="15"/>
  <c r="G198" i="15"/>
  <c r="G199" i="15"/>
  <c r="G200" i="15"/>
  <c r="G201" i="15"/>
  <c r="G202" i="15"/>
  <c r="K202" i="15" s="1"/>
  <c r="G203" i="15"/>
  <c r="G205" i="15"/>
  <c r="K205" i="15" s="1"/>
  <c r="G206" i="15"/>
  <c r="G207" i="15"/>
  <c r="G208" i="15"/>
  <c r="G209" i="15"/>
  <c r="G210" i="15"/>
  <c r="K210" i="15" s="1"/>
  <c r="G211" i="15"/>
  <c r="K211" i="15" s="1"/>
  <c r="G212" i="15"/>
  <c r="K212" i="15" s="1"/>
  <c r="G213" i="15"/>
  <c r="K213" i="15" s="1"/>
  <c r="G214" i="15"/>
  <c r="G215" i="15"/>
  <c r="G217" i="15"/>
  <c r="G218" i="15"/>
  <c r="G219" i="15"/>
  <c r="G220" i="15"/>
  <c r="K220" i="15" s="1"/>
  <c r="G221" i="15"/>
  <c r="G222" i="15"/>
  <c r="K222" i="15" s="1"/>
  <c r="G223" i="15"/>
  <c r="G224" i="15"/>
  <c r="G225" i="15"/>
  <c r="G226" i="15"/>
  <c r="G227" i="15"/>
  <c r="K227" i="15" s="1"/>
  <c r="G228" i="15"/>
  <c r="K228" i="15" s="1"/>
  <c r="G230" i="15"/>
  <c r="K230" i="15" s="1"/>
  <c r="G231" i="15"/>
  <c r="K231" i="15" s="1"/>
  <c r="G232" i="15"/>
  <c r="G233" i="15"/>
  <c r="G234" i="15"/>
  <c r="G235" i="15"/>
  <c r="G236" i="15"/>
  <c r="G237" i="15"/>
  <c r="K237" i="15" s="1"/>
  <c r="G238" i="15"/>
  <c r="G239" i="15"/>
  <c r="K239" i="15" s="1"/>
  <c r="G240" i="15"/>
  <c r="G242" i="15"/>
  <c r="G243" i="15"/>
  <c r="G244" i="15"/>
  <c r="G245" i="15"/>
  <c r="K245" i="15" s="1"/>
  <c r="G246" i="15"/>
  <c r="K246" i="15" s="1"/>
  <c r="G247" i="15"/>
  <c r="K247" i="15" s="1"/>
  <c r="G248" i="15"/>
  <c r="K248" i="15" s="1"/>
  <c r="G249" i="15"/>
  <c r="G250" i="15"/>
  <c r="G251" i="15"/>
  <c r="G252" i="15"/>
  <c r="G253" i="15"/>
  <c r="G254" i="15"/>
  <c r="K254" i="15" s="1"/>
  <c r="G255" i="15"/>
  <c r="G256" i="15"/>
  <c r="K256" i="15" s="1"/>
  <c r="G257" i="15"/>
  <c r="G258" i="15"/>
  <c r="G259" i="15"/>
  <c r="G260" i="15"/>
  <c r="G262" i="15"/>
  <c r="K262" i="15" s="1"/>
  <c r="G263" i="15"/>
  <c r="K263" i="15" s="1"/>
  <c r="G264" i="15"/>
  <c r="K264" i="15" s="1"/>
  <c r="G265" i="15"/>
  <c r="K265" i="15" s="1"/>
  <c r="G266" i="15"/>
  <c r="G267" i="15"/>
  <c r="G268" i="15"/>
  <c r="G269" i="15"/>
  <c r="G271" i="15"/>
  <c r="G272" i="15"/>
  <c r="K272" i="15" s="1"/>
  <c r="G273" i="15"/>
  <c r="G274" i="15"/>
  <c r="K274" i="15" s="1"/>
  <c r="G275" i="15"/>
  <c r="G276" i="15"/>
  <c r="G277" i="15"/>
  <c r="G278" i="15"/>
  <c r="G280" i="15"/>
  <c r="K280" i="15" s="1"/>
  <c r="G281" i="15"/>
  <c r="K281" i="15" s="1"/>
  <c r="G282" i="15"/>
  <c r="K282" i="15" s="1"/>
  <c r="G283" i="15"/>
  <c r="K283" i="15" s="1"/>
  <c r="G284" i="15"/>
  <c r="G285" i="15"/>
  <c r="G286" i="15"/>
  <c r="G287" i="15"/>
  <c r="G288" i="15"/>
  <c r="G289" i="15"/>
  <c r="K289" i="15" s="1"/>
  <c r="G290" i="15"/>
  <c r="G291" i="15"/>
  <c r="K291" i="15" s="1"/>
  <c r="G292" i="15"/>
  <c r="G293" i="15"/>
  <c r="G294" i="15"/>
  <c r="G295" i="15"/>
  <c r="G296" i="15"/>
  <c r="K296" i="15" s="1"/>
  <c r="G297" i="15"/>
  <c r="K297" i="15" s="1"/>
  <c r="G298" i="15"/>
  <c r="K298" i="15" s="1"/>
  <c r="G299" i="15"/>
  <c r="K299" i="15" s="1"/>
  <c r="G300" i="15"/>
  <c r="G301" i="15"/>
  <c r="G302" i="15"/>
  <c r="G303" i="15"/>
  <c r="G304" i="15"/>
  <c r="G305" i="15"/>
  <c r="K305" i="15" s="1"/>
  <c r="G306" i="15"/>
  <c r="G307" i="15"/>
  <c r="K307" i="15" s="1"/>
  <c r="G308" i="15"/>
  <c r="G309" i="15"/>
  <c r="G310" i="15"/>
  <c r="G311" i="15"/>
  <c r="G312" i="15"/>
  <c r="K312" i="15" s="1"/>
  <c r="G313" i="15"/>
  <c r="K313" i="15" s="1"/>
  <c r="G314" i="15"/>
  <c r="K314" i="15" s="1"/>
  <c r="G315" i="15"/>
  <c r="K315" i="15" s="1"/>
  <c r="G316" i="15"/>
  <c r="G317" i="15"/>
  <c r="G318" i="15"/>
  <c r="G319" i="15"/>
  <c r="G320" i="15"/>
  <c r="G321" i="15"/>
  <c r="K321" i="15" s="1"/>
  <c r="G322" i="15"/>
  <c r="G323" i="15"/>
  <c r="K323" i="15" s="1"/>
  <c r="G324" i="15"/>
  <c r="G325" i="15"/>
  <c r="G6" i="15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12" i="14"/>
  <c r="E46" i="7"/>
  <c r="D46" i="7"/>
  <c r="E45" i="7"/>
  <c r="D45" i="7"/>
  <c r="E44" i="7"/>
  <c r="D44" i="7"/>
  <c r="E43" i="7"/>
  <c r="D43" i="7"/>
  <c r="I41" i="7"/>
  <c r="H41" i="7"/>
  <c r="G41" i="7"/>
  <c r="F41" i="7"/>
  <c r="E41" i="7"/>
  <c r="I40" i="7"/>
  <c r="H40" i="7"/>
  <c r="G40" i="7"/>
  <c r="F40" i="7"/>
  <c r="E40" i="7"/>
  <c r="I39" i="7"/>
  <c r="H39" i="7"/>
  <c r="G39" i="7"/>
  <c r="F39" i="7"/>
  <c r="E39" i="7"/>
  <c r="I38" i="7"/>
  <c r="H38" i="7"/>
  <c r="G38" i="7"/>
  <c r="F38" i="7"/>
  <c r="E38" i="7"/>
  <c r="E36" i="7"/>
  <c r="D36" i="7"/>
  <c r="E35" i="7"/>
  <c r="D35" i="7"/>
  <c r="E34" i="7"/>
  <c r="D34" i="7"/>
  <c r="E33" i="7"/>
  <c r="D33" i="7"/>
  <c r="I31" i="7"/>
  <c r="H31" i="7"/>
  <c r="G31" i="7"/>
  <c r="F31" i="7"/>
  <c r="E31" i="7"/>
  <c r="D31" i="7"/>
  <c r="I30" i="7"/>
  <c r="H30" i="7"/>
  <c r="G30" i="7"/>
  <c r="F30" i="7"/>
  <c r="E30" i="7"/>
  <c r="D30" i="7"/>
  <c r="I29" i="7"/>
  <c r="H29" i="7"/>
  <c r="G29" i="7"/>
  <c r="F29" i="7"/>
  <c r="E29" i="7"/>
  <c r="D29" i="7"/>
  <c r="I28" i="7"/>
  <c r="H28" i="7"/>
  <c r="G28" i="7"/>
  <c r="F28" i="7"/>
  <c r="E28" i="7"/>
  <c r="D28" i="7"/>
  <c r="E23" i="7"/>
  <c r="D23" i="7"/>
  <c r="E22" i="7"/>
  <c r="D22" i="7"/>
  <c r="E21" i="7"/>
  <c r="D21" i="7"/>
  <c r="E20" i="7"/>
  <c r="D20" i="7"/>
  <c r="I18" i="7"/>
  <c r="H18" i="7"/>
  <c r="G18" i="7"/>
  <c r="F18" i="7"/>
  <c r="E18" i="7"/>
  <c r="I17" i="7"/>
  <c r="H17" i="7"/>
  <c r="G17" i="7"/>
  <c r="F17" i="7"/>
  <c r="E17" i="7"/>
  <c r="I16" i="7"/>
  <c r="H16" i="7"/>
  <c r="G16" i="7"/>
  <c r="F16" i="7"/>
  <c r="E16" i="7"/>
  <c r="I15" i="7"/>
  <c r="H15" i="7"/>
  <c r="G15" i="7"/>
  <c r="F15" i="7"/>
  <c r="E15" i="7"/>
  <c r="E13" i="7"/>
  <c r="D13" i="7"/>
  <c r="E12" i="7"/>
  <c r="D12" i="7"/>
  <c r="E11" i="7"/>
  <c r="D11" i="7"/>
  <c r="E10" i="7"/>
  <c r="D10" i="7"/>
  <c r="I8" i="7"/>
  <c r="H8" i="7"/>
  <c r="G8" i="7"/>
  <c r="F8" i="7"/>
  <c r="E8" i="7"/>
  <c r="D8" i="7"/>
  <c r="I7" i="7"/>
  <c r="H7" i="7"/>
  <c r="G7" i="7"/>
  <c r="F7" i="7"/>
  <c r="E7" i="7"/>
  <c r="D7" i="7"/>
  <c r="I6" i="7"/>
  <c r="H6" i="7"/>
  <c r="G6" i="7"/>
  <c r="F6" i="7"/>
  <c r="E6" i="7"/>
  <c r="D6" i="7"/>
  <c r="I5" i="7"/>
  <c r="H5" i="7"/>
  <c r="G5" i="7"/>
  <c r="F5" i="7"/>
  <c r="E5" i="7"/>
  <c r="D5" i="7"/>
  <c r="Q100" i="19" l="1"/>
  <c r="T100" i="19" s="1"/>
  <c r="Q108" i="19"/>
  <c r="T108" i="19" s="1"/>
  <c r="Q63" i="19"/>
  <c r="T63" i="19" s="1"/>
  <c r="Q11" i="19"/>
  <c r="T11" i="19" s="1"/>
  <c r="Q9" i="19"/>
  <c r="T9" i="19" s="1"/>
  <c r="P24" i="19"/>
  <c r="U24" i="19" s="1"/>
  <c r="Q21" i="19"/>
  <c r="T21" i="19" s="1"/>
  <c r="Q90" i="19"/>
  <c r="T90" i="19" s="1"/>
  <c r="Q79" i="19"/>
  <c r="T79" i="19" s="1"/>
  <c r="P92" i="19"/>
  <c r="U92" i="19" s="1"/>
  <c r="P12" i="19"/>
  <c r="U12" i="19" s="1"/>
  <c r="Q86" i="19"/>
  <c r="T86" i="19" s="1"/>
  <c r="M25" i="15"/>
  <c r="P19" i="19"/>
  <c r="U19" i="19" s="1"/>
  <c r="P9" i="19"/>
  <c r="U9" i="19" s="1"/>
  <c r="P85" i="19"/>
  <c r="U85" i="19" s="1"/>
  <c r="P86" i="19"/>
  <c r="U86" i="19" s="1"/>
  <c r="M26" i="15"/>
  <c r="P38" i="19"/>
  <c r="U38" i="19" s="1"/>
  <c r="P65" i="19"/>
  <c r="U65" i="19" s="1"/>
  <c r="Q76" i="19"/>
  <c r="T76" i="19" s="1"/>
  <c r="Q107" i="19"/>
  <c r="T107" i="19" s="1"/>
  <c r="Q85" i="19"/>
  <c r="T85" i="19" s="1"/>
  <c r="Q94" i="19"/>
  <c r="T94" i="19" s="1"/>
  <c r="P76" i="19"/>
  <c r="U76" i="19" s="1"/>
  <c r="P107" i="19"/>
  <c r="U107" i="19" s="1"/>
  <c r="Q96" i="19"/>
  <c r="T96" i="19" s="1"/>
  <c r="P94" i="19"/>
  <c r="U94" i="19" s="1"/>
  <c r="P82" i="19"/>
  <c r="U82" i="19" s="1"/>
  <c r="P96" i="19"/>
  <c r="U96" i="19" s="1"/>
  <c r="Q37" i="19"/>
  <c r="T37" i="19" s="1"/>
  <c r="P64" i="19"/>
  <c r="U64" i="19" s="1"/>
  <c r="Q92" i="19"/>
  <c r="T92" i="19" s="1"/>
  <c r="W61" i="19"/>
  <c r="S61" i="19"/>
  <c r="W24" i="19"/>
  <c r="S24" i="19"/>
  <c r="S66" i="19"/>
  <c r="W66" i="19"/>
  <c r="T73" i="19"/>
  <c r="U7" i="19"/>
  <c r="T7" i="19"/>
  <c r="T48" i="19"/>
  <c r="T98" i="19"/>
  <c r="U48" i="19"/>
  <c r="G132" i="19" a="1"/>
  <c r="G132" i="19" s="1"/>
  <c r="U98" i="19"/>
  <c r="Q74" i="19"/>
  <c r="T74" i="19" s="1"/>
  <c r="S89" i="19"/>
  <c r="Q104" i="19"/>
  <c r="S11" i="19"/>
  <c r="O45" i="19"/>
  <c r="W45" i="19" s="1"/>
  <c r="S43" i="19"/>
  <c r="S37" i="19"/>
  <c r="S59" i="19"/>
  <c r="S50" i="19"/>
  <c r="S92" i="19"/>
  <c r="S84" i="19"/>
  <c r="O74" i="19"/>
  <c r="S74" i="19" s="1"/>
  <c r="P104" i="19"/>
  <c r="Q12" i="19"/>
  <c r="T12" i="19" s="1"/>
  <c r="S36" i="19"/>
  <c r="O71" i="19"/>
  <c r="S71" i="19" s="1"/>
  <c r="Q64" i="19"/>
  <c r="T64" i="19" s="1"/>
  <c r="O94" i="19"/>
  <c r="W94" i="19" s="1"/>
  <c r="P90" i="19"/>
  <c r="U90" i="19" s="1"/>
  <c r="Q81" i="19"/>
  <c r="T81" i="19" s="1"/>
  <c r="O104" i="19"/>
  <c r="O81" i="19"/>
  <c r="W81" i="19" s="1"/>
  <c r="S75" i="19"/>
  <c r="O33" i="19"/>
  <c r="W33" i="19" s="1"/>
  <c r="E129" i="19" s="1"/>
  <c r="H129" i="19" s="1"/>
  <c r="P89" i="19"/>
  <c r="U89" i="19" s="1"/>
  <c r="S21" i="19"/>
  <c r="S38" i="19"/>
  <c r="W55" i="19"/>
  <c r="S108" i="19"/>
  <c r="P23" i="19"/>
  <c r="U23" i="19" s="1"/>
  <c r="O11" i="19"/>
  <c r="W11" i="19" s="1"/>
  <c r="S45" i="19"/>
  <c r="Q32" i="19"/>
  <c r="T32" i="19" s="1"/>
  <c r="P66" i="19"/>
  <c r="U66" i="19" s="1"/>
  <c r="O92" i="19"/>
  <c r="W91" i="19"/>
  <c r="Q88" i="19"/>
  <c r="T88" i="19" s="1"/>
  <c r="P79" i="19"/>
  <c r="U79" i="19" s="1"/>
  <c r="P102" i="19"/>
  <c r="U102" i="19" s="1"/>
  <c r="Q99" i="19"/>
  <c r="T99" i="19" s="1"/>
  <c r="S106" i="19"/>
  <c r="P8" i="19"/>
  <c r="U8" i="19" s="1"/>
  <c r="Q60" i="19"/>
  <c r="T60" i="19" s="1"/>
  <c r="P15" i="19"/>
  <c r="U15" i="19" s="1"/>
  <c r="O100" i="19"/>
  <c r="Q28" i="19"/>
  <c r="T28" i="19" s="1"/>
  <c r="Q54" i="19"/>
  <c r="T54" i="19" s="1"/>
  <c r="P11" i="19"/>
  <c r="U11" i="19" s="1"/>
  <c r="P14" i="19"/>
  <c r="U14" i="19" s="1"/>
  <c r="S9" i="19"/>
  <c r="P32" i="19"/>
  <c r="U32" i="19" s="1"/>
  <c r="S30" i="19"/>
  <c r="W59" i="19"/>
  <c r="Q58" i="19"/>
  <c r="T58" i="19" s="1"/>
  <c r="Q95" i="19"/>
  <c r="T95" i="19" s="1"/>
  <c r="W92" i="19"/>
  <c r="Q83" i="19"/>
  <c r="T83" i="19" s="1"/>
  <c r="O79" i="19"/>
  <c r="S79" i="19" s="1"/>
  <c r="P106" i="19"/>
  <c r="U106" i="19" s="1"/>
  <c r="W87" i="19"/>
  <c r="Q8" i="19"/>
  <c r="T8" i="19" s="1"/>
  <c r="Q29" i="19"/>
  <c r="T29" i="19" s="1"/>
  <c r="S62" i="19"/>
  <c r="P73" i="19"/>
  <c r="S27" i="19"/>
  <c r="Q89" i="19"/>
  <c r="T89" i="19" s="1"/>
  <c r="O15" i="19"/>
  <c r="S15" i="19" s="1"/>
  <c r="O93" i="19"/>
  <c r="S93" i="19" s="1"/>
  <c r="O14" i="19"/>
  <c r="W14" i="19" s="1"/>
  <c r="S13" i="19"/>
  <c r="O69" i="19"/>
  <c r="W69" i="19" s="1"/>
  <c r="O62" i="19"/>
  <c r="S56" i="19"/>
  <c r="S48" i="19"/>
  <c r="P95" i="19"/>
  <c r="U95" i="19" s="1"/>
  <c r="S90" i="19"/>
  <c r="O88" i="19"/>
  <c r="S88" i="19" s="1"/>
  <c r="P83" i="19"/>
  <c r="U83" i="19" s="1"/>
  <c r="S73" i="19"/>
  <c r="P29" i="19"/>
  <c r="U29" i="19" s="1"/>
  <c r="S83" i="19"/>
  <c r="S25" i="19"/>
  <c r="O8" i="19"/>
  <c r="W8" i="19" s="1"/>
  <c r="Q55" i="19"/>
  <c r="T55" i="19" s="1"/>
  <c r="P59" i="19"/>
  <c r="U59" i="19" s="1"/>
  <c r="S12" i="19"/>
  <c r="W35" i="19"/>
  <c r="Q31" i="19"/>
  <c r="T31" i="19" s="1"/>
  <c r="Q27" i="19"/>
  <c r="S67" i="19"/>
  <c r="S64" i="19"/>
  <c r="W62" i="19"/>
  <c r="O58" i="19"/>
  <c r="W58" i="19" s="1"/>
  <c r="Q49" i="19"/>
  <c r="T49" i="19" s="1"/>
  <c r="Q87" i="19"/>
  <c r="T87" i="19" s="1"/>
  <c r="O83" i="19"/>
  <c r="W83" i="19" s="1"/>
  <c r="S81" i="19"/>
  <c r="O56" i="19"/>
  <c r="W56" i="19" s="1"/>
  <c r="P100" i="19"/>
  <c r="U100" i="19" s="1"/>
  <c r="S46" i="19"/>
  <c r="S87" i="19"/>
  <c r="S101" i="19"/>
  <c r="S65" i="19"/>
  <c r="Q102" i="19"/>
  <c r="T102" i="19" s="1"/>
  <c r="O22" i="19"/>
  <c r="S22" i="19" s="1"/>
  <c r="P46" i="19"/>
  <c r="U46" i="19" s="1"/>
  <c r="P27" i="19"/>
  <c r="P53" i="19"/>
  <c r="U53" i="19" s="1"/>
  <c r="P49" i="19"/>
  <c r="U49" i="19" s="1"/>
  <c r="P87" i="19"/>
  <c r="U87" i="19" s="1"/>
  <c r="Q82" i="19"/>
  <c r="T82" i="19" s="1"/>
  <c r="O98" i="19"/>
  <c r="W98" i="19" s="1"/>
  <c r="S107" i="19"/>
  <c r="W18" i="19"/>
  <c r="W82" i="19"/>
  <c r="S8" i="19"/>
  <c r="V51" i="19"/>
  <c r="W96" i="19"/>
  <c r="Z55" i="19"/>
  <c r="S58" i="19"/>
  <c r="Z18" i="19"/>
  <c r="V14" i="19"/>
  <c r="S33" i="19"/>
  <c r="W68" i="19"/>
  <c r="Z68" i="19"/>
  <c r="S57" i="19"/>
  <c r="Z92" i="19"/>
  <c r="R87" i="19"/>
  <c r="V18" i="19"/>
  <c r="S104" i="19"/>
  <c r="Z20" i="19"/>
  <c r="W10" i="19"/>
  <c r="Z42" i="19"/>
  <c r="W95" i="19"/>
  <c r="S82" i="19"/>
  <c r="Z22" i="19"/>
  <c r="S16" i="19"/>
  <c r="Y13" i="19"/>
  <c r="Z13" i="19"/>
  <c r="S29" i="19"/>
  <c r="Z71" i="19"/>
  <c r="W65" i="19"/>
  <c r="S78" i="19"/>
  <c r="V73" i="19"/>
  <c r="V56" i="19"/>
  <c r="Y83" i="19"/>
  <c r="Z83" i="19"/>
  <c r="V25" i="19"/>
  <c r="Y14" i="19"/>
  <c r="V43" i="19"/>
  <c r="S86" i="19"/>
  <c r="S32" i="19"/>
  <c r="V83" i="19"/>
  <c r="W49" i="19"/>
  <c r="G118" i="19" s="1"/>
  <c r="S20" i="19"/>
  <c r="R34" i="19"/>
  <c r="W70" i="19"/>
  <c r="R92" i="19"/>
  <c r="V76" i="19"/>
  <c r="V33" i="19"/>
  <c r="Z80" i="19"/>
  <c r="V69" i="19"/>
  <c r="V67" i="19"/>
  <c r="Z57" i="19"/>
  <c r="W93" i="19"/>
  <c r="Z93" i="19"/>
  <c r="Z87" i="19"/>
  <c r="Z98" i="19"/>
  <c r="R105" i="19"/>
  <c r="R22" i="19"/>
  <c r="V11" i="19"/>
  <c r="W36" i="19"/>
  <c r="W34" i="19"/>
  <c r="S28" i="19"/>
  <c r="Y66" i="19"/>
  <c r="Z66" i="19"/>
  <c r="Z59" i="19"/>
  <c r="R59" i="19"/>
  <c r="R55" i="19"/>
  <c r="R54" i="19"/>
  <c r="V94" i="19"/>
  <c r="V92" i="19"/>
  <c r="Z82" i="19"/>
  <c r="V75" i="19"/>
  <c r="W101" i="19"/>
  <c r="Z99" i="19"/>
  <c r="W99" i="19"/>
  <c r="W31" i="19"/>
  <c r="Z31" i="19"/>
  <c r="Y21" i="19"/>
  <c r="Z21" i="19"/>
  <c r="W80" i="19"/>
  <c r="V19" i="19"/>
  <c r="W44" i="19"/>
  <c r="Y51" i="19"/>
  <c r="V21" i="19"/>
  <c r="W71" i="19"/>
  <c r="V88" i="19"/>
  <c r="W28" i="19"/>
  <c r="S53" i="19"/>
  <c r="S44" i="19"/>
  <c r="Z33" i="19"/>
  <c r="V50" i="19"/>
  <c r="V80" i="19"/>
  <c r="R98" i="19"/>
  <c r="R104" i="19"/>
  <c r="Z23" i="19"/>
  <c r="W23" i="19"/>
  <c r="R18" i="19"/>
  <c r="S17" i="19"/>
  <c r="Z8" i="19"/>
  <c r="Z46" i="19"/>
  <c r="Y37" i="19"/>
  <c r="Z37" i="19"/>
  <c r="R31" i="19"/>
  <c r="V64" i="19"/>
  <c r="Z96" i="19"/>
  <c r="W90" i="19"/>
  <c r="Y108" i="19"/>
  <c r="Z108" i="19"/>
  <c r="W20" i="19"/>
  <c r="W57" i="19"/>
  <c r="V63" i="19"/>
  <c r="Y58" i="19"/>
  <c r="Z58" i="19"/>
  <c r="Y45" i="19"/>
  <c r="Z45" i="19"/>
  <c r="W54" i="19"/>
  <c r="W52" i="19"/>
  <c r="Z52" i="19"/>
  <c r="R63" i="19"/>
  <c r="W79" i="19"/>
  <c r="R108" i="19"/>
  <c r="V48" i="19"/>
  <c r="Y92" i="19"/>
  <c r="V38" i="19"/>
  <c r="Y75" i="19"/>
  <c r="Z75" i="19"/>
  <c r="R17" i="19"/>
  <c r="R46" i="19"/>
  <c r="R40" i="19"/>
  <c r="Z28" i="19"/>
  <c r="Z60" i="19"/>
  <c r="W60" i="19"/>
  <c r="Z54" i="19"/>
  <c r="S49" i="19"/>
  <c r="Y91" i="19"/>
  <c r="Z91" i="19"/>
  <c r="Z86" i="19"/>
  <c r="Z84" i="19"/>
  <c r="R84" i="19"/>
  <c r="R80" i="19"/>
  <c r="V98" i="19"/>
  <c r="W105" i="19"/>
  <c r="Z85" i="19"/>
  <c r="W85" i="19"/>
  <c r="W104" i="19"/>
  <c r="W42" i="19"/>
  <c r="V30" i="19"/>
  <c r="R102" i="19"/>
  <c r="V81" i="19"/>
  <c r="Y76" i="19"/>
  <c r="Z15" i="19"/>
  <c r="W15" i="19"/>
  <c r="R10" i="19"/>
  <c r="V45" i="19"/>
  <c r="Y29" i="19"/>
  <c r="Z29" i="19"/>
  <c r="W77" i="19"/>
  <c r="Z77" i="19"/>
  <c r="V27" i="19"/>
  <c r="Y67" i="19"/>
  <c r="Z39" i="19"/>
  <c r="W39" i="19"/>
  <c r="Y50" i="19"/>
  <c r="Z50" i="19"/>
  <c r="R88" i="19"/>
  <c r="W102" i="19"/>
  <c r="W74" i="19"/>
  <c r="W12" i="19"/>
  <c r="W63" i="19"/>
  <c r="V22" i="19"/>
  <c r="W7" i="19"/>
  <c r="Z7" i="19"/>
  <c r="R44" i="19"/>
  <c r="R42" i="19"/>
  <c r="S41" i="19"/>
  <c r="V41" i="19"/>
  <c r="V89" i="19"/>
  <c r="R82" i="19"/>
  <c r="Z102" i="19"/>
  <c r="W107" i="19"/>
  <c r="V9" i="19"/>
  <c r="V101" i="19"/>
  <c r="V20" i="19"/>
  <c r="V12" i="19"/>
  <c r="V44" i="19"/>
  <c r="V36" i="19"/>
  <c r="V28" i="19"/>
  <c r="V65" i="19"/>
  <c r="V57" i="19"/>
  <c r="V49" i="19"/>
  <c r="V90" i="19"/>
  <c r="V82" i="19"/>
  <c r="V74" i="19"/>
  <c r="V107" i="19"/>
  <c r="V17" i="19"/>
  <c r="V62" i="19"/>
  <c r="V104" i="19"/>
  <c r="S70" i="19"/>
  <c r="S54" i="19"/>
  <c r="S95" i="19"/>
  <c r="V87" i="19"/>
  <c r="R25" i="19"/>
  <c r="R33" i="19"/>
  <c r="R79" i="19"/>
  <c r="Q86" i="16"/>
  <c r="U86" i="16" s="1"/>
  <c r="O182" i="16"/>
  <c r="S182" i="16" s="1"/>
  <c r="O181" i="16"/>
  <c r="S181" i="16" s="1"/>
  <c r="O180" i="16"/>
  <c r="S180" i="16" s="1"/>
  <c r="O31" i="16"/>
  <c r="S31" i="16" s="1"/>
  <c r="P190" i="16"/>
  <c r="T190" i="16" s="1"/>
  <c r="N153" i="15"/>
  <c r="P183" i="16"/>
  <c r="T183" i="16" s="1"/>
  <c r="P166" i="16"/>
  <c r="T166" i="16" s="1"/>
  <c r="P184" i="16"/>
  <c r="T184" i="16" s="1"/>
  <c r="R269" i="16"/>
  <c r="V269" i="16" s="1"/>
  <c r="R114" i="16"/>
  <c r="V114" i="16" s="1"/>
  <c r="O13" i="16"/>
  <c r="S13" i="16" s="1"/>
  <c r="Q267" i="16"/>
  <c r="U267" i="16" s="1"/>
  <c r="Q82" i="16"/>
  <c r="U82" i="16" s="1"/>
  <c r="R109" i="16"/>
  <c r="V109" i="16" s="1"/>
  <c r="R98" i="16"/>
  <c r="V98" i="16" s="1"/>
  <c r="O134" i="16"/>
  <c r="S134" i="16" s="1"/>
  <c r="R57" i="16"/>
  <c r="V57" i="16" s="1"/>
  <c r="O100" i="16"/>
  <c r="S100" i="16" s="1"/>
  <c r="Q55" i="16"/>
  <c r="U55" i="16" s="1"/>
  <c r="R50" i="16"/>
  <c r="V50" i="16" s="1"/>
  <c r="O71" i="16"/>
  <c r="S71" i="16" s="1"/>
  <c r="Q266" i="16"/>
  <c r="U266" i="16" s="1"/>
  <c r="R272" i="16"/>
  <c r="V272" i="16" s="1"/>
  <c r="R23" i="16"/>
  <c r="V23" i="16" s="1"/>
  <c r="Q71" i="16"/>
  <c r="U71" i="16" s="1"/>
  <c r="Q57" i="16"/>
  <c r="U57" i="16" s="1"/>
  <c r="Q56" i="16"/>
  <c r="U56" i="16" s="1"/>
  <c r="N73" i="15"/>
  <c r="O7" i="16"/>
  <c r="S7" i="16" s="1"/>
  <c r="Q130" i="16"/>
  <c r="U130" i="16" s="1"/>
  <c r="R226" i="16"/>
  <c r="V226" i="16" s="1"/>
  <c r="O6" i="16"/>
  <c r="S6" i="16" s="1"/>
  <c r="Q114" i="16"/>
  <c r="U114" i="16" s="1"/>
  <c r="R210" i="16"/>
  <c r="V210" i="16" s="1"/>
  <c r="Q258" i="16"/>
  <c r="U258" i="16" s="1"/>
  <c r="Q166" i="16"/>
  <c r="U166" i="16" s="1"/>
  <c r="P294" i="16"/>
  <c r="T294" i="16" s="1"/>
  <c r="Q98" i="16"/>
  <c r="U98" i="16" s="1"/>
  <c r="R194" i="16"/>
  <c r="V194" i="16" s="1"/>
  <c r="O135" i="16"/>
  <c r="S135" i="16" s="1"/>
  <c r="R73" i="16"/>
  <c r="V73" i="16" s="1"/>
  <c r="P149" i="16"/>
  <c r="T149" i="16" s="1"/>
  <c r="Q194" i="16"/>
  <c r="U194" i="16" s="1"/>
  <c r="R242" i="16"/>
  <c r="V242" i="16" s="1"/>
  <c r="O263" i="16"/>
  <c r="S263" i="16" s="1"/>
  <c r="P278" i="16"/>
  <c r="T278" i="16" s="1"/>
  <c r="Q88" i="16"/>
  <c r="U88" i="16" s="1"/>
  <c r="R178" i="16"/>
  <c r="V178" i="16" s="1"/>
  <c r="Q73" i="16"/>
  <c r="U73" i="16" s="1"/>
  <c r="R88" i="16"/>
  <c r="V88" i="16" s="1"/>
  <c r="P150" i="16"/>
  <c r="T150" i="16" s="1"/>
  <c r="O101" i="16"/>
  <c r="S101" i="16" s="1"/>
  <c r="O52" i="16"/>
  <c r="S52" i="16" s="1"/>
  <c r="R258" i="16"/>
  <c r="V258" i="16" s="1"/>
  <c r="O228" i="16"/>
  <c r="S228" i="16" s="1"/>
  <c r="P277" i="16"/>
  <c r="T277" i="16" s="1"/>
  <c r="Q87" i="16"/>
  <c r="U87" i="16" s="1"/>
  <c r="R146" i="16"/>
  <c r="V146" i="16" s="1"/>
  <c r="O159" i="16"/>
  <c r="S159" i="16" s="1"/>
  <c r="O141" i="16"/>
  <c r="S141" i="16" s="1"/>
  <c r="Q191" i="16"/>
  <c r="U191" i="16" s="1"/>
  <c r="O269" i="16"/>
  <c r="S269" i="16" s="1"/>
  <c r="P142" i="16"/>
  <c r="T142" i="16" s="1"/>
  <c r="Q143" i="16"/>
  <c r="U143" i="16" s="1"/>
  <c r="R41" i="16"/>
  <c r="V41" i="16" s="1"/>
  <c r="O262" i="16"/>
  <c r="S262" i="16" s="1"/>
  <c r="P272" i="16"/>
  <c r="T272" i="16" s="1"/>
  <c r="P112" i="16"/>
  <c r="T112" i="16" s="1"/>
  <c r="R176" i="16"/>
  <c r="V176" i="16" s="1"/>
  <c r="R40" i="16"/>
  <c r="V40" i="16" s="1"/>
  <c r="O229" i="16"/>
  <c r="S229" i="16" s="1"/>
  <c r="O95" i="16"/>
  <c r="S95" i="16" s="1"/>
  <c r="P270" i="16"/>
  <c r="T270" i="16" s="1"/>
  <c r="P56" i="16"/>
  <c r="T56" i="16" s="1"/>
  <c r="Q127" i="16"/>
  <c r="U127" i="16" s="1"/>
  <c r="Q41" i="16"/>
  <c r="U41" i="16" s="1"/>
  <c r="R162" i="16"/>
  <c r="V162" i="16" s="1"/>
  <c r="R39" i="16"/>
  <c r="V39" i="16" s="1"/>
  <c r="P208" i="16"/>
  <c r="T208" i="16" s="1"/>
  <c r="P192" i="16"/>
  <c r="T192" i="16" s="1"/>
  <c r="R112" i="16"/>
  <c r="V112" i="16" s="1"/>
  <c r="O15" i="16"/>
  <c r="S15" i="16" s="1"/>
  <c r="O143" i="16"/>
  <c r="S143" i="16" s="1"/>
  <c r="O271" i="16"/>
  <c r="S271" i="16" s="1"/>
  <c r="R189" i="16"/>
  <c r="V189" i="16" s="1"/>
  <c r="O93" i="16"/>
  <c r="S93" i="16" s="1"/>
  <c r="P248" i="16"/>
  <c r="T248" i="16" s="1"/>
  <c r="Q118" i="16"/>
  <c r="U118" i="16" s="1"/>
  <c r="Q31" i="16"/>
  <c r="U31" i="16" s="1"/>
  <c r="R25" i="16"/>
  <c r="V25" i="16" s="1"/>
  <c r="O223" i="16"/>
  <c r="S223" i="16" s="1"/>
  <c r="P232" i="16"/>
  <c r="T232" i="16" s="1"/>
  <c r="P26" i="16"/>
  <c r="T26" i="16" s="1"/>
  <c r="Q25" i="16"/>
  <c r="U25" i="16" s="1"/>
  <c r="R144" i="16"/>
  <c r="V144" i="16" s="1"/>
  <c r="O221" i="16"/>
  <c r="S221" i="16" s="1"/>
  <c r="O55" i="16"/>
  <c r="S55" i="16" s="1"/>
  <c r="P231" i="16"/>
  <c r="T231" i="16" s="1"/>
  <c r="P17" i="16"/>
  <c r="T17" i="16" s="1"/>
  <c r="Q113" i="16"/>
  <c r="U113" i="16" s="1"/>
  <c r="Q17" i="16"/>
  <c r="U17" i="16" s="1"/>
  <c r="R141" i="16"/>
  <c r="V141" i="16" s="1"/>
  <c r="R8" i="16"/>
  <c r="V8" i="16" s="1"/>
  <c r="O199" i="16"/>
  <c r="S199" i="16" s="1"/>
  <c r="O54" i="16"/>
  <c r="S54" i="16" s="1"/>
  <c r="P230" i="16"/>
  <c r="T230" i="16" s="1"/>
  <c r="P16" i="16"/>
  <c r="T16" i="16" s="1"/>
  <c r="Q111" i="16"/>
  <c r="U111" i="16" s="1"/>
  <c r="R290" i="16"/>
  <c r="V290" i="16" s="1"/>
  <c r="R130" i="16"/>
  <c r="V130" i="16" s="1"/>
  <c r="R7" i="16"/>
  <c r="V7" i="16" s="1"/>
  <c r="Q255" i="16"/>
  <c r="U255" i="16" s="1"/>
  <c r="Q193" i="16"/>
  <c r="U193" i="16" s="1"/>
  <c r="P30" i="16"/>
  <c r="T30" i="16" s="1"/>
  <c r="M127" i="15"/>
  <c r="O183" i="16"/>
  <c r="S183" i="16" s="1"/>
  <c r="O53" i="16"/>
  <c r="S53" i="16" s="1"/>
  <c r="P229" i="16"/>
  <c r="T229" i="16" s="1"/>
  <c r="Q295" i="16"/>
  <c r="U295" i="16" s="1"/>
  <c r="Q103" i="16"/>
  <c r="U103" i="16" s="1"/>
  <c r="R274" i="16"/>
  <c r="V274" i="16" s="1"/>
  <c r="R121" i="16"/>
  <c r="V121" i="16" s="1"/>
  <c r="K236" i="15"/>
  <c r="O220" i="16"/>
  <c r="S220" i="16" s="1"/>
  <c r="K83" i="15"/>
  <c r="O76" i="16"/>
  <c r="S76" i="16" s="1"/>
  <c r="L320" i="15"/>
  <c r="P300" i="16"/>
  <c r="T300" i="16" s="1"/>
  <c r="M116" i="15"/>
  <c r="Q108" i="16"/>
  <c r="U108" i="16" s="1"/>
  <c r="N236" i="15"/>
  <c r="R220" i="16"/>
  <c r="V220" i="16" s="1"/>
  <c r="N50" i="15"/>
  <c r="R44" i="16"/>
  <c r="V44" i="16" s="1"/>
  <c r="K115" i="15"/>
  <c r="O107" i="16"/>
  <c r="S107" i="16" s="1"/>
  <c r="L235" i="15"/>
  <c r="P219" i="16"/>
  <c r="T219" i="16" s="1"/>
  <c r="M48" i="15"/>
  <c r="Q43" i="16"/>
  <c r="U43" i="16" s="1"/>
  <c r="N252" i="15"/>
  <c r="R235" i="16"/>
  <c r="V235" i="16" s="1"/>
  <c r="N132" i="15"/>
  <c r="R123" i="16"/>
  <c r="V123" i="16" s="1"/>
  <c r="L323" i="15"/>
  <c r="P303" i="16"/>
  <c r="T303" i="16" s="1"/>
  <c r="L307" i="15"/>
  <c r="P287" i="16"/>
  <c r="T287" i="16" s="1"/>
  <c r="L291" i="15"/>
  <c r="P271" i="16"/>
  <c r="T271" i="16" s="1"/>
  <c r="L274" i="15"/>
  <c r="P255" i="16"/>
  <c r="T255" i="16" s="1"/>
  <c r="L256" i="15"/>
  <c r="P239" i="16"/>
  <c r="T239" i="16" s="1"/>
  <c r="L239" i="15"/>
  <c r="P223" i="16"/>
  <c r="T223" i="16" s="1"/>
  <c r="L222" i="15"/>
  <c r="P207" i="16"/>
  <c r="T207" i="16" s="1"/>
  <c r="L205" i="15"/>
  <c r="P191" i="16"/>
  <c r="T191" i="16" s="1"/>
  <c r="L188" i="15"/>
  <c r="P175" i="16"/>
  <c r="T175" i="16" s="1"/>
  <c r="L170" i="15"/>
  <c r="P159" i="16"/>
  <c r="T159" i="16" s="1"/>
  <c r="L153" i="15"/>
  <c r="P143" i="16"/>
  <c r="T143" i="16" s="1"/>
  <c r="L136" i="15"/>
  <c r="P127" i="16"/>
  <c r="T127" i="16" s="1"/>
  <c r="P95" i="16"/>
  <c r="T95" i="16" s="1"/>
  <c r="L102" i="15"/>
  <c r="L86" i="15"/>
  <c r="P79" i="16"/>
  <c r="T79" i="16" s="1"/>
  <c r="L69" i="15"/>
  <c r="P63" i="16"/>
  <c r="T63" i="16" s="1"/>
  <c r="L53" i="15"/>
  <c r="P47" i="16"/>
  <c r="T47" i="16" s="1"/>
  <c r="L36" i="15"/>
  <c r="P31" i="16"/>
  <c r="T31" i="16" s="1"/>
  <c r="L19" i="15"/>
  <c r="P15" i="16"/>
  <c r="T15" i="16" s="1"/>
  <c r="M323" i="15"/>
  <c r="Q303" i="16"/>
  <c r="U303" i="16" s="1"/>
  <c r="M307" i="15"/>
  <c r="Q287" i="16"/>
  <c r="U287" i="16" s="1"/>
  <c r="M256" i="15"/>
  <c r="Q239" i="16"/>
  <c r="U239" i="16" s="1"/>
  <c r="M239" i="15"/>
  <c r="Q223" i="16"/>
  <c r="U223" i="16" s="1"/>
  <c r="O278" i="16"/>
  <c r="S278" i="16" s="1"/>
  <c r="O237" i="16"/>
  <c r="S237" i="16" s="1"/>
  <c r="O196" i="16"/>
  <c r="S196" i="16" s="1"/>
  <c r="O150" i="16"/>
  <c r="S150" i="16" s="1"/>
  <c r="O109" i="16"/>
  <c r="S109" i="16" s="1"/>
  <c r="O68" i="16"/>
  <c r="S68" i="16" s="1"/>
  <c r="O22" i="16"/>
  <c r="S22" i="16" s="1"/>
  <c r="P286" i="16"/>
  <c r="T286" i="16" s="1"/>
  <c r="P245" i="16"/>
  <c r="T245" i="16" s="1"/>
  <c r="P199" i="16"/>
  <c r="T199" i="16" s="1"/>
  <c r="P158" i="16"/>
  <c r="T158" i="16" s="1"/>
  <c r="P108" i="16"/>
  <c r="T108" i="16" s="1"/>
  <c r="P41" i="16"/>
  <c r="T41" i="16" s="1"/>
  <c r="Q281" i="16"/>
  <c r="U281" i="16" s="1"/>
  <c r="Q216" i="16"/>
  <c r="U216" i="16" s="1"/>
  <c r="Q140" i="16"/>
  <c r="U140" i="16" s="1"/>
  <c r="R300" i="16"/>
  <c r="V300" i="16" s="1"/>
  <c r="R208" i="16"/>
  <c r="V208" i="16" s="1"/>
  <c r="R125" i="16"/>
  <c r="V125" i="16" s="1"/>
  <c r="K271" i="15"/>
  <c r="O252" i="16"/>
  <c r="S252" i="16" s="1"/>
  <c r="K99" i="15"/>
  <c r="O92" i="16"/>
  <c r="S92" i="16" s="1"/>
  <c r="L219" i="15"/>
  <c r="P204" i="16"/>
  <c r="T204" i="16" s="1"/>
  <c r="L50" i="15"/>
  <c r="P44" i="16"/>
  <c r="T44" i="16" s="1"/>
  <c r="N33" i="15"/>
  <c r="R28" i="16"/>
  <c r="V28" i="16" s="1"/>
  <c r="P92" i="16"/>
  <c r="T92" i="16" s="1"/>
  <c r="K183" i="15"/>
  <c r="O171" i="16"/>
  <c r="S171" i="16" s="1"/>
  <c r="K15" i="15"/>
  <c r="O11" i="16"/>
  <c r="S11" i="16" s="1"/>
  <c r="L166" i="15"/>
  <c r="P155" i="16"/>
  <c r="T155" i="16" s="1"/>
  <c r="L48" i="15"/>
  <c r="P43" i="16"/>
  <c r="T43" i="16" s="1"/>
  <c r="M115" i="15"/>
  <c r="Q107" i="16"/>
  <c r="U107" i="16" s="1"/>
  <c r="N319" i="15"/>
  <c r="R299" i="16"/>
  <c r="V299" i="16" s="1"/>
  <c r="N82" i="15"/>
  <c r="R75" i="16"/>
  <c r="V75" i="16" s="1"/>
  <c r="L302" i="15"/>
  <c r="P282" i="16"/>
  <c r="T282" i="16" s="1"/>
  <c r="K322" i="15"/>
  <c r="O302" i="16"/>
  <c r="S302" i="16" s="1"/>
  <c r="K306" i="15"/>
  <c r="O286" i="16"/>
  <c r="S286" i="16" s="1"/>
  <c r="K290" i="15"/>
  <c r="O270" i="16"/>
  <c r="S270" i="16" s="1"/>
  <c r="K273" i="15"/>
  <c r="O254" i="16"/>
  <c r="S254" i="16" s="1"/>
  <c r="K255" i="15"/>
  <c r="O238" i="16"/>
  <c r="S238" i="16" s="1"/>
  <c r="K238" i="15"/>
  <c r="O222" i="16"/>
  <c r="S222" i="16" s="1"/>
  <c r="K221" i="15"/>
  <c r="O206" i="16"/>
  <c r="S206" i="16" s="1"/>
  <c r="K203" i="15"/>
  <c r="O190" i="16"/>
  <c r="S190" i="16" s="1"/>
  <c r="K186" i="15"/>
  <c r="O174" i="16"/>
  <c r="S174" i="16" s="1"/>
  <c r="K169" i="15"/>
  <c r="O158" i="16"/>
  <c r="S158" i="16" s="1"/>
  <c r="K152" i="15"/>
  <c r="O142" i="16"/>
  <c r="S142" i="16" s="1"/>
  <c r="K135" i="15"/>
  <c r="O126" i="16"/>
  <c r="S126" i="16" s="1"/>
  <c r="K118" i="15"/>
  <c r="O110" i="16"/>
  <c r="S110" i="16" s="1"/>
  <c r="K101" i="15"/>
  <c r="O94" i="16"/>
  <c r="S94" i="16" s="1"/>
  <c r="K85" i="15"/>
  <c r="O78" i="16"/>
  <c r="S78" i="16" s="1"/>
  <c r="K68" i="15"/>
  <c r="O62" i="16"/>
  <c r="S62" i="16" s="1"/>
  <c r="K52" i="15"/>
  <c r="O46" i="16"/>
  <c r="S46" i="16" s="1"/>
  <c r="K35" i="15"/>
  <c r="O30" i="16"/>
  <c r="S30" i="16" s="1"/>
  <c r="K18" i="15"/>
  <c r="O14" i="16"/>
  <c r="S14" i="16" s="1"/>
  <c r="L135" i="15"/>
  <c r="P126" i="16"/>
  <c r="T126" i="16" s="1"/>
  <c r="L101" i="15"/>
  <c r="P94" i="16"/>
  <c r="T94" i="16" s="1"/>
  <c r="L68" i="15"/>
  <c r="P62" i="16"/>
  <c r="T62" i="16" s="1"/>
  <c r="L52" i="15"/>
  <c r="P46" i="16"/>
  <c r="T46" i="16" s="1"/>
  <c r="O277" i="16"/>
  <c r="S277" i="16" s="1"/>
  <c r="O231" i="16"/>
  <c r="S231" i="16" s="1"/>
  <c r="O191" i="16"/>
  <c r="S191" i="16" s="1"/>
  <c r="O149" i="16"/>
  <c r="S149" i="16" s="1"/>
  <c r="O103" i="16"/>
  <c r="S103" i="16" s="1"/>
  <c r="O63" i="16"/>
  <c r="S63" i="16" s="1"/>
  <c r="O21" i="16"/>
  <c r="S21" i="16" s="1"/>
  <c r="P280" i="16"/>
  <c r="T280" i="16" s="1"/>
  <c r="P240" i="16"/>
  <c r="T240" i="16" s="1"/>
  <c r="P198" i="16"/>
  <c r="T198" i="16" s="1"/>
  <c r="P152" i="16"/>
  <c r="T152" i="16" s="1"/>
  <c r="P103" i="16"/>
  <c r="T103" i="16" s="1"/>
  <c r="P40" i="16"/>
  <c r="T40" i="16" s="1"/>
  <c r="Q271" i="16"/>
  <c r="U271" i="16" s="1"/>
  <c r="Q207" i="16"/>
  <c r="U207" i="16" s="1"/>
  <c r="Q139" i="16"/>
  <c r="U139" i="16" s="1"/>
  <c r="Q59" i="16"/>
  <c r="U59" i="16" s="1"/>
  <c r="R205" i="16"/>
  <c r="V205" i="16" s="1"/>
  <c r="K184" i="15"/>
  <c r="O172" i="16"/>
  <c r="S172" i="16" s="1"/>
  <c r="K50" i="15"/>
  <c r="O44" i="16"/>
  <c r="S44" i="16" s="1"/>
  <c r="L184" i="15"/>
  <c r="P172" i="16"/>
  <c r="T172" i="16" s="1"/>
  <c r="L33" i="15"/>
  <c r="P28" i="16"/>
  <c r="T28" i="16" s="1"/>
  <c r="K218" i="15"/>
  <c r="O203" i="16"/>
  <c r="S203" i="16" s="1"/>
  <c r="L269" i="15"/>
  <c r="P251" i="16"/>
  <c r="T251" i="16" s="1"/>
  <c r="L132" i="15"/>
  <c r="P123" i="16"/>
  <c r="T123" i="16" s="1"/>
  <c r="M269" i="15"/>
  <c r="Q251" i="16"/>
  <c r="U251" i="16" s="1"/>
  <c r="M82" i="15"/>
  <c r="Q75" i="16"/>
  <c r="U75" i="16" s="1"/>
  <c r="N303" i="15"/>
  <c r="R283" i="16"/>
  <c r="V283" i="16" s="1"/>
  <c r="N115" i="15"/>
  <c r="R107" i="16"/>
  <c r="V107" i="16" s="1"/>
  <c r="L318" i="15"/>
  <c r="P298" i="16"/>
  <c r="T298" i="16" s="1"/>
  <c r="L321" i="15"/>
  <c r="P301" i="16"/>
  <c r="T301" i="16" s="1"/>
  <c r="L305" i="15"/>
  <c r="P285" i="16"/>
  <c r="T285" i="16" s="1"/>
  <c r="L289" i="15"/>
  <c r="P269" i="16"/>
  <c r="T269" i="16" s="1"/>
  <c r="L272" i="15"/>
  <c r="P253" i="16"/>
  <c r="T253" i="16" s="1"/>
  <c r="L254" i="15"/>
  <c r="P237" i="16"/>
  <c r="T237" i="16" s="1"/>
  <c r="L237" i="15"/>
  <c r="P221" i="16"/>
  <c r="T221" i="16" s="1"/>
  <c r="L220" i="15"/>
  <c r="P205" i="16"/>
  <c r="T205" i="16" s="1"/>
  <c r="L202" i="15"/>
  <c r="P189" i="16"/>
  <c r="T189" i="16" s="1"/>
  <c r="L185" i="15"/>
  <c r="P173" i="16"/>
  <c r="T173" i="16" s="1"/>
  <c r="L168" i="15"/>
  <c r="P157" i="16"/>
  <c r="T157" i="16" s="1"/>
  <c r="L151" i="15"/>
  <c r="P141" i="16"/>
  <c r="T141" i="16" s="1"/>
  <c r="L134" i="15"/>
  <c r="P125" i="16"/>
  <c r="T125" i="16" s="1"/>
  <c r="L117" i="15"/>
  <c r="P109" i="16"/>
  <c r="T109" i="16" s="1"/>
  <c r="L100" i="15"/>
  <c r="P93" i="16"/>
  <c r="T93" i="16" s="1"/>
  <c r="L84" i="15"/>
  <c r="P77" i="16"/>
  <c r="T77" i="16" s="1"/>
  <c r="L67" i="15"/>
  <c r="P61" i="16"/>
  <c r="T61" i="16" s="1"/>
  <c r="L51" i="15"/>
  <c r="P45" i="16"/>
  <c r="T45" i="16" s="1"/>
  <c r="L34" i="15"/>
  <c r="P29" i="16"/>
  <c r="T29" i="16" s="1"/>
  <c r="L17" i="15"/>
  <c r="P13" i="16"/>
  <c r="T13" i="16" s="1"/>
  <c r="M321" i="15"/>
  <c r="Q301" i="16"/>
  <c r="U301" i="16" s="1"/>
  <c r="M305" i="15"/>
  <c r="Q285" i="16"/>
  <c r="U285" i="16" s="1"/>
  <c r="M289" i="15"/>
  <c r="Q269" i="16"/>
  <c r="U269" i="16" s="1"/>
  <c r="M272" i="15"/>
  <c r="Q253" i="16"/>
  <c r="U253" i="16" s="1"/>
  <c r="M254" i="15"/>
  <c r="Q237" i="16"/>
  <c r="U237" i="16" s="1"/>
  <c r="M237" i="15"/>
  <c r="Q221" i="16"/>
  <c r="U221" i="16" s="1"/>
  <c r="M220" i="15"/>
  <c r="Q205" i="16"/>
  <c r="U205" i="16" s="1"/>
  <c r="M202" i="15"/>
  <c r="Q189" i="16"/>
  <c r="U189" i="16" s="1"/>
  <c r="M185" i="15"/>
  <c r="Q173" i="16"/>
  <c r="U173" i="16" s="1"/>
  <c r="M168" i="15"/>
  <c r="Q157" i="16"/>
  <c r="U157" i="16" s="1"/>
  <c r="M151" i="15"/>
  <c r="Q141" i="16"/>
  <c r="U141" i="16" s="1"/>
  <c r="M134" i="15"/>
  <c r="Q125" i="16"/>
  <c r="U125" i="16" s="1"/>
  <c r="M117" i="15"/>
  <c r="Q109" i="16"/>
  <c r="U109" i="16" s="1"/>
  <c r="M100" i="15"/>
  <c r="Q93" i="16"/>
  <c r="U93" i="16" s="1"/>
  <c r="M84" i="15"/>
  <c r="Q77" i="16"/>
  <c r="U77" i="16" s="1"/>
  <c r="M67" i="15"/>
  <c r="Q61" i="16"/>
  <c r="U61" i="16" s="1"/>
  <c r="M51" i="15"/>
  <c r="Q45" i="16"/>
  <c r="U45" i="16" s="1"/>
  <c r="M34" i="15"/>
  <c r="Q29" i="16"/>
  <c r="U29" i="16" s="1"/>
  <c r="M17" i="15"/>
  <c r="Q13" i="16"/>
  <c r="U13" i="16" s="1"/>
  <c r="N100" i="15"/>
  <c r="R93" i="16"/>
  <c r="V93" i="16" s="1"/>
  <c r="N67" i="15"/>
  <c r="R61" i="16"/>
  <c r="V61" i="16" s="1"/>
  <c r="N51" i="15"/>
  <c r="R45" i="16"/>
  <c r="V45" i="16" s="1"/>
  <c r="N34" i="15"/>
  <c r="R29" i="16"/>
  <c r="V29" i="16" s="1"/>
  <c r="N17" i="15"/>
  <c r="R13" i="16"/>
  <c r="V13" i="16" s="1"/>
  <c r="O276" i="16"/>
  <c r="S276" i="16" s="1"/>
  <c r="O230" i="16"/>
  <c r="S230" i="16" s="1"/>
  <c r="O189" i="16"/>
  <c r="S189" i="16" s="1"/>
  <c r="O148" i="16"/>
  <c r="S148" i="16" s="1"/>
  <c r="O102" i="16"/>
  <c r="S102" i="16" s="1"/>
  <c r="O61" i="16"/>
  <c r="S61" i="16" s="1"/>
  <c r="O20" i="16"/>
  <c r="S20" i="16" s="1"/>
  <c r="P279" i="16"/>
  <c r="T279" i="16" s="1"/>
  <c r="P238" i="16"/>
  <c r="T238" i="16" s="1"/>
  <c r="P197" i="16"/>
  <c r="T197" i="16" s="1"/>
  <c r="P151" i="16"/>
  <c r="T151" i="16" s="1"/>
  <c r="P101" i="16"/>
  <c r="T101" i="16" s="1"/>
  <c r="P39" i="16"/>
  <c r="T39" i="16" s="1"/>
  <c r="Q268" i="16"/>
  <c r="U268" i="16" s="1"/>
  <c r="Q203" i="16"/>
  <c r="U203" i="16" s="1"/>
  <c r="Q138" i="16"/>
  <c r="U138" i="16" s="1"/>
  <c r="R285" i="16"/>
  <c r="V285" i="16" s="1"/>
  <c r="R204" i="16"/>
  <c r="V204" i="16" s="1"/>
  <c r="K201" i="15"/>
  <c r="O188" i="16"/>
  <c r="S188" i="16" s="1"/>
  <c r="L271" i="15"/>
  <c r="P252" i="16"/>
  <c r="T252" i="16" s="1"/>
  <c r="L133" i="15"/>
  <c r="P124" i="16"/>
  <c r="T124" i="16" s="1"/>
  <c r="L16" i="15"/>
  <c r="P12" i="16"/>
  <c r="T12" i="16" s="1"/>
  <c r="M167" i="15"/>
  <c r="Q156" i="16"/>
  <c r="U156" i="16" s="1"/>
  <c r="N271" i="15"/>
  <c r="R252" i="16"/>
  <c r="V252" i="16" s="1"/>
  <c r="K166" i="15"/>
  <c r="O155" i="16"/>
  <c r="S155" i="16" s="1"/>
  <c r="L252" i="15"/>
  <c r="P235" i="16"/>
  <c r="T235" i="16" s="1"/>
  <c r="L82" i="15"/>
  <c r="P75" i="16"/>
  <c r="T75" i="16" s="1"/>
  <c r="M319" i="15"/>
  <c r="Q299" i="16"/>
  <c r="U299" i="16" s="1"/>
  <c r="M132" i="15"/>
  <c r="Q123" i="16"/>
  <c r="U123" i="16" s="1"/>
  <c r="N235" i="15"/>
  <c r="R219" i="16"/>
  <c r="V219" i="16" s="1"/>
  <c r="N98" i="15"/>
  <c r="R91" i="16"/>
  <c r="V91" i="16" s="1"/>
  <c r="K302" i="15"/>
  <c r="O282" i="16"/>
  <c r="S282" i="16" s="1"/>
  <c r="K217" i="15"/>
  <c r="O202" i="16"/>
  <c r="S202" i="16" s="1"/>
  <c r="K131" i="15"/>
  <c r="O122" i="16"/>
  <c r="S122" i="16" s="1"/>
  <c r="L217" i="15"/>
  <c r="P202" i="16"/>
  <c r="T202" i="16" s="1"/>
  <c r="L147" i="15"/>
  <c r="P138" i="16"/>
  <c r="T138" i="16" s="1"/>
  <c r="M199" i="15"/>
  <c r="Q186" i="16"/>
  <c r="U186" i="16" s="1"/>
  <c r="M114" i="15"/>
  <c r="Q106" i="16"/>
  <c r="U106" i="16" s="1"/>
  <c r="M31" i="15"/>
  <c r="Q26" i="16"/>
  <c r="U26" i="16" s="1"/>
  <c r="N302" i="15"/>
  <c r="R282" i="16"/>
  <c r="V282" i="16" s="1"/>
  <c r="N182" i="15"/>
  <c r="R170" i="16"/>
  <c r="V170" i="16" s="1"/>
  <c r="N97" i="15"/>
  <c r="R90" i="16"/>
  <c r="V90" i="16" s="1"/>
  <c r="N31" i="15"/>
  <c r="R26" i="16"/>
  <c r="V26" i="16" s="1"/>
  <c r="K267" i="15"/>
  <c r="O249" i="16"/>
  <c r="S249" i="16" s="1"/>
  <c r="K181" i="15"/>
  <c r="O169" i="16"/>
  <c r="S169" i="16" s="1"/>
  <c r="K96" i="15"/>
  <c r="O89" i="16"/>
  <c r="S89" i="16" s="1"/>
  <c r="L250" i="15"/>
  <c r="P233" i="16"/>
  <c r="T233" i="16" s="1"/>
  <c r="L181" i="15"/>
  <c r="P169" i="16"/>
  <c r="T169" i="16" s="1"/>
  <c r="L113" i="15"/>
  <c r="P105" i="16"/>
  <c r="T105" i="16" s="1"/>
  <c r="L30" i="15"/>
  <c r="P25" i="16"/>
  <c r="T25" i="16" s="1"/>
  <c r="M267" i="15"/>
  <c r="Q249" i="16"/>
  <c r="U249" i="16" s="1"/>
  <c r="O306" i="16"/>
  <c r="S306" i="16" s="1"/>
  <c r="K326" i="15"/>
  <c r="P139" i="16"/>
  <c r="T139" i="16" s="1"/>
  <c r="K316" i="15"/>
  <c r="O296" i="16"/>
  <c r="S296" i="16" s="1"/>
  <c r="K300" i="15"/>
  <c r="O280" i="16"/>
  <c r="S280" i="16" s="1"/>
  <c r="K284" i="15"/>
  <c r="O264" i="16"/>
  <c r="S264" i="16" s="1"/>
  <c r="K266" i="15"/>
  <c r="O248" i="16"/>
  <c r="S248" i="16" s="1"/>
  <c r="K249" i="15"/>
  <c r="O232" i="16"/>
  <c r="S232" i="16" s="1"/>
  <c r="K232" i="15"/>
  <c r="O216" i="16"/>
  <c r="S216" i="16" s="1"/>
  <c r="K214" i="15"/>
  <c r="O200" i="16"/>
  <c r="S200" i="16" s="1"/>
  <c r="K197" i="15"/>
  <c r="O184" i="16"/>
  <c r="S184" i="16" s="1"/>
  <c r="K180" i="15"/>
  <c r="O168" i="16"/>
  <c r="S168" i="16" s="1"/>
  <c r="K163" i="15"/>
  <c r="O152" i="16"/>
  <c r="S152" i="16" s="1"/>
  <c r="K145" i="15"/>
  <c r="O136" i="16"/>
  <c r="S136" i="16" s="1"/>
  <c r="K128" i="15"/>
  <c r="O120" i="16"/>
  <c r="S120" i="16" s="1"/>
  <c r="K112" i="15"/>
  <c r="O104" i="16"/>
  <c r="S104" i="16" s="1"/>
  <c r="K95" i="15"/>
  <c r="O88" i="16"/>
  <c r="S88" i="16" s="1"/>
  <c r="K79" i="15"/>
  <c r="O72" i="16"/>
  <c r="S72" i="16" s="1"/>
  <c r="K62" i="15"/>
  <c r="O56" i="16"/>
  <c r="S56" i="16" s="1"/>
  <c r="K45" i="15"/>
  <c r="O40" i="16"/>
  <c r="S40" i="16" s="1"/>
  <c r="K29" i="15"/>
  <c r="O24" i="16"/>
  <c r="S24" i="16" s="1"/>
  <c r="K12" i="15"/>
  <c r="O8" i="16"/>
  <c r="S8" i="16" s="1"/>
  <c r="L145" i="15"/>
  <c r="P136" i="16"/>
  <c r="T136" i="16" s="1"/>
  <c r="L112" i="15"/>
  <c r="P104" i="16"/>
  <c r="T104" i="16" s="1"/>
  <c r="L95" i="15"/>
  <c r="P88" i="16"/>
  <c r="T88" i="16" s="1"/>
  <c r="L79" i="15"/>
  <c r="P72" i="16"/>
  <c r="T72" i="16" s="1"/>
  <c r="L29" i="15"/>
  <c r="P24" i="16"/>
  <c r="T24" i="16" s="1"/>
  <c r="L12" i="15"/>
  <c r="P8" i="16"/>
  <c r="T8" i="16" s="1"/>
  <c r="M300" i="15"/>
  <c r="Q280" i="16"/>
  <c r="U280" i="16" s="1"/>
  <c r="M284" i="15"/>
  <c r="Q264" i="16"/>
  <c r="U264" i="16" s="1"/>
  <c r="M266" i="15"/>
  <c r="Q248" i="16"/>
  <c r="U248" i="16" s="1"/>
  <c r="M249" i="15"/>
  <c r="Q232" i="16"/>
  <c r="U232" i="16" s="1"/>
  <c r="M214" i="15"/>
  <c r="Q200" i="16"/>
  <c r="U200" i="16" s="1"/>
  <c r="M197" i="15"/>
  <c r="Q184" i="16"/>
  <c r="U184" i="16" s="1"/>
  <c r="O303" i="16"/>
  <c r="S303" i="16" s="1"/>
  <c r="O261" i="16"/>
  <c r="S261" i="16" s="1"/>
  <c r="O215" i="16"/>
  <c r="S215" i="16" s="1"/>
  <c r="O175" i="16"/>
  <c r="S175" i="16" s="1"/>
  <c r="O133" i="16"/>
  <c r="S133" i="16" s="1"/>
  <c r="O87" i="16"/>
  <c r="S87" i="16" s="1"/>
  <c r="O47" i="16"/>
  <c r="S47" i="16" s="1"/>
  <c r="O5" i="16"/>
  <c r="S5" i="16" s="1"/>
  <c r="P264" i="16"/>
  <c r="T264" i="16" s="1"/>
  <c r="P224" i="16"/>
  <c r="T224" i="16" s="1"/>
  <c r="P182" i="16"/>
  <c r="T182" i="16" s="1"/>
  <c r="P133" i="16"/>
  <c r="T133" i="16" s="1"/>
  <c r="P81" i="16"/>
  <c r="T81" i="16" s="1"/>
  <c r="P14" i="16"/>
  <c r="T14" i="16" s="1"/>
  <c r="Q247" i="16"/>
  <c r="U247" i="16" s="1"/>
  <c r="Q183" i="16"/>
  <c r="U183" i="16" s="1"/>
  <c r="R173" i="16"/>
  <c r="V173" i="16" s="1"/>
  <c r="R92" i="16"/>
  <c r="V92" i="16" s="1"/>
  <c r="K253" i="15"/>
  <c r="O236" i="16"/>
  <c r="S236" i="16" s="1"/>
  <c r="L288" i="15"/>
  <c r="P268" i="16"/>
  <c r="T268" i="16" s="1"/>
  <c r="L150" i="15"/>
  <c r="P140" i="16"/>
  <c r="T140" i="16" s="1"/>
  <c r="M219" i="15"/>
  <c r="Q204" i="16"/>
  <c r="U204" i="16" s="1"/>
  <c r="M66" i="15"/>
  <c r="Q60" i="16"/>
  <c r="U60" i="16" s="1"/>
  <c r="N133" i="15"/>
  <c r="R124" i="16"/>
  <c r="V124" i="16" s="1"/>
  <c r="K287" i="15"/>
  <c r="O267" i="16"/>
  <c r="S267" i="16" s="1"/>
  <c r="K98" i="15"/>
  <c r="O91" i="16"/>
  <c r="S91" i="16" s="1"/>
  <c r="L319" i="15"/>
  <c r="P299" i="16"/>
  <c r="T299" i="16" s="1"/>
  <c r="N218" i="15"/>
  <c r="R203" i="16"/>
  <c r="V203" i="16" s="1"/>
  <c r="N15" i="15"/>
  <c r="R11" i="16"/>
  <c r="V11" i="16" s="1"/>
  <c r="K251" i="15"/>
  <c r="O234" i="16"/>
  <c r="S234" i="16" s="1"/>
  <c r="K165" i="15"/>
  <c r="O154" i="16"/>
  <c r="S154" i="16" s="1"/>
  <c r="K81" i="15"/>
  <c r="O74" i="16"/>
  <c r="S74" i="16" s="1"/>
  <c r="K47" i="15"/>
  <c r="O42" i="16"/>
  <c r="S42" i="16" s="1"/>
  <c r="L286" i="15"/>
  <c r="P266" i="16"/>
  <c r="T266" i="16" s="1"/>
  <c r="L81" i="15"/>
  <c r="P74" i="16"/>
  <c r="T74" i="16" s="1"/>
  <c r="M318" i="15"/>
  <c r="Q298" i="16"/>
  <c r="U298" i="16" s="1"/>
  <c r="M64" i="15"/>
  <c r="Q58" i="16"/>
  <c r="U58" i="16" s="1"/>
  <c r="N234" i="15"/>
  <c r="R218" i="16"/>
  <c r="V218" i="16" s="1"/>
  <c r="N147" i="15"/>
  <c r="R138" i="16"/>
  <c r="V138" i="16" s="1"/>
  <c r="P306" i="16"/>
  <c r="T306" i="16" s="1"/>
  <c r="L326" i="15"/>
  <c r="Q44" i="16"/>
  <c r="U44" i="16" s="1"/>
  <c r="R108" i="16"/>
  <c r="V108" i="16" s="1"/>
  <c r="K285" i="15"/>
  <c r="O265" i="16"/>
  <c r="S265" i="16" s="1"/>
  <c r="K198" i="15"/>
  <c r="O185" i="16"/>
  <c r="S185" i="16" s="1"/>
  <c r="K130" i="15"/>
  <c r="O121" i="16"/>
  <c r="S121" i="16" s="1"/>
  <c r="K63" i="15"/>
  <c r="O57" i="16"/>
  <c r="S57" i="16" s="1"/>
  <c r="L317" i="15"/>
  <c r="P297" i="16"/>
  <c r="T297" i="16" s="1"/>
  <c r="L233" i="15"/>
  <c r="P217" i="16"/>
  <c r="T217" i="16" s="1"/>
  <c r="L164" i="15"/>
  <c r="P153" i="16"/>
  <c r="T153" i="16" s="1"/>
  <c r="L80" i="15"/>
  <c r="P73" i="16"/>
  <c r="T73" i="16" s="1"/>
  <c r="M113" i="15"/>
  <c r="Q105" i="16"/>
  <c r="U105" i="16" s="1"/>
  <c r="P89" i="16"/>
  <c r="T89" i="16" s="1"/>
  <c r="Q188" i="16"/>
  <c r="U188" i="16" s="1"/>
  <c r="R268" i="16"/>
  <c r="V268" i="16" s="1"/>
  <c r="L144" i="15"/>
  <c r="P135" i="16"/>
  <c r="T135" i="16" s="1"/>
  <c r="L127" i="15"/>
  <c r="P119" i="16"/>
  <c r="T119" i="16" s="1"/>
  <c r="L94" i="15"/>
  <c r="P87" i="16"/>
  <c r="T87" i="16" s="1"/>
  <c r="L78" i="15"/>
  <c r="P71" i="16"/>
  <c r="T71" i="16" s="1"/>
  <c r="L61" i="15"/>
  <c r="P55" i="16"/>
  <c r="T55" i="16" s="1"/>
  <c r="L28" i="15"/>
  <c r="P23" i="16"/>
  <c r="T23" i="16" s="1"/>
  <c r="L11" i="15"/>
  <c r="P7" i="16"/>
  <c r="T7" i="16" s="1"/>
  <c r="M299" i="15"/>
  <c r="Q279" i="16"/>
  <c r="U279" i="16" s="1"/>
  <c r="M283" i="15"/>
  <c r="Q263" i="16"/>
  <c r="U263" i="16" s="1"/>
  <c r="M231" i="15"/>
  <c r="Q215" i="16"/>
  <c r="U215" i="16" s="1"/>
  <c r="M213" i="15"/>
  <c r="Q199" i="16"/>
  <c r="U199" i="16" s="1"/>
  <c r="O301" i="16"/>
  <c r="S301" i="16" s="1"/>
  <c r="O260" i="16"/>
  <c r="S260" i="16" s="1"/>
  <c r="O214" i="16"/>
  <c r="S214" i="16" s="1"/>
  <c r="O173" i="16"/>
  <c r="S173" i="16" s="1"/>
  <c r="O132" i="16"/>
  <c r="S132" i="16" s="1"/>
  <c r="O86" i="16"/>
  <c r="S86" i="16" s="1"/>
  <c r="O45" i="16"/>
  <c r="S45" i="16" s="1"/>
  <c r="O4" i="16"/>
  <c r="S4" i="16" s="1"/>
  <c r="P263" i="16"/>
  <c r="T263" i="16" s="1"/>
  <c r="P222" i="16"/>
  <c r="T222" i="16" s="1"/>
  <c r="P181" i="16"/>
  <c r="T181" i="16" s="1"/>
  <c r="P130" i="16"/>
  <c r="T130" i="16" s="1"/>
  <c r="P78" i="16"/>
  <c r="T78" i="16" s="1"/>
  <c r="P11" i="16"/>
  <c r="T11" i="16" s="1"/>
  <c r="Q246" i="16"/>
  <c r="U246" i="16" s="1"/>
  <c r="Q178" i="16"/>
  <c r="U178" i="16" s="1"/>
  <c r="Q28" i="16"/>
  <c r="U28" i="16" s="1"/>
  <c r="R253" i="16"/>
  <c r="V253" i="16" s="1"/>
  <c r="R172" i="16"/>
  <c r="V172" i="16" s="1"/>
  <c r="K304" i="15"/>
  <c r="O284" i="16"/>
  <c r="S284" i="16" s="1"/>
  <c r="K116" i="15"/>
  <c r="O108" i="16"/>
  <c r="S108" i="16" s="1"/>
  <c r="K16" i="15"/>
  <c r="O12" i="16"/>
  <c r="S12" i="16" s="1"/>
  <c r="P156" i="16"/>
  <c r="T156" i="16" s="1"/>
  <c r="L167" i="15"/>
  <c r="M236" i="15"/>
  <c r="Q220" i="16"/>
  <c r="U220" i="16" s="1"/>
  <c r="N304" i="15"/>
  <c r="R284" i="16"/>
  <c r="V284" i="16" s="1"/>
  <c r="N167" i="15"/>
  <c r="R156" i="16"/>
  <c r="V156" i="16" s="1"/>
  <c r="N16" i="15"/>
  <c r="R12" i="16"/>
  <c r="V12" i="16" s="1"/>
  <c r="K269" i="15"/>
  <c r="O251" i="16"/>
  <c r="S251" i="16" s="1"/>
  <c r="K82" i="15"/>
  <c r="O75" i="16"/>
  <c r="S75" i="16" s="1"/>
  <c r="L200" i="15"/>
  <c r="P187" i="16"/>
  <c r="T187" i="16" s="1"/>
  <c r="N200" i="15"/>
  <c r="R187" i="16"/>
  <c r="V187" i="16" s="1"/>
  <c r="N32" i="15"/>
  <c r="R27" i="16"/>
  <c r="V27" i="16" s="1"/>
  <c r="K268" i="15"/>
  <c r="O250" i="16"/>
  <c r="S250" i="16" s="1"/>
  <c r="K182" i="15"/>
  <c r="O170" i="16"/>
  <c r="S170" i="16" s="1"/>
  <c r="K97" i="15"/>
  <c r="O90" i="16"/>
  <c r="S90" i="16" s="1"/>
  <c r="K31" i="15"/>
  <c r="O26" i="16"/>
  <c r="S26" i="16" s="1"/>
  <c r="L182" i="15"/>
  <c r="P170" i="16"/>
  <c r="T170" i="16" s="1"/>
  <c r="L14" i="15"/>
  <c r="P10" i="16"/>
  <c r="T10" i="16" s="1"/>
  <c r="M302" i="15"/>
  <c r="Q282" i="16"/>
  <c r="U282" i="16" s="1"/>
  <c r="M217" i="15"/>
  <c r="Q202" i="16"/>
  <c r="U202" i="16" s="1"/>
  <c r="M131" i="15"/>
  <c r="Q122" i="16"/>
  <c r="U122" i="16" s="1"/>
  <c r="M47" i="15"/>
  <c r="Q42" i="16"/>
  <c r="U42" i="16" s="1"/>
  <c r="N217" i="15"/>
  <c r="R202" i="16"/>
  <c r="V202" i="16" s="1"/>
  <c r="N114" i="15"/>
  <c r="R106" i="16"/>
  <c r="V106" i="16" s="1"/>
  <c r="N14" i="15"/>
  <c r="R10" i="16"/>
  <c r="V10" i="16" s="1"/>
  <c r="K301" i="15"/>
  <c r="O281" i="16"/>
  <c r="S281" i="16" s="1"/>
  <c r="K215" i="15"/>
  <c r="O201" i="16"/>
  <c r="S201" i="16" s="1"/>
  <c r="K113" i="15"/>
  <c r="O105" i="16"/>
  <c r="S105" i="16" s="1"/>
  <c r="K46" i="15"/>
  <c r="O41" i="16"/>
  <c r="S41" i="16" s="1"/>
  <c r="L267" i="15"/>
  <c r="P249" i="16"/>
  <c r="T249" i="16" s="1"/>
  <c r="L198" i="15"/>
  <c r="P185" i="16"/>
  <c r="T185" i="16" s="1"/>
  <c r="L130" i="15"/>
  <c r="P121" i="16"/>
  <c r="T121" i="16" s="1"/>
  <c r="L63" i="15"/>
  <c r="P57" i="16"/>
  <c r="T57" i="16" s="1"/>
  <c r="L13" i="15"/>
  <c r="P9" i="16"/>
  <c r="T9" i="16" s="1"/>
  <c r="M215" i="15"/>
  <c r="Q201" i="16"/>
  <c r="U201" i="16" s="1"/>
  <c r="M198" i="15"/>
  <c r="Q185" i="16"/>
  <c r="U185" i="16" s="1"/>
  <c r="M130" i="15"/>
  <c r="Q121" i="16"/>
  <c r="U121" i="16" s="1"/>
  <c r="L143" i="15"/>
  <c r="P134" i="16"/>
  <c r="T134" i="16" s="1"/>
  <c r="L126" i="15"/>
  <c r="P118" i="16"/>
  <c r="T118" i="16" s="1"/>
  <c r="L110" i="15"/>
  <c r="P102" i="16"/>
  <c r="T102" i="16" s="1"/>
  <c r="L93" i="15"/>
  <c r="P86" i="16"/>
  <c r="T86" i="16" s="1"/>
  <c r="L43" i="15"/>
  <c r="P38" i="16"/>
  <c r="T38" i="16" s="1"/>
  <c r="L27" i="15"/>
  <c r="P22" i="16"/>
  <c r="T22" i="16" s="1"/>
  <c r="M298" i="15"/>
  <c r="Q278" i="16"/>
  <c r="U278" i="16" s="1"/>
  <c r="M282" i="15"/>
  <c r="Q262" i="16"/>
  <c r="U262" i="16" s="1"/>
  <c r="M247" i="15"/>
  <c r="Q230" i="16"/>
  <c r="U230" i="16" s="1"/>
  <c r="M230" i="15"/>
  <c r="Q214" i="16"/>
  <c r="U214" i="16" s="1"/>
  <c r="M212" i="15"/>
  <c r="Q198" i="16"/>
  <c r="U198" i="16" s="1"/>
  <c r="O295" i="16"/>
  <c r="S295" i="16" s="1"/>
  <c r="O255" i="16"/>
  <c r="S255" i="16" s="1"/>
  <c r="O213" i="16"/>
  <c r="S213" i="16" s="1"/>
  <c r="O167" i="16"/>
  <c r="S167" i="16" s="1"/>
  <c r="O127" i="16"/>
  <c r="S127" i="16" s="1"/>
  <c r="O85" i="16"/>
  <c r="S85" i="16" s="1"/>
  <c r="O39" i="16"/>
  <c r="S39" i="16" s="1"/>
  <c r="P304" i="16"/>
  <c r="T304" i="16" s="1"/>
  <c r="P262" i="16"/>
  <c r="T262" i="16" s="1"/>
  <c r="P216" i="16"/>
  <c r="T216" i="16" s="1"/>
  <c r="P176" i="16"/>
  <c r="T176" i="16" s="1"/>
  <c r="P129" i="16"/>
  <c r="T129" i="16" s="1"/>
  <c r="P70" i="16"/>
  <c r="T70" i="16" s="1"/>
  <c r="P6" i="16"/>
  <c r="T6" i="16" s="1"/>
  <c r="Q242" i="16"/>
  <c r="U242" i="16" s="1"/>
  <c r="Q169" i="16"/>
  <c r="U169" i="16" s="1"/>
  <c r="Q27" i="16"/>
  <c r="U27" i="16" s="1"/>
  <c r="R77" i="16"/>
  <c r="V77" i="16" s="1"/>
  <c r="K288" i="15"/>
  <c r="O268" i="16"/>
  <c r="S268" i="16" s="1"/>
  <c r="K150" i="15"/>
  <c r="O140" i="16"/>
  <c r="S140" i="16" s="1"/>
  <c r="K33" i="15"/>
  <c r="O28" i="16"/>
  <c r="S28" i="16" s="1"/>
  <c r="L201" i="15"/>
  <c r="P188" i="16"/>
  <c r="T188" i="16" s="1"/>
  <c r="L66" i="15"/>
  <c r="P60" i="16"/>
  <c r="T60" i="16" s="1"/>
  <c r="M304" i="15"/>
  <c r="Q284" i="16"/>
  <c r="U284" i="16" s="1"/>
  <c r="M253" i="15"/>
  <c r="Q236" i="16"/>
  <c r="U236" i="16" s="1"/>
  <c r="M99" i="15"/>
  <c r="Q92" i="16"/>
  <c r="U92" i="16" s="1"/>
  <c r="N201" i="15"/>
  <c r="R188" i="16"/>
  <c r="V188" i="16" s="1"/>
  <c r="N66" i="15"/>
  <c r="R60" i="16"/>
  <c r="V60" i="16" s="1"/>
  <c r="K303" i="15"/>
  <c r="O283" i="16"/>
  <c r="S283" i="16" s="1"/>
  <c r="K149" i="15"/>
  <c r="O139" i="16"/>
  <c r="S139" i="16" s="1"/>
  <c r="L218" i="15"/>
  <c r="P203" i="16"/>
  <c r="T203" i="16" s="1"/>
  <c r="L65" i="15"/>
  <c r="P59" i="16"/>
  <c r="T59" i="16" s="1"/>
  <c r="M15" i="15"/>
  <c r="Q11" i="16"/>
  <c r="U11" i="16" s="1"/>
  <c r="N183" i="15"/>
  <c r="R171" i="16"/>
  <c r="V171" i="16" s="1"/>
  <c r="N65" i="15"/>
  <c r="R59" i="16"/>
  <c r="V59" i="16" s="1"/>
  <c r="K286" i="15"/>
  <c r="O266" i="16"/>
  <c r="S266" i="16" s="1"/>
  <c r="K199" i="15"/>
  <c r="O186" i="16"/>
  <c r="S186" i="16" s="1"/>
  <c r="K114" i="15"/>
  <c r="O106" i="16"/>
  <c r="S106" i="16" s="1"/>
  <c r="L268" i="15"/>
  <c r="P250" i="16"/>
  <c r="T250" i="16" s="1"/>
  <c r="L165" i="15"/>
  <c r="P154" i="16"/>
  <c r="T154" i="16" s="1"/>
  <c r="M97" i="15"/>
  <c r="Q90" i="16"/>
  <c r="U90" i="16" s="1"/>
  <c r="M14" i="15"/>
  <c r="Q10" i="16"/>
  <c r="U10" i="16" s="1"/>
  <c r="N318" i="15"/>
  <c r="R298" i="16"/>
  <c r="V298" i="16" s="1"/>
  <c r="N286" i="15"/>
  <c r="R266" i="16"/>
  <c r="V266" i="16" s="1"/>
  <c r="N251" i="15"/>
  <c r="R234" i="16"/>
  <c r="V234" i="16" s="1"/>
  <c r="N199" i="15"/>
  <c r="R186" i="16"/>
  <c r="V186" i="16" s="1"/>
  <c r="N131" i="15"/>
  <c r="R122" i="16"/>
  <c r="V122" i="16" s="1"/>
  <c r="N64" i="15"/>
  <c r="R58" i="16"/>
  <c r="V58" i="16" s="1"/>
  <c r="K250" i="15"/>
  <c r="O233" i="16"/>
  <c r="S233" i="16" s="1"/>
  <c r="K164" i="15"/>
  <c r="O153" i="16"/>
  <c r="S153" i="16" s="1"/>
  <c r="K80" i="15"/>
  <c r="O73" i="16"/>
  <c r="S73" i="16" s="1"/>
  <c r="K13" i="15"/>
  <c r="O9" i="16"/>
  <c r="S9" i="16" s="1"/>
  <c r="L301" i="15"/>
  <c r="P281" i="16"/>
  <c r="T281" i="16" s="1"/>
  <c r="L215" i="15"/>
  <c r="P201" i="16"/>
  <c r="T201" i="16" s="1"/>
  <c r="L146" i="15"/>
  <c r="P137" i="16"/>
  <c r="T137" i="16" s="1"/>
  <c r="M146" i="15"/>
  <c r="Q137" i="16"/>
  <c r="U137" i="16" s="1"/>
  <c r="L125" i="15"/>
  <c r="P117" i="16"/>
  <c r="T117" i="16" s="1"/>
  <c r="L92" i="15"/>
  <c r="P85" i="16"/>
  <c r="T85" i="16" s="1"/>
  <c r="L59" i="15"/>
  <c r="P53" i="16"/>
  <c r="T53" i="16" s="1"/>
  <c r="L42" i="15"/>
  <c r="P37" i="16"/>
  <c r="T37" i="16" s="1"/>
  <c r="L26" i="15"/>
  <c r="P21" i="16"/>
  <c r="T21" i="16" s="1"/>
  <c r="L9" i="15"/>
  <c r="P5" i="16"/>
  <c r="T5" i="16" s="1"/>
  <c r="M313" i="15"/>
  <c r="Q293" i="16"/>
  <c r="U293" i="16" s="1"/>
  <c r="M297" i="15"/>
  <c r="Q277" i="16"/>
  <c r="U277" i="16" s="1"/>
  <c r="M281" i="15"/>
  <c r="Q261" i="16"/>
  <c r="U261" i="16" s="1"/>
  <c r="M263" i="15"/>
  <c r="Q245" i="16"/>
  <c r="U245" i="16" s="1"/>
  <c r="M246" i="15"/>
  <c r="Q229" i="16"/>
  <c r="U229" i="16" s="1"/>
  <c r="M228" i="15"/>
  <c r="Q213" i="16"/>
  <c r="U213" i="16" s="1"/>
  <c r="M211" i="15"/>
  <c r="Q197" i="16"/>
  <c r="U197" i="16" s="1"/>
  <c r="M194" i="15"/>
  <c r="Q181" i="16"/>
  <c r="U181" i="16" s="1"/>
  <c r="M177" i="15"/>
  <c r="Q165" i="16"/>
  <c r="U165" i="16" s="1"/>
  <c r="M160" i="15"/>
  <c r="Q149" i="16"/>
  <c r="U149" i="16" s="1"/>
  <c r="M142" i="15"/>
  <c r="Q133" i="16"/>
  <c r="U133" i="16" s="1"/>
  <c r="M125" i="15"/>
  <c r="Q117" i="16"/>
  <c r="U117" i="16" s="1"/>
  <c r="M109" i="15"/>
  <c r="Q101" i="16"/>
  <c r="U101" i="16" s="1"/>
  <c r="M92" i="15"/>
  <c r="Q85" i="16"/>
  <c r="U85" i="16" s="1"/>
  <c r="M76" i="15"/>
  <c r="Q69" i="16"/>
  <c r="U69" i="16" s="1"/>
  <c r="M59" i="15"/>
  <c r="Q53" i="16"/>
  <c r="U53" i="16" s="1"/>
  <c r="M42" i="15"/>
  <c r="Q37" i="16"/>
  <c r="U37" i="16" s="1"/>
  <c r="Q21" i="16"/>
  <c r="U21" i="16" s="1"/>
  <c r="M9" i="15"/>
  <c r="Q5" i="16"/>
  <c r="U5" i="16" s="1"/>
  <c r="N313" i="15"/>
  <c r="R293" i="16"/>
  <c r="V293" i="16" s="1"/>
  <c r="N297" i="15"/>
  <c r="R277" i="16"/>
  <c r="V277" i="16" s="1"/>
  <c r="N281" i="15"/>
  <c r="R261" i="16"/>
  <c r="V261" i="16" s="1"/>
  <c r="N263" i="15"/>
  <c r="R245" i="16"/>
  <c r="V245" i="16" s="1"/>
  <c r="N246" i="15"/>
  <c r="R229" i="16"/>
  <c r="V229" i="16" s="1"/>
  <c r="N228" i="15"/>
  <c r="R213" i="16"/>
  <c r="V213" i="16" s="1"/>
  <c r="N211" i="15"/>
  <c r="R197" i="16"/>
  <c r="V197" i="16" s="1"/>
  <c r="N194" i="15"/>
  <c r="R181" i="16"/>
  <c r="V181" i="16" s="1"/>
  <c r="N177" i="15"/>
  <c r="R165" i="16"/>
  <c r="V165" i="16" s="1"/>
  <c r="N160" i="15"/>
  <c r="R149" i="16"/>
  <c r="V149" i="16" s="1"/>
  <c r="N142" i="15"/>
  <c r="R133" i="16"/>
  <c r="V133" i="16" s="1"/>
  <c r="N125" i="15"/>
  <c r="R117" i="16"/>
  <c r="V117" i="16" s="1"/>
  <c r="N109" i="15"/>
  <c r="R101" i="16"/>
  <c r="V101" i="16" s="1"/>
  <c r="N92" i="15"/>
  <c r="R85" i="16"/>
  <c r="V85" i="16" s="1"/>
  <c r="N76" i="15"/>
  <c r="R69" i="16"/>
  <c r="V69" i="16" s="1"/>
  <c r="N59" i="15"/>
  <c r="R53" i="16"/>
  <c r="V53" i="16" s="1"/>
  <c r="N42" i="15"/>
  <c r="R37" i="16"/>
  <c r="V37" i="16" s="1"/>
  <c r="N26" i="15"/>
  <c r="R21" i="16"/>
  <c r="V21" i="16" s="1"/>
  <c r="N9" i="15"/>
  <c r="R5" i="16"/>
  <c r="V5" i="16" s="1"/>
  <c r="O294" i="16"/>
  <c r="S294" i="16" s="1"/>
  <c r="O253" i="16"/>
  <c r="S253" i="16" s="1"/>
  <c r="O212" i="16"/>
  <c r="S212" i="16" s="1"/>
  <c r="O166" i="16"/>
  <c r="S166" i="16" s="1"/>
  <c r="O125" i="16"/>
  <c r="S125" i="16" s="1"/>
  <c r="O84" i="16"/>
  <c r="S84" i="16" s="1"/>
  <c r="O38" i="16"/>
  <c r="S38" i="16" s="1"/>
  <c r="P302" i="16"/>
  <c r="T302" i="16" s="1"/>
  <c r="P261" i="16"/>
  <c r="T261" i="16" s="1"/>
  <c r="P215" i="16"/>
  <c r="T215" i="16" s="1"/>
  <c r="P174" i="16"/>
  <c r="T174" i="16" s="1"/>
  <c r="P128" i="16"/>
  <c r="T128" i="16" s="1"/>
  <c r="P69" i="16"/>
  <c r="T69" i="16" s="1"/>
  <c r="Q306" i="16"/>
  <c r="U306" i="16" s="1"/>
  <c r="Q241" i="16"/>
  <c r="U241" i="16" s="1"/>
  <c r="Q168" i="16"/>
  <c r="U168" i="16" s="1"/>
  <c r="R240" i="16"/>
  <c r="V240" i="16" s="1"/>
  <c r="R157" i="16"/>
  <c r="V157" i="16" s="1"/>
  <c r="R76" i="16"/>
  <c r="V76" i="16" s="1"/>
  <c r="K167" i="15"/>
  <c r="O156" i="16"/>
  <c r="S156" i="16" s="1"/>
  <c r="L236" i="15"/>
  <c r="P220" i="16"/>
  <c r="T220" i="16" s="1"/>
  <c r="M271" i="15"/>
  <c r="Q252" i="16"/>
  <c r="U252" i="16" s="1"/>
  <c r="M83" i="15"/>
  <c r="Q76" i="16"/>
  <c r="U76" i="16" s="1"/>
  <c r="K319" i="15"/>
  <c r="O299" i="16"/>
  <c r="S299" i="16" s="1"/>
  <c r="K132" i="15"/>
  <c r="O123" i="16"/>
  <c r="S123" i="16" s="1"/>
  <c r="L287" i="15"/>
  <c r="P267" i="16"/>
  <c r="T267" i="16" s="1"/>
  <c r="M200" i="15"/>
  <c r="Q187" i="16"/>
  <c r="U187" i="16" s="1"/>
  <c r="K318" i="15"/>
  <c r="O298" i="16"/>
  <c r="S298" i="16" s="1"/>
  <c r="K234" i="15"/>
  <c r="O218" i="16"/>
  <c r="S218" i="16" s="1"/>
  <c r="K147" i="15"/>
  <c r="O138" i="16"/>
  <c r="S138" i="16" s="1"/>
  <c r="K64" i="15"/>
  <c r="O58" i="16"/>
  <c r="S58" i="16" s="1"/>
  <c r="L199" i="15"/>
  <c r="P186" i="16"/>
  <c r="T186" i="16" s="1"/>
  <c r="L114" i="15"/>
  <c r="P106" i="16"/>
  <c r="T106" i="16" s="1"/>
  <c r="L64" i="15"/>
  <c r="P58" i="16"/>
  <c r="T58" i="16" s="1"/>
  <c r="M268" i="15"/>
  <c r="Q250" i="16"/>
  <c r="U250" i="16" s="1"/>
  <c r="M182" i="15"/>
  <c r="Q170" i="16"/>
  <c r="U170" i="16" s="1"/>
  <c r="M81" i="15"/>
  <c r="Q74" i="16"/>
  <c r="U74" i="16" s="1"/>
  <c r="N268" i="15"/>
  <c r="R250" i="16"/>
  <c r="V250" i="16" s="1"/>
  <c r="N165" i="15"/>
  <c r="R154" i="16"/>
  <c r="V154" i="16" s="1"/>
  <c r="P90" i="16"/>
  <c r="T90" i="16" s="1"/>
  <c r="K317" i="15"/>
  <c r="O297" i="16"/>
  <c r="S297" i="16" s="1"/>
  <c r="K233" i="15"/>
  <c r="O217" i="16"/>
  <c r="S217" i="16" s="1"/>
  <c r="K146" i="15"/>
  <c r="O137" i="16"/>
  <c r="S137" i="16" s="1"/>
  <c r="K30" i="15"/>
  <c r="O25" i="16"/>
  <c r="S25" i="16" s="1"/>
  <c r="L285" i="15"/>
  <c r="P265" i="16"/>
  <c r="T265" i="16" s="1"/>
  <c r="M285" i="15"/>
  <c r="Q265" i="16"/>
  <c r="U265" i="16" s="1"/>
  <c r="L312" i="15"/>
  <c r="P292" i="16"/>
  <c r="T292" i="16" s="1"/>
  <c r="L296" i="15"/>
  <c r="P276" i="16"/>
  <c r="T276" i="16" s="1"/>
  <c r="L280" i="15"/>
  <c r="P260" i="16"/>
  <c r="T260" i="16" s="1"/>
  <c r="L262" i="15"/>
  <c r="P244" i="16"/>
  <c r="T244" i="16" s="1"/>
  <c r="L245" i="15"/>
  <c r="P228" i="16"/>
  <c r="T228" i="16" s="1"/>
  <c r="L227" i="15"/>
  <c r="P212" i="16"/>
  <c r="T212" i="16" s="1"/>
  <c r="L210" i="15"/>
  <c r="P196" i="16"/>
  <c r="T196" i="16" s="1"/>
  <c r="L193" i="15"/>
  <c r="P180" i="16"/>
  <c r="T180" i="16" s="1"/>
  <c r="L176" i="15"/>
  <c r="P164" i="16"/>
  <c r="T164" i="16" s="1"/>
  <c r="L158" i="15"/>
  <c r="P148" i="16"/>
  <c r="T148" i="16" s="1"/>
  <c r="L141" i="15"/>
  <c r="P132" i="16"/>
  <c r="T132" i="16" s="1"/>
  <c r="L124" i="15"/>
  <c r="P116" i="16"/>
  <c r="T116" i="16" s="1"/>
  <c r="L108" i="15"/>
  <c r="P100" i="16"/>
  <c r="T100" i="16" s="1"/>
  <c r="L91" i="15"/>
  <c r="P84" i="16"/>
  <c r="T84" i="16" s="1"/>
  <c r="L75" i="15"/>
  <c r="P68" i="16"/>
  <c r="T68" i="16" s="1"/>
  <c r="L58" i="15"/>
  <c r="P52" i="16"/>
  <c r="T52" i="16" s="1"/>
  <c r="L41" i="15"/>
  <c r="P36" i="16"/>
  <c r="T36" i="16" s="1"/>
  <c r="L25" i="15"/>
  <c r="P20" i="16"/>
  <c r="T20" i="16" s="1"/>
  <c r="L8" i="15"/>
  <c r="P4" i="16"/>
  <c r="T4" i="16" s="1"/>
  <c r="M312" i="15"/>
  <c r="Q292" i="16"/>
  <c r="U292" i="16" s="1"/>
  <c r="M296" i="15"/>
  <c r="Q276" i="16"/>
  <c r="U276" i="16" s="1"/>
  <c r="M280" i="15"/>
  <c r="Q260" i="16"/>
  <c r="U260" i="16" s="1"/>
  <c r="M262" i="15"/>
  <c r="Q244" i="16"/>
  <c r="U244" i="16" s="1"/>
  <c r="M245" i="15"/>
  <c r="Q228" i="16"/>
  <c r="U228" i="16" s="1"/>
  <c r="M227" i="15"/>
  <c r="Q212" i="16"/>
  <c r="U212" i="16" s="1"/>
  <c r="O293" i="16"/>
  <c r="S293" i="16" s="1"/>
  <c r="O247" i="16"/>
  <c r="S247" i="16" s="1"/>
  <c r="O207" i="16"/>
  <c r="S207" i="16" s="1"/>
  <c r="O165" i="16"/>
  <c r="S165" i="16" s="1"/>
  <c r="O119" i="16"/>
  <c r="S119" i="16" s="1"/>
  <c r="O79" i="16"/>
  <c r="S79" i="16" s="1"/>
  <c r="O37" i="16"/>
  <c r="S37" i="16" s="1"/>
  <c r="P296" i="16"/>
  <c r="T296" i="16" s="1"/>
  <c r="P256" i="16"/>
  <c r="T256" i="16" s="1"/>
  <c r="P214" i="16"/>
  <c r="T214" i="16" s="1"/>
  <c r="P168" i="16"/>
  <c r="T168" i="16" s="1"/>
  <c r="P122" i="16"/>
  <c r="T122" i="16" s="1"/>
  <c r="P65" i="16"/>
  <c r="T65" i="16" s="1"/>
  <c r="Q297" i="16"/>
  <c r="U297" i="16" s="1"/>
  <c r="Q233" i="16"/>
  <c r="U233" i="16" s="1"/>
  <c r="Q167" i="16"/>
  <c r="U167" i="16" s="1"/>
  <c r="R237" i="16"/>
  <c r="V237" i="16" s="1"/>
  <c r="R74" i="16"/>
  <c r="V74" i="16" s="1"/>
  <c r="K209" i="15"/>
  <c r="O195" i="16"/>
  <c r="S195" i="16" s="1"/>
  <c r="K192" i="15"/>
  <c r="O179" i="16"/>
  <c r="S179" i="16" s="1"/>
  <c r="K175" i="15"/>
  <c r="O163" i="16"/>
  <c r="S163" i="16" s="1"/>
  <c r="K157" i="15"/>
  <c r="O147" i="16"/>
  <c r="S147" i="16" s="1"/>
  <c r="K140" i="15"/>
  <c r="O131" i="16"/>
  <c r="S131" i="16" s="1"/>
  <c r="K123" i="15"/>
  <c r="O115" i="16"/>
  <c r="S115" i="16" s="1"/>
  <c r="K107" i="15"/>
  <c r="O99" i="16"/>
  <c r="S99" i="16" s="1"/>
  <c r="K90" i="15"/>
  <c r="O83" i="16"/>
  <c r="S83" i="16" s="1"/>
  <c r="K74" i="15"/>
  <c r="O67" i="16"/>
  <c r="S67" i="16" s="1"/>
  <c r="K57" i="15"/>
  <c r="O51" i="16"/>
  <c r="S51" i="16" s="1"/>
  <c r="K40" i="15"/>
  <c r="O35" i="16"/>
  <c r="S35" i="16" s="1"/>
  <c r="K24" i="15"/>
  <c r="O19" i="16"/>
  <c r="S19" i="16" s="1"/>
  <c r="K7" i="15"/>
  <c r="O3" i="16"/>
  <c r="S3" i="16" s="1"/>
  <c r="L311" i="15"/>
  <c r="P291" i="16"/>
  <c r="T291" i="16" s="1"/>
  <c r="L295" i="15"/>
  <c r="P275" i="16"/>
  <c r="T275" i="16" s="1"/>
  <c r="L278" i="15"/>
  <c r="P259" i="16"/>
  <c r="T259" i="16" s="1"/>
  <c r="L260" i="15"/>
  <c r="P243" i="16"/>
  <c r="T243" i="16" s="1"/>
  <c r="L244" i="15"/>
  <c r="P227" i="16"/>
  <c r="T227" i="16" s="1"/>
  <c r="L226" i="15"/>
  <c r="P211" i="16"/>
  <c r="T211" i="16" s="1"/>
  <c r="L209" i="15"/>
  <c r="P195" i="16"/>
  <c r="T195" i="16" s="1"/>
  <c r="L192" i="15"/>
  <c r="P179" i="16"/>
  <c r="T179" i="16" s="1"/>
  <c r="L175" i="15"/>
  <c r="P163" i="16"/>
  <c r="T163" i="16" s="1"/>
  <c r="L157" i="15"/>
  <c r="P147" i="16"/>
  <c r="T147" i="16" s="1"/>
  <c r="L140" i="15"/>
  <c r="P131" i="16"/>
  <c r="T131" i="16" s="1"/>
  <c r="L123" i="15"/>
  <c r="P115" i="16"/>
  <c r="T115" i="16" s="1"/>
  <c r="L107" i="15"/>
  <c r="P99" i="16"/>
  <c r="T99" i="16" s="1"/>
  <c r="L90" i="15"/>
  <c r="P83" i="16"/>
  <c r="T83" i="16" s="1"/>
  <c r="L74" i="15"/>
  <c r="P67" i="16"/>
  <c r="T67" i="16" s="1"/>
  <c r="L57" i="15"/>
  <c r="P51" i="16"/>
  <c r="T51" i="16" s="1"/>
  <c r="L40" i="15"/>
  <c r="P35" i="16"/>
  <c r="T35" i="16" s="1"/>
  <c r="L24" i="15"/>
  <c r="P19" i="16"/>
  <c r="T19" i="16" s="1"/>
  <c r="L7" i="15"/>
  <c r="P3" i="16"/>
  <c r="T3" i="16" s="1"/>
  <c r="M311" i="15"/>
  <c r="Q291" i="16"/>
  <c r="U291" i="16" s="1"/>
  <c r="M295" i="15"/>
  <c r="Q275" i="16"/>
  <c r="U275" i="16" s="1"/>
  <c r="M278" i="15"/>
  <c r="Q259" i="16"/>
  <c r="U259" i="16" s="1"/>
  <c r="M260" i="15"/>
  <c r="Q243" i="16"/>
  <c r="U243" i="16" s="1"/>
  <c r="M244" i="15"/>
  <c r="Q227" i="16"/>
  <c r="U227" i="16" s="1"/>
  <c r="M226" i="15"/>
  <c r="Q211" i="16"/>
  <c r="U211" i="16" s="1"/>
  <c r="M209" i="15"/>
  <c r="Q195" i="16"/>
  <c r="U195" i="16" s="1"/>
  <c r="M192" i="15"/>
  <c r="Q179" i="16"/>
  <c r="U179" i="16" s="1"/>
  <c r="M175" i="15"/>
  <c r="Q163" i="16"/>
  <c r="U163" i="16" s="1"/>
  <c r="M157" i="15"/>
  <c r="Q147" i="16"/>
  <c r="U147" i="16" s="1"/>
  <c r="M140" i="15"/>
  <c r="Q131" i="16"/>
  <c r="U131" i="16" s="1"/>
  <c r="M123" i="15"/>
  <c r="Q115" i="16"/>
  <c r="U115" i="16" s="1"/>
  <c r="M107" i="15"/>
  <c r="Q99" i="16"/>
  <c r="U99" i="16" s="1"/>
  <c r="M90" i="15"/>
  <c r="Q83" i="16"/>
  <c r="U83" i="16" s="1"/>
  <c r="M74" i="15"/>
  <c r="Q67" i="16"/>
  <c r="U67" i="16" s="1"/>
  <c r="M57" i="15"/>
  <c r="Q51" i="16"/>
  <c r="U51" i="16" s="1"/>
  <c r="M40" i="15"/>
  <c r="Q35" i="16"/>
  <c r="U35" i="16" s="1"/>
  <c r="M24" i="15"/>
  <c r="Q19" i="16"/>
  <c r="U19" i="16" s="1"/>
  <c r="M7" i="15"/>
  <c r="Q3" i="16"/>
  <c r="U3" i="16" s="1"/>
  <c r="N311" i="15"/>
  <c r="R291" i="16"/>
  <c r="V291" i="16" s="1"/>
  <c r="N295" i="15"/>
  <c r="R275" i="16"/>
  <c r="V275" i="16" s="1"/>
  <c r="N278" i="15"/>
  <c r="R259" i="16"/>
  <c r="V259" i="16" s="1"/>
  <c r="N260" i="15"/>
  <c r="R243" i="16"/>
  <c r="V243" i="16" s="1"/>
  <c r="N244" i="15"/>
  <c r="R227" i="16"/>
  <c r="V227" i="16" s="1"/>
  <c r="N226" i="15"/>
  <c r="R211" i="16"/>
  <c r="V211" i="16" s="1"/>
  <c r="N209" i="15"/>
  <c r="R195" i="16"/>
  <c r="V195" i="16" s="1"/>
  <c r="N192" i="15"/>
  <c r="R179" i="16"/>
  <c r="V179" i="16" s="1"/>
  <c r="N175" i="15"/>
  <c r="R163" i="16"/>
  <c r="V163" i="16" s="1"/>
  <c r="N157" i="15"/>
  <c r="R147" i="16"/>
  <c r="V147" i="16" s="1"/>
  <c r="N140" i="15"/>
  <c r="R131" i="16"/>
  <c r="V131" i="16" s="1"/>
  <c r="N123" i="15"/>
  <c r="R115" i="16"/>
  <c r="V115" i="16" s="1"/>
  <c r="N107" i="15"/>
  <c r="R99" i="16"/>
  <c r="V99" i="16" s="1"/>
  <c r="N90" i="15"/>
  <c r="R83" i="16"/>
  <c r="V83" i="16" s="1"/>
  <c r="N74" i="15"/>
  <c r="R67" i="16"/>
  <c r="V67" i="16" s="1"/>
  <c r="N57" i="15"/>
  <c r="R51" i="16"/>
  <c r="V51" i="16" s="1"/>
  <c r="N40" i="15"/>
  <c r="R35" i="16"/>
  <c r="V35" i="16" s="1"/>
  <c r="N24" i="15"/>
  <c r="R19" i="16"/>
  <c r="V19" i="16" s="1"/>
  <c r="N7" i="15"/>
  <c r="R3" i="16"/>
  <c r="V3" i="16" s="1"/>
  <c r="O292" i="16"/>
  <c r="S292" i="16" s="1"/>
  <c r="O246" i="16"/>
  <c r="S246" i="16" s="1"/>
  <c r="O205" i="16"/>
  <c r="S205" i="16" s="1"/>
  <c r="O164" i="16"/>
  <c r="S164" i="16" s="1"/>
  <c r="O118" i="16"/>
  <c r="S118" i="16" s="1"/>
  <c r="O77" i="16"/>
  <c r="S77" i="16" s="1"/>
  <c r="O36" i="16"/>
  <c r="S36" i="16" s="1"/>
  <c r="P295" i="16"/>
  <c r="T295" i="16" s="1"/>
  <c r="P254" i="16"/>
  <c r="T254" i="16" s="1"/>
  <c r="P213" i="16"/>
  <c r="T213" i="16" s="1"/>
  <c r="P167" i="16"/>
  <c r="T167" i="16" s="1"/>
  <c r="P120" i="16"/>
  <c r="T120" i="16" s="1"/>
  <c r="P64" i="16"/>
  <c r="T64" i="16" s="1"/>
  <c r="Q296" i="16"/>
  <c r="U296" i="16" s="1"/>
  <c r="Q231" i="16"/>
  <c r="U231" i="16" s="1"/>
  <c r="Q12" i="16"/>
  <c r="U12" i="16" s="1"/>
  <c r="R236" i="16"/>
  <c r="V236" i="16" s="1"/>
  <c r="K219" i="15"/>
  <c r="O204" i="16"/>
  <c r="S204" i="16" s="1"/>
  <c r="K66" i="15"/>
  <c r="O60" i="16"/>
  <c r="S60" i="16" s="1"/>
  <c r="L304" i="15"/>
  <c r="P284" i="16"/>
  <c r="T284" i="16" s="1"/>
  <c r="M320" i="15"/>
  <c r="Q300" i="16"/>
  <c r="U300" i="16" s="1"/>
  <c r="M133" i="15"/>
  <c r="Q124" i="16"/>
  <c r="U124" i="16" s="1"/>
  <c r="K252" i="15"/>
  <c r="O235" i="16"/>
  <c r="S235" i="16" s="1"/>
  <c r="K65" i="15"/>
  <c r="O59" i="16"/>
  <c r="S59" i="16" s="1"/>
  <c r="L303" i="15"/>
  <c r="P283" i="16"/>
  <c r="T283" i="16" s="1"/>
  <c r="L115" i="15"/>
  <c r="P107" i="16"/>
  <c r="T107" i="16" s="1"/>
  <c r="M98" i="15"/>
  <c r="Q91" i="16"/>
  <c r="U91" i="16" s="1"/>
  <c r="N287" i="15"/>
  <c r="R267" i="16"/>
  <c r="V267" i="16" s="1"/>
  <c r="N48" i="15"/>
  <c r="R43" i="16"/>
  <c r="V43" i="16" s="1"/>
  <c r="L234" i="15"/>
  <c r="P218" i="16"/>
  <c r="T218" i="16" s="1"/>
  <c r="K295" i="15"/>
  <c r="O275" i="16"/>
  <c r="S275" i="16" s="1"/>
  <c r="K6" i="15"/>
  <c r="O2" i="16"/>
  <c r="S2" i="16" s="1"/>
  <c r="K310" i="15"/>
  <c r="O290" i="16"/>
  <c r="S290" i="16" s="1"/>
  <c r="K294" i="15"/>
  <c r="O274" i="16"/>
  <c r="S274" i="16" s="1"/>
  <c r="K277" i="15"/>
  <c r="O258" i="16"/>
  <c r="S258" i="16" s="1"/>
  <c r="K259" i="15"/>
  <c r="O242" i="16"/>
  <c r="S242" i="16" s="1"/>
  <c r="K243" i="15"/>
  <c r="O226" i="16"/>
  <c r="S226" i="16" s="1"/>
  <c r="K225" i="15"/>
  <c r="O210" i="16"/>
  <c r="S210" i="16" s="1"/>
  <c r="K208" i="15"/>
  <c r="O194" i="16"/>
  <c r="S194" i="16" s="1"/>
  <c r="K191" i="15"/>
  <c r="O178" i="16"/>
  <c r="S178" i="16" s="1"/>
  <c r="K174" i="15"/>
  <c r="O162" i="16"/>
  <c r="S162" i="16" s="1"/>
  <c r="K156" i="15"/>
  <c r="O146" i="16"/>
  <c r="S146" i="16" s="1"/>
  <c r="K139" i="15"/>
  <c r="O130" i="16"/>
  <c r="S130" i="16" s="1"/>
  <c r="K122" i="15"/>
  <c r="O114" i="16"/>
  <c r="S114" i="16" s="1"/>
  <c r="K106" i="15"/>
  <c r="O98" i="16"/>
  <c r="S98" i="16" s="1"/>
  <c r="K89" i="15"/>
  <c r="O82" i="16"/>
  <c r="S82" i="16" s="1"/>
  <c r="K73" i="15"/>
  <c r="O66" i="16"/>
  <c r="S66" i="16" s="1"/>
  <c r="K56" i="15"/>
  <c r="O50" i="16"/>
  <c r="S50" i="16" s="1"/>
  <c r="K39" i="15"/>
  <c r="O34" i="16"/>
  <c r="S34" i="16" s="1"/>
  <c r="K23" i="15"/>
  <c r="O18" i="16"/>
  <c r="S18" i="16" s="1"/>
  <c r="L6" i="15"/>
  <c r="P2" i="16"/>
  <c r="T2" i="16" s="1"/>
  <c r="L310" i="15"/>
  <c r="P290" i="16"/>
  <c r="T290" i="16" s="1"/>
  <c r="L294" i="15"/>
  <c r="P274" i="16"/>
  <c r="T274" i="16" s="1"/>
  <c r="L277" i="15"/>
  <c r="P258" i="16"/>
  <c r="T258" i="16" s="1"/>
  <c r="L259" i="15"/>
  <c r="P242" i="16"/>
  <c r="T242" i="16" s="1"/>
  <c r="L243" i="15"/>
  <c r="P226" i="16"/>
  <c r="T226" i="16" s="1"/>
  <c r="L225" i="15"/>
  <c r="P210" i="16"/>
  <c r="T210" i="16" s="1"/>
  <c r="L208" i="15"/>
  <c r="P194" i="16"/>
  <c r="T194" i="16" s="1"/>
  <c r="L191" i="15"/>
  <c r="P178" i="16"/>
  <c r="T178" i="16" s="1"/>
  <c r="L174" i="15"/>
  <c r="P162" i="16"/>
  <c r="T162" i="16" s="1"/>
  <c r="L156" i="15"/>
  <c r="P146" i="16"/>
  <c r="T146" i="16" s="1"/>
  <c r="L122" i="15"/>
  <c r="P114" i="16"/>
  <c r="T114" i="16" s="1"/>
  <c r="L106" i="15"/>
  <c r="P98" i="16"/>
  <c r="T98" i="16" s="1"/>
  <c r="L89" i="15"/>
  <c r="P82" i="16"/>
  <c r="T82" i="16" s="1"/>
  <c r="L73" i="15"/>
  <c r="P66" i="16"/>
  <c r="T66" i="16" s="1"/>
  <c r="L56" i="15"/>
  <c r="P50" i="16"/>
  <c r="T50" i="16" s="1"/>
  <c r="L39" i="15"/>
  <c r="P34" i="16"/>
  <c r="T34" i="16" s="1"/>
  <c r="L23" i="15"/>
  <c r="P18" i="16"/>
  <c r="T18" i="16" s="1"/>
  <c r="M6" i="15"/>
  <c r="Q2" i="16"/>
  <c r="U2" i="16" s="1"/>
  <c r="M310" i="15"/>
  <c r="Q290" i="16"/>
  <c r="U290" i="16" s="1"/>
  <c r="M294" i="15"/>
  <c r="Q274" i="16"/>
  <c r="U274" i="16" s="1"/>
  <c r="M243" i="15"/>
  <c r="Q226" i="16"/>
  <c r="U226" i="16" s="1"/>
  <c r="M225" i="15"/>
  <c r="Q210" i="16"/>
  <c r="U210" i="16" s="1"/>
  <c r="M174" i="15"/>
  <c r="Q162" i="16"/>
  <c r="U162" i="16" s="1"/>
  <c r="M251" i="15"/>
  <c r="O287" i="16"/>
  <c r="S287" i="16" s="1"/>
  <c r="O245" i="16"/>
  <c r="S245" i="16" s="1"/>
  <c r="O117" i="16"/>
  <c r="S117" i="16" s="1"/>
  <c r="Q219" i="16"/>
  <c r="U219" i="16" s="1"/>
  <c r="Q155" i="16"/>
  <c r="U155" i="16" s="1"/>
  <c r="R306" i="16"/>
  <c r="V306" i="16" s="1"/>
  <c r="K235" i="15"/>
  <c r="O219" i="16"/>
  <c r="S219" i="16" s="1"/>
  <c r="K48" i="15"/>
  <c r="O43" i="16"/>
  <c r="S43" i="16" s="1"/>
  <c r="L183" i="15"/>
  <c r="P171" i="16"/>
  <c r="T171" i="16" s="1"/>
  <c r="M252" i="15"/>
  <c r="Q235" i="16"/>
  <c r="U235" i="16" s="1"/>
  <c r="N149" i="15"/>
  <c r="R139" i="16"/>
  <c r="V139" i="16" s="1"/>
  <c r="K14" i="15"/>
  <c r="O10" i="16"/>
  <c r="S10" i="16" s="1"/>
  <c r="K278" i="15"/>
  <c r="O259" i="16"/>
  <c r="S259" i="16" s="1"/>
  <c r="K226" i="15"/>
  <c r="O211" i="16"/>
  <c r="S211" i="16" s="1"/>
  <c r="K325" i="15"/>
  <c r="O305" i="16"/>
  <c r="S305" i="16" s="1"/>
  <c r="K309" i="15"/>
  <c r="O289" i="16"/>
  <c r="S289" i="16" s="1"/>
  <c r="K293" i="15"/>
  <c r="O273" i="16"/>
  <c r="S273" i="16" s="1"/>
  <c r="K276" i="15"/>
  <c r="O257" i="16"/>
  <c r="S257" i="16" s="1"/>
  <c r="K258" i="15"/>
  <c r="O241" i="16"/>
  <c r="S241" i="16" s="1"/>
  <c r="K242" i="15"/>
  <c r="O225" i="16"/>
  <c r="S225" i="16" s="1"/>
  <c r="K224" i="15"/>
  <c r="O209" i="16"/>
  <c r="S209" i="16" s="1"/>
  <c r="K207" i="15"/>
  <c r="O193" i="16"/>
  <c r="S193" i="16" s="1"/>
  <c r="K190" i="15"/>
  <c r="O177" i="16"/>
  <c r="S177" i="16" s="1"/>
  <c r="K172" i="15"/>
  <c r="O161" i="16"/>
  <c r="S161" i="16" s="1"/>
  <c r="K155" i="15"/>
  <c r="O145" i="16"/>
  <c r="S145" i="16" s="1"/>
  <c r="K138" i="15"/>
  <c r="O129" i="16"/>
  <c r="S129" i="16" s="1"/>
  <c r="K121" i="15"/>
  <c r="O113" i="16"/>
  <c r="S113" i="16" s="1"/>
  <c r="K105" i="15"/>
  <c r="O97" i="16"/>
  <c r="S97" i="16" s="1"/>
  <c r="K88" i="15"/>
  <c r="O81" i="16"/>
  <c r="S81" i="16" s="1"/>
  <c r="K71" i="15"/>
  <c r="O65" i="16"/>
  <c r="S65" i="16" s="1"/>
  <c r="K55" i="15"/>
  <c r="O49" i="16"/>
  <c r="S49" i="16" s="1"/>
  <c r="K38" i="15"/>
  <c r="O33" i="16"/>
  <c r="S33" i="16" s="1"/>
  <c r="K21" i="15"/>
  <c r="O17" i="16"/>
  <c r="S17" i="16" s="1"/>
  <c r="L325" i="15"/>
  <c r="P305" i="16"/>
  <c r="T305" i="16" s="1"/>
  <c r="L309" i="15"/>
  <c r="P289" i="16"/>
  <c r="T289" i="16" s="1"/>
  <c r="L293" i="15"/>
  <c r="P273" i="16"/>
  <c r="T273" i="16" s="1"/>
  <c r="L276" i="15"/>
  <c r="P257" i="16"/>
  <c r="T257" i="16" s="1"/>
  <c r="L258" i="15"/>
  <c r="P241" i="16"/>
  <c r="T241" i="16" s="1"/>
  <c r="L242" i="15"/>
  <c r="P225" i="16"/>
  <c r="T225" i="16" s="1"/>
  <c r="L224" i="15"/>
  <c r="P209" i="16"/>
  <c r="T209" i="16" s="1"/>
  <c r="L207" i="15"/>
  <c r="P193" i="16"/>
  <c r="T193" i="16" s="1"/>
  <c r="L190" i="15"/>
  <c r="P177" i="16"/>
  <c r="T177" i="16" s="1"/>
  <c r="L172" i="15"/>
  <c r="P161" i="16"/>
  <c r="T161" i="16" s="1"/>
  <c r="L155" i="15"/>
  <c r="P145" i="16"/>
  <c r="T145" i="16" s="1"/>
  <c r="L121" i="15"/>
  <c r="P113" i="16"/>
  <c r="T113" i="16" s="1"/>
  <c r="L105" i="15"/>
  <c r="P97" i="16"/>
  <c r="T97" i="16" s="1"/>
  <c r="L55" i="15"/>
  <c r="P49" i="16"/>
  <c r="T49" i="16" s="1"/>
  <c r="L38" i="15"/>
  <c r="P33" i="16"/>
  <c r="T33" i="16" s="1"/>
  <c r="M325" i="15"/>
  <c r="Q305" i="16"/>
  <c r="U305" i="16" s="1"/>
  <c r="M309" i="15"/>
  <c r="Q289" i="16"/>
  <c r="U289" i="16" s="1"/>
  <c r="M293" i="15"/>
  <c r="Q273" i="16"/>
  <c r="U273" i="16" s="1"/>
  <c r="M276" i="15"/>
  <c r="Q257" i="16"/>
  <c r="U257" i="16" s="1"/>
  <c r="M242" i="15"/>
  <c r="O285" i="16"/>
  <c r="S285" i="16" s="1"/>
  <c r="O244" i="16"/>
  <c r="S244" i="16" s="1"/>
  <c r="O198" i="16"/>
  <c r="S198" i="16" s="1"/>
  <c r="O157" i="16"/>
  <c r="S157" i="16" s="1"/>
  <c r="O116" i="16"/>
  <c r="S116" i="16" s="1"/>
  <c r="O70" i="16"/>
  <c r="S70" i="16" s="1"/>
  <c r="O29" i="16"/>
  <c r="S29" i="16" s="1"/>
  <c r="P293" i="16"/>
  <c r="T293" i="16" s="1"/>
  <c r="P247" i="16"/>
  <c r="T247" i="16" s="1"/>
  <c r="P206" i="16"/>
  <c r="T206" i="16" s="1"/>
  <c r="P165" i="16"/>
  <c r="T165" i="16" s="1"/>
  <c r="P111" i="16"/>
  <c r="T111" i="16" s="1"/>
  <c r="P54" i="16"/>
  <c r="T54" i="16" s="1"/>
  <c r="Q294" i="16"/>
  <c r="U294" i="16" s="1"/>
  <c r="Q218" i="16"/>
  <c r="U218" i="16" s="1"/>
  <c r="Q153" i="16"/>
  <c r="U153" i="16" s="1"/>
  <c r="R304" i="16"/>
  <c r="V304" i="16" s="1"/>
  <c r="R221" i="16"/>
  <c r="V221" i="16" s="1"/>
  <c r="R140" i="16"/>
  <c r="V140" i="16" s="1"/>
  <c r="K320" i="15"/>
  <c r="O300" i="16"/>
  <c r="S300" i="16" s="1"/>
  <c r="K133" i="15"/>
  <c r="O124" i="16"/>
  <c r="S124" i="16" s="1"/>
  <c r="L253" i="15"/>
  <c r="P236" i="16"/>
  <c r="T236" i="16" s="1"/>
  <c r="L83" i="15"/>
  <c r="P76" i="16"/>
  <c r="T76" i="16" s="1"/>
  <c r="M184" i="15"/>
  <c r="Q172" i="16"/>
  <c r="U172" i="16" s="1"/>
  <c r="K200" i="15"/>
  <c r="O187" i="16"/>
  <c r="S187" i="16" s="1"/>
  <c r="K32" i="15"/>
  <c r="O27" i="16"/>
  <c r="S27" i="16" s="1"/>
  <c r="L32" i="15"/>
  <c r="P27" i="16"/>
  <c r="T27" i="16" s="1"/>
  <c r="M183" i="15"/>
  <c r="Q171" i="16"/>
  <c r="U171" i="16" s="1"/>
  <c r="N269" i="15"/>
  <c r="R251" i="16"/>
  <c r="V251" i="16" s="1"/>
  <c r="N166" i="15"/>
  <c r="R155" i="16"/>
  <c r="V155" i="16" s="1"/>
  <c r="P91" i="16"/>
  <c r="T91" i="16" s="1"/>
  <c r="L251" i="15"/>
  <c r="P234" i="16"/>
  <c r="T234" i="16" s="1"/>
  <c r="K311" i="15"/>
  <c r="O291" i="16"/>
  <c r="S291" i="16" s="1"/>
  <c r="K260" i="15"/>
  <c r="O243" i="16"/>
  <c r="S243" i="16" s="1"/>
  <c r="K244" i="15"/>
  <c r="O227" i="16"/>
  <c r="S227" i="16" s="1"/>
  <c r="K324" i="15"/>
  <c r="O304" i="16"/>
  <c r="S304" i="16" s="1"/>
  <c r="K308" i="15"/>
  <c r="O288" i="16"/>
  <c r="S288" i="16" s="1"/>
  <c r="K292" i="15"/>
  <c r="O272" i="16"/>
  <c r="S272" i="16" s="1"/>
  <c r="K275" i="15"/>
  <c r="O256" i="16"/>
  <c r="S256" i="16" s="1"/>
  <c r="K257" i="15"/>
  <c r="O240" i="16"/>
  <c r="S240" i="16" s="1"/>
  <c r="K240" i="15"/>
  <c r="O224" i="16"/>
  <c r="S224" i="16" s="1"/>
  <c r="K223" i="15"/>
  <c r="O208" i="16"/>
  <c r="S208" i="16" s="1"/>
  <c r="K206" i="15"/>
  <c r="O192" i="16"/>
  <c r="S192" i="16" s="1"/>
  <c r="K189" i="15"/>
  <c r="O176" i="16"/>
  <c r="S176" i="16" s="1"/>
  <c r="K171" i="15"/>
  <c r="O160" i="16"/>
  <c r="S160" i="16" s="1"/>
  <c r="K154" i="15"/>
  <c r="O144" i="16"/>
  <c r="S144" i="16" s="1"/>
  <c r="K137" i="15"/>
  <c r="O128" i="16"/>
  <c r="S128" i="16" s="1"/>
  <c r="K120" i="15"/>
  <c r="O112" i="16"/>
  <c r="S112" i="16" s="1"/>
  <c r="K104" i="15"/>
  <c r="O96" i="16"/>
  <c r="S96" i="16" s="1"/>
  <c r="K87" i="15"/>
  <c r="O80" i="16"/>
  <c r="S80" i="16" s="1"/>
  <c r="K70" i="15"/>
  <c r="O64" i="16"/>
  <c r="S64" i="16" s="1"/>
  <c r="K54" i="15"/>
  <c r="O48" i="16"/>
  <c r="S48" i="16" s="1"/>
  <c r="K37" i="15"/>
  <c r="O32" i="16"/>
  <c r="S32" i="16" s="1"/>
  <c r="K20" i="15"/>
  <c r="O16" i="16"/>
  <c r="S16" i="16" s="1"/>
  <c r="L154" i="15"/>
  <c r="P144" i="16"/>
  <c r="T144" i="16" s="1"/>
  <c r="L104" i="15"/>
  <c r="P96" i="16"/>
  <c r="T96" i="16" s="1"/>
  <c r="L87" i="15"/>
  <c r="P80" i="16"/>
  <c r="T80" i="16" s="1"/>
  <c r="L54" i="15"/>
  <c r="P48" i="16"/>
  <c r="T48" i="16" s="1"/>
  <c r="L37" i="15"/>
  <c r="P32" i="16"/>
  <c r="T32" i="16" s="1"/>
  <c r="M324" i="15"/>
  <c r="Q304" i="16"/>
  <c r="U304" i="16" s="1"/>
  <c r="M308" i="15"/>
  <c r="Q288" i="16"/>
  <c r="U288" i="16" s="1"/>
  <c r="M292" i="15"/>
  <c r="Q272" i="16"/>
  <c r="U272" i="16" s="1"/>
  <c r="M275" i="15"/>
  <c r="Q256" i="16"/>
  <c r="U256" i="16" s="1"/>
  <c r="M257" i="15"/>
  <c r="Q240" i="16"/>
  <c r="U240" i="16" s="1"/>
  <c r="M240" i="15"/>
  <c r="Q224" i="16"/>
  <c r="U224" i="16" s="1"/>
  <c r="M223" i="15"/>
  <c r="Q208" i="16"/>
  <c r="U208" i="16" s="1"/>
  <c r="M206" i="15"/>
  <c r="Q192" i="16"/>
  <c r="U192" i="16" s="1"/>
  <c r="M189" i="15"/>
  <c r="Q176" i="16"/>
  <c r="U176" i="16" s="1"/>
  <c r="M171" i="15"/>
  <c r="Q160" i="16"/>
  <c r="U160" i="16" s="1"/>
  <c r="M154" i="15"/>
  <c r="Q144" i="16"/>
  <c r="U144" i="16" s="1"/>
  <c r="M137" i="15"/>
  <c r="Q128" i="16"/>
  <c r="U128" i="16" s="1"/>
  <c r="M120" i="15"/>
  <c r="Q112" i="16"/>
  <c r="U112" i="16" s="1"/>
  <c r="M104" i="15"/>
  <c r="Q96" i="16"/>
  <c r="U96" i="16" s="1"/>
  <c r="M87" i="15"/>
  <c r="Q80" i="16"/>
  <c r="U80" i="16" s="1"/>
  <c r="M70" i="15"/>
  <c r="Q64" i="16"/>
  <c r="U64" i="16" s="1"/>
  <c r="M54" i="15"/>
  <c r="Q48" i="16"/>
  <c r="U48" i="16" s="1"/>
  <c r="M37" i="15"/>
  <c r="Q32" i="16"/>
  <c r="U32" i="16" s="1"/>
  <c r="M20" i="15"/>
  <c r="Q16" i="16"/>
  <c r="U16" i="16" s="1"/>
  <c r="N308" i="15"/>
  <c r="R288" i="16"/>
  <c r="V288" i="16" s="1"/>
  <c r="N275" i="15"/>
  <c r="R256" i="16"/>
  <c r="V256" i="16" s="1"/>
  <c r="N240" i="15"/>
  <c r="R224" i="16"/>
  <c r="V224" i="16" s="1"/>
  <c r="N206" i="15"/>
  <c r="R192" i="16"/>
  <c r="V192" i="16" s="1"/>
  <c r="N171" i="15"/>
  <c r="R160" i="16"/>
  <c r="V160" i="16" s="1"/>
  <c r="M165" i="15"/>
  <c r="O279" i="16"/>
  <c r="S279" i="16" s="1"/>
  <c r="O239" i="16"/>
  <c r="S239" i="16" s="1"/>
  <c r="O197" i="16"/>
  <c r="S197" i="16" s="1"/>
  <c r="O151" i="16"/>
  <c r="S151" i="16" s="1"/>
  <c r="O111" i="16"/>
  <c r="S111" i="16" s="1"/>
  <c r="O69" i="16"/>
  <c r="S69" i="16" s="1"/>
  <c r="O23" i="16"/>
  <c r="S23" i="16" s="1"/>
  <c r="P288" i="16"/>
  <c r="T288" i="16" s="1"/>
  <c r="P246" i="16"/>
  <c r="T246" i="16" s="1"/>
  <c r="P200" i="16"/>
  <c r="T200" i="16" s="1"/>
  <c r="P160" i="16"/>
  <c r="T160" i="16" s="1"/>
  <c r="P110" i="16"/>
  <c r="T110" i="16" s="1"/>
  <c r="P42" i="16"/>
  <c r="T42" i="16" s="1"/>
  <c r="Q283" i="16"/>
  <c r="U283" i="16" s="1"/>
  <c r="Q217" i="16"/>
  <c r="U217" i="16" s="1"/>
  <c r="R301" i="16"/>
  <c r="V301" i="16" s="1"/>
  <c r="R42" i="16"/>
  <c r="V42" i="16" s="1"/>
  <c r="N104" i="15"/>
  <c r="R96" i="16"/>
  <c r="V96" i="16" s="1"/>
  <c r="N87" i="15"/>
  <c r="R80" i="16"/>
  <c r="V80" i="16" s="1"/>
  <c r="N70" i="15"/>
  <c r="R64" i="16"/>
  <c r="V64" i="16" s="1"/>
  <c r="N54" i="15"/>
  <c r="R48" i="16"/>
  <c r="V48" i="16" s="1"/>
  <c r="N37" i="15"/>
  <c r="R32" i="16"/>
  <c r="V32" i="16" s="1"/>
  <c r="N20" i="15"/>
  <c r="R16" i="16"/>
  <c r="V16" i="16" s="1"/>
  <c r="Q150" i="16"/>
  <c r="U150" i="16" s="1"/>
  <c r="Q65" i="16"/>
  <c r="U65" i="16" s="1"/>
  <c r="Q38" i="16"/>
  <c r="U38" i="16" s="1"/>
  <c r="Q8" i="16"/>
  <c r="U8" i="16" s="1"/>
  <c r="R281" i="16"/>
  <c r="V281" i="16" s="1"/>
  <c r="R249" i="16"/>
  <c r="V249" i="16" s="1"/>
  <c r="R217" i="16"/>
  <c r="V217" i="16" s="1"/>
  <c r="R185" i="16"/>
  <c r="V185" i="16" s="1"/>
  <c r="R153" i="16"/>
  <c r="V153" i="16" s="1"/>
  <c r="N323" i="15"/>
  <c r="R303" i="16"/>
  <c r="V303" i="16" s="1"/>
  <c r="N307" i="15"/>
  <c r="R287" i="16"/>
  <c r="V287" i="16" s="1"/>
  <c r="N291" i="15"/>
  <c r="R271" i="16"/>
  <c r="V271" i="16" s="1"/>
  <c r="N274" i="15"/>
  <c r="R255" i="16"/>
  <c r="V255" i="16" s="1"/>
  <c r="N256" i="15"/>
  <c r="R239" i="16"/>
  <c r="V239" i="16" s="1"/>
  <c r="N239" i="15"/>
  <c r="R223" i="16"/>
  <c r="V223" i="16" s="1"/>
  <c r="N222" i="15"/>
  <c r="R207" i="16"/>
  <c r="V207" i="16" s="1"/>
  <c r="N205" i="15"/>
  <c r="R191" i="16"/>
  <c r="V191" i="16" s="1"/>
  <c r="N188" i="15"/>
  <c r="R175" i="16"/>
  <c r="V175" i="16" s="1"/>
  <c r="N170" i="15"/>
  <c r="R159" i="16"/>
  <c r="V159" i="16" s="1"/>
  <c r="N136" i="15"/>
  <c r="R127" i="16"/>
  <c r="V127" i="16" s="1"/>
  <c r="N119" i="15"/>
  <c r="R111" i="16"/>
  <c r="V111" i="16" s="1"/>
  <c r="N102" i="15"/>
  <c r="R95" i="16"/>
  <c r="V95" i="16" s="1"/>
  <c r="N86" i="15"/>
  <c r="R79" i="16"/>
  <c r="V79" i="16" s="1"/>
  <c r="N69" i="15"/>
  <c r="R63" i="16"/>
  <c r="V63" i="16" s="1"/>
  <c r="N53" i="15"/>
  <c r="R47" i="16"/>
  <c r="V47" i="16" s="1"/>
  <c r="N36" i="15"/>
  <c r="R31" i="16"/>
  <c r="V31" i="16" s="1"/>
  <c r="N19" i="15"/>
  <c r="R15" i="16"/>
  <c r="V15" i="16" s="1"/>
  <c r="Q146" i="16"/>
  <c r="U146" i="16" s="1"/>
  <c r="Q120" i="16"/>
  <c r="U120" i="16" s="1"/>
  <c r="Q63" i="16"/>
  <c r="U63" i="16" s="1"/>
  <c r="Q34" i="16"/>
  <c r="U34" i="16" s="1"/>
  <c r="Q7" i="16"/>
  <c r="U7" i="16" s="1"/>
  <c r="R280" i="16"/>
  <c r="V280" i="16" s="1"/>
  <c r="R248" i="16"/>
  <c r="V248" i="16" s="1"/>
  <c r="R216" i="16"/>
  <c r="V216" i="16" s="1"/>
  <c r="R184" i="16"/>
  <c r="V184" i="16" s="1"/>
  <c r="R152" i="16"/>
  <c r="V152" i="16" s="1"/>
  <c r="R120" i="16"/>
  <c r="V120" i="16" s="1"/>
  <c r="R87" i="16"/>
  <c r="V87" i="16" s="1"/>
  <c r="M322" i="15"/>
  <c r="Q302" i="16"/>
  <c r="U302" i="16" s="1"/>
  <c r="M306" i="15"/>
  <c r="Q286" i="16"/>
  <c r="U286" i="16" s="1"/>
  <c r="M290" i="15"/>
  <c r="Q270" i="16"/>
  <c r="U270" i="16" s="1"/>
  <c r="M273" i="15"/>
  <c r="Q254" i="16"/>
  <c r="U254" i="16" s="1"/>
  <c r="M255" i="15"/>
  <c r="Q238" i="16"/>
  <c r="U238" i="16" s="1"/>
  <c r="M238" i="15"/>
  <c r="Q222" i="16"/>
  <c r="U222" i="16" s="1"/>
  <c r="M221" i="15"/>
  <c r="Q206" i="16"/>
  <c r="U206" i="16" s="1"/>
  <c r="M203" i="15"/>
  <c r="Q190" i="16"/>
  <c r="U190" i="16" s="1"/>
  <c r="M186" i="15"/>
  <c r="Q174" i="16"/>
  <c r="U174" i="16" s="1"/>
  <c r="M169" i="15"/>
  <c r="Q158" i="16"/>
  <c r="U158" i="16" s="1"/>
  <c r="M152" i="15"/>
  <c r="Q142" i="16"/>
  <c r="U142" i="16" s="1"/>
  <c r="M135" i="15"/>
  <c r="Q126" i="16"/>
  <c r="U126" i="16" s="1"/>
  <c r="M118" i="15"/>
  <c r="Q110" i="16"/>
  <c r="U110" i="16" s="1"/>
  <c r="M101" i="15"/>
  <c r="Q94" i="16"/>
  <c r="U94" i="16" s="1"/>
  <c r="M85" i="15"/>
  <c r="Q78" i="16"/>
  <c r="U78" i="16" s="1"/>
  <c r="M68" i="15"/>
  <c r="Q62" i="16"/>
  <c r="U62" i="16" s="1"/>
  <c r="M52" i="15"/>
  <c r="Q46" i="16"/>
  <c r="U46" i="16" s="1"/>
  <c r="M35" i="15"/>
  <c r="Q30" i="16"/>
  <c r="U30" i="16" s="1"/>
  <c r="M18" i="15"/>
  <c r="Q14" i="16"/>
  <c r="U14" i="16" s="1"/>
  <c r="N322" i="15"/>
  <c r="R302" i="16"/>
  <c r="V302" i="16" s="1"/>
  <c r="N306" i="15"/>
  <c r="R286" i="16"/>
  <c r="V286" i="16" s="1"/>
  <c r="N290" i="15"/>
  <c r="R270" i="16"/>
  <c r="V270" i="16" s="1"/>
  <c r="N273" i="15"/>
  <c r="R254" i="16"/>
  <c r="V254" i="16" s="1"/>
  <c r="N255" i="15"/>
  <c r="R238" i="16"/>
  <c r="V238" i="16" s="1"/>
  <c r="N238" i="15"/>
  <c r="R222" i="16"/>
  <c r="V222" i="16" s="1"/>
  <c r="N221" i="15"/>
  <c r="R206" i="16"/>
  <c r="V206" i="16" s="1"/>
  <c r="N203" i="15"/>
  <c r="R190" i="16"/>
  <c r="V190" i="16" s="1"/>
  <c r="N186" i="15"/>
  <c r="R174" i="16"/>
  <c r="V174" i="16" s="1"/>
  <c r="N169" i="15"/>
  <c r="R158" i="16"/>
  <c r="V158" i="16" s="1"/>
  <c r="N152" i="15"/>
  <c r="R142" i="16"/>
  <c r="V142" i="16" s="1"/>
  <c r="N135" i="15"/>
  <c r="R126" i="16"/>
  <c r="V126" i="16" s="1"/>
  <c r="N118" i="15"/>
  <c r="R110" i="16"/>
  <c r="V110" i="16" s="1"/>
  <c r="N101" i="15"/>
  <c r="R94" i="16"/>
  <c r="V94" i="16" s="1"/>
  <c r="N85" i="15"/>
  <c r="R78" i="16"/>
  <c r="V78" i="16" s="1"/>
  <c r="N68" i="15"/>
  <c r="R62" i="16"/>
  <c r="V62" i="16" s="1"/>
  <c r="N52" i="15"/>
  <c r="R46" i="16"/>
  <c r="V46" i="16" s="1"/>
  <c r="N35" i="15"/>
  <c r="R30" i="16"/>
  <c r="V30" i="16" s="1"/>
  <c r="N18" i="15"/>
  <c r="R14" i="16"/>
  <c r="V14" i="16" s="1"/>
  <c r="Q145" i="16"/>
  <c r="U145" i="16" s="1"/>
  <c r="Q89" i="16"/>
  <c r="U89" i="16" s="1"/>
  <c r="Q33" i="16"/>
  <c r="U33" i="16" s="1"/>
  <c r="Q6" i="16"/>
  <c r="U6" i="16" s="1"/>
  <c r="R279" i="16"/>
  <c r="V279" i="16" s="1"/>
  <c r="R247" i="16"/>
  <c r="V247" i="16" s="1"/>
  <c r="R215" i="16"/>
  <c r="V215" i="16" s="1"/>
  <c r="R183" i="16"/>
  <c r="V183" i="16" s="1"/>
  <c r="R151" i="16"/>
  <c r="V151" i="16" s="1"/>
  <c r="R119" i="16"/>
  <c r="V119" i="16" s="1"/>
  <c r="R82" i="16"/>
  <c r="V82" i="16" s="1"/>
  <c r="R9" i="16"/>
  <c r="V9" i="16" s="1"/>
  <c r="M73" i="15"/>
  <c r="Q81" i="16"/>
  <c r="U81" i="16" s="1"/>
  <c r="Q54" i="16"/>
  <c r="U54" i="16" s="1"/>
  <c r="Q24" i="16"/>
  <c r="U24" i="16" s="1"/>
  <c r="R72" i="16"/>
  <c r="V72" i="16" s="1"/>
  <c r="R34" i="16"/>
  <c r="V34" i="16" s="1"/>
  <c r="M23" i="15"/>
  <c r="Q161" i="16"/>
  <c r="U161" i="16" s="1"/>
  <c r="Q136" i="16"/>
  <c r="U136" i="16" s="1"/>
  <c r="Q79" i="16"/>
  <c r="U79" i="16" s="1"/>
  <c r="Q50" i="16"/>
  <c r="U50" i="16" s="1"/>
  <c r="Q23" i="16"/>
  <c r="U23" i="16" s="1"/>
  <c r="R297" i="16"/>
  <c r="V297" i="16" s="1"/>
  <c r="R265" i="16"/>
  <c r="V265" i="16" s="1"/>
  <c r="R233" i="16"/>
  <c r="V233" i="16" s="1"/>
  <c r="R201" i="16"/>
  <c r="V201" i="16" s="1"/>
  <c r="R169" i="16"/>
  <c r="V169" i="16" s="1"/>
  <c r="R137" i="16"/>
  <c r="V137" i="16" s="1"/>
  <c r="R105" i="16"/>
  <c r="V105" i="16" s="1"/>
  <c r="R71" i="16"/>
  <c r="V71" i="16" s="1"/>
  <c r="N155" i="15"/>
  <c r="Q159" i="16"/>
  <c r="U159" i="16" s="1"/>
  <c r="Q135" i="16"/>
  <c r="U135" i="16" s="1"/>
  <c r="Q49" i="16"/>
  <c r="U49" i="16" s="1"/>
  <c r="Q22" i="16"/>
  <c r="U22" i="16" s="1"/>
  <c r="R296" i="16"/>
  <c r="V296" i="16" s="1"/>
  <c r="R264" i="16"/>
  <c r="V264" i="16" s="1"/>
  <c r="R232" i="16"/>
  <c r="V232" i="16" s="1"/>
  <c r="R200" i="16"/>
  <c r="V200" i="16" s="1"/>
  <c r="R168" i="16"/>
  <c r="V168" i="16" s="1"/>
  <c r="R136" i="16"/>
  <c r="V136" i="16" s="1"/>
  <c r="R104" i="16"/>
  <c r="V104" i="16" s="1"/>
  <c r="N314" i="15"/>
  <c r="R294" i="16"/>
  <c r="V294" i="16" s="1"/>
  <c r="N298" i="15"/>
  <c r="R278" i="16"/>
  <c r="V278" i="16" s="1"/>
  <c r="N282" i="15"/>
  <c r="R262" i="16"/>
  <c r="V262" i="16" s="1"/>
  <c r="N264" i="15"/>
  <c r="R246" i="16"/>
  <c r="V246" i="16" s="1"/>
  <c r="N247" i="15"/>
  <c r="R230" i="16"/>
  <c r="V230" i="16" s="1"/>
  <c r="N230" i="15"/>
  <c r="R214" i="16"/>
  <c r="V214" i="16" s="1"/>
  <c r="N212" i="15"/>
  <c r="R198" i="16"/>
  <c r="V198" i="16" s="1"/>
  <c r="N195" i="15"/>
  <c r="R182" i="16"/>
  <c r="V182" i="16" s="1"/>
  <c r="N178" i="15"/>
  <c r="R166" i="16"/>
  <c r="V166" i="16" s="1"/>
  <c r="N161" i="15"/>
  <c r="R150" i="16"/>
  <c r="V150" i="16" s="1"/>
  <c r="N143" i="15"/>
  <c r="R134" i="16"/>
  <c r="V134" i="16" s="1"/>
  <c r="N126" i="15"/>
  <c r="R118" i="16"/>
  <c r="V118" i="16" s="1"/>
  <c r="N110" i="15"/>
  <c r="R102" i="16"/>
  <c r="V102" i="16" s="1"/>
  <c r="N93" i="15"/>
  <c r="R86" i="16"/>
  <c r="V86" i="16" s="1"/>
  <c r="N77" i="15"/>
  <c r="R70" i="16"/>
  <c r="V70" i="16" s="1"/>
  <c r="N60" i="15"/>
  <c r="R54" i="16"/>
  <c r="V54" i="16" s="1"/>
  <c r="N43" i="15"/>
  <c r="R38" i="16"/>
  <c r="V38" i="16" s="1"/>
  <c r="N27" i="15"/>
  <c r="R22" i="16"/>
  <c r="V22" i="16" s="1"/>
  <c r="N10" i="15"/>
  <c r="R6" i="16"/>
  <c r="V6" i="16" s="1"/>
  <c r="Q209" i="16"/>
  <c r="U209" i="16" s="1"/>
  <c r="Q134" i="16"/>
  <c r="U134" i="16" s="1"/>
  <c r="Q104" i="16"/>
  <c r="U104" i="16" s="1"/>
  <c r="Q47" i="16"/>
  <c r="U47" i="16" s="1"/>
  <c r="R295" i="16"/>
  <c r="V295" i="16" s="1"/>
  <c r="R263" i="16"/>
  <c r="V263" i="16" s="1"/>
  <c r="R231" i="16"/>
  <c r="V231" i="16" s="1"/>
  <c r="R199" i="16"/>
  <c r="V199" i="16" s="1"/>
  <c r="R167" i="16"/>
  <c r="V167" i="16" s="1"/>
  <c r="R135" i="16"/>
  <c r="V135" i="16" s="1"/>
  <c r="R103" i="16"/>
  <c r="V103" i="16" s="1"/>
  <c r="M210" i="15"/>
  <c r="Q196" i="16"/>
  <c r="U196" i="16" s="1"/>
  <c r="M193" i="15"/>
  <c r="Q180" i="16"/>
  <c r="U180" i="16" s="1"/>
  <c r="M176" i="15"/>
  <c r="Q164" i="16"/>
  <c r="U164" i="16" s="1"/>
  <c r="M158" i="15"/>
  <c r="Q148" i="16"/>
  <c r="U148" i="16" s="1"/>
  <c r="M141" i="15"/>
  <c r="Q132" i="16"/>
  <c r="U132" i="16" s="1"/>
  <c r="M124" i="15"/>
  <c r="Q116" i="16"/>
  <c r="U116" i="16" s="1"/>
  <c r="M108" i="15"/>
  <c r="Q100" i="16"/>
  <c r="U100" i="16" s="1"/>
  <c r="M91" i="15"/>
  <c r="Q84" i="16"/>
  <c r="U84" i="16" s="1"/>
  <c r="M75" i="15"/>
  <c r="Q68" i="16"/>
  <c r="U68" i="16" s="1"/>
  <c r="M58" i="15"/>
  <c r="Q52" i="16"/>
  <c r="U52" i="16" s="1"/>
  <c r="M41" i="15"/>
  <c r="Q36" i="16"/>
  <c r="U36" i="16" s="1"/>
  <c r="Q20" i="16"/>
  <c r="U20" i="16" s="1"/>
  <c r="M8" i="15"/>
  <c r="Q4" i="16"/>
  <c r="U4" i="16" s="1"/>
  <c r="N312" i="15"/>
  <c r="R292" i="16"/>
  <c r="V292" i="16" s="1"/>
  <c r="N296" i="15"/>
  <c r="R276" i="16"/>
  <c r="V276" i="16" s="1"/>
  <c r="N280" i="15"/>
  <c r="R260" i="16"/>
  <c r="V260" i="16" s="1"/>
  <c r="N262" i="15"/>
  <c r="R244" i="16"/>
  <c r="V244" i="16" s="1"/>
  <c r="N245" i="15"/>
  <c r="R228" i="16"/>
  <c r="V228" i="16" s="1"/>
  <c r="N227" i="15"/>
  <c r="R212" i="16"/>
  <c r="V212" i="16" s="1"/>
  <c r="N210" i="15"/>
  <c r="R196" i="16"/>
  <c r="V196" i="16" s="1"/>
  <c r="N193" i="15"/>
  <c r="R180" i="16"/>
  <c r="V180" i="16" s="1"/>
  <c r="N176" i="15"/>
  <c r="R164" i="16"/>
  <c r="V164" i="16" s="1"/>
  <c r="N158" i="15"/>
  <c r="R148" i="16"/>
  <c r="V148" i="16" s="1"/>
  <c r="N141" i="15"/>
  <c r="R132" i="16"/>
  <c r="V132" i="16" s="1"/>
  <c r="N124" i="15"/>
  <c r="R116" i="16"/>
  <c r="V116" i="16" s="1"/>
  <c r="N108" i="15"/>
  <c r="R100" i="16"/>
  <c r="V100" i="16" s="1"/>
  <c r="N91" i="15"/>
  <c r="R84" i="16"/>
  <c r="V84" i="16" s="1"/>
  <c r="N75" i="15"/>
  <c r="R68" i="16"/>
  <c r="V68" i="16" s="1"/>
  <c r="N58" i="15"/>
  <c r="R52" i="16"/>
  <c r="V52" i="16" s="1"/>
  <c r="N41" i="15"/>
  <c r="R36" i="16"/>
  <c r="V36" i="16" s="1"/>
  <c r="N25" i="15"/>
  <c r="R20" i="16"/>
  <c r="V20" i="16" s="1"/>
  <c r="N8" i="15"/>
  <c r="R4" i="16"/>
  <c r="V4" i="16" s="1"/>
  <c r="Q182" i="16"/>
  <c r="U182" i="16" s="1"/>
  <c r="Q129" i="16"/>
  <c r="U129" i="16" s="1"/>
  <c r="Q102" i="16"/>
  <c r="U102" i="16" s="1"/>
  <c r="Q72" i="16"/>
  <c r="U72" i="16" s="1"/>
  <c r="Q15" i="16"/>
  <c r="U15" i="16" s="1"/>
  <c r="R128" i="16"/>
  <c r="V128" i="16" s="1"/>
  <c r="R24" i="16"/>
  <c r="V24" i="16" s="1"/>
  <c r="N6" i="15"/>
  <c r="R2" i="16"/>
  <c r="V2" i="16" s="1"/>
  <c r="Q177" i="16"/>
  <c r="U177" i="16" s="1"/>
  <c r="Q152" i="16"/>
  <c r="U152" i="16" s="1"/>
  <c r="Q97" i="16"/>
  <c r="U97" i="16" s="1"/>
  <c r="Q70" i="16"/>
  <c r="U70" i="16" s="1"/>
  <c r="Q40" i="16"/>
  <c r="U40" i="16" s="1"/>
  <c r="R56" i="16"/>
  <c r="V56" i="16" s="1"/>
  <c r="R18" i="16"/>
  <c r="V18" i="16" s="1"/>
  <c r="N325" i="15"/>
  <c r="R305" i="16"/>
  <c r="V305" i="16" s="1"/>
  <c r="N309" i="15"/>
  <c r="R289" i="16"/>
  <c r="V289" i="16" s="1"/>
  <c r="N293" i="15"/>
  <c r="R273" i="16"/>
  <c r="V273" i="16" s="1"/>
  <c r="N276" i="15"/>
  <c r="R257" i="16"/>
  <c r="V257" i="16" s="1"/>
  <c r="N258" i="15"/>
  <c r="R241" i="16"/>
  <c r="V241" i="16" s="1"/>
  <c r="N242" i="15"/>
  <c r="R225" i="16"/>
  <c r="V225" i="16" s="1"/>
  <c r="N224" i="15"/>
  <c r="R209" i="16"/>
  <c r="V209" i="16" s="1"/>
  <c r="N207" i="15"/>
  <c r="R193" i="16"/>
  <c r="V193" i="16" s="1"/>
  <c r="N190" i="15"/>
  <c r="R177" i="16"/>
  <c r="V177" i="16" s="1"/>
  <c r="N172" i="15"/>
  <c r="R161" i="16"/>
  <c r="V161" i="16" s="1"/>
  <c r="N138" i="15"/>
  <c r="R129" i="16"/>
  <c r="V129" i="16" s="1"/>
  <c r="N121" i="15"/>
  <c r="R113" i="16"/>
  <c r="V113" i="16" s="1"/>
  <c r="N105" i="15"/>
  <c r="R97" i="16"/>
  <c r="V97" i="16" s="1"/>
  <c r="N88" i="15"/>
  <c r="R81" i="16"/>
  <c r="V81" i="16" s="1"/>
  <c r="N71" i="15"/>
  <c r="R65" i="16"/>
  <c r="V65" i="16" s="1"/>
  <c r="N55" i="15"/>
  <c r="R49" i="16"/>
  <c r="V49" i="16" s="1"/>
  <c r="N38" i="15"/>
  <c r="R33" i="16"/>
  <c r="V33" i="16" s="1"/>
  <c r="N21" i="15"/>
  <c r="R17" i="16"/>
  <c r="V17" i="16" s="1"/>
  <c r="Q175" i="16"/>
  <c r="U175" i="16" s="1"/>
  <c r="Q151" i="16"/>
  <c r="U151" i="16" s="1"/>
  <c r="Q95" i="16"/>
  <c r="U95" i="16" s="1"/>
  <c r="Q39" i="16"/>
  <c r="U39" i="16" s="1"/>
  <c r="Q9" i="16"/>
  <c r="U9" i="16" s="1"/>
  <c r="R89" i="16"/>
  <c r="V89" i="16" s="1"/>
  <c r="R55" i="16"/>
  <c r="V55" i="16" s="1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O261" i="4"/>
  <c r="N261" i="4"/>
  <c r="M261" i="4"/>
  <c r="L261" i="4"/>
  <c r="O260" i="4"/>
  <c r="N260" i="4"/>
  <c r="M260" i="4"/>
  <c r="L260" i="4"/>
  <c r="O259" i="4"/>
  <c r="N259" i="4"/>
  <c r="M259" i="4"/>
  <c r="L259" i="4"/>
  <c r="O258" i="4"/>
  <c r="N258" i="4"/>
  <c r="M258" i="4"/>
  <c r="L258" i="4"/>
  <c r="O257" i="4"/>
  <c r="N257" i="4"/>
  <c r="M257" i="4"/>
  <c r="L257" i="4"/>
  <c r="O256" i="4"/>
  <c r="N256" i="4"/>
  <c r="M256" i="4"/>
  <c r="L256" i="4"/>
  <c r="O255" i="4"/>
  <c r="N255" i="4"/>
  <c r="M255" i="4"/>
  <c r="L255" i="4"/>
  <c r="O254" i="4"/>
  <c r="N254" i="4"/>
  <c r="M254" i="4"/>
  <c r="L254" i="4"/>
  <c r="O253" i="4"/>
  <c r="N253" i="4"/>
  <c r="M253" i="4"/>
  <c r="L253" i="4"/>
  <c r="O252" i="4"/>
  <c r="N252" i="4"/>
  <c r="M252" i="4"/>
  <c r="L252" i="4"/>
  <c r="O251" i="4"/>
  <c r="N251" i="4"/>
  <c r="M251" i="4"/>
  <c r="L251" i="4"/>
  <c r="O250" i="4"/>
  <c r="N250" i="4"/>
  <c r="M250" i="4"/>
  <c r="L250" i="4"/>
  <c r="O249" i="4"/>
  <c r="N249" i="4"/>
  <c r="M249" i="4"/>
  <c r="L249" i="4"/>
  <c r="O248" i="4"/>
  <c r="N248" i="4"/>
  <c r="M248" i="4"/>
  <c r="L248" i="4"/>
  <c r="O247" i="4"/>
  <c r="N247" i="4"/>
  <c r="M247" i="4"/>
  <c r="L247" i="4"/>
  <c r="O246" i="4"/>
  <c r="N246" i="4"/>
  <c r="M246" i="4"/>
  <c r="L246" i="4"/>
  <c r="O245" i="4"/>
  <c r="N245" i="4"/>
  <c r="M245" i="4"/>
  <c r="L245" i="4"/>
  <c r="O244" i="4"/>
  <c r="N244" i="4"/>
  <c r="M244" i="4"/>
  <c r="L244" i="4"/>
  <c r="O243" i="4"/>
  <c r="N243" i="4"/>
  <c r="M243" i="4"/>
  <c r="L243" i="4"/>
  <c r="O242" i="4"/>
  <c r="N242" i="4"/>
  <c r="M242" i="4"/>
  <c r="L242" i="4"/>
  <c r="O241" i="4"/>
  <c r="N241" i="4"/>
  <c r="M241" i="4"/>
  <c r="L241" i="4"/>
  <c r="O240" i="4"/>
  <c r="N240" i="4"/>
  <c r="M240" i="4"/>
  <c r="L240" i="4"/>
  <c r="O239" i="4"/>
  <c r="N239" i="4"/>
  <c r="M239" i="4"/>
  <c r="L239" i="4"/>
  <c r="O238" i="4"/>
  <c r="N238" i="4"/>
  <c r="M238" i="4"/>
  <c r="L238" i="4"/>
  <c r="O237" i="4"/>
  <c r="N237" i="4"/>
  <c r="M237" i="4"/>
  <c r="L237" i="4"/>
  <c r="O236" i="4"/>
  <c r="N236" i="4"/>
  <c r="M236" i="4"/>
  <c r="L236" i="4"/>
  <c r="O235" i="4"/>
  <c r="N235" i="4"/>
  <c r="M235" i="4"/>
  <c r="L235" i="4"/>
  <c r="O234" i="4"/>
  <c r="N234" i="4"/>
  <c r="M234" i="4"/>
  <c r="L234" i="4"/>
  <c r="O233" i="4"/>
  <c r="N233" i="4"/>
  <c r="M233" i="4"/>
  <c r="L233" i="4"/>
  <c r="O232" i="4"/>
  <c r="N232" i="4"/>
  <c r="M232" i="4"/>
  <c r="L232" i="4"/>
  <c r="O231" i="4"/>
  <c r="N231" i="4"/>
  <c r="M231" i="4"/>
  <c r="L231" i="4"/>
  <c r="O230" i="4"/>
  <c r="N230" i="4"/>
  <c r="M230" i="4"/>
  <c r="L230" i="4"/>
  <c r="O229" i="4"/>
  <c r="N229" i="4"/>
  <c r="M229" i="4"/>
  <c r="L229" i="4"/>
  <c r="O228" i="4"/>
  <c r="N228" i="4"/>
  <c r="M228" i="4"/>
  <c r="L228" i="4"/>
  <c r="O227" i="4"/>
  <c r="N227" i="4"/>
  <c r="M227" i="4"/>
  <c r="L227" i="4"/>
  <c r="O226" i="4"/>
  <c r="N226" i="4"/>
  <c r="M226" i="4"/>
  <c r="L226" i="4"/>
  <c r="O225" i="4"/>
  <c r="N225" i="4"/>
  <c r="M225" i="4"/>
  <c r="L225" i="4"/>
  <c r="O224" i="4"/>
  <c r="N224" i="4"/>
  <c r="M224" i="4"/>
  <c r="L224" i="4"/>
  <c r="O223" i="4"/>
  <c r="N223" i="4"/>
  <c r="M223" i="4"/>
  <c r="L223" i="4"/>
  <c r="O222" i="4"/>
  <c r="N222" i="4"/>
  <c r="M222" i="4"/>
  <c r="L222" i="4"/>
  <c r="O221" i="4"/>
  <c r="N221" i="4"/>
  <c r="M221" i="4"/>
  <c r="L221" i="4"/>
  <c r="O220" i="4"/>
  <c r="N220" i="4"/>
  <c r="M220" i="4"/>
  <c r="L220" i="4"/>
  <c r="O219" i="4"/>
  <c r="N219" i="4"/>
  <c r="M219" i="4"/>
  <c r="L219" i="4"/>
  <c r="O218" i="4"/>
  <c r="N218" i="4"/>
  <c r="M218" i="4"/>
  <c r="L218" i="4"/>
  <c r="O217" i="4"/>
  <c r="N217" i="4"/>
  <c r="M217" i="4"/>
  <c r="L217" i="4"/>
  <c r="O216" i="4"/>
  <c r="N216" i="4"/>
  <c r="M216" i="4"/>
  <c r="L216" i="4"/>
  <c r="O215" i="4"/>
  <c r="N215" i="4"/>
  <c r="M215" i="4"/>
  <c r="L215" i="4"/>
  <c r="O214" i="4"/>
  <c r="N214" i="4"/>
  <c r="M214" i="4"/>
  <c r="L214" i="4"/>
  <c r="O213" i="4"/>
  <c r="N213" i="4"/>
  <c r="M213" i="4"/>
  <c r="L213" i="4"/>
  <c r="O212" i="4"/>
  <c r="N212" i="4"/>
  <c r="M212" i="4"/>
  <c r="L212" i="4"/>
  <c r="O211" i="4"/>
  <c r="N211" i="4"/>
  <c r="M211" i="4"/>
  <c r="L211" i="4"/>
  <c r="O210" i="4"/>
  <c r="N210" i="4"/>
  <c r="M210" i="4"/>
  <c r="L210" i="4"/>
  <c r="O209" i="4"/>
  <c r="N209" i="4"/>
  <c r="M209" i="4"/>
  <c r="L209" i="4"/>
  <c r="O208" i="4"/>
  <c r="N208" i="4"/>
  <c r="M208" i="4"/>
  <c r="L208" i="4"/>
  <c r="O207" i="4"/>
  <c r="N207" i="4"/>
  <c r="M207" i="4"/>
  <c r="L207" i="4"/>
  <c r="O206" i="4"/>
  <c r="N206" i="4"/>
  <c r="M206" i="4"/>
  <c r="L206" i="4"/>
  <c r="O205" i="4"/>
  <c r="N205" i="4"/>
  <c r="M205" i="4"/>
  <c r="L205" i="4"/>
  <c r="O204" i="4"/>
  <c r="N204" i="4"/>
  <c r="M204" i="4"/>
  <c r="L204" i="4"/>
  <c r="O203" i="4"/>
  <c r="N203" i="4"/>
  <c r="M203" i="4"/>
  <c r="L203" i="4"/>
  <c r="O202" i="4"/>
  <c r="N202" i="4"/>
  <c r="M202" i="4"/>
  <c r="L202" i="4"/>
  <c r="O201" i="4"/>
  <c r="N201" i="4"/>
  <c r="M201" i="4"/>
  <c r="L201" i="4"/>
  <c r="O200" i="4"/>
  <c r="N200" i="4"/>
  <c r="M200" i="4"/>
  <c r="L200" i="4"/>
  <c r="O199" i="4"/>
  <c r="N199" i="4"/>
  <c r="M199" i="4"/>
  <c r="L199" i="4"/>
  <c r="O198" i="4"/>
  <c r="N198" i="4"/>
  <c r="M198" i="4"/>
  <c r="L198" i="4"/>
  <c r="O197" i="4"/>
  <c r="N197" i="4"/>
  <c r="M197" i="4"/>
  <c r="L197" i="4"/>
  <c r="O196" i="4"/>
  <c r="N196" i="4"/>
  <c r="M196" i="4"/>
  <c r="L196" i="4"/>
  <c r="O195" i="4"/>
  <c r="N195" i="4"/>
  <c r="M195" i="4"/>
  <c r="L195" i="4"/>
  <c r="O194" i="4"/>
  <c r="N194" i="4"/>
  <c r="M194" i="4"/>
  <c r="L194" i="4"/>
  <c r="O193" i="4"/>
  <c r="N193" i="4"/>
  <c r="M193" i="4"/>
  <c r="L193" i="4"/>
  <c r="O192" i="4"/>
  <c r="N192" i="4"/>
  <c r="M192" i="4"/>
  <c r="L192" i="4"/>
  <c r="O191" i="4"/>
  <c r="N191" i="4"/>
  <c r="M191" i="4"/>
  <c r="L191" i="4"/>
  <c r="O190" i="4"/>
  <c r="N190" i="4"/>
  <c r="M190" i="4"/>
  <c r="L190" i="4"/>
  <c r="O189" i="4"/>
  <c r="N189" i="4"/>
  <c r="M189" i="4"/>
  <c r="L189" i="4"/>
  <c r="O188" i="4"/>
  <c r="N188" i="4"/>
  <c r="M188" i="4"/>
  <c r="L188" i="4"/>
  <c r="O187" i="4"/>
  <c r="N187" i="4"/>
  <c r="M187" i="4"/>
  <c r="L187" i="4"/>
  <c r="O186" i="4"/>
  <c r="N186" i="4"/>
  <c r="M186" i="4"/>
  <c r="L186" i="4"/>
  <c r="O185" i="4"/>
  <c r="N185" i="4"/>
  <c r="M185" i="4"/>
  <c r="L185" i="4"/>
  <c r="O184" i="4"/>
  <c r="N184" i="4"/>
  <c r="M184" i="4"/>
  <c r="L184" i="4"/>
  <c r="O183" i="4"/>
  <c r="N183" i="4"/>
  <c r="M183" i="4"/>
  <c r="L183" i="4"/>
  <c r="O182" i="4"/>
  <c r="N182" i="4"/>
  <c r="M182" i="4"/>
  <c r="L182" i="4"/>
  <c r="O181" i="4"/>
  <c r="N181" i="4"/>
  <c r="M181" i="4"/>
  <c r="L181" i="4"/>
  <c r="O180" i="4"/>
  <c r="N180" i="4"/>
  <c r="M180" i="4"/>
  <c r="L180" i="4"/>
  <c r="O179" i="4"/>
  <c r="N179" i="4"/>
  <c r="M179" i="4"/>
  <c r="L179" i="4"/>
  <c r="O178" i="4"/>
  <c r="N178" i="4"/>
  <c r="M178" i="4"/>
  <c r="L178" i="4"/>
  <c r="O177" i="4"/>
  <c r="N177" i="4"/>
  <c r="M177" i="4"/>
  <c r="L177" i="4"/>
  <c r="O176" i="4"/>
  <c r="N176" i="4"/>
  <c r="M176" i="4"/>
  <c r="L176" i="4"/>
  <c r="O175" i="4"/>
  <c r="N175" i="4"/>
  <c r="M175" i="4"/>
  <c r="L175" i="4"/>
  <c r="O174" i="4"/>
  <c r="N174" i="4"/>
  <c r="M174" i="4"/>
  <c r="L174" i="4"/>
  <c r="O173" i="4"/>
  <c r="N173" i="4"/>
  <c r="M173" i="4"/>
  <c r="L173" i="4"/>
  <c r="O172" i="4"/>
  <c r="N172" i="4"/>
  <c r="M172" i="4"/>
  <c r="L172" i="4"/>
  <c r="O171" i="4"/>
  <c r="N171" i="4"/>
  <c r="M171" i="4"/>
  <c r="L171" i="4"/>
  <c r="O170" i="4"/>
  <c r="N170" i="4"/>
  <c r="M170" i="4"/>
  <c r="L170" i="4"/>
  <c r="O169" i="4"/>
  <c r="N169" i="4"/>
  <c r="M169" i="4"/>
  <c r="L169" i="4"/>
  <c r="O168" i="4"/>
  <c r="N168" i="4"/>
  <c r="M168" i="4"/>
  <c r="L168" i="4"/>
  <c r="O167" i="4"/>
  <c r="N167" i="4"/>
  <c r="M167" i="4"/>
  <c r="L167" i="4"/>
  <c r="O166" i="4"/>
  <c r="N166" i="4"/>
  <c r="M166" i="4"/>
  <c r="L166" i="4"/>
  <c r="O165" i="4"/>
  <c r="N165" i="4"/>
  <c r="M165" i="4"/>
  <c r="L165" i="4"/>
  <c r="O164" i="4"/>
  <c r="N164" i="4"/>
  <c r="M164" i="4"/>
  <c r="L164" i="4"/>
  <c r="O163" i="4"/>
  <c r="N163" i="4"/>
  <c r="M163" i="4"/>
  <c r="L163" i="4"/>
  <c r="O162" i="4"/>
  <c r="N162" i="4"/>
  <c r="M162" i="4"/>
  <c r="L162" i="4"/>
  <c r="O161" i="4"/>
  <c r="N161" i="4"/>
  <c r="M161" i="4"/>
  <c r="L161" i="4"/>
  <c r="O160" i="4"/>
  <c r="N160" i="4"/>
  <c r="M160" i="4"/>
  <c r="L160" i="4"/>
  <c r="O159" i="4"/>
  <c r="N159" i="4"/>
  <c r="M159" i="4"/>
  <c r="L159" i="4"/>
  <c r="O158" i="4"/>
  <c r="N158" i="4"/>
  <c r="M158" i="4"/>
  <c r="L158" i="4"/>
  <c r="O157" i="4"/>
  <c r="N157" i="4"/>
  <c r="M157" i="4"/>
  <c r="L157" i="4"/>
  <c r="O156" i="4"/>
  <c r="N156" i="4"/>
  <c r="M156" i="4"/>
  <c r="L156" i="4"/>
  <c r="O155" i="4"/>
  <c r="N155" i="4"/>
  <c r="M155" i="4"/>
  <c r="L155" i="4"/>
  <c r="O154" i="4"/>
  <c r="N154" i="4"/>
  <c r="M154" i="4"/>
  <c r="L154" i="4"/>
  <c r="O153" i="4"/>
  <c r="N153" i="4"/>
  <c r="M153" i="4"/>
  <c r="L153" i="4"/>
  <c r="O152" i="4"/>
  <c r="N152" i="4"/>
  <c r="M152" i="4"/>
  <c r="L152" i="4"/>
  <c r="O151" i="4"/>
  <c r="N151" i="4"/>
  <c r="M151" i="4"/>
  <c r="L151" i="4"/>
  <c r="O150" i="4"/>
  <c r="N150" i="4"/>
  <c r="M150" i="4"/>
  <c r="L150" i="4"/>
  <c r="O149" i="4"/>
  <c r="N149" i="4"/>
  <c r="M149" i="4"/>
  <c r="L149" i="4"/>
  <c r="O148" i="4"/>
  <c r="N148" i="4"/>
  <c r="M148" i="4"/>
  <c r="L148" i="4"/>
  <c r="O147" i="4"/>
  <c r="N147" i="4"/>
  <c r="M147" i="4"/>
  <c r="L147" i="4"/>
  <c r="O146" i="4"/>
  <c r="N146" i="4"/>
  <c r="M146" i="4"/>
  <c r="L146" i="4"/>
  <c r="O145" i="4"/>
  <c r="N145" i="4"/>
  <c r="M145" i="4"/>
  <c r="L145" i="4"/>
  <c r="O144" i="4"/>
  <c r="N144" i="4"/>
  <c r="M144" i="4"/>
  <c r="L144" i="4"/>
  <c r="O143" i="4"/>
  <c r="N143" i="4"/>
  <c r="M143" i="4"/>
  <c r="L143" i="4"/>
  <c r="O142" i="4"/>
  <c r="N142" i="4"/>
  <c r="M142" i="4"/>
  <c r="L142" i="4"/>
  <c r="O141" i="4"/>
  <c r="N141" i="4"/>
  <c r="M141" i="4"/>
  <c r="L141" i="4"/>
  <c r="O140" i="4"/>
  <c r="N140" i="4"/>
  <c r="M140" i="4"/>
  <c r="L140" i="4"/>
  <c r="O139" i="4"/>
  <c r="N139" i="4"/>
  <c r="M139" i="4"/>
  <c r="L139" i="4"/>
  <c r="O138" i="4"/>
  <c r="N138" i="4"/>
  <c r="M138" i="4"/>
  <c r="L138" i="4"/>
  <c r="O137" i="4"/>
  <c r="N137" i="4"/>
  <c r="M137" i="4"/>
  <c r="L137" i="4"/>
  <c r="O136" i="4"/>
  <c r="N136" i="4"/>
  <c r="M136" i="4"/>
  <c r="L136" i="4"/>
  <c r="O135" i="4"/>
  <c r="N135" i="4"/>
  <c r="M135" i="4"/>
  <c r="L135" i="4"/>
  <c r="O134" i="4"/>
  <c r="N134" i="4"/>
  <c r="M134" i="4"/>
  <c r="L134" i="4"/>
  <c r="O133" i="4"/>
  <c r="N133" i="4"/>
  <c r="M133" i="4"/>
  <c r="L133" i="4"/>
  <c r="O132" i="4"/>
  <c r="N132" i="4"/>
  <c r="M132" i="4"/>
  <c r="L132" i="4"/>
  <c r="O131" i="4"/>
  <c r="N131" i="4"/>
  <c r="M131" i="4"/>
  <c r="L131" i="4"/>
  <c r="O130" i="4"/>
  <c r="N130" i="4"/>
  <c r="M130" i="4"/>
  <c r="L130" i="4"/>
  <c r="O129" i="4"/>
  <c r="N129" i="4"/>
  <c r="M129" i="4"/>
  <c r="L129" i="4"/>
  <c r="O128" i="4"/>
  <c r="N128" i="4"/>
  <c r="M128" i="4"/>
  <c r="L128" i="4"/>
  <c r="O127" i="4"/>
  <c r="N127" i="4"/>
  <c r="M127" i="4"/>
  <c r="L127" i="4"/>
  <c r="O126" i="4"/>
  <c r="N126" i="4"/>
  <c r="M126" i="4"/>
  <c r="L126" i="4"/>
  <c r="O125" i="4"/>
  <c r="N125" i="4"/>
  <c r="M125" i="4"/>
  <c r="L125" i="4"/>
  <c r="O124" i="4"/>
  <c r="N124" i="4"/>
  <c r="M124" i="4"/>
  <c r="L124" i="4"/>
  <c r="O123" i="4"/>
  <c r="N123" i="4"/>
  <c r="M123" i="4"/>
  <c r="L123" i="4"/>
  <c r="O122" i="4"/>
  <c r="N122" i="4"/>
  <c r="M122" i="4"/>
  <c r="L122" i="4"/>
  <c r="O121" i="4"/>
  <c r="N121" i="4"/>
  <c r="M121" i="4"/>
  <c r="L121" i="4"/>
  <c r="O120" i="4"/>
  <c r="N120" i="4"/>
  <c r="M120" i="4"/>
  <c r="L120" i="4"/>
  <c r="O119" i="4"/>
  <c r="N119" i="4"/>
  <c r="M119" i="4"/>
  <c r="L119" i="4"/>
  <c r="O118" i="4"/>
  <c r="N118" i="4"/>
  <c r="M118" i="4"/>
  <c r="L118" i="4"/>
  <c r="O117" i="4"/>
  <c r="N117" i="4"/>
  <c r="M117" i="4"/>
  <c r="L117" i="4"/>
  <c r="O116" i="4"/>
  <c r="N116" i="4"/>
  <c r="M116" i="4"/>
  <c r="L116" i="4"/>
  <c r="O115" i="4"/>
  <c r="N115" i="4"/>
  <c r="M115" i="4"/>
  <c r="L115" i="4"/>
  <c r="O114" i="4"/>
  <c r="N114" i="4"/>
  <c r="M114" i="4"/>
  <c r="L114" i="4"/>
  <c r="O113" i="4"/>
  <c r="N113" i="4"/>
  <c r="M113" i="4"/>
  <c r="L113" i="4"/>
  <c r="O112" i="4"/>
  <c r="N112" i="4"/>
  <c r="M112" i="4"/>
  <c r="L112" i="4"/>
  <c r="O111" i="4"/>
  <c r="N111" i="4"/>
  <c r="M111" i="4"/>
  <c r="L111" i="4"/>
  <c r="O110" i="4"/>
  <c r="N110" i="4"/>
  <c r="M110" i="4"/>
  <c r="L110" i="4"/>
  <c r="O109" i="4"/>
  <c r="N109" i="4"/>
  <c r="M109" i="4"/>
  <c r="L109" i="4"/>
  <c r="O108" i="4"/>
  <c r="N108" i="4"/>
  <c r="M108" i="4"/>
  <c r="L108" i="4"/>
  <c r="O107" i="4"/>
  <c r="N107" i="4"/>
  <c r="M107" i="4"/>
  <c r="L107" i="4"/>
  <c r="O106" i="4"/>
  <c r="N106" i="4"/>
  <c r="M106" i="4"/>
  <c r="L106" i="4"/>
  <c r="O105" i="4"/>
  <c r="N105" i="4"/>
  <c r="M105" i="4"/>
  <c r="L105" i="4"/>
  <c r="O104" i="4"/>
  <c r="N104" i="4"/>
  <c r="M104" i="4"/>
  <c r="L104" i="4"/>
  <c r="O103" i="4"/>
  <c r="N103" i="4"/>
  <c r="M103" i="4"/>
  <c r="L103" i="4"/>
  <c r="O102" i="4"/>
  <c r="N102" i="4"/>
  <c r="M102" i="4"/>
  <c r="L102" i="4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N61" i="4"/>
  <c r="M61" i="4"/>
  <c r="L61" i="4"/>
  <c r="O60" i="4"/>
  <c r="N60" i="4"/>
  <c r="M60" i="4"/>
  <c r="L60" i="4"/>
  <c r="O59" i="4"/>
  <c r="N59" i="4"/>
  <c r="M59" i="4"/>
  <c r="L59" i="4"/>
  <c r="O58" i="4"/>
  <c r="N58" i="4"/>
  <c r="M58" i="4"/>
  <c r="L58" i="4"/>
  <c r="O57" i="4"/>
  <c r="N57" i="4"/>
  <c r="M57" i="4"/>
  <c r="L57" i="4"/>
  <c r="O56" i="4"/>
  <c r="N56" i="4"/>
  <c r="M56" i="4"/>
  <c r="L56" i="4"/>
  <c r="O55" i="4"/>
  <c r="N55" i="4"/>
  <c r="M55" i="4"/>
  <c r="L55" i="4"/>
  <c r="O54" i="4"/>
  <c r="N54" i="4"/>
  <c r="M54" i="4"/>
  <c r="L54" i="4"/>
  <c r="O53" i="4"/>
  <c r="N53" i="4"/>
  <c r="M53" i="4"/>
  <c r="L53" i="4"/>
  <c r="O52" i="4"/>
  <c r="N52" i="4"/>
  <c r="M52" i="4"/>
  <c r="L52" i="4"/>
  <c r="O51" i="4"/>
  <c r="N51" i="4"/>
  <c r="M51" i="4"/>
  <c r="L51" i="4"/>
  <c r="O50" i="4"/>
  <c r="N50" i="4"/>
  <c r="M50" i="4"/>
  <c r="L50" i="4"/>
  <c r="O49" i="4"/>
  <c r="N49" i="4"/>
  <c r="M49" i="4"/>
  <c r="L49" i="4"/>
  <c r="O48" i="4"/>
  <c r="N48" i="4"/>
  <c r="M48" i="4"/>
  <c r="L48" i="4"/>
  <c r="O47" i="4"/>
  <c r="N47" i="4"/>
  <c r="M47" i="4"/>
  <c r="L47" i="4"/>
  <c r="O46" i="4"/>
  <c r="N46" i="4"/>
  <c r="M46" i="4"/>
  <c r="L46" i="4"/>
  <c r="O45" i="4"/>
  <c r="N45" i="4"/>
  <c r="M45" i="4"/>
  <c r="L45" i="4"/>
  <c r="O44" i="4"/>
  <c r="N44" i="4"/>
  <c r="M44" i="4"/>
  <c r="L44" i="4"/>
  <c r="O43" i="4"/>
  <c r="N43" i="4"/>
  <c r="M43" i="4"/>
  <c r="L43" i="4"/>
  <c r="O42" i="4"/>
  <c r="N42" i="4"/>
  <c r="M42" i="4"/>
  <c r="L42" i="4"/>
  <c r="O41" i="4"/>
  <c r="N41" i="4"/>
  <c r="M41" i="4"/>
  <c r="L41" i="4"/>
  <c r="O40" i="4"/>
  <c r="N40" i="4"/>
  <c r="M40" i="4"/>
  <c r="L40" i="4"/>
  <c r="O39" i="4"/>
  <c r="N39" i="4"/>
  <c r="M39" i="4"/>
  <c r="L39" i="4"/>
  <c r="O38" i="4"/>
  <c r="N38" i="4"/>
  <c r="M38" i="4"/>
  <c r="L38" i="4"/>
  <c r="O37" i="4"/>
  <c r="N37" i="4"/>
  <c r="M37" i="4"/>
  <c r="L37" i="4"/>
  <c r="O36" i="4"/>
  <c r="N36" i="4"/>
  <c r="M36" i="4"/>
  <c r="L36" i="4"/>
  <c r="O35" i="4"/>
  <c r="N35" i="4"/>
  <c r="M35" i="4"/>
  <c r="L35" i="4"/>
  <c r="O34" i="4"/>
  <c r="N34" i="4"/>
  <c r="M34" i="4"/>
  <c r="L34" i="4"/>
  <c r="O33" i="4"/>
  <c r="N33" i="4"/>
  <c r="M33" i="4"/>
  <c r="L33" i="4"/>
  <c r="O32" i="4"/>
  <c r="N32" i="4"/>
  <c r="M32" i="4"/>
  <c r="L32" i="4"/>
  <c r="O31" i="4"/>
  <c r="N31" i="4"/>
  <c r="M31" i="4"/>
  <c r="L31" i="4"/>
  <c r="O30" i="4"/>
  <c r="N30" i="4"/>
  <c r="M30" i="4"/>
  <c r="L30" i="4"/>
  <c r="O29" i="4"/>
  <c r="N29" i="4"/>
  <c r="M29" i="4"/>
  <c r="L29" i="4"/>
  <c r="O28" i="4"/>
  <c r="N28" i="4"/>
  <c r="M28" i="4"/>
  <c r="L28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O14" i="4"/>
  <c r="N14" i="4"/>
  <c r="M14" i="4"/>
  <c r="L14" i="4"/>
  <c r="O13" i="4"/>
  <c r="N13" i="4"/>
  <c r="M13" i="4"/>
  <c r="L13" i="4"/>
  <c r="O12" i="4"/>
  <c r="N12" i="4"/>
  <c r="M12" i="4"/>
  <c r="L12" i="4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R6" i="4"/>
  <c r="O6" i="4"/>
  <c r="N6" i="4"/>
  <c r="M6" i="4"/>
  <c r="L6" i="4"/>
  <c r="O5" i="4"/>
  <c r="N5" i="4"/>
  <c r="M5" i="4"/>
  <c r="L5" i="4"/>
  <c r="R4" i="4"/>
  <c r="O4" i="4"/>
  <c r="N4" i="4"/>
  <c r="M4" i="4"/>
  <c r="L4" i="4"/>
  <c r="R3" i="4"/>
  <c r="O3" i="4"/>
  <c r="N3" i="4"/>
  <c r="M3" i="4"/>
  <c r="L3" i="4"/>
  <c r="O2" i="4"/>
  <c r="N2" i="4"/>
  <c r="M2" i="4"/>
  <c r="L2" i="4"/>
  <c r="F128" i="19" l="1" a="1"/>
  <c r="F128" i="19" s="1"/>
  <c r="G117" i="19"/>
  <c r="G119" i="19"/>
  <c r="G129" i="19" a="1"/>
  <c r="G129" i="19" s="1"/>
  <c r="U27" i="19"/>
  <c r="E117" i="19" s="1"/>
  <c r="F133" i="19" a="1"/>
  <c r="F133" i="19" s="1"/>
  <c r="T104" i="19"/>
  <c r="D121" i="19" s="1"/>
  <c r="D116" i="19"/>
  <c r="G128" i="19" a="1"/>
  <c r="G128" i="19" s="1"/>
  <c r="T27" i="19"/>
  <c r="D117" i="19" s="1"/>
  <c r="F129" i="19" a="1"/>
  <c r="F129" i="19" s="1"/>
  <c r="S100" i="19"/>
  <c r="W100" i="19"/>
  <c r="G120" i="19" s="1"/>
  <c r="E116" i="19"/>
  <c r="W88" i="19"/>
  <c r="C118" i="19"/>
  <c r="E120" i="19"/>
  <c r="E133" i="19"/>
  <c r="H133" i="19" s="1"/>
  <c r="G121" i="19"/>
  <c r="S94" i="19"/>
  <c r="S98" i="19"/>
  <c r="G130" i="19" a="1"/>
  <c r="G130" i="19" s="1"/>
  <c r="D119" i="19"/>
  <c r="E130" i="19"/>
  <c r="H130" i="19" s="1"/>
  <c r="D120" i="19"/>
  <c r="E131" i="19"/>
  <c r="H131" i="19" s="1"/>
  <c r="C122" i="19"/>
  <c r="E118" i="19"/>
  <c r="S69" i="19"/>
  <c r="C117" i="19"/>
  <c r="F132" i="19" a="1"/>
  <c r="F132" i="19" s="1"/>
  <c r="F131" i="19" a="1"/>
  <c r="F131" i="19" s="1"/>
  <c r="U104" i="19"/>
  <c r="E121" i="19" s="1"/>
  <c r="G133" i="19" a="1"/>
  <c r="G133" i="19" s="1"/>
  <c r="W22" i="19"/>
  <c r="E128" i="19"/>
  <c r="H128" i="19" s="1"/>
  <c r="G116" i="19"/>
  <c r="S14" i="19"/>
  <c r="C116" i="19" s="1"/>
  <c r="G131" i="19" a="1"/>
  <c r="G131" i="19" s="1"/>
  <c r="U73" i="19"/>
  <c r="E119" i="19" s="1"/>
  <c r="F130" i="19" a="1"/>
  <c r="F130" i="19" s="1"/>
  <c r="C121" i="19"/>
  <c r="C119" i="19"/>
  <c r="D118" i="19"/>
  <c r="G122" i="19" l="1"/>
  <c r="C120" i="19"/>
  <c r="E132" i="19"/>
  <c r="H132" i="19" s="1"/>
  <c r="D122" i="19"/>
  <c r="E1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tc={8D185186-B7C9-4298-9482-7692A706D821}</author>
    <author>tc={DEC3C15A-BDD7-4151-A8FB-7B15DC8E4C17}</author>
    <author>tc={257FF2F1-0A54-4C56-843D-5606F6972402}</author>
    <author>tc={04C47F40-7CF6-4668-8E4B-C64BBBCE5FD2}</author>
  </authors>
  <commentList>
    <comment ref="A97" authorId="0" shapeId="0" xr:uid="{8D185186-B7C9-4298-9482-7692A706D8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VORSICHT: Tischprogramm-Artikel (TW1-TW10) sind Komplettsysteme (Gestell + Platte). Sie wurden mit einfachen Boden-Platten gematcht (gleiche Maße), aber sind fundamental andere Produkte. Die Preisabweichungen hier sind daher NICHT vergleichbar!</t>
      </text>
    </comment>
    <comment ref="A103" authorId="1" shapeId="0" xr:uid="{DEC3C15A-BDD7-4151-A8FB-7B15DC8E4C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VORSICHT: Tischplatten (TWP1-TWP10) sind spezielle Tisch-Bauteile. Matching basiert nur auf Maßen, Vergleichbarkeit ist eingeschränkt.</t>
      </text>
    </comment>
    <comment ref="A120" authorId="2" shapeId="0" xr:uid="{257FF2F1-0A54-4C56-843D-5606F69724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Tischprogramm-Werte nicht vergleichbar – Komplettsysteme vs. Einzelplatten!</t>
      </text>
    </comment>
    <comment ref="A121" authorId="3" shapeId="0" xr:uid="{04C47F40-7CF6-4668-8E4B-C64BBBCE5F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Tischprofile/platten nur bedingt vergleichbar!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<sst xmlns="http://schemas.openxmlformats.org/spreadsheetml/2006/main" count="4478" uniqueCount="812">
  <si>
    <t>Front</t>
  </si>
  <si>
    <t>Tiefe
(mm)</t>
  </si>
  <si>
    <t>Breite
(mm)</t>
  </si>
  <si>
    <t>H 100 mm</t>
  </si>
  <si>
    <t>H 175 mm</t>
  </si>
  <si>
    <t>H 250 mm</t>
  </si>
  <si>
    <t>H 350 mm</t>
  </si>
  <si>
    <t>H 395 mm</t>
  </si>
  <si>
    <t>H 500 mm</t>
  </si>
  <si>
    <t>Offen</t>
  </si>
  <si>
    <t>Klappe</t>
  </si>
  <si>
    <t>Glastür</t>
  </si>
  <si>
    <t>Schublade</t>
  </si>
  <si>
    <t>Hochrechnungsformel</t>
  </si>
  <si>
    <t>Preis (Netto) = Basis + α × (Breite − 395) + β × (Höhe − 175) + γ × (Tiefe − 350) + Frontenaufschlag</t>
  </si>
  <si>
    <t>Basisparameter (abgeleitet aus Echtwerten)</t>
  </si>
  <si>
    <t>Basispreis B=395 / H=175 / T=350 / Offen</t>
  </si>
  <si>
    <t>€</t>
  </si>
  <si>
    <t>Echtwert</t>
  </si>
  <si>
    <t>α – Aufschlag je mm Breite</t>
  </si>
  <si>
    <t>€/mm</t>
  </si>
  <si>
    <t>aus Δ 395→750mm, H=175</t>
  </si>
  <si>
    <t>β – Aufschlag je mm Höhe</t>
  </si>
  <si>
    <t>aus Δ H350→H500, B=750</t>
  </si>
  <si>
    <t>γ – Aufschlag je mm Tiefe</t>
  </si>
  <si>
    <t>aus Δ T350→T500, B=750</t>
  </si>
  <si>
    <t>Frontenaufschläge (Referenz: B=750 / H=350 / T=350)</t>
  </si>
  <si>
    <t>€ Aufschlag</t>
  </si>
  <si>
    <t>Echtwert 510.86 €</t>
  </si>
  <si>
    <t>Echtwert 731.39 €</t>
  </si>
  <si>
    <t>Echtwert 758.08 €</t>
  </si>
  <si>
    <t>Echtwert 898.83 €</t>
  </si>
  <si>
    <t>Diskrete Breitenaufschläge (je Stufe, Offen / T350 / H175)</t>
  </si>
  <si>
    <t>Breite 250 mm</t>
  </si>
  <si>
    <t>€ Δ zur Vorstufe</t>
  </si>
  <si>
    <t>absolut: 398.62 €</t>
  </si>
  <si>
    <t>Breite 350 mm</t>
  </si>
  <si>
    <t>absolut: 414.96 €</t>
  </si>
  <si>
    <t>Breite 395 mm</t>
  </si>
  <si>
    <t>absolut: 422.32 €</t>
  </si>
  <si>
    <t>Breite 500 mm</t>
  </si>
  <si>
    <t>absolut: 439.48 €</t>
  </si>
  <si>
    <t>Breite 750 mm</t>
  </si>
  <si>
    <t>absolut: 480.35 €</t>
  </si>
  <si>
    <t>Diskrete Höhenaufschläge (je Stufe, Offen / T350 / B395)</t>
  </si>
  <si>
    <t>Höhe 100 mm</t>
  </si>
  <si>
    <t>Höhe 175 mm</t>
  </si>
  <si>
    <t>Höhe 250 mm</t>
  </si>
  <si>
    <t>Höhe 350 mm</t>
  </si>
  <si>
    <t>Höhe 395 mm</t>
  </si>
  <si>
    <t>Höhe 500 mm</t>
  </si>
  <si>
    <t>Echtwerte (Grundlage der Kalibrierung)</t>
  </si>
  <si>
    <t>B=395 / H=175 / T=350 / Offen</t>
  </si>
  <si>
    <t>€ Netto</t>
  </si>
  <si>
    <t>Konfigurator</t>
  </si>
  <si>
    <t>B=750 / H=350 / T=350 / Offen</t>
  </si>
  <si>
    <t>B=750 / H=500 / T=350 / Offen</t>
  </si>
  <si>
    <t>B=750 / H=350 / T=500 / Offen</t>
  </si>
  <si>
    <t>B=750 / H=350 / T=350 / Klappe</t>
  </si>
  <si>
    <t>B=750 / H=350 / T=350 / Glastür</t>
  </si>
  <si>
    <t>B=750 / H=350 / T=350 / Schublade</t>
  </si>
  <si>
    <t>Hinweise &amp; Einschränkungen</t>
  </si>
  <si>
    <t>• Frontenaufschlag ist größenunabhängig modelliert (Vereinfachung)</t>
  </si>
  <si>
    <t>• In Realität: größere Fronten wahrscheinlich teurer als kleine</t>
  </si>
  <si>
    <t>• Modell basiert auf 7 Echtwerten — Genauigkeit ±10-15% geschätzt</t>
  </si>
  <si>
    <t>• Farbe (15 USM-Farben) nicht modelliert — kann Aufpreis bedeuten</t>
  </si>
  <si>
    <t>• Preise Stand: Konfigurator-Screenshots (Datum unbekannt)</t>
  </si>
  <si>
    <t>• MwSt. 19% = Netto × 1,19 → Sheet 3</t>
  </si>
  <si>
    <t>Bruttopreise inkl. 19% MwSt.  |  Tiefe 350 mm  |  Grün = Basis Echtwert (Netto×1,19)</t>
  </si>
  <si>
    <t xml:space="preserve">  Offen</t>
  </si>
  <si>
    <t>Breite (mm)</t>
  </si>
  <si>
    <t xml:space="preserve">  Klappe</t>
  </si>
  <si>
    <t xml:space="preserve">  Glastür</t>
  </si>
  <si>
    <t xml:space="preserve">  Schublade</t>
  </si>
  <si>
    <t>Art_Nr</t>
  </si>
  <si>
    <t>Typ</t>
  </si>
  <si>
    <t>Kategorie</t>
  </si>
  <si>
    <t>Bezeichnung</t>
  </si>
  <si>
    <t>Breite_mm</t>
  </si>
  <si>
    <t>Tiefe_mm</t>
  </si>
  <si>
    <t>PG1_MDF_EUR</t>
  </si>
  <si>
    <t>PG2_Alu_EUR</t>
  </si>
  <si>
    <t>PG3_Furnier_EUR</t>
  </si>
  <si>
    <t>PG4_Glas_EUR</t>
  </si>
  <si>
    <t>Warnung</t>
  </si>
  <si>
    <t>PG1_MDF_CHF</t>
  </si>
  <si>
    <t>PG2_Alu_CHF</t>
  </si>
  <si>
    <t>PG3_Furnier_CHF</t>
  </si>
  <si>
    <t>PG4_Glas_CHF</t>
  </si>
  <si>
    <t>KONFIGURATOR EXPORT</t>
  </si>
  <si>
    <t>Platte</t>
  </si>
  <si>
    <t>Boden</t>
  </si>
  <si>
    <t>Boden (360x360)</t>
  </si>
  <si>
    <t>Datei</t>
  </si>
  <si>
    <t>Verkaufspreise_V07.xlsx</t>
  </si>
  <si>
    <t>Boden (420x360)</t>
  </si>
  <si>
    <t>Platten-Artikel</t>
  </si>
  <si>
    <t>Boden (580x360)</t>
  </si>
  <si>
    <t>Zubehör-Artikel</t>
  </si>
  <si>
    <t>Boden (780x360)</t>
  </si>
  <si>
    <t>Duplikate</t>
  </si>
  <si>
    <t>✅ 0 – bereinigt</t>
  </si>
  <si>
    <t>Boden (980x360)</t>
  </si>
  <si>
    <t>Warnungen</t>
  </si>
  <si>
    <t>Boden (360x580)</t>
  </si>
  <si>
    <t>CHF-Faktor</t>
  </si>
  <si>
    <t>Boden (420x580)</t>
  </si>
  <si>
    <t>Preisgruppen</t>
  </si>
  <si>
    <t>PG1=MDF, PG2=Alu, PG3=Furnier, PG4=Glas</t>
  </si>
  <si>
    <t>Boden (580x580)</t>
  </si>
  <si>
    <t>Boden (780x580)</t>
  </si>
  <si>
    <t>Boden (980x580)</t>
  </si>
  <si>
    <t>Boden (780x780)</t>
  </si>
  <si>
    <t>Boden (980x780)</t>
  </si>
  <si>
    <t>Boden (980x980)</t>
  </si>
  <si>
    <t>Boden (420x780)</t>
  </si>
  <si>
    <t>Boden (420x980)</t>
  </si>
  <si>
    <t>S_0003</t>
  </si>
  <si>
    <t>Boden (420x420)</t>
  </si>
  <si>
    <t>Seite außen</t>
  </si>
  <si>
    <t>Seite außen (360x180)</t>
  </si>
  <si>
    <t>Seite außen (360x360)</t>
  </si>
  <si>
    <t>Seite außen (360x720)</t>
  </si>
  <si>
    <t>Seite außen (360x1080)</t>
  </si>
  <si>
    <t>Seite außen (360x1440)</t>
  </si>
  <si>
    <t>Seite außen (360x1800)</t>
  </si>
  <si>
    <t>Seite außen (580x180)</t>
  </si>
  <si>
    <t>Seite außen (580x360)</t>
  </si>
  <si>
    <t>Seite außen (580x720)</t>
  </si>
  <si>
    <t>Seite außen (580x1080)</t>
  </si>
  <si>
    <t>Seite außen (580x1440)</t>
  </si>
  <si>
    <t>Seite außen (580x1800)</t>
  </si>
  <si>
    <t>Seite außen (180x780)</t>
  </si>
  <si>
    <t>Seite außen (180x980)</t>
  </si>
  <si>
    <t>Seite außen (360x780)</t>
  </si>
  <si>
    <t>Seite außen (360x980)</t>
  </si>
  <si>
    <t>Seite außen (720x780)</t>
  </si>
  <si>
    <t>Seite außen (720x980)</t>
  </si>
  <si>
    <t>Seite außen (1080x780)</t>
  </si>
  <si>
    <t>Seite außen (1080x980)</t>
  </si>
  <si>
    <t>Seite außen (1440x780)</t>
  </si>
  <si>
    <t>Seite außen (1440x980)</t>
  </si>
  <si>
    <t>Seite außen (1800x780)</t>
  </si>
  <si>
    <t>Seite außen (1800x980)</t>
  </si>
  <si>
    <t>Seite außen (580x580)</t>
  </si>
  <si>
    <t>S_0020</t>
  </si>
  <si>
    <t>Seite außen (660x360)</t>
  </si>
  <si>
    <t>Seite außen SY32</t>
  </si>
  <si>
    <t>Seite außen SY32 (360x360)</t>
  </si>
  <si>
    <t>Seite außen SY32 (360x720)</t>
  </si>
  <si>
    <t>Seite außen SY32 (360x1080)</t>
  </si>
  <si>
    <t>Seite außen SY32 (360x1440)</t>
  </si>
  <si>
    <t>Seite außen SY32 (360x1800)</t>
  </si>
  <si>
    <t>Seite außen SY32 (580x360)</t>
  </si>
  <si>
    <t>Seite außen SY32 (580x720)</t>
  </si>
  <si>
    <t>Seite außen SY32 (580x1080)</t>
  </si>
  <si>
    <t>Seite außen SY32 (580x1440)</t>
  </si>
  <si>
    <t>Seite außen SY32 (580x1800)</t>
  </si>
  <si>
    <t>Seite außen SY32 (180x780)</t>
  </si>
  <si>
    <t>Seite außen SY32 (180x980)</t>
  </si>
  <si>
    <t>Seite außen SY32 (360x780)</t>
  </si>
  <si>
    <t>Seite außen SY32 (360x980)</t>
  </si>
  <si>
    <t>Seite außen SY32 (720x780)</t>
  </si>
  <si>
    <t>Seite außen SY32 (720x980)</t>
  </si>
  <si>
    <t>Seite außen SY32 (1080x780)</t>
  </si>
  <si>
    <t>Seite außen SY32 (1080x980)</t>
  </si>
  <si>
    <t>Seite außen SY32 (1440x780)</t>
  </si>
  <si>
    <t>Seite außen SY32 (1440x980)</t>
  </si>
  <si>
    <t>Seite außen SY32 (1800x780)</t>
  </si>
  <si>
    <t>Seite außen SY32 (1800x980)</t>
  </si>
  <si>
    <t>Rücken</t>
  </si>
  <si>
    <t>Rücken (360x180)</t>
  </si>
  <si>
    <t>Rücken (420x180)</t>
  </si>
  <si>
    <t>Rücken (580x180)</t>
  </si>
  <si>
    <t>Rücken (780x180)</t>
  </si>
  <si>
    <t>Rücken (980x180)</t>
  </si>
  <si>
    <t>Rücken (360x360)</t>
  </si>
  <si>
    <t>Rücken (420x360)</t>
  </si>
  <si>
    <t>Rücken (580x360)</t>
  </si>
  <si>
    <t>Rücken (780x360)</t>
  </si>
  <si>
    <t>Rücken (980x360)</t>
  </si>
  <si>
    <t>Rücken (360x720)</t>
  </si>
  <si>
    <t>Rücken (420x720)</t>
  </si>
  <si>
    <t>Rücken (580x720)</t>
  </si>
  <si>
    <t>Rücken (780x720)</t>
  </si>
  <si>
    <t>Rücken (980x720)</t>
  </si>
  <si>
    <t>Rücken (360x1080)</t>
  </si>
  <si>
    <t>Rücken (420x1080)</t>
  </si>
  <si>
    <t>Rücken (580x1080)</t>
  </si>
  <si>
    <t>Rücken (780x1080)</t>
  </si>
  <si>
    <t>Rücken (980x1080)</t>
  </si>
  <si>
    <t>Rücken (360x1440)</t>
  </si>
  <si>
    <t>Rücken (420x1440)</t>
  </si>
  <si>
    <t>Rücken (580x1440)</t>
  </si>
  <si>
    <t>Rücken (780x1440)</t>
  </si>
  <si>
    <t>Rücken (980x1440)</t>
  </si>
  <si>
    <t>Rücken (360x1800)</t>
  </si>
  <si>
    <t>Rücken (420x1800)</t>
  </si>
  <si>
    <t>Rücken (580x1800)</t>
  </si>
  <si>
    <t>Rücken (780x1800)</t>
  </si>
  <si>
    <t>Rücken (980x1800)</t>
  </si>
  <si>
    <t>Seite innen</t>
  </si>
  <si>
    <t>Seite innen (360x180)</t>
  </si>
  <si>
    <t>Seite innen (360x360)</t>
  </si>
  <si>
    <t>Seite innen (360x720)</t>
  </si>
  <si>
    <t>Seite innen (360x1080)</t>
  </si>
  <si>
    <t>Seite innen (360x1440)</t>
  </si>
  <si>
    <t>Seite innen (360x1800)</t>
  </si>
  <si>
    <t>Seite innen (580x180)</t>
  </si>
  <si>
    <t>Seite innen (580x360)</t>
  </si>
  <si>
    <t>Seite innen (580x720)</t>
  </si>
  <si>
    <t>Seite innen (580x1080)</t>
  </si>
  <si>
    <t>Seite innen (580x1440)</t>
  </si>
  <si>
    <t>Seite innen (580x1800)</t>
  </si>
  <si>
    <t>Seite innen (180x780)</t>
  </si>
  <si>
    <t>Seite innen (180x980)</t>
  </si>
  <si>
    <t>Seite innen (360x780)</t>
  </si>
  <si>
    <t>Seite innen (360x980)</t>
  </si>
  <si>
    <t>Seite innen (720x780)</t>
  </si>
  <si>
    <t>Seite innen (720x980)</t>
  </si>
  <si>
    <t>Seite innen (1080x780)</t>
  </si>
  <si>
    <t>Seite innen (1080x980)</t>
  </si>
  <si>
    <t>Seite innen (1440x780)</t>
  </si>
  <si>
    <t>Seite innen (1440x980)</t>
  </si>
  <si>
    <t>Seite innen (1800x780)</t>
  </si>
  <si>
    <t>Seite innen (1800x980)</t>
  </si>
  <si>
    <t>Seite innen (580x580)</t>
  </si>
  <si>
    <t>Seite innen SY32</t>
  </si>
  <si>
    <t>Seite innen SY32 (360x360)</t>
  </si>
  <si>
    <t>Seite innen SY32 (360x720)</t>
  </si>
  <si>
    <t>Seite innen SY32 (360x1080)</t>
  </si>
  <si>
    <t>Seite innen SY32 (360x1440)</t>
  </si>
  <si>
    <t>Seite innen SY32 (360x1800)</t>
  </si>
  <si>
    <t>Seite innen SY32 (580x360)</t>
  </si>
  <si>
    <t>Seite innen SY32 (580x720)</t>
  </si>
  <si>
    <t>Seite innen SY32 (580x1080)</t>
  </si>
  <si>
    <t>Seite innen SY32 (580x1440)</t>
  </si>
  <si>
    <t>Seite innen SY32 (580x1800)</t>
  </si>
  <si>
    <t>Seite innen SY32 (720x780)</t>
  </si>
  <si>
    <t>Seite innen SY32 (720x980)</t>
  </si>
  <si>
    <t>Seite innen SY32 (1080x780)</t>
  </si>
  <si>
    <t>Seite innen SY32 (1080x980)</t>
  </si>
  <si>
    <t>Seite innen SY32 (1440x780)</t>
  </si>
  <si>
    <t>Seite innen SY32 (1440x980)</t>
  </si>
  <si>
    <t>Seite innen SY32 (1800x780)</t>
  </si>
  <si>
    <t>Seite innen SY32 (1800x980)</t>
  </si>
  <si>
    <t>Seite innen SY32 DB</t>
  </si>
  <si>
    <t>Seite innen SY32 DB (360x360)</t>
  </si>
  <si>
    <t>Seite innen SY32 DB (360x720)</t>
  </si>
  <si>
    <t>Seite innen SY32 DB (360x1080)</t>
  </si>
  <si>
    <t>Seite innen SY32 DB (360x1440)</t>
  </si>
  <si>
    <t>Seite innen SY32 DB (360x1800)</t>
  </si>
  <si>
    <t>Seite innen SY32 DB (580x360)</t>
  </si>
  <si>
    <t>Seite innen SY32 DB (580x720)</t>
  </si>
  <si>
    <t>Seite innen SY32 DB (580x1080)</t>
  </si>
  <si>
    <t>Seite innen SY32 DB (580x1440)</t>
  </si>
  <si>
    <t>Seite innen SY32 DB (580x1800)</t>
  </si>
  <si>
    <t>Fachboden klein</t>
  </si>
  <si>
    <t>Fachboden klein (360x360)</t>
  </si>
  <si>
    <t>Fachboden klein (420x360)</t>
  </si>
  <si>
    <t>Fachboden klein (580x360)</t>
  </si>
  <si>
    <t>Fachboden klein (780x360)</t>
  </si>
  <si>
    <t>Fachboden klein (980x360)</t>
  </si>
  <si>
    <t>Fachboden klein (360x580)</t>
  </si>
  <si>
    <t>Fachboden klein (420x580)</t>
  </si>
  <si>
    <t>Fachboden klein (580x580)</t>
  </si>
  <si>
    <t>Fachboden klein (780x580)</t>
  </si>
  <si>
    <t>Fachboden klein (980x580)</t>
  </si>
  <si>
    <t>Fachboden klein (780x780)</t>
  </si>
  <si>
    <t>Fachboden klein (980x780)</t>
  </si>
  <si>
    <t>Fachboden klein (980x980)</t>
  </si>
  <si>
    <t>Fachboden groß</t>
  </si>
  <si>
    <t>Fachboden groß (360x360)</t>
  </si>
  <si>
    <t>Fachboden groß (420x360)</t>
  </si>
  <si>
    <t>Fachboden groß (580x360)</t>
  </si>
  <si>
    <t>Fachboden groß (780x360)</t>
  </si>
  <si>
    <t>Fachboden groß (980x360)</t>
  </si>
  <si>
    <t>Fachboden groß (360x580)</t>
  </si>
  <si>
    <t>Fachboden groß (420x580)</t>
  </si>
  <si>
    <t>Fachboden groß (580x580)</t>
  </si>
  <si>
    <t>Fachboden groß (780x580)</t>
  </si>
  <si>
    <t>Fachboden groß (980x580)</t>
  </si>
  <si>
    <t>Fachboden groß (780x780)</t>
  </si>
  <si>
    <t>Fachboden groß (980x780)</t>
  </si>
  <si>
    <t>Fachboden groß (980x980)</t>
  </si>
  <si>
    <t>Klappenboden</t>
  </si>
  <si>
    <t>Klappenboden (360x360)</t>
  </si>
  <si>
    <t>Klappenboden (420x360)</t>
  </si>
  <si>
    <t>Klappenboden (580x360)</t>
  </si>
  <si>
    <t>Klappenboden (780x360)</t>
  </si>
  <si>
    <t>Klappenboden (980x360)</t>
  </si>
  <si>
    <t>Klappenboden (360x580)</t>
  </si>
  <si>
    <t>Klappenboden (420x580)</t>
  </si>
  <si>
    <t>Klappenboden (580x580)</t>
  </si>
  <si>
    <t>Klappenboden (780x580)</t>
  </si>
  <si>
    <t>Klappenboden (980x580)</t>
  </si>
  <si>
    <t>Klappenboden (420x780)</t>
  </si>
  <si>
    <t>Klappenboden (420x980)</t>
  </si>
  <si>
    <t>Klappenboden (780x780)</t>
  </si>
  <si>
    <t>Klappenboden (780x980)</t>
  </si>
  <si>
    <t>Klappenboden (980x780)</t>
  </si>
  <si>
    <t>Klappenboden (980x980)</t>
  </si>
  <si>
    <t>Klappe (420x180)</t>
  </si>
  <si>
    <t>Klappe (420x360)</t>
  </si>
  <si>
    <t>Klappe (580x180)</t>
  </si>
  <si>
    <t>Klappe (580x360)</t>
  </si>
  <si>
    <t>Klappe (780x180)</t>
  </si>
  <si>
    <t>Klappe (780x360)</t>
  </si>
  <si>
    <t>Klappe (980x180)</t>
  </si>
  <si>
    <t>Klappe (980x360)</t>
  </si>
  <si>
    <t>Klappe (360x180)</t>
  </si>
  <si>
    <t>Klappe (360x360)</t>
  </si>
  <si>
    <t>S_0046</t>
  </si>
  <si>
    <t>Klappe (980x420)</t>
  </si>
  <si>
    <t>Tür</t>
  </si>
  <si>
    <t>Tür (420x360)</t>
  </si>
  <si>
    <t>Tür (420x720)</t>
  </si>
  <si>
    <t>Tür (420x1080)</t>
  </si>
  <si>
    <t>Tür (420x1440)</t>
  </si>
  <si>
    <t>Tür (420x1800)</t>
  </si>
  <si>
    <t>Tür (580x360)</t>
  </si>
  <si>
    <t>Tür (580x720)</t>
  </si>
  <si>
    <t>Tür (580x1080)</t>
  </si>
  <si>
    <t>Tür (580x1440)</t>
  </si>
  <si>
    <t>Tür (580x1800)</t>
  </si>
  <si>
    <t>Tür (360x360)</t>
  </si>
  <si>
    <t>Tür (780x360)</t>
  </si>
  <si>
    <t>Doppeltür</t>
  </si>
  <si>
    <t>Doppeltür (780x360)</t>
  </si>
  <si>
    <t>Doppeltür (780x660)</t>
  </si>
  <si>
    <t>Doppeltür (780x720)</t>
  </si>
  <si>
    <t>Doppeltür (780x1080)</t>
  </si>
  <si>
    <t>Doppeltür (780x1440)</t>
  </si>
  <si>
    <t>Doppeltür (780x1800)</t>
  </si>
  <si>
    <t>Doppeltür (980x360)</t>
  </si>
  <si>
    <t>Doppeltür (980x720)</t>
  </si>
  <si>
    <t>Doppeltür (980x1080)</t>
  </si>
  <si>
    <t>Doppeltür (980x1440)</t>
  </si>
  <si>
    <t>Doppeltür (980x1800)</t>
  </si>
  <si>
    <t>Schublade (420x180)</t>
  </si>
  <si>
    <t>Schublade (420x360)</t>
  </si>
  <si>
    <t>Schublade (580x180)</t>
  </si>
  <si>
    <t>Schublade (580x360)</t>
  </si>
  <si>
    <t>Schublade (780x180)</t>
  </si>
  <si>
    <t>Schublade (780x360)</t>
  </si>
  <si>
    <t>Schublade (980x180)</t>
  </si>
  <si>
    <t>Schublade (980x360)</t>
  </si>
  <si>
    <t>S_0044</t>
  </si>
  <si>
    <t>Schubl.</t>
  </si>
  <si>
    <t xml:space="preserve"> (780x180)</t>
  </si>
  <si>
    <t>S_0001</t>
  </si>
  <si>
    <t>Schublade (420x134)</t>
  </si>
  <si>
    <t>⚠ nicht OK</t>
  </si>
  <si>
    <t>S_0002</t>
  </si>
  <si>
    <t>Schublade (420x220)</t>
  </si>
  <si>
    <t>S_0009</t>
  </si>
  <si>
    <t>Schublade (412x121)</t>
  </si>
  <si>
    <t>S_0010</t>
  </si>
  <si>
    <t>Schublade (412x400)</t>
  </si>
  <si>
    <t>S_0017</t>
  </si>
  <si>
    <t>Schublade (420x145)</t>
  </si>
  <si>
    <t>S_0018</t>
  </si>
  <si>
    <t>Schublade (420x293)</t>
  </si>
  <si>
    <t>S_0029</t>
  </si>
  <si>
    <t>Schublade (420x67)</t>
  </si>
  <si>
    <t>S_0033</t>
  </si>
  <si>
    <t>Schublade (420x142)</t>
  </si>
  <si>
    <t>S_0034</t>
  </si>
  <si>
    <t>Schublade (420x280)</t>
  </si>
  <si>
    <t>S_0037</t>
  </si>
  <si>
    <t>Schublade (420x141)</t>
  </si>
  <si>
    <t>Schublade LB 1</t>
  </si>
  <si>
    <t>Schublade LB 1 (420x180)</t>
  </si>
  <si>
    <t>Schublade LB 1 (420x360)</t>
  </si>
  <si>
    <t>Schublade LB 1 (580x180)</t>
  </si>
  <si>
    <t>Schublade LB 1 (580x360)</t>
  </si>
  <si>
    <t>Schublade LB 1 (780x180)</t>
  </si>
  <si>
    <t>Schublade LB 1 (780x360)</t>
  </si>
  <si>
    <t>Schublade LB 1 (980x180)</t>
  </si>
  <si>
    <t>Schublade LB 1 (980x360)</t>
  </si>
  <si>
    <t>Schublade LB 2</t>
  </si>
  <si>
    <t>Schublade LB 2 (420x180)</t>
  </si>
  <si>
    <t>Schublade LB 2 (420x360)</t>
  </si>
  <si>
    <t>Schublade LB 2 (580x180)</t>
  </si>
  <si>
    <t>Schublade LB 2 (580x360)</t>
  </si>
  <si>
    <t>Schublade LB 2 (780x180)</t>
  </si>
  <si>
    <t>Schublade LB 2 (780x360)</t>
  </si>
  <si>
    <t>Schublade LB 2 (980x180)</t>
  </si>
  <si>
    <t>Schublade LB 2 (980x360)</t>
  </si>
  <si>
    <t>PG1_EUR</t>
  </si>
  <si>
    <t>PG1_CHF</t>
  </si>
  <si>
    <t>Zubehör</t>
  </si>
  <si>
    <t>Würfel 30mm</t>
  </si>
  <si>
    <t>Würfel 46mm</t>
  </si>
  <si>
    <t>Profil</t>
  </si>
  <si>
    <t>Profil 30mm roh</t>
  </si>
  <si>
    <t>Profil 30mm 180</t>
  </si>
  <si>
    <t>Profil 30mm 360</t>
  </si>
  <si>
    <t>Profil 30mm 420</t>
  </si>
  <si>
    <t>Profil 30mm 580</t>
  </si>
  <si>
    <t>Profil 30mm 660</t>
  </si>
  <si>
    <t>Profil 30mm 720</t>
  </si>
  <si>
    <t>Profil 30mm 780</t>
  </si>
  <si>
    <t>Profil 30mm 980</t>
  </si>
  <si>
    <t>Profil 30mm 1080</t>
  </si>
  <si>
    <t>Profil 30mm 1440</t>
  </si>
  <si>
    <t>Profil 30mm 1800</t>
  </si>
  <si>
    <t>Profil 46mm</t>
  </si>
  <si>
    <t>Schlösser</t>
  </si>
  <si>
    <t>Schloss</t>
  </si>
  <si>
    <t>Griff</t>
  </si>
  <si>
    <t>Push to open / Blanko</t>
  </si>
  <si>
    <t>Luno</t>
  </si>
  <si>
    <t>Linea</t>
  </si>
  <si>
    <t>Rondo</t>
  </si>
  <si>
    <t xml:space="preserve">Axio </t>
  </si>
  <si>
    <t>Axio groß</t>
  </si>
  <si>
    <t>Retrox</t>
  </si>
  <si>
    <t>Reling</t>
  </si>
  <si>
    <t>Reling gross</t>
  </si>
  <si>
    <t>Uno</t>
  </si>
  <si>
    <t>Ombra</t>
  </si>
  <si>
    <t>Solano</t>
  </si>
  <si>
    <t>Arcano</t>
  </si>
  <si>
    <t>Bridge</t>
  </si>
  <si>
    <t>Bridge groß</t>
  </si>
  <si>
    <t>Allungo</t>
  </si>
  <si>
    <t>Hängeregister</t>
  </si>
  <si>
    <t>Zubehör &amp; Sonstiges</t>
  </si>
  <si>
    <t>Rolle Teppich</t>
  </si>
  <si>
    <t>Rolle Parkett</t>
  </si>
  <si>
    <t>Stellfuß Alu</t>
  </si>
  <si>
    <t>Nivellierschraube</t>
  </si>
  <si>
    <t>CPU Halterung</t>
  </si>
  <si>
    <t>Kleinteile</t>
  </si>
  <si>
    <t>Tischgestell</t>
  </si>
  <si>
    <t>K</t>
  </si>
  <si>
    <t>S</t>
  </si>
  <si>
    <t>Tür rechts</t>
  </si>
  <si>
    <t>TR</t>
  </si>
  <si>
    <t>T</t>
  </si>
  <si>
    <t>Tür links</t>
  </si>
  <si>
    <t>TL</t>
  </si>
  <si>
    <t>DT</t>
  </si>
  <si>
    <t>Artmodul – Preismodell aus Einzelteilpreisen (PG1 MDF, Netto €)</t>
  </si>
  <si>
    <t xml:space="preserve">  Tiefe 360 mm</t>
  </si>
  <si>
    <t>H 180 mm</t>
  </si>
  <si>
    <t>H 360 mm</t>
  </si>
  <si>
    <t>H 720 mm</t>
  </si>
  <si>
    <t>H 1080 mm</t>
  </si>
  <si>
    <t>H 1440 mm</t>
  </si>
  <si>
    <t>H 1800 mm</t>
  </si>
  <si>
    <t xml:space="preserve">  Tiefe 580 mm</t>
  </si>
  <si>
    <t>Tiefe</t>
  </si>
  <si>
    <t>Höhe</t>
  </si>
  <si>
    <t>Breite</t>
  </si>
  <si>
    <t>Globaler Faktor</t>
  </si>
  <si>
    <t>⚙️ PREISSTEUERUNG — Artmodul</t>
  </si>
  <si>
    <t>Globale Parameter</t>
  </si>
  <si>
    <t>← Eingabe: z.B. 0.85 = -15% auf alle Preise</t>
  </si>
  <si>
    <t>← EUR → CHF Umrechnungskurs</t>
  </si>
  <si>
    <t>Materialzuordnung</t>
  </si>
  <si>
    <t>PG1 = MDF</t>
  </si>
  <si>
    <t>PG2 = Alu</t>
  </si>
  <si>
    <t>PG3 = Furnier</t>
  </si>
  <si>
    <t>PG4 = Glas</t>
  </si>
  <si>
    <t>Kategorie-Faktoren</t>
  </si>
  <si>
    <t>PG1
Faktor</t>
  </si>
  <si>
    <t>PG1
Effektiv</t>
  </si>
  <si>
    <t>PG2
Faktor</t>
  </si>
  <si>
    <t>PG2
Effektiv</t>
  </si>
  <si>
    <t>PG3
Faktor</t>
  </si>
  <si>
    <t>PG3
Effektiv</t>
  </si>
  <si>
    <t>PG4
Faktor</t>
  </si>
  <si>
    <t>PG4
Effektiv</t>
  </si>
  <si>
    <t>💡 Hinweise</t>
  </si>
  <si>
    <t>Faktor 1.00 = Originalpreis (keine Änderung)</t>
  </si>
  <si>
    <t>Faktor 0.80 = -20% vom Originalpreis</t>
  </si>
  <si>
    <t>Faktor 1.15 = +15% auf Originalpreis</t>
  </si>
  <si>
    <t>Effektiver Faktor = Globaler Faktor × Kategorie-Faktor</t>
  </si>
  <si>
    <t>Gelb hinterlegte Zellen = editierbare Eingaben</t>
  </si>
  <si>
    <t>Blaue Schrift = Eingabewerte, Schwarz = berechnete Werte</t>
  </si>
  <si>
    <t>PG1_Basis</t>
  </si>
  <si>
    <t>PG2_Basis</t>
  </si>
  <si>
    <t>PG3_Basis</t>
  </si>
  <si>
    <t>PG4_Basis</t>
  </si>
  <si>
    <t>PG1_EUR_alt</t>
  </si>
  <si>
    <t>PG2_EUR_alt</t>
  </si>
  <si>
    <t>PG3_EUR_alt</t>
  </si>
  <si>
    <t>PG4_EUR_alt</t>
  </si>
  <si>
    <t>PG1_CHF_alt</t>
  </si>
  <si>
    <t>PG2_CHF_alt</t>
  </si>
  <si>
    <t>PG3_CHF_alt</t>
  </si>
  <si>
    <t>PG4_CHF_alt</t>
  </si>
  <si>
    <t>PG1_EUR_neu</t>
  </si>
  <si>
    <t>PG2_EUR_neu</t>
  </si>
  <si>
    <t>PG3_EUR_neu</t>
  </si>
  <si>
    <t>PG4_EUR_neu</t>
  </si>
  <si>
    <t>Δ PG1%</t>
  </si>
  <si>
    <t>Δ PG2%</t>
  </si>
  <si>
    <t>Δ PG3%</t>
  </si>
  <si>
    <t>Δ PG4%</t>
  </si>
  <si>
    <t>ARTMODUL Preisliste 2012 – EUR &amp; CHF</t>
  </si>
  <si>
    <t>Alle Preise exkl. MwSt. | EUR = Euro  |  CHF = Schweizer Franken  |  '-' = nicht verfügbar</t>
  </si>
  <si>
    <t>Artikel</t>
  </si>
  <si>
    <t>Preis in EUR (exkl. MwSt.)</t>
  </si>
  <si>
    <t>Preis in CHF (exkl. MwSt.)</t>
  </si>
  <si>
    <t>Sektion</t>
  </si>
  <si>
    <t>Bauteil / Material</t>
  </si>
  <si>
    <t>Spezifikation / Masse</t>
  </si>
  <si>
    <t>PK 1 EUR</t>
  </si>
  <si>
    <t>PK 2 EUR</t>
  </si>
  <si>
    <t>PK 3 EUR</t>
  </si>
  <si>
    <t>PK 4 EUR</t>
  </si>
  <si>
    <t>PK 5 EUR</t>
  </si>
  <si>
    <t>PK 6 EUR</t>
  </si>
  <si>
    <t>PK 7 EUR</t>
  </si>
  <si>
    <t>PK 8 EUR</t>
  </si>
  <si>
    <t>PK 1 CHF</t>
  </si>
  <si>
    <t>PK 2 CHF</t>
  </si>
  <si>
    <t>PK 3 CHF</t>
  </si>
  <si>
    <t>PK 4 CHF</t>
  </si>
  <si>
    <t>PK 5 CHF</t>
  </si>
  <si>
    <t>PK 6 CHF</t>
  </si>
  <si>
    <t>PK 7 CHF</t>
  </si>
  <si>
    <t>PK 8 CHF</t>
  </si>
  <si>
    <t>Profile und Kleinteile</t>
  </si>
  <si>
    <t>Würfel</t>
  </si>
  <si>
    <t>Material</t>
  </si>
  <si>
    <t>30mm</t>
  </si>
  <si>
    <t>Spezialwürfel</t>
  </si>
  <si>
    <t>30mm: 1/2</t>
  </si>
  <si>
    <t>30mm: 3/4</t>
  </si>
  <si>
    <t>Profil AM 180</t>
  </si>
  <si>
    <t>Achsmass: 180mm</t>
  </si>
  <si>
    <t>Profil AM 360</t>
  </si>
  <si>
    <t>Achsmass: 360mm</t>
  </si>
  <si>
    <t>Profil AM 420</t>
  </si>
  <si>
    <t>Achsmass: 420mm</t>
  </si>
  <si>
    <t>Profil AM 580</t>
  </si>
  <si>
    <t>Achsmass: 580mm</t>
  </si>
  <si>
    <t>Profil AM 720</t>
  </si>
  <si>
    <t>Achsmass: 720mm</t>
  </si>
  <si>
    <t>Profil AM 780</t>
  </si>
  <si>
    <t>Achsmass: 780mm</t>
  </si>
  <si>
    <t>Profil AM 980</t>
  </si>
  <si>
    <t>Achsmass: 980mm</t>
  </si>
  <si>
    <t>Profil AM 1080</t>
  </si>
  <si>
    <t>Achsmass: 1080mm</t>
  </si>
  <si>
    <t>Profil AM 1440</t>
  </si>
  <si>
    <t>Achsmass: 1440mm</t>
  </si>
  <si>
    <t>Profil AM 1800</t>
  </si>
  <si>
    <t>Achsmass: 1800mm</t>
  </si>
  <si>
    <t>M8</t>
  </si>
  <si>
    <t>Rollen 60mm</t>
  </si>
  <si>
    <t>auch mit Bremse verfügb.</t>
  </si>
  <si>
    <t>Füsse 50mm</t>
  </si>
  <si>
    <t>inkl. Nivellierschrauben</t>
  </si>
  <si>
    <t>Abdeckschraube</t>
  </si>
  <si>
    <t>Boden / Seiten</t>
  </si>
  <si>
    <t>360 / 360</t>
  </si>
  <si>
    <t>420 / 360</t>
  </si>
  <si>
    <t>420 / 580</t>
  </si>
  <si>
    <t>580 / 360</t>
  </si>
  <si>
    <t>580 / 580</t>
  </si>
  <si>
    <t>780 / 360</t>
  </si>
  <si>
    <t>780 / 580</t>
  </si>
  <si>
    <t>980 / 360</t>
  </si>
  <si>
    <t>980 / 580</t>
  </si>
  <si>
    <t>Seite</t>
  </si>
  <si>
    <t>360 / 360 (180)</t>
  </si>
  <si>
    <t>360 / 720</t>
  </si>
  <si>
    <t>360 / 1080</t>
  </si>
  <si>
    <t>360 / 1440</t>
  </si>
  <si>
    <t>360 / 1800</t>
  </si>
  <si>
    <t>580 / 360 (180)</t>
  </si>
  <si>
    <t>580 / 720</t>
  </si>
  <si>
    <t>580 / 1080</t>
  </si>
  <si>
    <t>580 / 1440</t>
  </si>
  <si>
    <t>580 / 1800</t>
  </si>
  <si>
    <t>Rück.</t>
  </si>
  <si>
    <t>420 / 360 (180)</t>
  </si>
  <si>
    <t>420 / 720</t>
  </si>
  <si>
    <t>420 / 1080</t>
  </si>
  <si>
    <t>420 / 1440</t>
  </si>
  <si>
    <t>420 / 1800</t>
  </si>
  <si>
    <t>780 / 360 (180)</t>
  </si>
  <si>
    <t>780 / 720</t>
  </si>
  <si>
    <t>780 / 1080</t>
  </si>
  <si>
    <t>780 / 1440</t>
  </si>
  <si>
    <t>780 / 1800</t>
  </si>
  <si>
    <t>980 / 360 (180)</t>
  </si>
  <si>
    <t>980 / 720</t>
  </si>
  <si>
    <t>980 / 1080</t>
  </si>
  <si>
    <t>980 / 1440</t>
  </si>
  <si>
    <t>980 / 1800</t>
  </si>
  <si>
    <t>Fronten (Klappe / Türe / DT)</t>
  </si>
  <si>
    <t>Fronten (Schubladen / HR)</t>
  </si>
  <si>
    <t>420 / 180</t>
  </si>
  <si>
    <t>580 / 180</t>
  </si>
  <si>
    <t>780 / 180</t>
  </si>
  <si>
    <t>980 / 180</t>
  </si>
  <si>
    <t>HR-Sc</t>
  </si>
  <si>
    <t>Tischprogramm</t>
  </si>
  <si>
    <t>TW 1</t>
  </si>
  <si>
    <t>1960 / 980</t>
  </si>
  <si>
    <t>TW 1-1</t>
  </si>
  <si>
    <t>980 / 980</t>
  </si>
  <si>
    <t>TW 2</t>
  </si>
  <si>
    <t>1760 / 780</t>
  </si>
  <si>
    <t>TW 3</t>
  </si>
  <si>
    <t>1560 / 780</t>
  </si>
  <si>
    <t>TW 4</t>
  </si>
  <si>
    <t>1360 / 780</t>
  </si>
  <si>
    <t>TW 5</t>
  </si>
  <si>
    <t>1200 / 780</t>
  </si>
  <si>
    <t>TW 6</t>
  </si>
  <si>
    <t>980 / 780</t>
  </si>
  <si>
    <t>TW 7</t>
  </si>
  <si>
    <t>780 / 780</t>
  </si>
  <si>
    <t>TW 8</t>
  </si>
  <si>
    <t>1200 / 580</t>
  </si>
  <si>
    <t>TW 9</t>
  </si>
  <si>
    <t>TW 10</t>
  </si>
  <si>
    <t>Tischbein</t>
  </si>
  <si>
    <t>750mm</t>
  </si>
  <si>
    <t>720mm</t>
  </si>
  <si>
    <t>Tischsprosse</t>
  </si>
  <si>
    <t>1960mm (Achsmass)</t>
  </si>
  <si>
    <t>1760mm (Achsmass)</t>
  </si>
  <si>
    <t>1560mm (Achsmass)</t>
  </si>
  <si>
    <t>1360mm (Achsmass)</t>
  </si>
  <si>
    <t>1200mm (Achsmass)</t>
  </si>
  <si>
    <t>980mm (Achsmass)</t>
  </si>
  <si>
    <t>780mm (Achsmass)</t>
  </si>
  <si>
    <t>580mm (Achsmass)</t>
  </si>
  <si>
    <t>TWP1</t>
  </si>
  <si>
    <t>TWP1-1</t>
  </si>
  <si>
    <t>TWP2</t>
  </si>
  <si>
    <t>TWP3</t>
  </si>
  <si>
    <t>TWP4</t>
  </si>
  <si>
    <t>TWP5</t>
  </si>
  <si>
    <t>TWP6</t>
  </si>
  <si>
    <t>TWP7</t>
  </si>
  <si>
    <t>TWP8</t>
  </si>
  <si>
    <t>TWP9</t>
  </si>
  <si>
    <t>TWP10</t>
  </si>
  <si>
    <t>Rollcontainer</t>
  </si>
  <si>
    <t>1x Mat.-Schublade</t>
  </si>
  <si>
    <t>RK 3</t>
  </si>
  <si>
    <t>450x610x660</t>
  </si>
  <si>
    <t>1x A6-Schublade</t>
  </si>
  <si>
    <t>1x A4-Schublade</t>
  </si>
  <si>
    <t>RK 13</t>
  </si>
  <si>
    <t>450x810x660</t>
  </si>
  <si>
    <t>RK 4</t>
  </si>
  <si>
    <t>3x A6-Schublade</t>
  </si>
  <si>
    <t>RK 14</t>
  </si>
  <si>
    <t>Tischprofile und TischPlattee</t>
  </si>
  <si>
    <t>Tischplatte</t>
  </si>
  <si>
    <t>Tischprofil</t>
  </si>
  <si>
    <t>ARTMODUL Preisliste – EUR &amp; CHF</t>
  </si>
  <si>
    <t>Art.-Nr.</t>
  </si>
  <si>
    <t>Tiefe (mm)</t>
  </si>
  <si>
    <t>PG 1 EUR</t>
  </si>
  <si>
    <t>PG 2 EUR</t>
  </si>
  <si>
    <t>PG 3 EUR</t>
  </si>
  <si>
    <t>PG 4 EUR</t>
  </si>
  <si>
    <t>PG 1 CHF</t>
  </si>
  <si>
    <t>PG 2 CHF</t>
  </si>
  <si>
    <t>PG 3 CHF</t>
  </si>
  <si>
    <t>PG 4 CHF</t>
  </si>
  <si>
    <t>Vergleich Preislogik: Preisliste 2012 vs. Aktives Modell</t>
  </si>
  <si>
    <t>Matching</t>
  </si>
  <si>
    <t>Struktur-Analyse</t>
  </si>
  <si>
    <t>Sektion 2012</t>
  </si>
  <si>
    <t>Kategorie Aktiv</t>
  </si>
  <si>
    <t>PK1</t>
  </si>
  <si>
    <t>PK2</t>
  </si>
  <si>
    <t>PK3</t>
  </si>
  <si>
    <t>PK4</t>
  </si>
  <si>
    <t>PK5</t>
  </si>
  <si>
    <t>PK6</t>
  </si>
  <si>
    <t>PK7</t>
  </si>
  <si>
    <t>PK8</t>
  </si>
  <si>
    <t>PG1</t>
  </si>
  <si>
    <t>PG2</t>
  </si>
  <si>
    <t>PG3</t>
  </si>
  <si>
    <t>PG4</t>
  </si>
  <si>
    <t>Δ PK1↔PG1</t>
  </si>
  <si>
    <t>Δ PK2↔PG2</t>
  </si>
  <si>
    <t>PK2/PK1</t>
  </si>
  <si>
    <t>PG2/PG1</t>
  </si>
  <si>
    <t>Fläche mm²</t>
  </si>
  <si>
    <t>€/dm² 2012</t>
  </si>
  <si>
    <t>€/dm² Aktiv</t>
  </si>
  <si>
    <t>Preisliste 2012 – EUR (PK1-PK8)</t>
  </si>
  <si>
    <t>Aktiv – EUR (PG1-PG4)</t>
  </si>
  <si>
    <t>Bauteil</t>
  </si>
  <si>
    <t>Maße</t>
  </si>
  <si>
    <t>Ø Δ PK1↔PG1</t>
  </si>
  <si>
    <t>Ø Δ PK2↔PG2</t>
  </si>
  <si>
    <t>Ø PK2/PK1</t>
  </si>
  <si>
    <t>Ø PG2/PG1</t>
  </si>
  <si>
    <t>GESAMT</t>
  </si>
  <si>
    <t>Ø PK4/PK1</t>
  </si>
  <si>
    <t>Ø PG3/PG1</t>
  </si>
  <si>
    <t>Ø PG4/PG1</t>
  </si>
  <si>
    <t>3. Größen-Preis-Verhältnis (€/dm² bei PK1/PG1)</t>
  </si>
  <si>
    <t>Ø €/dm² 2012</t>
  </si>
  <si>
    <t>Ø €/dm² Aktiv</t>
  </si>
  <si>
    <t>Δ €/dm²</t>
  </si>
  <si>
    <t>ZUSAMMENFASSUNG: Durchschnittliche Preisveränderung pro Sektion</t>
  </si>
  <si>
    <t>1. Durchschnittliche Preisabweichung Aktiv vs. 2012 pro Sektion</t>
  </si>
  <si>
    <t>Ø PK2/PK1 (2012)</t>
  </si>
  <si>
    <t>Ø PG2/PG1 (Aktiv)</t>
  </si>
  <si>
    <t>Anzahl Artikel</t>
  </si>
  <si>
    <t>2. Preisklassen-Progression: Verhältnisse zwischen PKs/PGs</t>
  </si>
  <si>
    <t>Wie bauen sich die Preisklassen relativ zur Basis auf? PK2/PK1 = Faktor für nächste PK</t>
  </si>
  <si>
    <t>Fazit</t>
  </si>
  <si>
    <t>Preis pro Flächeneinheit zeigt Degression (kleinere Teile sind relativ teurer)</t>
  </si>
  <si>
    <t>Fläche Min mm²</t>
  </si>
  <si>
    <t>Fläche Max mm²</t>
  </si>
  <si>
    <t>LEGENDE &amp; METHODIK</t>
  </si>
  <si>
    <t>Matching:</t>
  </si>
  <si>
    <t>Abgleich über Bauteil-Typ + Größe (BxT mm). 2012-Seiten → Aktiv-Seite außen. 97 von 145 Artikeln gematcht.</t>
  </si>
  <si>
    <t>PK↔PG Zuordnung:</t>
  </si>
  <si>
    <t>Preislogik 2012:</t>
  </si>
  <si>
    <t>8 feste Preisklassen, Preise direkt hinterlegt (keine Formel-/Faktor-Steuerung erkennbar).</t>
  </si>
  <si>
    <t>Preislogik Aktiv:</t>
  </si>
  <si>
    <t>Basispreis × Globaler_Faktor (1.00) × Kategorie_Faktor (z.B. 0.75 für Platten PG1, 0.88 für Fronten PG1). CHF = EUR × 1.15.</t>
  </si>
  <si>
    <t>Δ-Formel:</t>
  </si>
  <si>
    <t>Δ = (Preis_Aktiv − Preis_2012) / Preis_2012. Grün = Aufschlag, Rot = Abschlag.</t>
  </si>
  <si>
    <t>€/dm²:</t>
  </si>
  <si>
    <t>Basispreis (PK1/PG1) geteilt durch Fläche in dm² (BxT/10000). Zeigt Flächenbezogene Preiseffizienz.</t>
  </si>
  <si>
    <t>⚠️ Tischprogramm:</t>
  </si>
  <si>
    <t>Matches sind Komplettsysteme (2012) vs. Einzelplatten (Aktiv) – NICHT direkt vergleichbar!</t>
  </si>
  <si>
    <t>PK5-PK8 (2012):</t>
  </si>
  <si>
    <t>Existieren nur im alten Modell. Vermutlich weitere Materialvarianten, die im neuen Modell nicht abgebildet sind.</t>
  </si>
  <si>
    <t>Δ Aktiv vs. 2012 (korrigierte Zuordnung)</t>
  </si>
  <si>
    <t>Δ PK4↔PG4 (Glas)</t>
  </si>
  <si>
    <t>Δ PK6↔PG3 (Furnier)</t>
  </si>
  <si>
    <t>Zuordnung: PK1↔PG1 (MDF), PK2↔PG2 (Alu), PK4↔PG4 (Glas), PK6↔PG3 (Furnier). PK3/5/7/8 ohne PG-Äquivalent. | Δ = (Aktiv − 2012) / 2012</t>
  </si>
  <si>
    <t>Ø Δ PK4↔PG4 (Glas)</t>
  </si>
  <si>
    <t>Ø Δ PK6↔PG3 (Furnier)</t>
  </si>
  <si>
    <t>Ø PK6/PK1</t>
  </si>
  <si>
    <t>PK1↔PG1 (MDF), PK2↔PG2 (Alu), PK4↔PG4 (Glas), PK6↔PG3 (Furnier). PK3/5/7/8 haben kein PG-Äquivalent.</t>
  </si>
  <si>
    <t>KOMPONENTENBASIERTES PREISMODELL – Prototyp</t>
  </si>
  <si>
    <t>Preisformel: Endpreis = (Fläche in dm² × Materialpreis/dm²) + Fertigungszuschlag + Beschlagpauschale</t>
  </si>
  <si>
    <t>PG1 (MDF)</t>
  </si>
  <si>
    <t>PG2 (Alu)</t>
  </si>
  <si>
    <t>PG3 (Furnier)</t>
  </si>
  <si>
    <t>PG4 (Glas)</t>
  </si>
  <si>
    <t>ARTIKELVERGLEICH: Komponentenmodell vs. Aktuelles Modell</t>
  </si>
  <si>
    <t>Fläche dm²</t>
  </si>
  <si>
    <t>Ist PG1</t>
  </si>
  <si>
    <t>Neu PG1</t>
  </si>
  <si>
    <t>Δ PG1</t>
  </si>
  <si>
    <t>Ist PG2</t>
  </si>
  <si>
    <t>Neu PG2</t>
  </si>
  <si>
    <t>Δ PG2</t>
  </si>
  <si>
    <t>Ist PG3</t>
  </si>
  <si>
    <t>Neu PG3</t>
  </si>
  <si>
    <t>Δ PG3</t>
  </si>
  <si>
    <t>Ist PG4</t>
  </si>
  <si>
    <t>Neu PG4</t>
  </si>
  <si>
    <t>Δ PG4</t>
  </si>
  <si>
    <t>ZUSAMMENFASSUNG: Modellgenauigkeit</t>
  </si>
  <si>
    <t>Metrik</t>
  </si>
  <si>
    <t>Median Δ</t>
  </si>
  <si>
    <t>Mittl. |Δ|</t>
  </si>
  <si>
    <t>Anteil ±5%</t>
  </si>
  <si>
    <t>Anteil ±10%</t>
  </si>
  <si>
    <t>Anteil ±20%</t>
  </si>
  <si>
    <t>Max |Δ|</t>
  </si>
  <si>
    <t>KOMPONENTENPARAMETER (pro Kategorie × Material)</t>
  </si>
  <si>
    <t>PG1 €/dm²</t>
  </si>
  <si>
    <t>PG1 Basis€</t>
  </si>
  <si>
    <t>PG2 €/dm²</t>
  </si>
  <si>
    <t>PG2 Basis€</t>
  </si>
  <si>
    <t>PG3 €/dm²</t>
  </si>
  <si>
    <t>PG3 Basis€</t>
  </si>
  <si>
    <t>PG4 €/dm²</t>
  </si>
  <si>
    <t>PG4 Basis€</t>
  </si>
  <si>
    <t>Boden/Fachboden</t>
  </si>
  <si>
    <t>Seite (alle)</t>
  </si>
  <si>
    <t>Schublade (alle)</t>
  </si>
  <si>
    <t>Anmerkung</t>
  </si>
  <si>
    <t>R²: PG1=0.99, PG2=0.84</t>
  </si>
  <si>
    <t>R²: PG1=0.97, PG3=0.99</t>
  </si>
  <si>
    <t>R²: PG1=0.99, PG3=0.99</t>
  </si>
  <si>
    <t>⚠ PG3/PG4 R²=0.14 – kaum linear!</t>
  </si>
  <si>
    <t>R²: PG1=0.98, PG3=0.98</t>
  </si>
  <si>
    <t>⚠ PG2 R²=0.04 – Festpreis statt Fläche</t>
  </si>
  <si>
    <t>WÄHRUNGSUMRECHNUNG</t>
  </si>
  <si>
    <t>PREISFORMEL</t>
  </si>
  <si>
    <t>EUR-Preis = ROUND( Fläche_dm² × Materialpreis/dm² + Basiszuschlag, 0 )</t>
  </si>
  <si>
    <t>CHF-Preis = EUR-Preis × CHF-Faktor</t>
  </si>
  <si>
    <t>Fläche_dm² = Breite_mm × Tiefe_mm / 10.000</t>
  </si>
  <si>
    <t>⚠ Gelb markierte Parameter haben schwache lineare Anpassung (R²&lt;0.5). Hier empfiehlt sich ein Festpreis-Ansatz.</t>
  </si>
  <si>
    <t>Genauigkeit</t>
  </si>
  <si>
    <t>MODELL-BEWERTUNG &amp; EMPFEHLUNGEN</t>
  </si>
  <si>
    <t>✅ PG1 (MDF): Sehr gute Linearität. 84% der Artikel innerhalb ±10%. Komponentenmodell funktioniert hervorragend.</t>
  </si>
  <si>
    <t>✅ PG3 (Furnier): Gute Linearität für Platten/Seiten/Rücken. 73% innerhalb ±10%.</t>
  </si>
  <si>
    <t>⚠ PG2 (Alu): Moderates Ergebnis. Nur 36% innerhalb ±10%. Seiten/Rücken weisen starke Nichtlinearitäten auf.</t>
  </si>
  <si>
    <t>⚠ PG4 (Glas): Schwächstes Ergebnis. Nur 43% innerhalb ±10%. Preissprünge bei bestimmten Größenkombinationen.</t>
  </si>
  <si>
    <t>EMPFEHLUNGEN:</t>
  </si>
  <si>
    <t>1. PG1/PG3: Komponentenmodell direkt einsetzbar – wenige Sonderpreise nötig</t>
  </si>
  <si>
    <t>2. PG2/PG4: Zusätzliche Preisstufen oder Größenklassen-Zuschläge einführen (z.B. &gt;1m² Aufschlag)</t>
  </si>
  <si>
    <t>3. Klappen: Feste Preisgruppen statt linearer Flächenberechnung (R²=0.14)</t>
  </si>
  <si>
    <t>4. Schubladen PG2: Festpreis ~333€ unabhängig von Fläche (R²=0.04)</t>
  </si>
  <si>
    <t>5. Für Zubehör (Würfel, Profile, Griffe, etc.): Festpreisliste beibehalten – keine Flächenabhängigkeit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</si>
</sst>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 €&quot;"/>
    <numFmt numFmtId="165" formatCode="0.0%"/>
    <numFmt numFmtId="166" formatCode="0.0%;\-0.0%;&quot;-&quot;"/>
    <numFmt numFmtId="167" formatCode="0.0\x"/>
  </numFmts>
  <fonts count="5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276221"/>
      <name val="Arial"/>
      <family val="2"/>
    </font>
    <font>
      <i/>
      <sz val="10"/>
      <color rgb="FF1F4E79"/>
      <name val="Arial"/>
      <family val="2"/>
    </font>
    <font>
      <sz val="10"/>
      <color rgb="FF276221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Calibri"/>
      <family val="2"/>
      <charset val="1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sz val="11"/>
      <color rgb="FF0000FF"/>
      <name val="Calibri"/>
      <family val="2"/>
      <charset val="1"/>
    </font>
    <font>
      <b/>
      <sz val="14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0"/>
      <name val="Arial"/>
      <family val="2"/>
    </font>
    <font>
      <sz val="9"/>
      <color rgb="FF757575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color rgb="FF999999"/>
      <name val="Arial"/>
      <family val="2"/>
    </font>
    <font>
      <b/>
      <sz val="9"/>
      <color theme="1"/>
      <name val="Arial"/>
      <family val="2"/>
    </font>
    <font>
      <b/>
      <sz val="13"/>
      <color rgb="FFFFFFFF"/>
      <name val="Arial"/>
      <family val="2"/>
    </font>
    <font>
      <b/>
      <sz val="11"/>
      <color rgb="FF1F2D3D"/>
      <name val="Arial"/>
      <family val="2"/>
    </font>
    <font>
      <i/>
      <sz val="11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sz val="9"/>
      <color indexed="81"/>
      <name val="Segoe UI"/>
      <family val="2"/>
    </font>
    <font>
      <b/>
      <sz val="14"/>
      <color rgb="FFFFFFFF"/>
      <name val="Calibri"/>
      <family val="2"/>
      <charset val="1"/>
    </font>
    <font>
      <i/>
      <sz val="10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FF"/>
      <name val="Calibri"/>
      <family val="2"/>
      <charset val="1"/>
    </font>
    <font>
      <sz val="8"/>
      <color rgb="FF757575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E65100"/>
      <name val="Calibri"/>
      <family val="2"/>
      <charset val="1"/>
    </font>
  </fonts>
  <fills count="5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EBF5FB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C6EFCE"/>
        <bgColor rgb="FFD9D9D9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0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1F2D3D"/>
        <bgColor rgb="FF2E4057"/>
      </patternFill>
    </fill>
    <fill>
      <patternFill patternType="solid">
        <fgColor rgb="FF37474F"/>
        <bgColor rgb="FF2E4057"/>
      </patternFill>
    </fill>
    <fill>
      <patternFill patternType="solid">
        <fgColor rgb="FF1A5276"/>
        <bgColor rgb="FF2E4057"/>
      </patternFill>
    </fill>
    <fill>
      <patternFill patternType="solid">
        <fgColor rgb="FF1B5E20"/>
        <bgColor rgb="FF37474F"/>
      </patternFill>
    </fill>
    <fill>
      <patternFill patternType="solid">
        <fgColor rgb="FF2E4057"/>
        <bgColor rgb="FF37474F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DE7"/>
        <bgColor rgb="FFFFF3E0"/>
      </patternFill>
    </fill>
    <fill>
      <patternFill patternType="solid">
        <fgColor rgb="FFEFEBE9"/>
        <bgColor rgb="FFF3E5F5"/>
      </patternFill>
    </fill>
    <fill>
      <patternFill patternType="solid">
        <fgColor rgb="FF1F2D3D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4A148C"/>
        <bgColor indexed="64"/>
      </patternFill>
    </fill>
  </fills>
  <borders count="5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theme="4"/>
      </left>
      <right/>
      <top style="thin">
        <color rgb="FFBDBDBD"/>
      </top>
      <bottom/>
      <diagonal/>
    </border>
    <border>
      <left/>
      <right style="thin">
        <color theme="4"/>
      </right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theme="4"/>
      </left>
      <right/>
      <top style="thin">
        <color rgb="FFBDBDBD"/>
      </top>
      <bottom style="thin">
        <color rgb="FFBDBDBD"/>
      </bottom>
      <diagonal/>
    </border>
    <border>
      <left style="thin">
        <color theme="4"/>
      </left>
      <right/>
      <top style="thin">
        <color rgb="FFBDBDBD"/>
      </top>
      <bottom style="thin">
        <color rgb="FFE0E0E0"/>
      </bottom>
      <diagonal/>
    </border>
    <border>
      <left/>
      <right/>
      <top style="thin">
        <color rgb="FFBDBDBD"/>
      </top>
      <bottom style="thin">
        <color rgb="FFE0E0E0"/>
      </bottom>
      <diagonal/>
    </border>
    <border>
      <left/>
      <right style="thin">
        <color theme="4"/>
      </right>
      <top style="thin">
        <color rgb="FFBDBDBD"/>
      </top>
      <bottom style="thin">
        <color rgb="FFE0E0E0"/>
      </bottom>
      <diagonal/>
    </border>
    <border>
      <left style="thin">
        <color theme="4"/>
      </left>
      <right/>
      <top style="thin">
        <color theme="4"/>
      </top>
      <bottom style="thin">
        <color rgb="FFE0E0E0"/>
      </bottom>
      <diagonal/>
    </border>
    <border>
      <left/>
      <right/>
      <top style="thin">
        <color theme="4"/>
      </top>
      <bottom style="thin">
        <color rgb="FFE0E0E0"/>
      </bottom>
      <diagonal/>
    </border>
    <border>
      <left/>
      <right style="thin">
        <color theme="4"/>
      </right>
      <top style="thin">
        <color theme="4"/>
      </top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</borders>
  <cellStyleXfs count="2">
    <xf numFmtId="0" fontId="0" fillId="0" borderId="0"/>
    <xf numFmtId="0" fontId="1" fillId="0" borderId="0"/>
  </cellStyleXfs>
  <cellXfs count="337">
    <xf numFmtId="0" fontId="0" fillId="0" borderId="0" xfId="0"/>
    <xf numFmtId="164" fontId="5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" fontId="6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9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" fontId="9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7" borderId="0" xfId="1" applyFont="1" applyFill="1" applyAlignment="1">
      <alignment horizontal="center"/>
    </xf>
    <xf numFmtId="0" fontId="1" fillId="0" borderId="0" xfId="1"/>
    <xf numFmtId="0" fontId="14" fillId="8" borderId="0" xfId="1" applyFont="1" applyFill="1"/>
    <xf numFmtId="3" fontId="1" fillId="0" borderId="0" xfId="1" applyNumberFormat="1"/>
    <xf numFmtId="0" fontId="12" fillId="0" borderId="0" xfId="1" applyFont="1"/>
    <xf numFmtId="0" fontId="11" fillId="9" borderId="0" xfId="1" applyFont="1" applyFill="1"/>
    <xf numFmtId="0" fontId="13" fillId="10" borderId="0" xfId="1" applyFont="1" applyFill="1"/>
    <xf numFmtId="3" fontId="13" fillId="10" borderId="0" xfId="1" applyNumberFormat="1" applyFont="1" applyFill="1"/>
    <xf numFmtId="0" fontId="12" fillId="0" borderId="6" xfId="1" applyFont="1" applyBorder="1" applyAlignment="1">
      <alignment horizontal="right"/>
    </xf>
    <xf numFmtId="0" fontId="12" fillId="0" borderId="4" xfId="1" applyFont="1" applyBorder="1"/>
    <xf numFmtId="0" fontId="12" fillId="0" borderId="5" xfId="1" applyFont="1" applyBorder="1"/>
    <xf numFmtId="0" fontId="12" fillId="0" borderId="7" xfId="1" applyFont="1" applyBorder="1"/>
    <xf numFmtId="0" fontId="1" fillId="0" borderId="8" xfId="1" applyBorder="1"/>
    <xf numFmtId="0" fontId="12" fillId="0" borderId="9" xfId="1" applyFont="1" applyBorder="1"/>
    <xf numFmtId="0" fontId="1" fillId="0" borderId="10" xfId="1" applyBorder="1"/>
    <xf numFmtId="0" fontId="1" fillId="0" borderId="11" xfId="1" applyBorder="1"/>
    <xf numFmtId="0" fontId="12" fillId="0" borderId="12" xfId="1" applyFont="1" applyBorder="1" applyAlignment="1">
      <alignment horizontal="right"/>
    </xf>
    <xf numFmtId="0" fontId="12" fillId="0" borderId="13" xfId="1" applyFont="1" applyBorder="1"/>
    <xf numFmtId="0" fontId="12" fillId="0" borderId="14" xfId="1" applyFont="1" applyBorder="1"/>
    <xf numFmtId="0" fontId="12" fillId="11" borderId="7" xfId="1" applyFont="1" applyFill="1" applyBorder="1"/>
    <xf numFmtId="0" fontId="1" fillId="0" borderId="15" xfId="1" applyBorder="1"/>
    <xf numFmtId="0" fontId="1" fillId="0" borderId="16" xfId="1" applyBorder="1"/>
    <xf numFmtId="0" fontId="12" fillId="0" borderId="12" xfId="1" applyFont="1" applyBorder="1"/>
    <xf numFmtId="0" fontId="15" fillId="0" borderId="0" xfId="0" applyFont="1"/>
    <xf numFmtId="0" fontId="2" fillId="0" borderId="0" xfId="0" applyFont="1"/>
    <xf numFmtId="0" fontId="3" fillId="12" borderId="0" xfId="0" applyFont="1" applyFill="1"/>
    <xf numFmtId="0" fontId="4" fillId="13" borderId="17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16" fillId="0" borderId="0" xfId="0" applyFont="1"/>
    <xf numFmtId="0" fontId="17" fillId="15" borderId="21" xfId="0" applyFont="1" applyFill="1" applyBorder="1" applyAlignment="1">
      <alignment horizontal="center"/>
    </xf>
    <xf numFmtId="164" fontId="18" fillId="14" borderId="21" xfId="0" applyNumberFormat="1" applyFont="1" applyFill="1" applyBorder="1" applyAlignment="1">
      <alignment horizontal="center"/>
    </xf>
    <xf numFmtId="164" fontId="18" fillId="14" borderId="22" xfId="0" applyNumberFormat="1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164" fontId="18" fillId="16" borderId="21" xfId="0" applyNumberFormat="1" applyFont="1" applyFill="1" applyBorder="1" applyAlignment="1">
      <alignment horizontal="center"/>
    </xf>
    <xf numFmtId="164" fontId="18" fillId="16" borderId="22" xfId="0" applyNumberFormat="1" applyFont="1" applyFill="1" applyBorder="1" applyAlignment="1">
      <alignment horizontal="center"/>
    </xf>
    <xf numFmtId="164" fontId="18" fillId="16" borderId="1" xfId="0" applyNumberFormat="1" applyFont="1" applyFill="1" applyBorder="1" applyAlignment="1">
      <alignment horizontal="center"/>
    </xf>
    <xf numFmtId="164" fontId="18" fillId="16" borderId="24" xfId="0" applyNumberFormat="1" applyFont="1" applyFill="1" applyBorder="1" applyAlignment="1">
      <alignment horizontal="center"/>
    </xf>
    <xf numFmtId="0" fontId="18" fillId="15" borderId="20" xfId="0" applyFont="1" applyFill="1" applyBorder="1" applyAlignment="1">
      <alignment horizontal="center"/>
    </xf>
    <xf numFmtId="0" fontId="18" fillId="15" borderId="23" xfId="0" applyFont="1" applyFill="1" applyBorder="1" applyAlignment="1">
      <alignment horizontal="center"/>
    </xf>
    <xf numFmtId="0" fontId="17" fillId="15" borderId="25" xfId="0" applyFont="1" applyFill="1" applyBorder="1"/>
    <xf numFmtId="0" fontId="18" fillId="15" borderId="25" xfId="0" applyFont="1" applyFill="1" applyBorder="1"/>
    <xf numFmtId="0" fontId="18" fillId="15" borderId="2" xfId="0" applyFont="1" applyFill="1" applyBorder="1"/>
    <xf numFmtId="0" fontId="0" fillId="17" borderId="0" xfId="0" applyFill="1"/>
    <xf numFmtId="0" fontId="17" fillId="18" borderId="1" xfId="0" applyFont="1" applyFill="1" applyBorder="1" applyAlignment="1">
      <alignment horizontal="center"/>
    </xf>
    <xf numFmtId="0" fontId="17" fillId="18" borderId="21" xfId="0" applyFont="1" applyFill="1" applyBorder="1" applyAlignment="1">
      <alignment horizontal="center"/>
    </xf>
    <xf numFmtId="0" fontId="18" fillId="18" borderId="20" xfId="0" applyFont="1" applyFill="1" applyBorder="1" applyAlignment="1">
      <alignment horizontal="center"/>
    </xf>
    <xf numFmtId="0" fontId="18" fillId="18" borderId="23" xfId="0" applyFont="1" applyFill="1" applyBorder="1" applyAlignment="1">
      <alignment horizontal="center"/>
    </xf>
    <xf numFmtId="0" fontId="17" fillId="18" borderId="25" xfId="0" applyFont="1" applyFill="1" applyBorder="1"/>
    <xf numFmtId="0" fontId="18" fillId="18" borderId="25" xfId="0" applyFont="1" applyFill="1" applyBorder="1"/>
    <xf numFmtId="0" fontId="18" fillId="18" borderId="2" xfId="0" applyFont="1" applyFill="1" applyBorder="1"/>
    <xf numFmtId="0" fontId="17" fillId="19" borderId="1" xfId="0" applyFont="1" applyFill="1" applyBorder="1" applyAlignment="1">
      <alignment horizontal="center"/>
    </xf>
    <xf numFmtId="0" fontId="17" fillId="19" borderId="21" xfId="0" applyFont="1" applyFill="1" applyBorder="1" applyAlignment="1">
      <alignment horizontal="center"/>
    </xf>
    <xf numFmtId="0" fontId="18" fillId="19" borderId="20" xfId="0" applyFont="1" applyFill="1" applyBorder="1" applyAlignment="1">
      <alignment horizontal="center"/>
    </xf>
    <xf numFmtId="0" fontId="18" fillId="19" borderId="23" xfId="0" applyFont="1" applyFill="1" applyBorder="1" applyAlignment="1">
      <alignment horizontal="center"/>
    </xf>
    <xf numFmtId="0" fontId="17" fillId="19" borderId="25" xfId="0" applyFont="1" applyFill="1" applyBorder="1"/>
    <xf numFmtId="0" fontId="18" fillId="19" borderId="25" xfId="0" applyFont="1" applyFill="1" applyBorder="1"/>
    <xf numFmtId="0" fontId="18" fillId="19" borderId="2" xfId="0" applyFont="1" applyFill="1" applyBorder="1"/>
    <xf numFmtId="0" fontId="17" fillId="20" borderId="1" xfId="0" applyFont="1" applyFill="1" applyBorder="1" applyAlignment="1">
      <alignment horizontal="center"/>
    </xf>
    <xf numFmtId="0" fontId="17" fillId="20" borderId="21" xfId="0" applyFont="1" applyFill="1" applyBorder="1" applyAlignment="1">
      <alignment horizontal="center"/>
    </xf>
    <xf numFmtId="0" fontId="18" fillId="20" borderId="20" xfId="0" applyFont="1" applyFill="1" applyBorder="1" applyAlignment="1">
      <alignment horizontal="center"/>
    </xf>
    <xf numFmtId="0" fontId="18" fillId="20" borderId="23" xfId="0" applyFont="1" applyFill="1" applyBorder="1" applyAlignment="1">
      <alignment horizontal="center"/>
    </xf>
    <xf numFmtId="0" fontId="17" fillId="20" borderId="25" xfId="0" applyFont="1" applyFill="1" applyBorder="1"/>
    <xf numFmtId="0" fontId="18" fillId="20" borderId="25" xfId="0" applyFont="1" applyFill="1" applyBorder="1"/>
    <xf numFmtId="0" fontId="18" fillId="20" borderId="2" xfId="0" applyFont="1" applyFill="1" applyBorder="1"/>
    <xf numFmtId="0" fontId="21" fillId="0" borderId="0" xfId="0" applyFont="1"/>
    <xf numFmtId="0" fontId="18" fillId="21" borderId="0" xfId="0" applyFont="1" applyFill="1"/>
    <xf numFmtId="2" fontId="25" fillId="22" borderId="0" xfId="0" applyNumberFormat="1" applyFont="1" applyFill="1" applyAlignment="1">
      <alignment horizontal="center"/>
    </xf>
    <xf numFmtId="2" fontId="25" fillId="22" borderId="28" xfId="0" applyNumberFormat="1" applyFont="1" applyFill="1" applyBorder="1" applyAlignment="1">
      <alignment horizontal="center"/>
    </xf>
    <xf numFmtId="0" fontId="15" fillId="24" borderId="0" xfId="0" applyFont="1" applyFill="1" applyAlignment="1">
      <alignment horizontal="center"/>
    </xf>
    <xf numFmtId="0" fontId="15" fillId="25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7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 vertical="center" wrapText="1"/>
    </xf>
    <xf numFmtId="2" fontId="24" fillId="18" borderId="0" xfId="0" applyNumberFormat="1" applyFont="1" applyFill="1" applyAlignment="1">
      <alignment horizontal="center"/>
    </xf>
    <xf numFmtId="2" fontId="26" fillId="21" borderId="0" xfId="0" applyNumberFormat="1" applyFont="1" applyFill="1" applyAlignment="1">
      <alignment horizontal="center"/>
    </xf>
    <xf numFmtId="0" fontId="18" fillId="16" borderId="26" xfId="0" applyFont="1" applyFill="1" applyBorder="1"/>
    <xf numFmtId="2" fontId="24" fillId="18" borderId="26" xfId="0" applyNumberFormat="1" applyFont="1" applyFill="1" applyBorder="1" applyAlignment="1">
      <alignment horizontal="center"/>
    </xf>
    <xf numFmtId="2" fontId="26" fillId="16" borderId="26" xfId="0" applyNumberFormat="1" applyFont="1" applyFill="1" applyBorder="1" applyAlignment="1">
      <alignment horizontal="center"/>
    </xf>
    <xf numFmtId="0" fontId="18" fillId="16" borderId="27" xfId="0" applyFont="1" applyFill="1" applyBorder="1"/>
    <xf numFmtId="2" fontId="24" fillId="18" borderId="27" xfId="0" applyNumberFormat="1" applyFont="1" applyFill="1" applyBorder="1" applyAlignment="1">
      <alignment horizontal="center"/>
    </xf>
    <xf numFmtId="2" fontId="26" fillId="16" borderId="27" xfId="0" applyNumberFormat="1" applyFont="1" applyFill="1" applyBorder="1" applyAlignment="1">
      <alignment horizontal="center"/>
    </xf>
    <xf numFmtId="0" fontId="18" fillId="21" borderId="27" xfId="0" applyFont="1" applyFill="1" applyBorder="1"/>
    <xf numFmtId="2" fontId="26" fillId="21" borderId="27" xfId="0" applyNumberFormat="1" applyFont="1" applyFill="1" applyBorder="1" applyAlignment="1">
      <alignment horizontal="center"/>
    </xf>
    <xf numFmtId="0" fontId="4" fillId="28" borderId="0" xfId="0" applyFont="1" applyFill="1" applyAlignment="1">
      <alignment horizontal="center"/>
    </xf>
    <xf numFmtId="0" fontId="4" fillId="23" borderId="0" xfId="0" applyFont="1" applyFill="1" applyAlignment="1">
      <alignment horizontal="center"/>
    </xf>
    <xf numFmtId="3" fontId="27" fillId="0" borderId="0" xfId="0" applyNumberFormat="1" applyFont="1"/>
    <xf numFmtId="3" fontId="28" fillId="0" borderId="0" xfId="0" applyNumberFormat="1" applyFont="1"/>
    <xf numFmtId="165" fontId="15" fillId="0" borderId="0" xfId="0" applyNumberFormat="1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7" fillId="0" borderId="0" xfId="0" applyFont="1"/>
    <xf numFmtId="0" fontId="10" fillId="0" borderId="0" xfId="0" applyFont="1"/>
    <xf numFmtId="0" fontId="12" fillId="0" borderId="3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23" fillId="12" borderId="0" xfId="0" applyFont="1" applyFill="1" applyAlignment="1">
      <alignment horizontal="left"/>
    </xf>
    <xf numFmtId="0" fontId="22" fillId="13" borderId="0" xfId="0" applyFont="1" applyFill="1"/>
    <xf numFmtId="0" fontId="0" fillId="13" borderId="0" xfId="0" applyFill="1"/>
    <xf numFmtId="0" fontId="20" fillId="29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" fillId="30" borderId="0" xfId="0" applyFont="1" applyFill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19" fillId="30" borderId="29" xfId="0" applyFont="1" applyFill="1" applyBorder="1" applyAlignment="1">
      <alignment horizontal="center" vertical="center"/>
    </xf>
    <xf numFmtId="0" fontId="19" fillId="31" borderId="29" xfId="0" applyFont="1" applyFill="1" applyBorder="1" applyAlignment="1">
      <alignment horizontal="center" vertical="center"/>
    </xf>
    <xf numFmtId="0" fontId="19" fillId="32" borderId="29" xfId="0" applyFont="1" applyFill="1" applyBorder="1" applyAlignment="1">
      <alignment horizontal="center" vertical="center"/>
    </xf>
    <xf numFmtId="0" fontId="4" fillId="33" borderId="0" xfId="0" applyFont="1" applyFill="1" applyAlignment="1">
      <alignment horizontal="left" vertical="center"/>
    </xf>
    <xf numFmtId="0" fontId="30" fillId="34" borderId="29" xfId="0" applyFont="1" applyFill="1" applyBorder="1" applyAlignment="1">
      <alignment horizontal="left" vertical="center"/>
    </xf>
    <xf numFmtId="0" fontId="31" fillId="34" borderId="29" xfId="0" applyFont="1" applyFill="1" applyBorder="1" applyAlignment="1">
      <alignment horizontal="left" vertical="center"/>
    </xf>
    <xf numFmtId="3" fontId="31" fillId="34" borderId="29" xfId="0" applyNumberFormat="1" applyFont="1" applyFill="1" applyBorder="1" applyAlignment="1">
      <alignment horizontal="center" vertical="center"/>
    </xf>
    <xf numFmtId="0" fontId="31" fillId="34" borderId="29" xfId="0" applyFont="1" applyFill="1" applyBorder="1" applyAlignment="1">
      <alignment horizontal="center" vertical="center"/>
    </xf>
    <xf numFmtId="0" fontId="30" fillId="5" borderId="29" xfId="0" applyFont="1" applyFill="1" applyBorder="1" applyAlignment="1">
      <alignment horizontal="left" vertical="center"/>
    </xf>
    <xf numFmtId="0" fontId="31" fillId="5" borderId="29" xfId="0" applyFont="1" applyFill="1" applyBorder="1" applyAlignment="1">
      <alignment horizontal="left" vertical="center"/>
    </xf>
    <xf numFmtId="3" fontId="31" fillId="5" borderId="29" xfId="0" applyNumberFormat="1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0" fillId="33" borderId="0" xfId="0" applyFill="1"/>
    <xf numFmtId="0" fontId="30" fillId="35" borderId="29" xfId="0" applyFont="1" applyFill="1" applyBorder="1" applyAlignment="1">
      <alignment horizontal="left" vertical="center"/>
    </xf>
    <xf numFmtId="0" fontId="31" fillId="35" borderId="29" xfId="0" applyFont="1" applyFill="1" applyBorder="1" applyAlignment="1">
      <alignment horizontal="left" vertical="center"/>
    </xf>
    <xf numFmtId="3" fontId="31" fillId="35" borderId="29" xfId="0" applyNumberFormat="1" applyFont="1" applyFill="1" applyBorder="1" applyAlignment="1">
      <alignment horizontal="center" vertical="center"/>
    </xf>
    <xf numFmtId="0" fontId="31" fillId="35" borderId="29" xfId="0" applyFont="1" applyFill="1" applyBorder="1" applyAlignment="1">
      <alignment horizontal="center" vertical="center"/>
    </xf>
    <xf numFmtId="0" fontId="30" fillId="36" borderId="29" xfId="0" applyFont="1" applyFill="1" applyBorder="1" applyAlignment="1">
      <alignment horizontal="left" vertical="center"/>
    </xf>
    <xf numFmtId="0" fontId="31" fillId="36" borderId="29" xfId="0" applyFont="1" applyFill="1" applyBorder="1" applyAlignment="1">
      <alignment horizontal="left" vertical="center"/>
    </xf>
    <xf numFmtId="3" fontId="31" fillId="36" borderId="29" xfId="0" applyNumberFormat="1" applyFont="1" applyFill="1" applyBorder="1" applyAlignment="1">
      <alignment horizontal="center" vertical="center"/>
    </xf>
    <xf numFmtId="0" fontId="31" fillId="36" borderId="29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left" vertical="center"/>
    </xf>
    <xf numFmtId="0" fontId="31" fillId="37" borderId="29" xfId="0" applyFont="1" applyFill="1" applyBorder="1" applyAlignment="1">
      <alignment horizontal="left" vertical="center"/>
    </xf>
    <xf numFmtId="3" fontId="31" fillId="37" borderId="29" xfId="0" applyNumberFormat="1" applyFont="1" applyFill="1" applyBorder="1" applyAlignment="1">
      <alignment horizontal="center" vertical="center"/>
    </xf>
    <xf numFmtId="0" fontId="31" fillId="37" borderId="29" xfId="0" applyFont="1" applyFill="1" applyBorder="1" applyAlignment="1">
      <alignment horizontal="center" vertical="center"/>
    </xf>
    <xf numFmtId="0" fontId="30" fillId="38" borderId="29" xfId="0" applyFont="1" applyFill="1" applyBorder="1" applyAlignment="1">
      <alignment horizontal="left" vertical="center"/>
    </xf>
    <xf numFmtId="0" fontId="31" fillId="38" borderId="29" xfId="0" applyFont="1" applyFill="1" applyBorder="1" applyAlignment="1">
      <alignment horizontal="left" vertical="center"/>
    </xf>
    <xf numFmtId="3" fontId="31" fillId="38" borderId="29" xfId="0" applyNumberFormat="1" applyFont="1" applyFill="1" applyBorder="1" applyAlignment="1">
      <alignment horizontal="center" vertical="center"/>
    </xf>
    <xf numFmtId="0" fontId="31" fillId="38" borderId="29" xfId="0" applyFont="1" applyFill="1" applyBorder="1" applyAlignment="1">
      <alignment horizontal="center" vertical="center"/>
    </xf>
    <xf numFmtId="0" fontId="30" fillId="39" borderId="29" xfId="0" applyFont="1" applyFill="1" applyBorder="1" applyAlignment="1">
      <alignment horizontal="left" vertical="center"/>
    </xf>
    <xf numFmtId="0" fontId="31" fillId="39" borderId="29" xfId="0" applyFont="1" applyFill="1" applyBorder="1" applyAlignment="1">
      <alignment horizontal="left" vertical="center"/>
    </xf>
    <xf numFmtId="3" fontId="31" fillId="39" borderId="29" xfId="0" applyNumberFormat="1" applyFont="1" applyFill="1" applyBorder="1" applyAlignment="1">
      <alignment horizontal="center" vertical="center"/>
    </xf>
    <xf numFmtId="0" fontId="31" fillId="39" borderId="29" xfId="0" applyFont="1" applyFill="1" applyBorder="1" applyAlignment="1">
      <alignment horizontal="center" vertical="center"/>
    </xf>
    <xf numFmtId="0" fontId="30" fillId="40" borderId="29" xfId="0" applyFont="1" applyFill="1" applyBorder="1" applyAlignment="1">
      <alignment horizontal="left" vertical="center"/>
    </xf>
    <xf numFmtId="0" fontId="31" fillId="40" borderId="29" xfId="0" applyFont="1" applyFill="1" applyBorder="1" applyAlignment="1">
      <alignment horizontal="left" vertical="center"/>
    </xf>
    <xf numFmtId="3" fontId="31" fillId="40" borderId="29" xfId="0" applyNumberFormat="1" applyFont="1" applyFill="1" applyBorder="1" applyAlignment="1">
      <alignment horizontal="center" vertical="center"/>
    </xf>
    <xf numFmtId="0" fontId="31" fillId="40" borderId="29" xfId="0" applyFont="1" applyFill="1" applyBorder="1" applyAlignment="1">
      <alignment horizontal="center" vertical="center"/>
    </xf>
    <xf numFmtId="0" fontId="30" fillId="41" borderId="29" xfId="0" applyFont="1" applyFill="1" applyBorder="1" applyAlignment="1">
      <alignment horizontal="left" vertical="center"/>
    </xf>
    <xf numFmtId="0" fontId="31" fillId="41" borderId="29" xfId="0" applyFont="1" applyFill="1" applyBorder="1" applyAlignment="1">
      <alignment horizontal="left" vertical="center"/>
    </xf>
    <xf numFmtId="0" fontId="31" fillId="41" borderId="29" xfId="0" applyFont="1" applyFill="1" applyBorder="1" applyAlignment="1">
      <alignment horizontal="center" vertical="center"/>
    </xf>
    <xf numFmtId="3" fontId="31" fillId="41" borderId="29" xfId="0" applyNumberFormat="1" applyFont="1" applyFill="1" applyBorder="1" applyAlignment="1">
      <alignment horizontal="center" vertical="center"/>
    </xf>
    <xf numFmtId="0" fontId="0" fillId="0" borderId="0" xfId="0"/>
    <xf numFmtId="0" fontId="20" fillId="42" borderId="0" xfId="0" applyFont="1" applyFill="1" applyAlignment="1">
      <alignment horizontal="center"/>
    </xf>
    <xf numFmtId="0" fontId="20" fillId="42" borderId="0" xfId="0" applyFont="1" applyFill="1" applyAlignment="1">
      <alignment horizontal="center" vertical="center"/>
    </xf>
    <xf numFmtId="0" fontId="32" fillId="0" borderId="0" xfId="0" applyFont="1"/>
    <xf numFmtId="0" fontId="33" fillId="16" borderId="0" xfId="0" applyFont="1" applyFill="1" applyAlignment="1">
      <alignment horizontal="left"/>
    </xf>
    <xf numFmtId="0" fontId="3" fillId="43" borderId="0" xfId="0" applyFont="1" applyFill="1" applyAlignment="1">
      <alignment horizontal="center"/>
    </xf>
    <xf numFmtId="0" fontId="3" fillId="44" borderId="0" xfId="0" applyFont="1" applyFill="1" applyAlignment="1">
      <alignment horizontal="center"/>
    </xf>
    <xf numFmtId="0" fontId="3" fillId="43" borderId="30" xfId="0" applyFont="1" applyFill="1" applyBorder="1" applyAlignment="1">
      <alignment horizontal="center"/>
    </xf>
    <xf numFmtId="0" fontId="3" fillId="44" borderId="30" xfId="0" applyFont="1" applyFill="1" applyBorder="1" applyAlignment="1">
      <alignment horizontal="center"/>
    </xf>
    <xf numFmtId="0" fontId="3" fillId="45" borderId="30" xfId="0" applyFont="1" applyFill="1" applyBorder="1" applyAlignment="1">
      <alignment horizontal="center"/>
    </xf>
    <xf numFmtId="0" fontId="19" fillId="43" borderId="31" xfId="0" applyFont="1" applyFill="1" applyBorder="1" applyAlignment="1">
      <alignment horizontal="center"/>
    </xf>
    <xf numFmtId="0" fontId="19" fillId="44" borderId="31" xfId="0" applyFont="1" applyFill="1" applyBorder="1" applyAlignment="1">
      <alignment horizontal="center"/>
    </xf>
    <xf numFmtId="0" fontId="19" fillId="45" borderId="31" xfId="0" applyFont="1" applyFill="1" applyBorder="1" applyAlignment="1">
      <alignment horizontal="center"/>
    </xf>
    <xf numFmtId="0" fontId="19" fillId="43" borderId="32" xfId="0" applyFont="1" applyFill="1" applyBorder="1" applyAlignment="1">
      <alignment horizontal="center"/>
    </xf>
    <xf numFmtId="0" fontId="19" fillId="45" borderId="33" xfId="0" applyFont="1" applyFill="1" applyBorder="1" applyAlignment="1">
      <alignment horizontal="center"/>
    </xf>
    <xf numFmtId="0" fontId="4" fillId="46" borderId="34" xfId="0" applyFont="1" applyFill="1" applyBorder="1" applyAlignment="1">
      <alignment horizontal="left"/>
    </xf>
    <xf numFmtId="0" fontId="4" fillId="46" borderId="35" xfId="0" applyFont="1" applyFill="1" applyBorder="1" applyAlignment="1">
      <alignment horizontal="left"/>
    </xf>
    <xf numFmtId="0" fontId="30" fillId="47" borderId="36" xfId="0" applyFont="1" applyFill="1" applyBorder="1" applyAlignment="1">
      <alignment horizontal="left"/>
    </xf>
    <xf numFmtId="0" fontId="35" fillId="47" borderId="37" xfId="0" applyFont="1" applyFill="1" applyBorder="1" applyAlignment="1">
      <alignment horizontal="left"/>
    </xf>
    <xf numFmtId="0" fontId="35" fillId="47" borderId="37" xfId="0" applyFont="1" applyFill="1" applyBorder="1" applyAlignment="1">
      <alignment horizontal="center"/>
    </xf>
    <xf numFmtId="3" fontId="35" fillId="47" borderId="37" xfId="0" applyNumberFormat="1" applyFont="1" applyFill="1" applyBorder="1" applyAlignment="1">
      <alignment horizontal="center"/>
    </xf>
    <xf numFmtId="3" fontId="35" fillId="47" borderId="38" xfId="0" applyNumberFormat="1" applyFont="1" applyFill="1" applyBorder="1" applyAlignment="1">
      <alignment horizontal="center"/>
    </xf>
    <xf numFmtId="0" fontId="30" fillId="16" borderId="39" xfId="0" applyFont="1" applyFill="1" applyBorder="1" applyAlignment="1">
      <alignment horizontal="left"/>
    </xf>
    <xf numFmtId="0" fontId="35" fillId="16" borderId="40" xfId="0" applyFont="1" applyFill="1" applyBorder="1" applyAlignment="1">
      <alignment horizontal="left"/>
    </xf>
    <xf numFmtId="0" fontId="35" fillId="16" borderId="40" xfId="0" applyFont="1" applyFill="1" applyBorder="1" applyAlignment="1">
      <alignment horizontal="center"/>
    </xf>
    <xf numFmtId="3" fontId="35" fillId="16" borderId="40" xfId="0" applyNumberFormat="1" applyFont="1" applyFill="1" applyBorder="1" applyAlignment="1">
      <alignment horizontal="center"/>
    </xf>
    <xf numFmtId="3" fontId="35" fillId="16" borderId="41" xfId="0" applyNumberFormat="1" applyFont="1" applyFill="1" applyBorder="1" applyAlignment="1">
      <alignment horizontal="center"/>
    </xf>
    <xf numFmtId="0" fontId="30" fillId="47" borderId="39" xfId="0" applyFont="1" applyFill="1" applyBorder="1" applyAlignment="1">
      <alignment horizontal="left"/>
    </xf>
    <xf numFmtId="0" fontId="35" fillId="47" borderId="40" xfId="0" applyFont="1" applyFill="1" applyBorder="1" applyAlignment="1">
      <alignment horizontal="left"/>
    </xf>
    <xf numFmtId="0" fontId="35" fillId="47" borderId="40" xfId="0" applyFont="1" applyFill="1" applyBorder="1" applyAlignment="1">
      <alignment horizontal="center"/>
    </xf>
    <xf numFmtId="3" fontId="35" fillId="47" borderId="40" xfId="0" applyNumberFormat="1" applyFont="1" applyFill="1" applyBorder="1" applyAlignment="1">
      <alignment horizontal="center"/>
    </xf>
    <xf numFmtId="3" fontId="35" fillId="47" borderId="41" xfId="0" applyNumberFormat="1" applyFont="1" applyFill="1" applyBorder="1" applyAlignment="1">
      <alignment horizontal="center"/>
    </xf>
    <xf numFmtId="0" fontId="36" fillId="0" borderId="0" xfId="0" applyFont="1"/>
    <xf numFmtId="0" fontId="36" fillId="48" borderId="0" xfId="0" applyFont="1" applyFill="1" applyAlignment="1">
      <alignment horizontal="center"/>
    </xf>
    <xf numFmtId="0" fontId="0" fillId="42" borderId="0" xfId="0" applyFill="1"/>
    <xf numFmtId="0" fontId="0" fillId="43" borderId="0" xfId="0" applyFill="1"/>
    <xf numFmtId="0" fontId="0" fillId="49" borderId="0" xfId="0" applyFill="1"/>
    <xf numFmtId="0" fontId="3" fillId="49" borderId="0" xfId="0" applyFont="1" applyFill="1" applyAlignment="1">
      <alignment horizontal="center"/>
    </xf>
    <xf numFmtId="0" fontId="0" fillId="44" borderId="0" xfId="0" applyFill="1"/>
    <xf numFmtId="0" fontId="3" fillId="50" borderId="0" xfId="0" applyFont="1" applyFill="1" applyAlignment="1">
      <alignment horizontal="center"/>
    </xf>
    <xf numFmtId="0" fontId="0" fillId="51" borderId="0" xfId="0" applyFill="1"/>
    <xf numFmtId="0" fontId="3" fillId="51" borderId="0" xfId="0" applyFont="1" applyFill="1" applyAlignment="1">
      <alignment horizontal="center"/>
    </xf>
    <xf numFmtId="0" fontId="34" fillId="0" borderId="0" xfId="0" applyFont="1"/>
    <xf numFmtId="0" fontId="37" fillId="0" borderId="0" xfId="0" applyFont="1"/>
    <xf numFmtId="0" fontId="19" fillId="43" borderId="0" xfId="0" applyFont="1" applyFill="1"/>
    <xf numFmtId="0" fontId="0" fillId="46" borderId="0" xfId="0" applyFill="1"/>
    <xf numFmtId="0" fontId="19" fillId="43" borderId="42" xfId="0" applyFont="1" applyFill="1" applyBorder="1" applyAlignment="1">
      <alignment horizontal="center"/>
    </xf>
    <xf numFmtId="0" fontId="19" fillId="43" borderId="43" xfId="0" applyFont="1" applyFill="1" applyBorder="1" applyAlignment="1">
      <alignment horizontal="center"/>
    </xf>
    <xf numFmtId="0" fontId="19" fillId="49" borderId="43" xfId="0" applyFont="1" applyFill="1" applyBorder="1" applyAlignment="1">
      <alignment horizontal="center"/>
    </xf>
    <xf numFmtId="0" fontId="19" fillId="44" borderId="43" xfId="0" applyFont="1" applyFill="1" applyBorder="1" applyAlignment="1">
      <alignment horizontal="center"/>
    </xf>
    <xf numFmtId="0" fontId="19" fillId="51" borderId="43" xfId="0" applyFont="1" applyFill="1" applyBorder="1" applyAlignment="1">
      <alignment horizontal="center"/>
    </xf>
    <xf numFmtId="0" fontId="19" fillId="51" borderId="44" xfId="0" applyFont="1" applyFill="1" applyBorder="1" applyAlignment="1">
      <alignment horizontal="center"/>
    </xf>
    <xf numFmtId="0" fontId="19" fillId="46" borderId="45" xfId="0" applyFont="1" applyFill="1" applyBorder="1"/>
    <xf numFmtId="0" fontId="34" fillId="46" borderId="46" xfId="0" applyFont="1" applyFill="1" applyBorder="1"/>
    <xf numFmtId="3" fontId="34" fillId="52" borderId="46" xfId="0" applyNumberFormat="1" applyFont="1" applyFill="1" applyBorder="1" applyAlignment="1">
      <alignment horizontal="center"/>
    </xf>
    <xf numFmtId="3" fontId="34" fillId="19" borderId="46" xfId="0" applyNumberFormat="1" applyFont="1" applyFill="1" applyBorder="1" applyAlignment="1">
      <alignment horizontal="center"/>
    </xf>
    <xf numFmtId="166" fontId="34" fillId="53" borderId="46" xfId="0" applyNumberFormat="1" applyFont="1" applyFill="1" applyBorder="1" applyAlignment="1">
      <alignment horizontal="center"/>
    </xf>
    <xf numFmtId="167" fontId="34" fillId="47" borderId="46" xfId="0" applyNumberFormat="1" applyFont="1" applyFill="1" applyBorder="1" applyAlignment="1">
      <alignment horizontal="center"/>
    </xf>
    <xf numFmtId="3" fontId="34" fillId="47" borderId="46" xfId="0" applyNumberFormat="1" applyFont="1" applyFill="1" applyBorder="1" applyAlignment="1">
      <alignment horizontal="center"/>
    </xf>
    <xf numFmtId="2" fontId="34" fillId="47" borderId="46" xfId="0" applyNumberFormat="1" applyFont="1" applyFill="1" applyBorder="1" applyAlignment="1">
      <alignment horizontal="center"/>
    </xf>
    <xf numFmtId="2" fontId="34" fillId="47" borderId="47" xfId="0" applyNumberFormat="1" applyFont="1" applyFill="1" applyBorder="1" applyAlignment="1">
      <alignment horizontal="center"/>
    </xf>
    <xf numFmtId="0" fontId="34" fillId="0" borderId="45" xfId="0" applyFont="1" applyBorder="1"/>
    <xf numFmtId="0" fontId="34" fillId="0" borderId="46" xfId="0" applyFont="1" applyBorder="1"/>
    <xf numFmtId="3" fontId="34" fillId="52" borderId="46" xfId="0" applyNumberFormat="1" applyFont="1" applyFill="1" applyBorder="1" applyAlignment="1">
      <alignment horizontal="center"/>
    </xf>
    <xf numFmtId="3" fontId="34" fillId="19" borderId="46" xfId="0" applyNumberFormat="1" applyFont="1" applyFill="1" applyBorder="1" applyAlignment="1">
      <alignment horizontal="center"/>
    </xf>
    <xf numFmtId="166" fontId="34" fillId="53" borderId="46" xfId="0" applyNumberFormat="1" applyFont="1" applyFill="1" applyBorder="1" applyAlignment="1">
      <alignment horizontal="center"/>
    </xf>
    <xf numFmtId="167" fontId="34" fillId="47" borderId="46" xfId="0" applyNumberFormat="1" applyFont="1" applyFill="1" applyBorder="1" applyAlignment="1">
      <alignment horizontal="center"/>
    </xf>
    <xf numFmtId="3" fontId="34" fillId="47" borderId="46" xfId="0" applyNumberFormat="1" applyFont="1" applyFill="1" applyBorder="1" applyAlignment="1">
      <alignment horizontal="center"/>
    </xf>
    <xf numFmtId="2" fontId="34" fillId="47" borderId="46" xfId="0" applyNumberFormat="1" applyFont="1" applyFill="1" applyBorder="1" applyAlignment="1">
      <alignment horizontal="center"/>
    </xf>
    <xf numFmtId="2" fontId="34" fillId="47" borderId="47" xfId="0" applyNumberFormat="1" applyFont="1" applyFill="1" applyBorder="1" applyAlignment="1">
      <alignment horizontal="center"/>
    </xf>
    <xf numFmtId="0" fontId="34" fillId="0" borderId="49" xfId="0" applyFont="1" applyBorder="1"/>
    <xf numFmtId="3" fontId="34" fillId="52" borderId="49" xfId="0" applyNumberFormat="1" applyFont="1" applyFill="1" applyBorder="1" applyAlignment="1">
      <alignment horizontal="center"/>
    </xf>
    <xf numFmtId="3" fontId="34" fillId="19" borderId="49" xfId="0" applyNumberFormat="1" applyFont="1" applyFill="1" applyBorder="1" applyAlignment="1">
      <alignment horizontal="center"/>
    </xf>
    <xf numFmtId="166" fontId="34" fillId="53" borderId="49" xfId="0" applyNumberFormat="1" applyFont="1" applyFill="1" applyBorder="1" applyAlignment="1">
      <alignment horizontal="center"/>
    </xf>
    <xf numFmtId="167" fontId="34" fillId="47" borderId="49" xfId="0" applyNumberFormat="1" applyFont="1" applyFill="1" applyBorder="1" applyAlignment="1">
      <alignment horizontal="center"/>
    </xf>
    <xf numFmtId="3" fontId="34" fillId="47" borderId="49" xfId="0" applyNumberFormat="1" applyFont="1" applyFill="1" applyBorder="1" applyAlignment="1">
      <alignment horizontal="center"/>
    </xf>
    <xf numFmtId="2" fontId="34" fillId="47" borderId="49" xfId="0" applyNumberFormat="1" applyFont="1" applyFill="1" applyBorder="1" applyAlignment="1">
      <alignment horizontal="center"/>
    </xf>
    <xf numFmtId="2" fontId="34" fillId="47" borderId="50" xfId="0" applyNumberFormat="1" applyFont="1" applyFill="1" applyBorder="1" applyAlignment="1">
      <alignment horizontal="center"/>
    </xf>
    <xf numFmtId="0" fontId="38" fillId="42" borderId="0" xfId="0" applyFont="1" applyFill="1" applyAlignment="1">
      <alignment horizont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4" fillId="43" borderId="51" xfId="0" applyFont="1" applyFill="1" applyBorder="1" applyAlignment="1">
      <alignment horizontal="center"/>
    </xf>
    <xf numFmtId="0" fontId="4" fillId="43" borderId="52" xfId="0" applyFont="1" applyFill="1" applyBorder="1" applyAlignment="1">
      <alignment horizontal="center"/>
    </xf>
    <xf numFmtId="0" fontId="4" fillId="43" borderId="53" xfId="0" applyFont="1" applyFill="1" applyBorder="1" applyAlignment="1">
      <alignment horizontal="center"/>
    </xf>
    <xf numFmtId="0" fontId="18" fillId="48" borderId="54" xfId="0" applyFont="1" applyFill="1" applyBorder="1"/>
    <xf numFmtId="166" fontId="18" fillId="48" borderId="29" xfId="0" applyNumberFormat="1" applyFont="1" applyFill="1" applyBorder="1" applyAlignment="1">
      <alignment horizontal="center"/>
    </xf>
    <xf numFmtId="167" fontId="18" fillId="48" borderId="29" xfId="0" applyNumberFormat="1" applyFont="1" applyFill="1" applyBorder="1" applyAlignment="1">
      <alignment horizontal="center"/>
    </xf>
    <xf numFmtId="3" fontId="18" fillId="48" borderId="55" xfId="0" applyNumberFormat="1" applyFont="1" applyFill="1" applyBorder="1" applyAlignment="1">
      <alignment horizontal="center"/>
    </xf>
    <xf numFmtId="0" fontId="18" fillId="16" borderId="54" xfId="0" applyFont="1" applyFill="1" applyBorder="1"/>
    <xf numFmtId="166" fontId="18" fillId="16" borderId="29" xfId="0" applyNumberFormat="1" applyFont="1" applyFill="1" applyBorder="1" applyAlignment="1">
      <alignment horizontal="center"/>
    </xf>
    <xf numFmtId="167" fontId="18" fillId="16" borderId="29" xfId="0" applyNumberFormat="1" applyFont="1" applyFill="1" applyBorder="1" applyAlignment="1">
      <alignment horizontal="center"/>
    </xf>
    <xf numFmtId="3" fontId="18" fillId="16" borderId="55" xfId="0" applyNumberFormat="1" applyFont="1" applyFill="1" applyBorder="1" applyAlignment="1">
      <alignment horizontal="center"/>
    </xf>
    <xf numFmtId="0" fontId="18" fillId="16" borderId="56" xfId="0" applyFont="1" applyFill="1" applyBorder="1"/>
    <xf numFmtId="167" fontId="18" fillId="16" borderId="57" xfId="0" applyNumberFormat="1" applyFont="1" applyFill="1" applyBorder="1" applyAlignment="1">
      <alignment horizontal="center"/>
    </xf>
    <xf numFmtId="2" fontId="18" fillId="16" borderId="29" xfId="0" applyNumberFormat="1" applyFont="1" applyFill="1" applyBorder="1" applyAlignment="1">
      <alignment horizontal="center"/>
    </xf>
    <xf numFmtId="3" fontId="18" fillId="16" borderId="29" xfId="0" applyNumberFormat="1" applyFont="1" applyFill="1" applyBorder="1" applyAlignment="1">
      <alignment horizontal="center"/>
    </xf>
    <xf numFmtId="2" fontId="18" fillId="48" borderId="29" xfId="0" applyNumberFormat="1" applyFont="1" applyFill="1" applyBorder="1" applyAlignment="1">
      <alignment horizontal="center"/>
    </xf>
    <xf numFmtId="3" fontId="18" fillId="48" borderId="29" xfId="0" applyNumberFormat="1" applyFont="1" applyFill="1" applyBorder="1" applyAlignment="1">
      <alignment horizontal="center"/>
    </xf>
    <xf numFmtId="0" fontId="17" fillId="54" borderId="54" xfId="0" applyFont="1" applyFill="1" applyBorder="1"/>
    <xf numFmtId="166" fontId="17" fillId="54" borderId="29" xfId="0" applyNumberFormat="1" applyFont="1" applyFill="1" applyBorder="1" applyAlignment="1">
      <alignment horizontal="center"/>
    </xf>
    <xf numFmtId="167" fontId="17" fillId="54" borderId="29" xfId="0" applyNumberFormat="1" applyFont="1" applyFill="1" applyBorder="1" applyAlignment="1">
      <alignment horizontal="center"/>
    </xf>
    <xf numFmtId="3" fontId="17" fillId="54" borderId="55" xfId="0" applyNumberFormat="1" applyFont="1" applyFill="1" applyBorder="1" applyAlignment="1">
      <alignment horizontal="center"/>
    </xf>
    <xf numFmtId="0" fontId="18" fillId="48" borderId="55" xfId="0" applyFont="1" applyFill="1" applyBorder="1" applyAlignment="1">
      <alignment horizontal="center"/>
    </xf>
    <xf numFmtId="0" fontId="18" fillId="16" borderId="55" xfId="0" applyFont="1" applyFill="1" applyBorder="1" applyAlignment="1">
      <alignment horizontal="center"/>
    </xf>
    <xf numFmtId="0" fontId="18" fillId="16" borderId="58" xfId="0" applyFont="1" applyFill="1" applyBorder="1" applyAlignment="1">
      <alignment horizontal="center"/>
    </xf>
    <xf numFmtId="0" fontId="18" fillId="48" borderId="56" xfId="0" applyFont="1" applyFill="1" applyBorder="1"/>
    <xf numFmtId="2" fontId="18" fillId="48" borderId="57" xfId="0" applyNumberFormat="1" applyFont="1" applyFill="1" applyBorder="1" applyAlignment="1">
      <alignment horizontal="center"/>
    </xf>
    <xf numFmtId="166" fontId="18" fillId="48" borderId="57" xfId="0" applyNumberFormat="1" applyFont="1" applyFill="1" applyBorder="1" applyAlignment="1">
      <alignment horizontal="center"/>
    </xf>
    <xf numFmtId="3" fontId="18" fillId="48" borderId="57" xfId="0" applyNumberFormat="1" applyFont="1" applyFill="1" applyBorder="1" applyAlignment="1">
      <alignment horizontal="center"/>
    </xf>
    <xf numFmtId="3" fontId="18" fillId="48" borderId="58" xfId="0" applyNumberFormat="1" applyFont="1" applyFill="1" applyBorder="1" applyAlignment="1">
      <alignment horizontal="center"/>
    </xf>
    <xf numFmtId="0" fontId="34" fillId="55" borderId="45" xfId="0" applyFont="1" applyFill="1" applyBorder="1"/>
    <xf numFmtId="0" fontId="34" fillId="55" borderId="46" xfId="0" applyFont="1" applyFill="1" applyBorder="1"/>
    <xf numFmtId="3" fontId="34" fillId="55" borderId="46" xfId="0" applyNumberFormat="1" applyFont="1" applyFill="1" applyBorder="1" applyAlignment="1">
      <alignment horizontal="center"/>
    </xf>
    <xf numFmtId="166" fontId="34" fillId="55" borderId="46" xfId="0" applyNumberFormat="1" applyFont="1" applyFill="1" applyBorder="1" applyAlignment="1">
      <alignment horizontal="center"/>
    </xf>
    <xf numFmtId="167" fontId="34" fillId="55" borderId="46" xfId="0" applyNumberFormat="1" applyFont="1" applyFill="1" applyBorder="1" applyAlignment="1">
      <alignment horizontal="center"/>
    </xf>
    <xf numFmtId="2" fontId="34" fillId="55" borderId="46" xfId="0" applyNumberFormat="1" applyFont="1" applyFill="1" applyBorder="1" applyAlignment="1">
      <alignment horizontal="center"/>
    </xf>
    <xf numFmtId="2" fontId="34" fillId="55" borderId="47" xfId="0" applyNumberFormat="1" applyFont="1" applyFill="1" applyBorder="1" applyAlignment="1">
      <alignment horizontal="center"/>
    </xf>
    <xf numFmtId="0" fontId="34" fillId="55" borderId="48" xfId="0" applyFont="1" applyFill="1" applyBorder="1"/>
    <xf numFmtId="0" fontId="22" fillId="43" borderId="0" xfId="0" applyFont="1" applyFill="1"/>
    <xf numFmtId="0" fontId="34" fillId="0" borderId="0" xfId="0" applyFont="1"/>
    <xf numFmtId="0" fontId="19" fillId="50" borderId="43" xfId="0" applyFont="1" applyFill="1" applyBorder="1" applyAlignment="1">
      <alignment horizontal="center" wrapText="1"/>
    </xf>
    <xf numFmtId="0" fontId="4" fillId="43" borderId="51" xfId="0" applyFont="1" applyFill="1" applyBorder="1" applyAlignment="1">
      <alignment horizontal="center" wrapText="1"/>
    </xf>
    <xf numFmtId="0" fontId="4" fillId="43" borderId="52" xfId="0" applyFont="1" applyFill="1" applyBorder="1" applyAlignment="1">
      <alignment horizontal="center" wrapText="1"/>
    </xf>
    <xf numFmtId="0" fontId="4" fillId="43" borderId="53" xfId="0" applyFont="1" applyFill="1" applyBorder="1" applyAlignment="1">
      <alignment horizontal="center" wrapText="1"/>
    </xf>
    <xf numFmtId="0" fontId="43" fillId="42" borderId="0" xfId="0" applyFont="1" applyFill="1" applyAlignment="1">
      <alignment horizontal="center"/>
    </xf>
    <xf numFmtId="0" fontId="44" fillId="48" borderId="0" xfId="0" applyFont="1" applyFill="1"/>
    <xf numFmtId="0" fontId="0" fillId="48" borderId="0" xfId="0" applyFill="1"/>
    <xf numFmtId="0" fontId="45" fillId="46" borderId="0" xfId="0" applyFont="1" applyFill="1"/>
    <xf numFmtId="0" fontId="46" fillId="0" borderId="0" xfId="0" applyFont="1"/>
    <xf numFmtId="0" fontId="34" fillId="0" borderId="34" xfId="0" applyFont="1" applyBorder="1"/>
    <xf numFmtId="0" fontId="19" fillId="43" borderId="51" xfId="0" applyFont="1" applyFill="1" applyBorder="1"/>
    <xf numFmtId="0" fontId="19" fillId="43" borderId="52" xfId="0" applyFont="1" applyFill="1" applyBorder="1"/>
    <xf numFmtId="0" fontId="19" fillId="43" borderId="53" xfId="0" applyFont="1" applyFill="1" applyBorder="1"/>
    <xf numFmtId="0" fontId="45" fillId="42" borderId="0" xfId="0" applyFont="1" applyFill="1"/>
    <xf numFmtId="0" fontId="47" fillId="43" borderId="0" xfId="0" applyFont="1" applyFill="1" applyAlignment="1">
      <alignment wrapText="1"/>
    </xf>
    <xf numFmtId="0" fontId="47" fillId="44" borderId="0" xfId="0" applyFont="1" applyFill="1" applyAlignment="1">
      <alignment wrapText="1"/>
    </xf>
    <xf numFmtId="0" fontId="47" fillId="56" borderId="0" xfId="0" applyFont="1" applyFill="1" applyAlignment="1">
      <alignment wrapText="1"/>
    </xf>
    <xf numFmtId="0" fontId="47" fillId="45" borderId="0" xfId="0" applyFont="1" applyFill="1" applyAlignment="1">
      <alignment wrapText="1"/>
    </xf>
    <xf numFmtId="0" fontId="47" fillId="57" borderId="0" xfId="0" applyFont="1" applyFill="1" applyAlignment="1">
      <alignment wrapText="1"/>
    </xf>
    <xf numFmtId="165" fontId="0" fillId="0" borderId="0" xfId="0" applyNumberFormat="1"/>
    <xf numFmtId="0" fontId="19" fillId="46" borderId="30" xfId="0" applyFont="1" applyFill="1" applyBorder="1"/>
    <xf numFmtId="0" fontId="34" fillId="48" borderId="34" xfId="0" applyFont="1" applyFill="1" applyBorder="1"/>
    <xf numFmtId="3" fontId="34" fillId="48" borderId="34" xfId="0" applyNumberFormat="1" applyFont="1" applyFill="1" applyBorder="1"/>
    <xf numFmtId="2" fontId="34" fillId="48" borderId="34" xfId="0" applyNumberFormat="1" applyFont="1" applyFill="1" applyBorder="1"/>
    <xf numFmtId="165" fontId="34" fillId="48" borderId="34" xfId="0" applyNumberFormat="1" applyFont="1" applyFill="1" applyBorder="1"/>
    <xf numFmtId="3" fontId="34" fillId="0" borderId="34" xfId="0" applyNumberFormat="1" applyFont="1" applyBorder="1"/>
    <xf numFmtId="2" fontId="34" fillId="0" borderId="34" xfId="0" applyNumberFormat="1" applyFont="1" applyBorder="1"/>
    <xf numFmtId="165" fontId="34" fillId="0" borderId="34" xfId="0" applyNumberFormat="1" applyFont="1" applyBorder="1"/>
    <xf numFmtId="0" fontId="19" fillId="46" borderId="34" xfId="0" applyFont="1" applyFill="1" applyBorder="1"/>
    <xf numFmtId="0" fontId="19" fillId="46" borderId="31" xfId="0" applyFont="1" applyFill="1" applyBorder="1"/>
    <xf numFmtId="0" fontId="37" fillId="0" borderId="54" xfId="0" applyFont="1" applyBorder="1"/>
    <xf numFmtId="165" fontId="34" fillId="0" borderId="29" xfId="0" applyNumberFormat="1" applyFont="1" applyBorder="1"/>
    <xf numFmtId="165" fontId="34" fillId="0" borderId="55" xfId="0" applyNumberFormat="1" applyFont="1" applyBorder="1"/>
    <xf numFmtId="3" fontId="34" fillId="0" borderId="29" xfId="0" applyNumberFormat="1" applyFont="1" applyBorder="1"/>
    <xf numFmtId="3" fontId="34" fillId="0" borderId="55" xfId="0" applyNumberFormat="1" applyFont="1" applyBorder="1"/>
    <xf numFmtId="0" fontId="50" fillId="0" borderId="0" xfId="0" applyFont="1"/>
    <xf numFmtId="0" fontId="48" fillId="0" borderId="0" xfId="0" applyFont="1"/>
    <xf numFmtId="0" fontId="51" fillId="0" borderId="0" xfId="0" applyFont="1"/>
    <xf numFmtId="0" fontId="52" fillId="46" borderId="0" xfId="0" applyFont="1" applyFill="1"/>
    <xf numFmtId="0" fontId="48" fillId="46" borderId="0" xfId="0" applyFont="1" applyFill="1"/>
    <xf numFmtId="0" fontId="53" fillId="0" borderId="0" xfId="0" applyFont="1"/>
    <xf numFmtId="0" fontId="47" fillId="43" borderId="51" xfId="0" applyFont="1" applyFill="1" applyBorder="1" applyAlignment="1">
      <alignment wrapText="1"/>
    </xf>
    <xf numFmtId="0" fontId="47" fillId="43" borderId="52" xfId="0" applyFont="1" applyFill="1" applyBorder="1" applyAlignment="1">
      <alignment wrapText="1"/>
    </xf>
    <xf numFmtId="0" fontId="47" fillId="43" borderId="53" xfId="0" applyFont="1" applyFill="1" applyBorder="1" applyAlignment="1">
      <alignment wrapText="1"/>
    </xf>
    <xf numFmtId="0" fontId="48" fillId="0" borderId="54" xfId="0" applyFont="1" applyBorder="1"/>
    <xf numFmtId="0" fontId="48" fillId="0" borderId="29" xfId="0" applyFont="1" applyBorder="1"/>
    <xf numFmtId="2" fontId="49" fillId="0" borderId="29" xfId="0" applyNumberFormat="1" applyFont="1" applyBorder="1"/>
    <xf numFmtId="2" fontId="49" fillId="0" borderId="55" xfId="0" applyNumberFormat="1" applyFont="1" applyBorder="1"/>
    <xf numFmtId="2" fontId="49" fillId="22" borderId="29" xfId="0" applyNumberFormat="1" applyFont="1" applyFill="1" applyBorder="1"/>
    <xf numFmtId="2" fontId="49" fillId="22" borderId="55" xfId="0" applyNumberFormat="1" applyFont="1" applyFill="1" applyBorder="1"/>
    <xf numFmtId="0" fontId="48" fillId="0" borderId="56" xfId="0" applyFont="1" applyBorder="1"/>
    <xf numFmtId="0" fontId="48" fillId="0" borderId="57" xfId="0" applyFont="1" applyBorder="1"/>
    <xf numFmtId="2" fontId="49" fillId="0" borderId="57" xfId="0" applyNumberFormat="1" applyFont="1" applyBorder="1"/>
    <xf numFmtId="2" fontId="49" fillId="22" borderId="57" xfId="0" applyNumberFormat="1" applyFont="1" applyFill="1" applyBorder="1"/>
    <xf numFmtId="2" fontId="49" fillId="0" borderId="58" xfId="0" applyNumberFormat="1" applyFont="1" applyBorder="1"/>
  </cellXfs>
  <cellStyles count="2">
    <cellStyle name="Standard" xfId="0" builtinId="0"/>
    <cellStyle name="Standard 2" xfId="1" xr:uid="{5890A4DE-511D-41F6-9666-8726E70C5AB5}"/>
  </cellStyles>
  <dxfs count="43">
    <dxf>
      <fill>
        <patternFill patternType="solid">
          <fgColor indexed="64"/>
          <bgColor rgb="FFFFF9C4"/>
        </patternFill>
      </fill>
    </dxf>
    <dxf>
      <fill>
        <patternFill patternType="solid">
          <fgColor indexed="64"/>
          <bgColor rgb="FFFFCDD2"/>
        </patternFill>
      </fill>
    </dxf>
    <dxf>
      <fill>
        <patternFill patternType="solid">
          <fgColor indexed="64"/>
          <bgColor rgb="FFC8E6C9"/>
        </patternFill>
      </fill>
    </dxf>
    <dxf>
      <fill>
        <patternFill patternType="solid">
          <fgColor indexed="64"/>
          <bgColor rgb="FFFFF9C4"/>
        </patternFill>
      </fill>
    </dxf>
    <dxf>
      <fill>
        <patternFill patternType="solid">
          <fgColor indexed="64"/>
          <bgColor rgb="FFFFCDD2"/>
        </patternFill>
      </fill>
    </dxf>
    <dxf>
      <fill>
        <patternFill patternType="solid">
          <fgColor indexed="64"/>
          <bgColor rgb="FFC8E6C9"/>
        </patternFill>
      </fill>
    </dxf>
    <dxf>
      <fill>
        <patternFill patternType="solid">
          <fgColor indexed="64"/>
          <bgColor rgb="FFFFF9C4"/>
        </patternFill>
      </fill>
    </dxf>
    <dxf>
      <fill>
        <patternFill patternType="solid">
          <fgColor indexed="64"/>
          <bgColor rgb="FFFFCDD2"/>
        </patternFill>
      </fill>
    </dxf>
    <dxf>
      <fill>
        <patternFill patternType="solid">
          <fgColor indexed="64"/>
          <bgColor rgb="FFC8E6C9"/>
        </patternFill>
      </fill>
    </dxf>
    <dxf>
      <fill>
        <patternFill patternType="solid">
          <fgColor indexed="64"/>
          <bgColor rgb="FFFFF9C4"/>
        </patternFill>
      </fill>
    </dxf>
    <dxf>
      <fill>
        <patternFill patternType="solid">
          <fgColor indexed="64"/>
          <bgColor rgb="FFFFCDD2"/>
        </patternFill>
      </fill>
    </dxf>
    <dxf>
      <fill>
        <patternFill patternType="solid">
          <fgColor indexed="64"/>
          <bgColor rgb="FFC8E6C9"/>
        </patternFill>
      </fill>
    </dxf>
    <dxf>
      <font>
        <color rgb="FF2E7D32"/>
      </font>
    </dxf>
    <dxf>
      <font>
        <color rgb="FFC62828"/>
      </font>
    </dxf>
    <dxf>
      <font>
        <b/>
        <i val="0"/>
        <color rgb="FF2E7D32"/>
      </font>
    </dxf>
    <dxf>
      <font>
        <b/>
        <i val="0"/>
        <color rgb="FFC62828"/>
      </font>
    </dxf>
    <dxf>
      <font>
        <color rgb="FF2E7D32"/>
      </font>
    </dxf>
    <dxf>
      <font>
        <color rgb="FFC62828"/>
      </font>
    </dxf>
    <dxf>
      <font>
        <b/>
        <i val="0"/>
        <color rgb="FF2E7D32"/>
      </font>
    </dxf>
    <dxf>
      <font>
        <b/>
        <i val="0"/>
        <color rgb="FFC62828"/>
      </font>
    </dxf>
    <dxf>
      <font>
        <b/>
        <i val="0"/>
        <color rgb="FF2E7D32"/>
      </font>
    </dxf>
    <dxf>
      <font>
        <b/>
        <i val="0"/>
        <color rgb="FFC62828"/>
      </font>
    </dxf>
    <dxf>
      <font>
        <color rgb="FF999999"/>
      </font>
    </dxf>
    <dxf>
      <font>
        <color rgb="FF008000"/>
      </font>
    </dxf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charset val="1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6EFCE"/>
      <rgbColor rgb="FFF0F7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Modellgenauigkeit: Komponentenmodell vs. Ist-Preise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'Preismodell NEU'!$A$318</c:f>
              <c:strCache>
                <c:ptCount val="1"/>
                <c:pt idx="0">
                  <c:v>Anteil ±5%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'Preismodell NEU'!$B$317:$E$317</c:f>
              <c:strCache>
                <c:ptCount val="4"/>
                <c:pt idx="0">
                  <c:v>PG1 (MDF)</c:v>
                </c:pt>
                <c:pt idx="1">
                  <c:v>PG2 (Alu)</c:v>
                </c:pt>
                <c:pt idx="2">
                  <c:v>PG3 (Furnier)</c:v>
                </c:pt>
                <c:pt idx="3">
                  <c:v>PG4 (Glas)</c:v>
                </c:pt>
              </c:strCache>
            </c:strRef>
          </c:cat>
          <c:val>
            <c:numRef>
              <c:f>'Preismodell NEU'!$B$318:$E$318</c:f>
              <c:numCache>
                <c:formatCode>0.0%</c:formatCode>
                <c:ptCount val="4"/>
                <c:pt idx="0">
                  <c:v>0.55642023346303504</c:v>
                </c:pt>
                <c:pt idx="1">
                  <c:v>0.14785992217898833</c:v>
                </c:pt>
                <c:pt idx="2">
                  <c:v>0.54393305439330542</c:v>
                </c:pt>
                <c:pt idx="3">
                  <c:v>0.18487394957983194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3-49CC-8245-481A1C8AB16A}"/>
            </c:ext>
          </c:extLst>
        </c:ser>
        <c:ser>
          <c:idx val="1"/>
          <c:order val="1"/>
          <c:tx>
            <c:strRef>
              <c:f>'Preismodell NEU'!$A$319</c:f>
              <c:strCache>
                <c:ptCount val="1"/>
                <c:pt idx="0">
                  <c:v>Anteil ±10%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'Preismodell NEU'!$B$317:$E$317</c:f>
              <c:strCache>
                <c:ptCount val="4"/>
                <c:pt idx="0">
                  <c:v>PG1 (MDF)</c:v>
                </c:pt>
                <c:pt idx="1">
                  <c:v>PG2 (Alu)</c:v>
                </c:pt>
                <c:pt idx="2">
                  <c:v>PG3 (Furnier)</c:v>
                </c:pt>
                <c:pt idx="3">
                  <c:v>PG4 (Glas)</c:v>
                </c:pt>
              </c:strCache>
            </c:strRef>
          </c:cat>
          <c:val>
            <c:numRef>
              <c:f>'Preismodell NEU'!$B$319:$E$319</c:f>
              <c:numCache>
                <c:formatCode>0.0%</c:formatCode>
                <c:ptCount val="4"/>
                <c:pt idx="0">
                  <c:v>0.84046692607003892</c:v>
                </c:pt>
                <c:pt idx="1">
                  <c:v>0.36186770428015563</c:v>
                </c:pt>
                <c:pt idx="2">
                  <c:v>0.72803347280334729</c:v>
                </c:pt>
                <c:pt idx="3">
                  <c:v>0.4327731092436975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3-49CC-8245-481A1C8AB16A}"/>
            </c:ext>
          </c:extLst>
        </c:ser>
        <c:ser>
          <c:idx val="2"/>
          <c:order val="2"/>
          <c:tx>
            <c:strRef>
              <c:f>'Preismodell NEU'!$A$320</c:f>
              <c:strCache>
                <c:ptCount val="1"/>
                <c:pt idx="0">
                  <c:v>Anteil ±20%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'Preismodell NEU'!$B$317:$E$317</c:f>
              <c:strCache>
                <c:ptCount val="4"/>
                <c:pt idx="0">
                  <c:v>PG1 (MDF)</c:v>
                </c:pt>
                <c:pt idx="1">
                  <c:v>PG2 (Alu)</c:v>
                </c:pt>
                <c:pt idx="2">
                  <c:v>PG3 (Furnier)</c:v>
                </c:pt>
                <c:pt idx="3">
                  <c:v>PG4 (Glas)</c:v>
                </c:pt>
              </c:strCache>
            </c:strRef>
          </c:cat>
          <c:val>
            <c:numRef>
              <c:f>'Preismodell NEU'!$B$320:$E$320</c:f>
              <c:numCache>
                <c:formatCode>0.0%</c:formatCode>
                <c:ptCount val="4"/>
                <c:pt idx="0">
                  <c:v>0.93385214007782102</c:v>
                </c:pt>
                <c:pt idx="1">
                  <c:v>0.77821011673151752</c:v>
                </c:pt>
                <c:pt idx="2">
                  <c:v>0.89121338912133896</c:v>
                </c:pt>
                <c:pt idx="3">
                  <c:v>0.65126050420168069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3-49CC-8245-481A1C8A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082720"/>
        <c:axId val="766081280"/>
      </c:barChart>
      <c:catAx>
        <c:axId val="7660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6081280"/>
        <c:crosses val="autoZero"/>
        <c:auto val="1"/>
        <c:lblAlgn val="ctr"/>
        <c:lblOffset val="100"/>
        <c:noMultiLvlLbl val="0"/>
      </c:catAx>
      <c:valAx>
        <c:axId val="766081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60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C4549A8-44C4-346F-4CA1-011D58FEC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Artmodul_Bestellvorlage_V19.xlsm" TargetMode="External"/><Relationship Id="rId2" Type="http://schemas.openxmlformats.org/officeDocument/2006/relationships/externalLinkPath" Target="file:///C:\Users\Daniel%20Hachtel\Desktop\Artmodul_Bestellvorlage_V19.xlsm" TargetMode="External"/><Relationship Id="rId1" Type="http://schemas.openxmlformats.org/officeDocument/2006/relationships/externalLinkPath" Target="/Users/Daniel%20Hachtel/Desktop/Artmodul_Bestellvorlage_V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tmodul\07_Kunden\2024\Blunier\Artmodul_Blunier_v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v\home$\dhachtel\MHZ\Projekte\Vertriebscontrolling\WL-Bericht%2022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ABLAG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MSOffice/Excel/1WH/AKTUEL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PRTK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stellvorlage_neu"/>
      <sheetName val="Angebot"/>
      <sheetName val="Werkstattauftrag"/>
      <sheetName val="Stückliste_W33"/>
      <sheetName val="Stückliste_gesamt"/>
      <sheetName val="Materialentnahmeschein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  <sheetName val="Kundenübersicht"/>
      <sheetName val="Analyse_Stücklistenlogik"/>
    </sheetNames>
    <sheetDataSet>
      <sheetData sheetId="0">
        <row r="4">
          <cell r="D4">
            <v>360</v>
          </cell>
          <cell r="N4">
            <v>0.5</v>
          </cell>
        </row>
        <row r="31">
          <cell r="K31">
            <v>1</v>
          </cell>
        </row>
        <row r="32">
          <cell r="K32">
            <v>4</v>
          </cell>
        </row>
        <row r="33">
          <cell r="K33">
            <v>1</v>
          </cell>
        </row>
        <row r="34">
          <cell r="K34">
            <v>4</v>
          </cell>
        </row>
      </sheetData>
      <sheetData sheetId="1">
        <row r="7">
          <cell r="H7" t="e">
            <v>#N/A</v>
          </cell>
        </row>
        <row r="10">
          <cell r="A10" t="str">
            <v>MHZ DE</v>
          </cell>
        </row>
        <row r="14">
          <cell r="H14" t="str">
            <v>701-0318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>
            <v>9</v>
          </cell>
        </row>
        <row r="3">
          <cell r="D3">
            <v>0.56000000000000005</v>
          </cell>
        </row>
        <row r="5">
          <cell r="D5">
            <v>3.4</v>
          </cell>
        </row>
        <row r="6">
          <cell r="D6">
            <v>0.34</v>
          </cell>
        </row>
        <row r="7">
          <cell r="D7">
            <v>0.14000000000000001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Stückliste_W33"/>
      <sheetName val="Materialentnahmeschein"/>
      <sheetName val="Bestellvorlage_neu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 PG Bereiche 1"/>
      <sheetName val="Errechnung"/>
      <sheetName val="Bericht"/>
      <sheetName val="-"/>
      <sheetName val="Ist je Periode"/>
      <sheetName val="Kennzahlen"/>
      <sheetName val="Mastertabelle"/>
      <sheetName val="Zeitreihe"/>
      <sheetName val="---"/>
      <sheetName val="Diagramm gesamt"/>
      <sheetName val="----"/>
      <sheetName val="Bericht gesamt"/>
      <sheetName val="PG Bereiche ges"/>
      <sheetName val="PG Bereiche I"/>
      <sheetName val="PG Bereiche II"/>
      <sheetName val="PG Bereiche III"/>
      <sheetName val="PG Bereiche IV"/>
      <sheetName val="PG Bereiche V"/>
      <sheetName val="PG Bereiche VI"/>
      <sheetName val="Werk gesamt"/>
      <sheetName val="Werk Mus"/>
      <sheetName val="Werk Ste"/>
      <sheetName val="Werk Nst Konf"/>
      <sheetName val="Werk Rie"/>
      <sheetName val="Werk Hal"/>
      <sheetName val="Werk Kih"/>
      <sheetName val="Werk Kraslice"/>
      <sheetName val="Werk Nst Komp"/>
      <sheetName val="Werk Mark_GuV"/>
      <sheetName val="-----"/>
      <sheetName val="PG gesamt"/>
      <sheetName val="PG I"/>
      <sheetName val="PG II"/>
      <sheetName val="PG III"/>
      <sheetName val="PG IV"/>
      <sheetName val="PG V"/>
      <sheetName val="------"/>
      <sheetName val="-------"/>
      <sheetName val="PG Schienen NST Konf"/>
      <sheetName val="PG Stangen NST Konf"/>
      <sheetName val="PG Rollo Mus"/>
      <sheetName val="PG Vertikal Hal"/>
      <sheetName val="PG Handelss. Nst Konf"/>
      <sheetName val="PG Handelss. Nst Komp"/>
      <sheetName val="PG Handelss. Kraslice"/>
      <sheetName val="PG Horizontal Rie"/>
      <sheetName val="PG Systemt Nst Komp"/>
      <sheetName val="PG Plissee Ste"/>
      <sheetName val="PG Plissee Kraslice"/>
      <sheetName val="PG Raffrollo Kraslice"/>
      <sheetName val="PG Raffrollo Nst Konf"/>
      <sheetName val="PG Flächenvorhang Nst Konf"/>
      <sheetName val="PG Flächenvorhang Mus"/>
      <sheetName val="PG Insekten Nst Konf"/>
      <sheetName val="PG Insekten Kraslice"/>
      <sheetName val="PG Holzjalousie Rie"/>
      <sheetName val="PG Gelenkarm Kih"/>
      <sheetName val="PG Beschattungen Kih"/>
      <sheetName val="PG Fenster-Fassaden Kih"/>
      <sheetName val="PG Kassettenrollos Kih"/>
      <sheetName val="PG Sonst. Prod. Kih"/>
      <sheetName val="PG Solix Kraslice"/>
      <sheetName val="PG TWA Kih"/>
      <sheetName val="PG ETuBGR Kih"/>
      <sheetName val="PG Sonst.Leist. Kih"/>
      <sheetName val="PG ARS Rie"/>
      <sheetName val="PG Metallb Kih"/>
      <sheetName val="PG R&amp;B Kih"/>
      <sheetName val="PG sonst. Leist. Mark"/>
      <sheetName val="PG Komp IU Nst"/>
      <sheetName val="PG Komp IU Konf Nst"/>
      <sheetName val="GuV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</v>
          </cell>
        </row>
      </sheetData>
      <sheetData sheetId="7"/>
      <sheetData sheetId="8"/>
      <sheetData sheetId="9"/>
      <sheetData sheetId="10"/>
      <sheetData sheetId="11">
        <row r="4">
          <cell r="B4">
            <v>1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 t="str">
            <v>YTD</v>
          </cell>
          <cell r="Q4" t="str">
            <v>YTD</v>
          </cell>
          <cell r="R4" t="str">
            <v>YTD ges</v>
          </cell>
          <cell r="T4">
            <v>1</v>
          </cell>
          <cell r="U4">
            <v>2</v>
          </cell>
          <cell r="V4">
            <v>3</v>
          </cell>
          <cell r="W4">
            <v>4</v>
          </cell>
          <cell r="X4">
            <v>5</v>
          </cell>
          <cell r="Y4">
            <v>6</v>
          </cell>
          <cell r="Z4">
            <v>7</v>
          </cell>
          <cell r="AA4">
            <v>8</v>
          </cell>
          <cell r="AB4">
            <v>9</v>
          </cell>
          <cell r="AC4">
            <v>10</v>
          </cell>
          <cell r="AD4">
            <v>11</v>
          </cell>
          <cell r="AE4">
            <v>12</v>
          </cell>
          <cell r="AF4" t="str">
            <v>YTD</v>
          </cell>
          <cell r="AG4" t="str">
            <v>YTD</v>
          </cell>
          <cell r="AH4" t="str">
            <v>YTD ges</v>
          </cell>
          <cell r="AI4" t="str">
            <v>pm</v>
          </cell>
          <cell r="AK4">
            <v>4</v>
          </cell>
          <cell r="AL4">
            <v>5</v>
          </cell>
          <cell r="AM4">
            <v>6</v>
          </cell>
          <cell r="AN4">
            <v>7</v>
          </cell>
          <cell r="AO4">
            <v>8</v>
          </cell>
          <cell r="AP4">
            <v>9</v>
          </cell>
          <cell r="AQ4">
            <v>10</v>
          </cell>
          <cell r="AR4">
            <v>11</v>
          </cell>
          <cell r="AS4">
            <v>12</v>
          </cell>
          <cell r="AT4" t="str">
            <v>YTD</v>
          </cell>
          <cell r="AU4" t="str">
            <v>YTD</v>
          </cell>
          <cell r="AV4" t="str">
            <v>YTD ges</v>
          </cell>
          <cell r="AW4">
            <v>7</v>
          </cell>
          <cell r="AX4">
            <v>8</v>
          </cell>
          <cell r="AY4">
            <v>9</v>
          </cell>
          <cell r="AZ4">
            <v>10</v>
          </cell>
          <cell r="BA4">
            <v>11</v>
          </cell>
          <cell r="BB4">
            <v>12</v>
          </cell>
          <cell r="BC4" t="str">
            <v>YTD ges</v>
          </cell>
          <cell r="BD4">
            <v>9</v>
          </cell>
          <cell r="BE4">
            <v>10</v>
          </cell>
          <cell r="BF4">
            <v>11</v>
          </cell>
          <cell r="BG4">
            <v>12</v>
          </cell>
          <cell r="BH4" t="str">
            <v>YTD ges</v>
          </cell>
          <cell r="BI4" t="str">
            <v>pm</v>
          </cell>
          <cell r="BJ4" t="str">
            <v>YTD ges</v>
          </cell>
          <cell r="BL4">
            <v>1</v>
          </cell>
          <cell r="BM4">
            <v>2</v>
          </cell>
          <cell r="BN4">
            <v>3</v>
          </cell>
          <cell r="BO4">
            <v>4</v>
          </cell>
          <cell r="BP4">
            <v>5</v>
          </cell>
          <cell r="BQ4">
            <v>6</v>
          </cell>
          <cell r="BR4">
            <v>7</v>
          </cell>
          <cell r="BS4">
            <v>8</v>
          </cell>
          <cell r="BT4">
            <v>9</v>
          </cell>
          <cell r="BU4">
            <v>10</v>
          </cell>
          <cell r="BV4">
            <v>11</v>
          </cell>
          <cell r="BW4">
            <v>12</v>
          </cell>
          <cell r="BX4" t="str">
            <v>YTD</v>
          </cell>
          <cell r="BY4" t="str">
            <v>YTD</v>
          </cell>
          <cell r="BZ4" t="str">
            <v>YTD ges</v>
          </cell>
          <cell r="CA4" t="str">
            <v>pm</v>
          </cell>
          <cell r="CC4">
            <v>1</v>
          </cell>
          <cell r="CD4">
            <v>2</v>
          </cell>
          <cell r="CE4">
            <v>3</v>
          </cell>
          <cell r="CF4">
            <v>4</v>
          </cell>
          <cell r="CG4">
            <v>5</v>
          </cell>
          <cell r="CH4">
            <v>6</v>
          </cell>
          <cell r="CI4">
            <v>7</v>
          </cell>
          <cell r="CJ4">
            <v>8</v>
          </cell>
          <cell r="CK4">
            <v>9</v>
          </cell>
          <cell r="CL4">
            <v>10</v>
          </cell>
          <cell r="CM4">
            <v>11</v>
          </cell>
          <cell r="CN4">
            <v>12</v>
          </cell>
          <cell r="CO4" t="str">
            <v>YTD</v>
          </cell>
          <cell r="CP4" t="str">
            <v>YTD</v>
          </cell>
          <cell r="CQ4" t="str">
            <v>YTD ges</v>
          </cell>
          <cell r="CS4">
            <v>1</v>
          </cell>
          <cell r="CT4">
            <v>2</v>
          </cell>
          <cell r="CU4">
            <v>3</v>
          </cell>
          <cell r="CV4">
            <v>4</v>
          </cell>
          <cell r="CW4">
            <v>5</v>
          </cell>
          <cell r="CX4">
            <v>6</v>
          </cell>
          <cell r="CY4">
            <v>7</v>
          </cell>
          <cell r="CZ4">
            <v>8</v>
          </cell>
          <cell r="DA4">
            <v>9</v>
          </cell>
          <cell r="DB4">
            <v>10</v>
          </cell>
          <cell r="DC4">
            <v>11</v>
          </cell>
          <cell r="DD4">
            <v>12</v>
          </cell>
          <cell r="DE4" t="str">
            <v>YTD</v>
          </cell>
          <cell r="DF4" t="str">
            <v>YTD</v>
          </cell>
          <cell r="DG4" t="str">
            <v>YTD ges</v>
          </cell>
        </row>
        <row r="5">
          <cell r="B5">
            <v>2</v>
          </cell>
          <cell r="C5" t="str">
            <v>Brutto-Umsatz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14280296.43</v>
          </cell>
          <cell r="U5">
            <v>21760641.750000004</v>
          </cell>
          <cell r="V5">
            <v>27826869.990000002</v>
          </cell>
          <cell r="W5">
            <v>24656350.739999995</v>
          </cell>
          <cell r="X5">
            <v>28517637.419999994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117041796.33000003</v>
          </cell>
          <cell r="AH5">
            <v>117041796.33000003</v>
          </cell>
          <cell r="AI5">
            <v>0</v>
          </cell>
          <cell r="AK5">
            <v>1260334.77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63867808.169999987</v>
          </cell>
          <cell r="AV5">
            <v>63867808.169999987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117041796.33000003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117041796.33000003</v>
          </cell>
          <cell r="BI5">
            <v>0</v>
          </cell>
          <cell r="BJ5">
            <v>0</v>
          </cell>
          <cell r="BK5">
            <v>0</v>
          </cell>
          <cell r="BL5">
            <v>15984952.329999996</v>
          </cell>
          <cell r="BM5">
            <v>19630854.200000003</v>
          </cell>
          <cell r="BN5">
            <v>26975523.909999996</v>
          </cell>
          <cell r="BO5">
            <v>26367626.489999998</v>
          </cell>
          <cell r="BP5">
            <v>27076852.779999997</v>
          </cell>
          <cell r="BQ5">
            <v>29285277.419999998</v>
          </cell>
          <cell r="BR5">
            <v>29035318.749999993</v>
          </cell>
          <cell r="BS5">
            <v>25604204.330000002</v>
          </cell>
          <cell r="BT5">
            <v>22932606.830000002</v>
          </cell>
          <cell r="BU5">
            <v>20277954.719999991</v>
          </cell>
          <cell r="BV5">
            <v>22904948.530000005</v>
          </cell>
          <cell r="BW5">
            <v>19314129.529999997</v>
          </cell>
          <cell r="BX5">
            <v>0</v>
          </cell>
          <cell r="BY5">
            <v>285390249.81999987</v>
          </cell>
          <cell r="BZ5">
            <v>285390249.81999987</v>
          </cell>
          <cell r="CA5">
            <v>19314129.529999997</v>
          </cell>
          <cell r="CB5">
            <v>0</v>
          </cell>
          <cell r="CC5">
            <v>17866017.439999998</v>
          </cell>
          <cell r="CD5">
            <v>19822233.180000003</v>
          </cell>
          <cell r="CE5">
            <v>22000558.25</v>
          </cell>
          <cell r="CF5">
            <v>19596722.060000002</v>
          </cell>
          <cell r="CG5">
            <v>21258733.570000004</v>
          </cell>
          <cell r="CH5">
            <v>27697405.980000004</v>
          </cell>
          <cell r="CI5">
            <v>30262832.130000003</v>
          </cell>
          <cell r="CJ5">
            <v>24628741.359999999</v>
          </cell>
          <cell r="CK5">
            <v>26101084.810000002</v>
          </cell>
          <cell r="CL5">
            <v>26170503.579999994</v>
          </cell>
          <cell r="CM5">
            <v>23003243.240000006</v>
          </cell>
          <cell r="CN5">
            <v>21822107.769999996</v>
          </cell>
          <cell r="CO5">
            <v>0</v>
          </cell>
          <cell r="CP5">
            <v>280230183.37000006</v>
          </cell>
          <cell r="CQ5">
            <v>280230183.37000006</v>
          </cell>
          <cell r="CR5">
            <v>0</v>
          </cell>
          <cell r="CS5">
            <v>18144509.780000005</v>
          </cell>
          <cell r="CT5">
            <v>17844547.109999999</v>
          </cell>
          <cell r="CU5">
            <v>23398739.210000008</v>
          </cell>
          <cell r="CV5">
            <v>24706512.900000002</v>
          </cell>
          <cell r="CW5">
            <v>26594660.659999996</v>
          </cell>
          <cell r="CX5">
            <v>22839663.110000007</v>
          </cell>
          <cell r="CY5">
            <v>26530864.369999994</v>
          </cell>
          <cell r="CZ5">
            <v>24970120.030000005</v>
          </cell>
          <cell r="DA5">
            <v>22079128.879999995</v>
          </cell>
          <cell r="DB5">
            <v>21778705.739999995</v>
          </cell>
          <cell r="DC5">
            <v>20494266.009999994</v>
          </cell>
          <cell r="DD5">
            <v>14875372.910000004</v>
          </cell>
          <cell r="DE5">
            <v>0</v>
          </cell>
          <cell r="DF5">
            <v>264257090.70999998</v>
          </cell>
          <cell r="DG5">
            <v>264257090.70999998</v>
          </cell>
        </row>
        <row r="6">
          <cell r="B6">
            <v>3</v>
          </cell>
          <cell r="C6" t="str">
            <v>Faktura-Umsatz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6483800.4999999991</v>
          </cell>
          <cell r="U6">
            <v>9743551.7800000012</v>
          </cell>
          <cell r="V6">
            <v>12988219.759999998</v>
          </cell>
          <cell r="W6">
            <v>11625272.819999998</v>
          </cell>
          <cell r="X6">
            <v>13598467.76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54439312.620000005</v>
          </cell>
          <cell r="AH6">
            <v>54439312.620000005</v>
          </cell>
          <cell r="AI6">
            <v>0</v>
          </cell>
          <cell r="AK6">
            <v>226979.67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29215572.039999999</v>
          </cell>
          <cell r="AV6">
            <v>29215572.039999999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54439312.620000005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54439312.620000005</v>
          </cell>
          <cell r="BI6">
            <v>0</v>
          </cell>
          <cell r="BJ6">
            <v>0</v>
          </cell>
          <cell r="BK6">
            <v>0</v>
          </cell>
          <cell r="BL6">
            <v>6740982.0999999987</v>
          </cell>
          <cell r="BM6">
            <v>8552106.8300000019</v>
          </cell>
          <cell r="BN6">
            <v>12115865.010000002</v>
          </cell>
          <cell r="BO6">
            <v>12096348.479999999</v>
          </cell>
          <cell r="BP6">
            <v>12447978.489999998</v>
          </cell>
          <cell r="BQ6">
            <v>12976677.680000002</v>
          </cell>
          <cell r="BR6">
            <v>13461802.639999999</v>
          </cell>
          <cell r="BS6">
            <v>12180149.730000002</v>
          </cell>
          <cell r="BT6">
            <v>10865252.649999999</v>
          </cell>
          <cell r="BU6">
            <v>9611026.3999999966</v>
          </cell>
          <cell r="BV6">
            <v>10222781.600000001</v>
          </cell>
          <cell r="BW6">
            <v>9039154.1400000043</v>
          </cell>
          <cell r="BX6">
            <v>0</v>
          </cell>
          <cell r="BY6">
            <v>130310125.75000001</v>
          </cell>
          <cell r="BZ6">
            <v>130310125.75000001</v>
          </cell>
          <cell r="CA6">
            <v>9039154.1400000043</v>
          </cell>
          <cell r="CB6">
            <v>0</v>
          </cell>
          <cell r="CC6">
            <v>7717182.5600000005</v>
          </cell>
          <cell r="CD6">
            <v>8470879.5100000035</v>
          </cell>
          <cell r="CE6">
            <v>10242892.279999999</v>
          </cell>
          <cell r="CF6">
            <v>9577037.7399999984</v>
          </cell>
          <cell r="CG6">
            <v>10234457.840000002</v>
          </cell>
          <cell r="CH6">
            <v>12858626.150000002</v>
          </cell>
          <cell r="CI6">
            <v>13997377.48</v>
          </cell>
          <cell r="CJ6">
            <v>11562078.770000003</v>
          </cell>
          <cell r="CK6">
            <v>11939293.940000003</v>
          </cell>
          <cell r="CL6">
            <v>11976130.200000005</v>
          </cell>
          <cell r="CM6">
            <v>10126576.970000001</v>
          </cell>
          <cell r="CN6">
            <v>9588238.2500000019</v>
          </cell>
          <cell r="CO6">
            <v>0</v>
          </cell>
          <cell r="CP6">
            <v>128290771.68999998</v>
          </cell>
          <cell r="CQ6">
            <v>128290771.68999998</v>
          </cell>
          <cell r="CR6">
            <v>0</v>
          </cell>
          <cell r="CS6">
            <v>7583775.3399999999</v>
          </cell>
          <cell r="CT6">
            <v>7519031.620000001</v>
          </cell>
          <cell r="CU6">
            <v>10504074.410000002</v>
          </cell>
          <cell r="CV6">
            <v>11304246.359999999</v>
          </cell>
          <cell r="CW6">
            <v>12124702.82</v>
          </cell>
          <cell r="CX6">
            <v>10159687.449999997</v>
          </cell>
          <cell r="CY6">
            <v>11917238.529999999</v>
          </cell>
          <cell r="CZ6">
            <v>11623500.060000001</v>
          </cell>
          <cell r="DA6">
            <v>10091505.9</v>
          </cell>
          <cell r="DB6">
            <v>9691234.089999998</v>
          </cell>
          <cell r="DC6">
            <v>8871465.0399999991</v>
          </cell>
          <cell r="DD6">
            <v>6706638.8700000001</v>
          </cell>
          <cell r="DE6">
            <v>0</v>
          </cell>
          <cell r="DF6">
            <v>118097100.48999998</v>
          </cell>
          <cell r="DG6">
            <v>118097100.48999998</v>
          </cell>
        </row>
        <row r="7">
          <cell r="B7">
            <v>4</v>
          </cell>
          <cell r="C7" t="str">
            <v>Vertriebsumsatz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6443570.8899999969</v>
          </cell>
          <cell r="U7">
            <v>9694110.7100000046</v>
          </cell>
          <cell r="V7">
            <v>12903071.259999998</v>
          </cell>
          <cell r="W7">
            <v>11541265.610000003</v>
          </cell>
          <cell r="X7">
            <v>13495640.449999999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54077658.920000002</v>
          </cell>
          <cell r="AH7">
            <v>54077658.920000002</v>
          </cell>
          <cell r="AI7">
            <v>0</v>
          </cell>
          <cell r="AK7">
            <v>223141.68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29040752.859999996</v>
          </cell>
          <cell r="AV7">
            <v>29040752.859999996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54077658.920000002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54077658.920000002</v>
          </cell>
          <cell r="BI7">
            <v>0</v>
          </cell>
          <cell r="BJ7">
            <v>0</v>
          </cell>
          <cell r="BK7">
            <v>0</v>
          </cell>
          <cell r="BL7">
            <v>6667502.5399999982</v>
          </cell>
          <cell r="BM7">
            <v>8463385.7699999996</v>
          </cell>
          <cell r="BN7">
            <v>12038300.850000003</v>
          </cell>
          <cell r="BO7">
            <v>12018453.470000001</v>
          </cell>
          <cell r="BP7">
            <v>12356723.709999999</v>
          </cell>
          <cell r="BQ7">
            <v>12726184.720000003</v>
          </cell>
          <cell r="BR7">
            <v>13445166.639999997</v>
          </cell>
          <cell r="BS7">
            <v>12045170.300000003</v>
          </cell>
          <cell r="BT7">
            <v>10759770.220000001</v>
          </cell>
          <cell r="BU7">
            <v>9453010.1400000006</v>
          </cell>
          <cell r="BV7">
            <v>10101072.24</v>
          </cell>
          <cell r="BW7">
            <v>8894089.8700000029</v>
          </cell>
          <cell r="BX7">
            <v>0</v>
          </cell>
          <cell r="BY7">
            <v>128968830.47</v>
          </cell>
          <cell r="BZ7">
            <v>128968830.47</v>
          </cell>
          <cell r="CA7">
            <v>8894089.8700000029</v>
          </cell>
          <cell r="CB7">
            <v>0</v>
          </cell>
          <cell r="CC7">
            <v>7632745.3099999977</v>
          </cell>
          <cell r="CD7">
            <v>8364303.7400000012</v>
          </cell>
          <cell r="CE7">
            <v>10163510.129999997</v>
          </cell>
          <cell r="CF7">
            <v>9508681.1000000015</v>
          </cell>
          <cell r="CG7">
            <v>10172472.350000003</v>
          </cell>
          <cell r="CH7">
            <v>12771819.880000001</v>
          </cell>
          <cell r="CI7">
            <v>13886402.009999998</v>
          </cell>
          <cell r="CJ7">
            <v>11463790.339999996</v>
          </cell>
          <cell r="CK7">
            <v>11831448.250000002</v>
          </cell>
          <cell r="CL7">
            <v>11840860.93</v>
          </cell>
          <cell r="CM7">
            <v>10005851.630000003</v>
          </cell>
          <cell r="CN7">
            <v>9048807.0299999993</v>
          </cell>
          <cell r="CO7">
            <v>0</v>
          </cell>
          <cell r="CP7">
            <v>126690692.69999999</v>
          </cell>
          <cell r="CQ7">
            <v>126690692.69999999</v>
          </cell>
          <cell r="CR7">
            <v>0</v>
          </cell>
          <cell r="CS7">
            <v>7491410.4800000014</v>
          </cell>
          <cell r="CT7">
            <v>7419845.0899999999</v>
          </cell>
          <cell r="CU7">
            <v>10434254.930000002</v>
          </cell>
          <cell r="CV7">
            <v>11234973.090000002</v>
          </cell>
          <cell r="CW7">
            <v>12002411.789999999</v>
          </cell>
          <cell r="CX7">
            <v>10050719.869999997</v>
          </cell>
          <cell r="CY7">
            <v>11793625.659999998</v>
          </cell>
          <cell r="CZ7">
            <v>11270543.499999998</v>
          </cell>
          <cell r="DA7">
            <v>9987353.6599999983</v>
          </cell>
          <cell r="DB7">
            <v>9582923.7699999977</v>
          </cell>
          <cell r="DC7">
            <v>8800607.6199999992</v>
          </cell>
          <cell r="DD7">
            <v>6502442.04</v>
          </cell>
          <cell r="DE7">
            <v>0</v>
          </cell>
          <cell r="DF7">
            <v>116571111.49999999</v>
          </cell>
          <cell r="DG7">
            <v>116571111.49999999</v>
          </cell>
        </row>
        <row r="8">
          <cell r="B8">
            <v>5</v>
          </cell>
          <cell r="C8" t="str">
            <v>Bonus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79467.25999999998</v>
          </cell>
          <cell r="U8">
            <v>205246.72000000009</v>
          </cell>
          <cell r="V8">
            <v>287533.54000000004</v>
          </cell>
          <cell r="W8">
            <v>268777.04000000004</v>
          </cell>
          <cell r="X8">
            <v>272423.92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1113448.4799999997</v>
          </cell>
          <cell r="AH8">
            <v>1113448.4799999997</v>
          </cell>
          <cell r="AI8">
            <v>0</v>
          </cell>
          <cell r="AK8">
            <v>7650.24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572247.52</v>
          </cell>
          <cell r="AV8">
            <v>572247.52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1113448.4799999997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1113448.4799999997</v>
          </cell>
          <cell r="BI8">
            <v>0</v>
          </cell>
          <cell r="BJ8">
            <v>0</v>
          </cell>
          <cell r="BK8">
            <v>0</v>
          </cell>
          <cell r="BL8">
            <v>178162.02</v>
          </cell>
          <cell r="BM8">
            <v>99523.36</v>
          </cell>
          <cell r="BN8">
            <v>228251.18</v>
          </cell>
          <cell r="BO8">
            <v>167441.56</v>
          </cell>
          <cell r="BP8">
            <v>355652.44999999995</v>
          </cell>
          <cell r="BQ8">
            <v>281995.74</v>
          </cell>
          <cell r="BR8">
            <v>310909.87</v>
          </cell>
          <cell r="BS8">
            <v>270168.31999999995</v>
          </cell>
          <cell r="BT8">
            <v>227502.49999999994</v>
          </cell>
          <cell r="BU8">
            <v>64292.169999999984</v>
          </cell>
          <cell r="BV8">
            <v>206045.74999999994</v>
          </cell>
          <cell r="BW8">
            <v>308835.92000000004</v>
          </cell>
          <cell r="BX8">
            <v>0</v>
          </cell>
          <cell r="BY8">
            <v>2698780.8400000003</v>
          </cell>
          <cell r="BZ8">
            <v>2698780.8400000003</v>
          </cell>
          <cell r="CA8">
            <v>308835.92000000004</v>
          </cell>
          <cell r="CB8">
            <v>0</v>
          </cell>
          <cell r="CC8">
            <v>140895.21000000002</v>
          </cell>
          <cell r="CD8">
            <v>210814.02000000002</v>
          </cell>
          <cell r="CE8">
            <v>227081.7</v>
          </cell>
          <cell r="CF8">
            <v>215447.15</v>
          </cell>
          <cell r="CG8">
            <v>247844.03999999992</v>
          </cell>
          <cell r="CH8">
            <v>359252.86000000004</v>
          </cell>
          <cell r="CI8">
            <v>376897.25000000006</v>
          </cell>
          <cell r="CJ8">
            <v>292389.86999999994</v>
          </cell>
          <cell r="CK8">
            <v>275304.33999999997</v>
          </cell>
          <cell r="CL8">
            <v>250036.77000000002</v>
          </cell>
          <cell r="CM8">
            <v>229038.81</v>
          </cell>
          <cell r="CN8">
            <v>213544.82</v>
          </cell>
          <cell r="CO8">
            <v>0</v>
          </cell>
          <cell r="CP8">
            <v>3038546.8400000003</v>
          </cell>
          <cell r="CQ8">
            <v>3038546.8400000003</v>
          </cell>
          <cell r="CR8">
            <v>0</v>
          </cell>
          <cell r="CS8">
            <v>317932.58000000007</v>
          </cell>
          <cell r="CT8">
            <v>173218.98</v>
          </cell>
          <cell r="CU8">
            <v>266610.05</v>
          </cell>
          <cell r="CV8">
            <v>278607.71000000002</v>
          </cell>
          <cell r="CW8">
            <v>290665.87999999995</v>
          </cell>
          <cell r="CX8">
            <v>287777.39</v>
          </cell>
          <cell r="CY8">
            <v>286289.90000000002</v>
          </cell>
          <cell r="CZ8">
            <v>262902.74000000005</v>
          </cell>
          <cell r="DA8">
            <v>224219.06</v>
          </cell>
          <cell r="DB8">
            <v>181134.85000000006</v>
          </cell>
          <cell r="DC8">
            <v>189398.01</v>
          </cell>
          <cell r="DD8">
            <v>-28162.51999999996</v>
          </cell>
          <cell r="DE8">
            <v>0</v>
          </cell>
          <cell r="DF8">
            <v>2730594.6299999994</v>
          </cell>
          <cell r="DG8">
            <v>2730594.6299999994</v>
          </cell>
        </row>
        <row r="9">
          <cell r="B9">
            <v>6</v>
          </cell>
          <cell r="C9" t="str">
            <v>Skonto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134200.37000000005</v>
          </cell>
          <cell r="U9">
            <v>234650.26000000004</v>
          </cell>
          <cell r="V9">
            <v>281873.15999999992</v>
          </cell>
          <cell r="W9">
            <v>310782.85999999987</v>
          </cell>
          <cell r="X9">
            <v>335837.23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1297343.8800000004</v>
          </cell>
          <cell r="AH9">
            <v>1297343.8800000004</v>
          </cell>
          <cell r="AI9">
            <v>0</v>
          </cell>
          <cell r="AK9">
            <v>5910.32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650723.7899999998</v>
          </cell>
          <cell r="AV9">
            <v>650723.7899999998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1297343.8800000004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1297343.8800000004</v>
          </cell>
          <cell r="BI9">
            <v>0</v>
          </cell>
          <cell r="BJ9">
            <v>0</v>
          </cell>
          <cell r="BK9">
            <v>0</v>
          </cell>
          <cell r="BL9">
            <v>125582.27</v>
          </cell>
          <cell r="BM9">
            <v>218666.30999999994</v>
          </cell>
          <cell r="BN9">
            <v>326436.63</v>
          </cell>
          <cell r="BO9">
            <v>305346.21999999991</v>
          </cell>
          <cell r="BP9">
            <v>316354.90999999997</v>
          </cell>
          <cell r="BQ9">
            <v>326519.01000000013</v>
          </cell>
          <cell r="BR9">
            <v>308281.69000000012</v>
          </cell>
          <cell r="BS9">
            <v>343810.59</v>
          </cell>
          <cell r="BT9">
            <v>292949.05000000005</v>
          </cell>
          <cell r="BU9">
            <v>294650.8</v>
          </cell>
          <cell r="BV9">
            <v>309657.5799999999</v>
          </cell>
          <cell r="BW9">
            <v>255834.43999999994</v>
          </cell>
          <cell r="BX9">
            <v>0</v>
          </cell>
          <cell r="BY9">
            <v>3424089.5000000005</v>
          </cell>
          <cell r="BZ9">
            <v>3424089.5000000005</v>
          </cell>
          <cell r="CA9">
            <v>255834.43999999994</v>
          </cell>
          <cell r="CB9">
            <v>0</v>
          </cell>
          <cell r="CC9">
            <v>147980.61000000002</v>
          </cell>
          <cell r="CD9">
            <v>190511.54</v>
          </cell>
          <cell r="CE9">
            <v>293287.51</v>
          </cell>
          <cell r="CF9">
            <v>220786.68</v>
          </cell>
          <cell r="CG9">
            <v>293626.68</v>
          </cell>
          <cell r="CH9">
            <v>321511.54000000004</v>
          </cell>
          <cell r="CI9">
            <v>350894.86</v>
          </cell>
          <cell r="CJ9">
            <v>372751.69</v>
          </cell>
          <cell r="CK9">
            <v>312342.03999999998</v>
          </cell>
          <cell r="CL9">
            <v>319526.96000000002</v>
          </cell>
          <cell r="CM9">
            <v>288041.05</v>
          </cell>
          <cell r="CN9">
            <v>315020.86999999988</v>
          </cell>
          <cell r="CO9">
            <v>0</v>
          </cell>
          <cell r="CP9">
            <v>3426282.03</v>
          </cell>
          <cell r="CQ9">
            <v>3426282.03</v>
          </cell>
          <cell r="CR9">
            <v>0</v>
          </cell>
          <cell r="CS9">
            <v>166315.65999999997</v>
          </cell>
          <cell r="CT9">
            <v>185333.06000000003</v>
          </cell>
          <cell r="CU9">
            <v>218624.79</v>
          </cell>
          <cell r="CV9">
            <v>297552.39999999997</v>
          </cell>
          <cell r="CW9">
            <v>360294.8000000001</v>
          </cell>
          <cell r="CX9">
            <v>296408.34999999998</v>
          </cell>
          <cell r="CY9">
            <v>291205.23</v>
          </cell>
          <cell r="CZ9">
            <v>333910.40999999992</v>
          </cell>
          <cell r="DA9">
            <v>256238.39</v>
          </cell>
          <cell r="DB9">
            <v>274681.00000000006</v>
          </cell>
          <cell r="DC9">
            <v>224083.10000000003</v>
          </cell>
          <cell r="DD9">
            <v>221563.37000000005</v>
          </cell>
          <cell r="DE9">
            <v>0</v>
          </cell>
          <cell r="DF9">
            <v>3126210.5600000001</v>
          </cell>
          <cell r="DG9">
            <v>3126210.5600000001</v>
          </cell>
        </row>
        <row r="10">
          <cell r="B10">
            <v>7</v>
          </cell>
          <cell r="C10" t="str">
            <v>Abfallverkäufe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19658.89</v>
          </cell>
          <cell r="U10">
            <v>30106.949999999997</v>
          </cell>
          <cell r="V10">
            <v>37054.14</v>
          </cell>
          <cell r="W10">
            <v>40339.01999999999</v>
          </cell>
          <cell r="X10">
            <v>59721.67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186880.66999999995</v>
          </cell>
          <cell r="AH10">
            <v>186880.66999999995</v>
          </cell>
          <cell r="AI10">
            <v>0</v>
          </cell>
          <cell r="AK10">
            <v>512.57000000000005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86819.98000000001</v>
          </cell>
          <cell r="AV10">
            <v>86819.98000000001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186880.66999999995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186880.66999999995</v>
          </cell>
          <cell r="BI10">
            <v>0</v>
          </cell>
          <cell r="BJ10">
            <v>0</v>
          </cell>
          <cell r="BK10">
            <v>0</v>
          </cell>
          <cell r="BL10">
            <v>10077.969999999999</v>
          </cell>
          <cell r="BM10">
            <v>10095.029999999999</v>
          </cell>
          <cell r="BN10">
            <v>26282.710000000003</v>
          </cell>
          <cell r="BO10">
            <v>30301.920000000002</v>
          </cell>
          <cell r="BP10">
            <v>28133.590000000004</v>
          </cell>
          <cell r="BQ10">
            <v>29865.37</v>
          </cell>
          <cell r="BR10">
            <v>38761.11</v>
          </cell>
          <cell r="BS10">
            <v>31329.450000000004</v>
          </cell>
          <cell r="BT10">
            <v>41355.72</v>
          </cell>
          <cell r="BU10">
            <v>35579.61</v>
          </cell>
          <cell r="BV10">
            <v>47063.6</v>
          </cell>
          <cell r="BW10">
            <v>32628.899999999998</v>
          </cell>
          <cell r="BX10">
            <v>0</v>
          </cell>
          <cell r="BY10">
            <v>361474.9800000001</v>
          </cell>
          <cell r="BZ10">
            <v>361474.9800000001</v>
          </cell>
          <cell r="CA10">
            <v>32628.899999999998</v>
          </cell>
          <cell r="CB10">
            <v>0</v>
          </cell>
          <cell r="CC10">
            <v>6959.0100000000011</v>
          </cell>
          <cell r="CD10">
            <v>19098</v>
          </cell>
          <cell r="CE10">
            <v>12893.199999999995</v>
          </cell>
          <cell r="CF10">
            <v>18573.000000000004</v>
          </cell>
          <cell r="CG10">
            <v>14894.17</v>
          </cell>
          <cell r="CH10">
            <v>14440.039999999999</v>
          </cell>
          <cell r="CI10">
            <v>20742.240000000002</v>
          </cell>
          <cell r="CJ10">
            <v>16358.619999999999</v>
          </cell>
          <cell r="CK10">
            <v>23210.560000000005</v>
          </cell>
          <cell r="CL10">
            <v>18986.02</v>
          </cell>
          <cell r="CM10">
            <v>26542.989999999994</v>
          </cell>
          <cell r="CN10">
            <v>22639.020000000004</v>
          </cell>
          <cell r="CO10">
            <v>0</v>
          </cell>
          <cell r="CP10">
            <v>215336.87</v>
          </cell>
          <cell r="CQ10">
            <v>215336.87</v>
          </cell>
          <cell r="CR10">
            <v>0</v>
          </cell>
          <cell r="CS10">
            <v>14483.539999999997</v>
          </cell>
          <cell r="CT10">
            <v>15758.89</v>
          </cell>
          <cell r="CU10">
            <v>15383.96</v>
          </cell>
          <cell r="CV10">
            <v>34803.240000000005</v>
          </cell>
          <cell r="CW10">
            <v>10198.740000000002</v>
          </cell>
          <cell r="CX10">
            <v>23212.91</v>
          </cell>
          <cell r="CY10">
            <v>14525.289999999997</v>
          </cell>
          <cell r="CZ10">
            <v>31980.480000000003</v>
          </cell>
          <cell r="DA10">
            <v>22920.3</v>
          </cell>
          <cell r="DB10">
            <v>13732.599999999999</v>
          </cell>
          <cell r="DC10">
            <v>17406.300000000003</v>
          </cell>
          <cell r="DD10">
            <v>9970.9699999999975</v>
          </cell>
          <cell r="DE10">
            <v>0</v>
          </cell>
          <cell r="DF10">
            <v>224377.21999999994</v>
          </cell>
          <cell r="DG10">
            <v>224377.21999999994</v>
          </cell>
        </row>
        <row r="11">
          <cell r="B11">
            <v>8</v>
          </cell>
          <cell r="C11" t="str">
            <v>Umsatz sonstige Dritte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3861.82</v>
          </cell>
          <cell r="U11">
            <v>4231.579999999999</v>
          </cell>
          <cell r="V11">
            <v>3362.0600000000004</v>
          </cell>
          <cell r="W11">
            <v>7037.5999999999985</v>
          </cell>
          <cell r="X11">
            <v>8226.0200000000023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26719.079999999998</v>
          </cell>
          <cell r="AH11">
            <v>26719.079999999998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11455.46</v>
          </cell>
          <cell r="AV11">
            <v>11455.46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26719.079999999998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26719.079999999998</v>
          </cell>
          <cell r="BI11">
            <v>0</v>
          </cell>
          <cell r="BJ11">
            <v>0</v>
          </cell>
          <cell r="BK11">
            <v>0</v>
          </cell>
          <cell r="BL11">
            <v>3293.0699999999997</v>
          </cell>
          <cell r="BM11">
            <v>5214.7200000000021</v>
          </cell>
          <cell r="BN11">
            <v>4442.5800000000017</v>
          </cell>
          <cell r="BO11">
            <v>980.7199999999998</v>
          </cell>
          <cell r="BP11">
            <v>7120.050000000002</v>
          </cell>
          <cell r="BQ11">
            <v>6123.420000000001</v>
          </cell>
          <cell r="BR11">
            <v>6802.85</v>
          </cell>
          <cell r="BS11">
            <v>3266.96</v>
          </cell>
          <cell r="BT11">
            <v>5845.08</v>
          </cell>
          <cell r="BU11">
            <v>3687.0100000000016</v>
          </cell>
          <cell r="BV11">
            <v>5610.6699999999992</v>
          </cell>
          <cell r="BW11">
            <v>5015.75</v>
          </cell>
          <cell r="BX11">
            <v>0</v>
          </cell>
          <cell r="BY11">
            <v>57402.880000000012</v>
          </cell>
          <cell r="BZ11">
            <v>57402.880000000012</v>
          </cell>
          <cell r="CA11">
            <v>5015.75</v>
          </cell>
          <cell r="CB11">
            <v>0</v>
          </cell>
          <cell r="CC11">
            <v>2934.9399999999996</v>
          </cell>
          <cell r="CD11">
            <v>4944.8900000000003</v>
          </cell>
          <cell r="CE11">
            <v>4432.46</v>
          </cell>
          <cell r="CF11">
            <v>5183.2499999999991</v>
          </cell>
          <cell r="CG11">
            <v>3640.75</v>
          </cell>
          <cell r="CH11">
            <v>3886.5099999999989</v>
          </cell>
          <cell r="CI11">
            <v>3728.58</v>
          </cell>
          <cell r="CJ11">
            <v>5860.56</v>
          </cell>
          <cell r="CK11">
            <v>-402.50000000000011</v>
          </cell>
          <cell r="CL11">
            <v>0</v>
          </cell>
          <cell r="CM11">
            <v>3884</v>
          </cell>
          <cell r="CN11">
            <v>5757.01</v>
          </cell>
          <cell r="CO11">
            <v>0</v>
          </cell>
          <cell r="CP11">
            <v>43850.44999999999</v>
          </cell>
          <cell r="CQ11">
            <v>43850.44999999999</v>
          </cell>
          <cell r="CR11">
            <v>0</v>
          </cell>
          <cell r="CS11">
            <v>1695.3799999999999</v>
          </cell>
          <cell r="CT11">
            <v>6663.0399999999991</v>
          </cell>
          <cell r="CU11">
            <v>10021.200000000001</v>
          </cell>
          <cell r="CV11">
            <v>23046.610000000004</v>
          </cell>
          <cell r="CW11">
            <v>15076.220000000003</v>
          </cell>
          <cell r="CX11">
            <v>4488.1900000000014</v>
          </cell>
          <cell r="CY11">
            <v>7016.3900000000012</v>
          </cell>
          <cell r="CZ11">
            <v>6882.0999999999995</v>
          </cell>
          <cell r="DA11">
            <v>4554.7899999999991</v>
          </cell>
          <cell r="DB11">
            <v>4592.5399999999991</v>
          </cell>
          <cell r="DC11">
            <v>5357.93</v>
          </cell>
          <cell r="DD11">
            <v>4903.8100000000004</v>
          </cell>
          <cell r="DE11">
            <v>0</v>
          </cell>
          <cell r="DF11">
            <v>94298.2</v>
          </cell>
          <cell r="DG11">
            <v>94298.2</v>
          </cell>
        </row>
        <row r="12">
          <cell r="B12">
            <v>9</v>
          </cell>
          <cell r="C12" t="str">
            <v>Umsatz sonst.Betriebl.Erträge verb. Unternehm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</row>
        <row r="13">
          <cell r="B13">
            <v>10</v>
          </cell>
          <cell r="C13" t="str">
            <v>Umsatz Ausgangsfrachtkosten IC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</row>
        <row r="14">
          <cell r="B14">
            <v>11</v>
          </cell>
          <cell r="C14" t="str">
            <v>Bestandsveränderung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324985.13</v>
          </cell>
          <cell r="U14">
            <v>463915.31</v>
          </cell>
          <cell r="V14">
            <v>254183.10000000003</v>
          </cell>
          <cell r="W14">
            <v>25982.440000000002</v>
          </cell>
          <cell r="X14">
            <v>65103.719999999994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1134169.7</v>
          </cell>
          <cell r="AH14">
            <v>1134169.7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1043083.54</v>
          </cell>
          <cell r="AV14">
            <v>1043083.54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1134169.7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1134169.7</v>
          </cell>
          <cell r="BI14">
            <v>0</v>
          </cell>
          <cell r="BJ14">
            <v>0</v>
          </cell>
          <cell r="BK14">
            <v>0</v>
          </cell>
          <cell r="BL14">
            <v>232615.37999999998</v>
          </cell>
          <cell r="BM14">
            <v>296825.44</v>
          </cell>
          <cell r="BN14">
            <v>189490.53999999998</v>
          </cell>
          <cell r="BO14">
            <v>180369.16</v>
          </cell>
          <cell r="BP14">
            <v>133648.82</v>
          </cell>
          <cell r="BQ14">
            <v>194061.52000000002</v>
          </cell>
          <cell r="BR14">
            <v>277483.04000000004</v>
          </cell>
          <cell r="BS14">
            <v>-48221.2</v>
          </cell>
          <cell r="BT14">
            <v>62287.589999999989</v>
          </cell>
          <cell r="BU14">
            <v>-30956.79</v>
          </cell>
          <cell r="BV14">
            <v>209251.22000000003</v>
          </cell>
          <cell r="BW14">
            <v>-439748.35999999993</v>
          </cell>
          <cell r="BX14">
            <v>0</v>
          </cell>
          <cell r="BY14">
            <v>1257106.3600000001</v>
          </cell>
          <cell r="BZ14">
            <v>1257106.3600000001</v>
          </cell>
          <cell r="CA14">
            <v>-439748.35999999993</v>
          </cell>
          <cell r="CB14">
            <v>0</v>
          </cell>
          <cell r="CC14">
            <v>60678.299999999981</v>
          </cell>
          <cell r="CD14">
            <v>357290.84999999992</v>
          </cell>
          <cell r="CE14">
            <v>-208139.06999999998</v>
          </cell>
          <cell r="CF14">
            <v>42354.219999999994</v>
          </cell>
          <cell r="CG14">
            <v>-103416.89000000001</v>
          </cell>
          <cell r="CH14">
            <v>-69812.939999999988</v>
          </cell>
          <cell r="CI14">
            <v>64476.62999999999</v>
          </cell>
          <cell r="CJ14">
            <v>13345.319999999996</v>
          </cell>
          <cell r="CK14">
            <v>-79164.89</v>
          </cell>
          <cell r="CL14">
            <v>-85878.239999999991</v>
          </cell>
          <cell r="CM14">
            <v>194798.66000000003</v>
          </cell>
          <cell r="CN14">
            <v>-111300.90999999999</v>
          </cell>
          <cell r="CO14">
            <v>0</v>
          </cell>
          <cell r="CP14">
            <v>75231.039999999979</v>
          </cell>
          <cell r="CQ14">
            <v>75231.039999999979</v>
          </cell>
          <cell r="CR14">
            <v>0</v>
          </cell>
          <cell r="CS14">
            <v>293338.35000000003</v>
          </cell>
          <cell r="CT14">
            <v>239310.72999999995</v>
          </cell>
          <cell r="CU14">
            <v>205496.14999999997</v>
          </cell>
          <cell r="CV14">
            <v>12124.900000000001</v>
          </cell>
          <cell r="CW14">
            <v>-320518.05</v>
          </cell>
          <cell r="CX14">
            <v>86361.56</v>
          </cell>
          <cell r="CY14">
            <v>168916.60000000003</v>
          </cell>
          <cell r="CZ14">
            <v>-79317.979999999981</v>
          </cell>
          <cell r="DA14">
            <v>-197494.14</v>
          </cell>
          <cell r="DB14">
            <v>-172051.3</v>
          </cell>
          <cell r="DC14">
            <v>-123129.26999999997</v>
          </cell>
          <cell r="DD14">
            <v>-32442.400000000009</v>
          </cell>
          <cell r="DE14">
            <v>0</v>
          </cell>
          <cell r="DF14">
            <v>80595.149999999907</v>
          </cell>
          <cell r="DG14">
            <v>80595.149999999907</v>
          </cell>
        </row>
        <row r="15">
          <cell r="B15">
            <v>12</v>
          </cell>
          <cell r="C15" t="str">
            <v>aktivierte Eigenleistungen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-36626.58</v>
          </cell>
          <cell r="U15">
            <v>-73093.240000000005</v>
          </cell>
          <cell r="V15">
            <v>-104604.74</v>
          </cell>
          <cell r="W15">
            <v>-72228.73</v>
          </cell>
          <cell r="X15">
            <v>-62369.73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-348923.01999999996</v>
          </cell>
          <cell r="AH15">
            <v>-348923.01999999996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-214324.56</v>
          </cell>
          <cell r="AV15">
            <v>-214324.56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-348923.01999999996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-348923.01999999996</v>
          </cell>
          <cell r="BI15">
            <v>0</v>
          </cell>
          <cell r="BJ15">
            <v>0</v>
          </cell>
          <cell r="BK15">
            <v>0</v>
          </cell>
          <cell r="BL15">
            <v>-97950.73</v>
          </cell>
          <cell r="BM15">
            <v>-112056.02</v>
          </cell>
          <cell r="BN15">
            <v>-185991.46</v>
          </cell>
          <cell r="BO15">
            <v>-121309.47</v>
          </cell>
          <cell r="BP15">
            <v>-135967.13</v>
          </cell>
          <cell r="BQ15">
            <v>-135359.75</v>
          </cell>
          <cell r="BR15">
            <v>-125397.94</v>
          </cell>
          <cell r="BS15">
            <v>-178585.88</v>
          </cell>
          <cell r="BT15">
            <v>-147461.15</v>
          </cell>
          <cell r="BU15">
            <v>-144413.6</v>
          </cell>
          <cell r="BV15">
            <v>-72409.55</v>
          </cell>
          <cell r="BW15">
            <v>-43782.559999999998</v>
          </cell>
          <cell r="BX15">
            <v>0</v>
          </cell>
          <cell r="BY15">
            <v>-1500685.24</v>
          </cell>
          <cell r="BZ15">
            <v>-1500685.24</v>
          </cell>
          <cell r="CA15">
            <v>-43782.559999999998</v>
          </cell>
          <cell r="CB15">
            <v>0</v>
          </cell>
          <cell r="CC15">
            <v>-87718.99</v>
          </cell>
          <cell r="CD15">
            <v>-74820.73</v>
          </cell>
          <cell r="CE15">
            <v>-134588.29</v>
          </cell>
          <cell r="CF15">
            <v>-56573.75</v>
          </cell>
          <cell r="CG15">
            <v>-86025.17</v>
          </cell>
          <cell r="CH15">
            <v>-73386.080000000002</v>
          </cell>
          <cell r="CI15">
            <v>-73117.399999999994</v>
          </cell>
          <cell r="CJ15">
            <v>-121888.93</v>
          </cell>
          <cell r="CK15">
            <v>-100382.11</v>
          </cell>
          <cell r="CL15">
            <v>-85232.88</v>
          </cell>
          <cell r="CM15">
            <v>-104936.43</v>
          </cell>
          <cell r="CN15">
            <v>-108501.23</v>
          </cell>
          <cell r="CO15">
            <v>0</v>
          </cell>
          <cell r="CP15">
            <v>-1107171.99</v>
          </cell>
          <cell r="CQ15">
            <v>-1107171.99</v>
          </cell>
          <cell r="CR15">
            <v>0</v>
          </cell>
          <cell r="CS15">
            <v>-73405.070000000007</v>
          </cell>
          <cell r="CT15">
            <v>-78890.039999999994</v>
          </cell>
          <cell r="CU15">
            <v>-105384.48</v>
          </cell>
          <cell r="CV15">
            <v>-109664.36</v>
          </cell>
          <cell r="CW15">
            <v>-173919.22</v>
          </cell>
          <cell r="CX15">
            <v>-232028.95</v>
          </cell>
          <cell r="CY15">
            <v>-105645.75</v>
          </cell>
          <cell r="CZ15">
            <v>-68458.39</v>
          </cell>
          <cell r="DA15">
            <v>-42861.39</v>
          </cell>
          <cell r="DB15">
            <v>-41429.089999999997</v>
          </cell>
          <cell r="DC15">
            <v>-70830.960000000006</v>
          </cell>
          <cell r="DD15">
            <v>-139464.09</v>
          </cell>
          <cell r="DE15">
            <v>0</v>
          </cell>
          <cell r="DF15">
            <v>-1241981.79</v>
          </cell>
          <cell r="DG15">
            <v>-1241981.79</v>
          </cell>
        </row>
        <row r="16">
          <cell r="B16">
            <v>13</v>
          </cell>
          <cell r="C16" t="str">
            <v>Personalaufwand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2163432.4000000004</v>
          </cell>
          <cell r="U16">
            <v>2588509.63</v>
          </cell>
          <cell r="V16">
            <v>2396283.5499999998</v>
          </cell>
          <cell r="W16">
            <v>2424369.0500000003</v>
          </cell>
          <cell r="X16">
            <v>2456775.71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12029370.339999996</v>
          </cell>
          <cell r="AH16">
            <v>12029370.339999996</v>
          </cell>
          <cell r="AI16">
            <v>0</v>
          </cell>
          <cell r="AK16">
            <v>25312.55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7148225.5800000001</v>
          </cell>
          <cell r="AV16">
            <v>7148225.5800000001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12029370.339999996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12029370.339999996</v>
          </cell>
          <cell r="BI16">
            <v>0</v>
          </cell>
          <cell r="BJ16">
            <v>0</v>
          </cell>
          <cell r="BK16">
            <v>0</v>
          </cell>
          <cell r="BL16">
            <v>2179909.4699999997</v>
          </cell>
          <cell r="BM16">
            <v>2302777.98</v>
          </cell>
          <cell r="BN16">
            <v>2390796.12</v>
          </cell>
          <cell r="BO16">
            <v>2531289.71</v>
          </cell>
          <cell r="BP16">
            <v>2470515.8700000006</v>
          </cell>
          <cell r="BQ16">
            <v>2473530.52</v>
          </cell>
          <cell r="BR16">
            <v>2495956.5900000003</v>
          </cell>
          <cell r="BS16">
            <v>2065786.83</v>
          </cell>
          <cell r="BT16">
            <v>2080187.1099999999</v>
          </cell>
          <cell r="BU16">
            <v>2216296.5799999996</v>
          </cell>
          <cell r="BV16">
            <v>2236430.2999999998</v>
          </cell>
          <cell r="BW16">
            <v>1606634.1799999997</v>
          </cell>
          <cell r="BX16">
            <v>0</v>
          </cell>
          <cell r="BY16">
            <v>27050111.260000009</v>
          </cell>
          <cell r="BZ16">
            <v>27050111.260000009</v>
          </cell>
          <cell r="CA16">
            <v>1606634.1799999997</v>
          </cell>
          <cell r="CB16">
            <v>0</v>
          </cell>
          <cell r="CC16">
            <v>2061964.2100000002</v>
          </cell>
          <cell r="CD16">
            <v>2380766.4900000007</v>
          </cell>
          <cell r="CE16">
            <v>2180349.29</v>
          </cell>
          <cell r="CF16">
            <v>1837282.8000000003</v>
          </cell>
          <cell r="CG16">
            <v>2312620.13</v>
          </cell>
          <cell r="CH16">
            <v>2409173.85</v>
          </cell>
          <cell r="CI16">
            <v>2439581.3800000004</v>
          </cell>
          <cell r="CJ16">
            <v>2199602.7000000002</v>
          </cell>
          <cell r="CK16">
            <v>2215675.08</v>
          </cell>
          <cell r="CL16">
            <v>2580314.0999999996</v>
          </cell>
          <cell r="CM16">
            <v>2295952.3000000003</v>
          </cell>
          <cell r="CN16">
            <v>1757681.1700000004</v>
          </cell>
          <cell r="CO16">
            <v>0</v>
          </cell>
          <cell r="CP16">
            <v>26670963.5</v>
          </cell>
          <cell r="CQ16">
            <v>26670963.5</v>
          </cell>
          <cell r="CR16">
            <v>0</v>
          </cell>
          <cell r="CS16">
            <v>1751730.11</v>
          </cell>
          <cell r="CT16">
            <v>2099741.4399999995</v>
          </cell>
          <cell r="CU16">
            <v>2063948.58</v>
          </cell>
          <cell r="CV16">
            <v>2001842.4199999997</v>
          </cell>
          <cell r="CW16">
            <v>2081221.8699999992</v>
          </cell>
          <cell r="CX16">
            <v>2505150.58</v>
          </cell>
          <cell r="CY16">
            <v>2025481.3699999999</v>
          </cell>
          <cell r="CZ16">
            <v>1838648.47</v>
          </cell>
          <cell r="DA16">
            <v>2340541.2800000003</v>
          </cell>
          <cell r="DB16">
            <v>1777851.2999999996</v>
          </cell>
          <cell r="DC16">
            <v>2752328</v>
          </cell>
          <cell r="DD16">
            <v>2136234.25</v>
          </cell>
          <cell r="DE16">
            <v>0</v>
          </cell>
          <cell r="DF16">
            <v>25374719.669999998</v>
          </cell>
          <cell r="DG16">
            <v>25374719.669999998</v>
          </cell>
        </row>
        <row r="17">
          <cell r="B17">
            <v>14</v>
          </cell>
          <cell r="C17" t="str">
            <v>Personalaufwand Kraslice (GuV Material)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245654.89</v>
          </cell>
          <cell r="U17">
            <v>218613.04</v>
          </cell>
          <cell r="V17">
            <v>291236.09999999998</v>
          </cell>
          <cell r="W17">
            <v>283625.18</v>
          </cell>
          <cell r="X17">
            <v>281657.57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1320786.78</v>
          </cell>
          <cell r="AH17">
            <v>1320786.78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755504.02999999991</v>
          </cell>
          <cell r="AV17">
            <v>755504.02999999991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1320786.78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1320786.78</v>
          </cell>
          <cell r="BI17">
            <v>0</v>
          </cell>
          <cell r="BJ17">
            <v>0</v>
          </cell>
          <cell r="BK17">
            <v>0</v>
          </cell>
          <cell r="BL17">
            <v>213655.17</v>
          </cell>
          <cell r="BM17">
            <v>201967.88</v>
          </cell>
          <cell r="BN17">
            <v>224558.81000000003</v>
          </cell>
          <cell r="BO17">
            <v>197053.92</v>
          </cell>
          <cell r="BP17">
            <v>307647.03999999998</v>
          </cell>
          <cell r="BQ17">
            <v>290085.51999999996</v>
          </cell>
          <cell r="BR17">
            <v>232621.62</v>
          </cell>
          <cell r="BS17">
            <v>323847.81000000006</v>
          </cell>
          <cell r="BT17">
            <v>256794.18000000002</v>
          </cell>
          <cell r="BU17">
            <v>262691.19999999995</v>
          </cell>
          <cell r="BV17">
            <v>298216.54000000004</v>
          </cell>
          <cell r="BW17">
            <v>118428.24000000002</v>
          </cell>
          <cell r="BX17">
            <v>0</v>
          </cell>
          <cell r="BY17">
            <v>2927567.93</v>
          </cell>
          <cell r="BZ17">
            <v>2927567.93</v>
          </cell>
          <cell r="CA17">
            <v>118428.24000000002</v>
          </cell>
          <cell r="CB17">
            <v>0</v>
          </cell>
          <cell r="CC17">
            <v>148742.93</v>
          </cell>
          <cell r="CD17">
            <v>262397.88</v>
          </cell>
          <cell r="CE17">
            <v>139810.34</v>
          </cell>
          <cell r="CF17">
            <v>110693.01000000001</v>
          </cell>
          <cell r="CG17">
            <v>140083.83000000002</v>
          </cell>
          <cell r="CH17">
            <v>198487.43</v>
          </cell>
          <cell r="CI17">
            <v>248179.68999999997</v>
          </cell>
          <cell r="CJ17">
            <v>246578.68</v>
          </cell>
          <cell r="CK17">
            <v>184940.90000000002</v>
          </cell>
          <cell r="CL17">
            <v>196534.82</v>
          </cell>
          <cell r="CM17">
            <v>255605.05000000002</v>
          </cell>
          <cell r="CN17">
            <v>203171.09999999998</v>
          </cell>
          <cell r="CO17">
            <v>0</v>
          </cell>
          <cell r="CP17">
            <v>2335225.66</v>
          </cell>
          <cell r="CQ17">
            <v>2335225.66</v>
          </cell>
          <cell r="CR17">
            <v>0</v>
          </cell>
          <cell r="CS17">
            <v>157145.95000000001</v>
          </cell>
          <cell r="CT17">
            <v>233734.05000000002</v>
          </cell>
          <cell r="CU17">
            <v>135536.15</v>
          </cell>
          <cell r="CV17">
            <v>189661.98</v>
          </cell>
          <cell r="CW17">
            <v>195379.36</v>
          </cell>
          <cell r="CX17">
            <v>191156.41</v>
          </cell>
          <cell r="CY17">
            <v>129575.54000000001</v>
          </cell>
          <cell r="CZ17">
            <v>229474.17</v>
          </cell>
          <cell r="DA17">
            <v>197924.33999999997</v>
          </cell>
          <cell r="DB17">
            <v>183638.45</v>
          </cell>
          <cell r="DC17">
            <v>181636.05</v>
          </cell>
          <cell r="DD17">
            <v>158061.85</v>
          </cell>
          <cell r="DE17">
            <v>0</v>
          </cell>
          <cell r="DF17">
            <v>2182924.3000000003</v>
          </cell>
          <cell r="DG17">
            <v>2182924.3000000003</v>
          </cell>
        </row>
        <row r="18">
          <cell r="B18">
            <v>15</v>
          </cell>
          <cell r="C18" t="str">
            <v>Personalaufwand zentrale Kontierungen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32724</v>
          </cell>
          <cell r="U18">
            <v>33305.619999999995</v>
          </cell>
          <cell r="V18">
            <v>33612.500000000007</v>
          </cell>
          <cell r="W18">
            <v>32723.42</v>
          </cell>
          <cell r="X18">
            <v>45334.899999999987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177700.44000000003</v>
          </cell>
          <cell r="AH18">
            <v>177700.44000000003</v>
          </cell>
          <cell r="AI18">
            <v>0</v>
          </cell>
          <cell r="AK18">
            <v>3495.42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99642.12</v>
          </cell>
          <cell r="AV18">
            <v>99642.12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177700.44000000003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177700.44000000003</v>
          </cell>
          <cell r="BI18">
            <v>0</v>
          </cell>
          <cell r="BJ18">
            <v>0</v>
          </cell>
          <cell r="BK18">
            <v>0</v>
          </cell>
          <cell r="BL18">
            <v>23588.02</v>
          </cell>
          <cell r="BM18">
            <v>24889.980000000003</v>
          </cell>
          <cell r="BN18">
            <v>22805.17</v>
          </cell>
          <cell r="BO18">
            <v>21272.160000000003</v>
          </cell>
          <cell r="BP18">
            <v>33013.919999999998</v>
          </cell>
          <cell r="BQ18">
            <v>22165.950000000004</v>
          </cell>
          <cell r="BR18">
            <v>22294.02</v>
          </cell>
          <cell r="BS18">
            <v>21103.269999999993</v>
          </cell>
          <cell r="BT18">
            <v>67081.049999999988</v>
          </cell>
          <cell r="BU18">
            <v>68098.720000000001</v>
          </cell>
          <cell r="BV18">
            <v>68613.09</v>
          </cell>
          <cell r="BW18">
            <v>236453.91000000003</v>
          </cell>
          <cell r="BX18">
            <v>0</v>
          </cell>
          <cell r="BY18">
            <v>631379.25999999989</v>
          </cell>
          <cell r="BZ18">
            <v>631379.25999999989</v>
          </cell>
          <cell r="CA18">
            <v>236453.91000000003</v>
          </cell>
          <cell r="CB18">
            <v>0</v>
          </cell>
          <cell r="CC18">
            <v>29226.73</v>
          </cell>
          <cell r="CD18">
            <v>-321623.98000000004</v>
          </cell>
          <cell r="CE18">
            <v>30851.450000000004</v>
          </cell>
          <cell r="CF18">
            <v>406981.35</v>
          </cell>
          <cell r="CG18">
            <v>31084.9</v>
          </cell>
          <cell r="CH18">
            <v>31028.550000000003</v>
          </cell>
          <cell r="CI18">
            <v>30586.739999999998</v>
          </cell>
          <cell r="CJ18">
            <v>30689.940000000002</v>
          </cell>
          <cell r="CK18">
            <v>7638.6899999999987</v>
          </cell>
          <cell r="CL18">
            <v>30089.13</v>
          </cell>
          <cell r="CM18">
            <v>40052.729999999996</v>
          </cell>
          <cell r="CN18">
            <v>-49186.81</v>
          </cell>
          <cell r="CO18">
            <v>0</v>
          </cell>
          <cell r="CP18">
            <v>297419.41999999993</v>
          </cell>
          <cell r="CQ18">
            <v>297419.41999999993</v>
          </cell>
          <cell r="CR18">
            <v>0</v>
          </cell>
          <cell r="CS18">
            <v>248223.83000000002</v>
          </cell>
          <cell r="CT18">
            <v>-13414.820000000002</v>
          </cell>
          <cell r="CU18">
            <v>55408.06</v>
          </cell>
          <cell r="CV18">
            <v>192181.79</v>
          </cell>
          <cell r="CW18">
            <v>211632.71000000002</v>
          </cell>
          <cell r="CX18">
            <v>-152319.69999999998</v>
          </cell>
          <cell r="CY18">
            <v>220741.60999999996</v>
          </cell>
          <cell r="CZ18">
            <v>213869.56</v>
          </cell>
          <cell r="DA18">
            <v>-158025</v>
          </cell>
          <cell r="DB18">
            <v>224462.93</v>
          </cell>
          <cell r="DC18">
            <v>-470766.96000000008</v>
          </cell>
          <cell r="DD18">
            <v>-567489.73999999987</v>
          </cell>
          <cell r="DE18">
            <v>0</v>
          </cell>
          <cell r="DF18">
            <v>4504.2700000000332</v>
          </cell>
          <cell r="DG18">
            <v>4504.2700000000332</v>
          </cell>
        </row>
        <row r="19">
          <cell r="B19">
            <v>16</v>
          </cell>
          <cell r="C19" t="str">
            <v>Primärkosten (ohne Personalk.)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436674.78999999992</v>
          </cell>
          <cell r="U19">
            <v>396535.83999999997</v>
          </cell>
          <cell r="V19">
            <v>494560.38</v>
          </cell>
          <cell r="W19">
            <v>488323.01999999984</v>
          </cell>
          <cell r="X19">
            <v>553866.5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2369960.5300000003</v>
          </cell>
          <cell r="AH19">
            <v>2369960.5300000003</v>
          </cell>
          <cell r="AI19">
            <v>0</v>
          </cell>
          <cell r="AK19">
            <v>1441.95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1327771.01</v>
          </cell>
          <cell r="AV19">
            <v>1327771.01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2369960.5300000003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2369960.5300000003</v>
          </cell>
          <cell r="BI19">
            <v>0</v>
          </cell>
          <cell r="BJ19">
            <v>0</v>
          </cell>
          <cell r="BK19">
            <v>0</v>
          </cell>
          <cell r="BL19">
            <v>354755.91999999993</v>
          </cell>
          <cell r="BM19">
            <v>412852.45</v>
          </cell>
          <cell r="BN19">
            <v>451723.92000000004</v>
          </cell>
          <cell r="BO19">
            <v>393382.33999999991</v>
          </cell>
          <cell r="BP19">
            <v>400255.7</v>
          </cell>
          <cell r="BQ19">
            <v>622291.67000000004</v>
          </cell>
          <cell r="BR19">
            <v>486478.17</v>
          </cell>
          <cell r="BS19">
            <v>490053.19000000006</v>
          </cell>
          <cell r="BT19">
            <v>442943.68999999994</v>
          </cell>
          <cell r="BU19">
            <v>421439.51999999996</v>
          </cell>
          <cell r="BV19">
            <v>436844.00000000006</v>
          </cell>
          <cell r="BW19">
            <v>489959.11</v>
          </cell>
          <cell r="BX19">
            <v>0</v>
          </cell>
          <cell r="BY19">
            <v>5402979.6800000016</v>
          </cell>
          <cell r="BZ19">
            <v>5402979.6800000016</v>
          </cell>
          <cell r="CA19">
            <v>489959.11</v>
          </cell>
          <cell r="CB19">
            <v>0</v>
          </cell>
          <cell r="CC19">
            <v>328895.78000000003</v>
          </cell>
          <cell r="CD19">
            <v>397008.33</v>
          </cell>
          <cell r="CE19">
            <v>404460.73999999993</v>
          </cell>
          <cell r="CF19">
            <v>409066.14</v>
          </cell>
          <cell r="CG19">
            <v>365911.79</v>
          </cell>
          <cell r="CH19">
            <v>365421.65000000008</v>
          </cell>
          <cell r="CI19">
            <v>400863.22</v>
          </cell>
          <cell r="CJ19">
            <v>386879.75999999995</v>
          </cell>
          <cell r="CK19">
            <v>400346.06999999995</v>
          </cell>
          <cell r="CL19">
            <v>360960.98000000004</v>
          </cell>
          <cell r="CM19">
            <v>378083.35000000003</v>
          </cell>
          <cell r="CN19">
            <v>447119.93</v>
          </cell>
          <cell r="CO19">
            <v>0</v>
          </cell>
          <cell r="CP19">
            <v>4645017.74</v>
          </cell>
          <cell r="CQ19">
            <v>4645017.74</v>
          </cell>
          <cell r="CR19">
            <v>0</v>
          </cell>
          <cell r="CS19">
            <v>379668.75000000006</v>
          </cell>
          <cell r="CT19">
            <v>375250.48000000004</v>
          </cell>
          <cell r="CU19">
            <v>426335.6</v>
          </cell>
          <cell r="CV19">
            <v>381360.32999999996</v>
          </cell>
          <cell r="CW19">
            <v>370521.08</v>
          </cell>
          <cell r="CX19">
            <v>349778.32</v>
          </cell>
          <cell r="CY19">
            <v>449731.49000000011</v>
          </cell>
          <cell r="CZ19">
            <v>368308.07999999996</v>
          </cell>
          <cell r="DA19">
            <v>397014.35000000003</v>
          </cell>
          <cell r="DB19">
            <v>396175.23999999993</v>
          </cell>
          <cell r="DC19">
            <v>386985.66000000003</v>
          </cell>
          <cell r="DD19">
            <v>393068.4</v>
          </cell>
          <cell r="DE19">
            <v>0</v>
          </cell>
          <cell r="DF19">
            <v>4674197.78</v>
          </cell>
          <cell r="DG19">
            <v>4674197.78</v>
          </cell>
        </row>
        <row r="20">
          <cell r="B20">
            <v>17</v>
          </cell>
          <cell r="C20" t="str">
            <v>Sekundärkosten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-13142.689999999993</v>
          </cell>
          <cell r="U20">
            <v>-42465.949999999983</v>
          </cell>
          <cell r="V20">
            <v>-57456.710000000014</v>
          </cell>
          <cell r="W20">
            <v>-49311.55</v>
          </cell>
          <cell r="X20">
            <v>-68929.52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-231306.42000000004</v>
          </cell>
          <cell r="AH20">
            <v>-231306.42000000004</v>
          </cell>
          <cell r="AI20">
            <v>0</v>
          </cell>
          <cell r="AK20">
            <v>8991.85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-113065.35000000003</v>
          </cell>
          <cell r="AV20">
            <v>-113065.35000000003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-231306.42000000004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-231306.42000000004</v>
          </cell>
          <cell r="BI20">
            <v>0</v>
          </cell>
          <cell r="BJ20">
            <v>0</v>
          </cell>
          <cell r="BK20">
            <v>0</v>
          </cell>
          <cell r="BL20">
            <v>-53709.99</v>
          </cell>
          <cell r="BM20">
            <v>-37013.65</v>
          </cell>
          <cell r="BN20">
            <v>-102337.63999999998</v>
          </cell>
          <cell r="BO20">
            <v>-56375.25</v>
          </cell>
          <cell r="BP20">
            <v>-32300.35999999999</v>
          </cell>
          <cell r="BQ20">
            <v>-51912.83</v>
          </cell>
          <cell r="BR20">
            <v>-37007.219999999994</v>
          </cell>
          <cell r="BS20">
            <v>-45519.61</v>
          </cell>
          <cell r="BT20">
            <v>-28558.679999999989</v>
          </cell>
          <cell r="BU20">
            <v>-39148.320000000022</v>
          </cell>
          <cell r="BV20">
            <v>-37854.810000000019</v>
          </cell>
          <cell r="BW20">
            <v>-23289.369999999995</v>
          </cell>
          <cell r="BX20">
            <v>0</v>
          </cell>
          <cell r="BY20">
            <v>-545027.73</v>
          </cell>
          <cell r="BZ20">
            <v>-545027.73</v>
          </cell>
          <cell r="CA20">
            <v>-23289.369999999995</v>
          </cell>
          <cell r="CB20">
            <v>0</v>
          </cell>
          <cell r="CC20">
            <v>-84924.99</v>
          </cell>
          <cell r="CD20">
            <v>-25166.049999999996</v>
          </cell>
          <cell r="CE20">
            <v>-83539.460000000006</v>
          </cell>
          <cell r="CF20">
            <v>-60469.039999999994</v>
          </cell>
          <cell r="CG20">
            <v>-59285.430000000015</v>
          </cell>
          <cell r="CH20">
            <v>-55587.659999999996</v>
          </cell>
          <cell r="CI20">
            <v>-73702.080000000002</v>
          </cell>
          <cell r="CJ20">
            <v>-68815.27</v>
          </cell>
          <cell r="CK20">
            <v>-52169.930000000008</v>
          </cell>
          <cell r="CL20">
            <v>-53534.880000000005</v>
          </cell>
          <cell r="CM20">
            <v>-46311.700000000004</v>
          </cell>
          <cell r="CN20">
            <v>-87459.61</v>
          </cell>
          <cell r="CO20">
            <v>0</v>
          </cell>
          <cell r="CP20">
            <v>-750966.10000000021</v>
          </cell>
          <cell r="CQ20">
            <v>-750966.10000000021</v>
          </cell>
          <cell r="CR20">
            <v>0</v>
          </cell>
          <cell r="CS20">
            <v>-74380.37000000001</v>
          </cell>
          <cell r="CT20">
            <v>-39690.310000000019</v>
          </cell>
          <cell r="CU20">
            <v>-68416.809999999969</v>
          </cell>
          <cell r="CV20">
            <v>-47246.740000000005</v>
          </cell>
          <cell r="CW20">
            <v>-50100.250000000007</v>
          </cell>
          <cell r="CX20">
            <v>-37355.18</v>
          </cell>
          <cell r="CY20">
            <v>-66166.73</v>
          </cell>
          <cell r="CZ20">
            <v>-75250.44</v>
          </cell>
          <cell r="DA20">
            <v>-63811.930000000008</v>
          </cell>
          <cell r="DB20">
            <v>-62507.360000000001</v>
          </cell>
          <cell r="DC20">
            <v>-76489.609999999986</v>
          </cell>
          <cell r="DD20">
            <v>-49820.619999999995</v>
          </cell>
          <cell r="DE20">
            <v>0</v>
          </cell>
          <cell r="DF20">
            <v>-711236.34999999986</v>
          </cell>
          <cell r="DG20">
            <v>-711236.34999999986</v>
          </cell>
        </row>
        <row r="21">
          <cell r="B21">
            <v>18</v>
          </cell>
          <cell r="C21" t="str">
            <v>sonstige Kosten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-21782.199999999997</v>
          </cell>
          <cell r="U21">
            <v>839.62999999999965</v>
          </cell>
          <cell r="V21">
            <v>218.53000000000009</v>
          </cell>
          <cell r="W21">
            <v>-5808.3100000000013</v>
          </cell>
          <cell r="X21">
            <v>-7016.4999999999991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-33548.850000000006</v>
          </cell>
          <cell r="AH21">
            <v>-33548.850000000006</v>
          </cell>
          <cell r="AI21">
            <v>0</v>
          </cell>
          <cell r="AK21">
            <v>-1.37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-20724.039999999997</v>
          </cell>
          <cell r="AV21">
            <v>-20724.039999999997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-33548.850000000006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-33548.850000000006</v>
          </cell>
          <cell r="BI21">
            <v>0</v>
          </cell>
          <cell r="BJ21">
            <v>0</v>
          </cell>
          <cell r="BK21">
            <v>0</v>
          </cell>
          <cell r="BL21">
            <v>-1239.9599999999998</v>
          </cell>
          <cell r="BM21">
            <v>-5776.73</v>
          </cell>
          <cell r="BN21">
            <v>537.50000000000011</v>
          </cell>
          <cell r="BO21">
            <v>15889.050000000003</v>
          </cell>
          <cell r="BP21">
            <v>11355.93</v>
          </cell>
          <cell r="BQ21">
            <v>487.94999999999993</v>
          </cell>
          <cell r="BR21">
            <v>-19594.750000000004</v>
          </cell>
          <cell r="BS21">
            <v>-3470.6899999999996</v>
          </cell>
          <cell r="BT21">
            <v>-1584.3199999999993</v>
          </cell>
          <cell r="BU21">
            <v>1616.3900000000003</v>
          </cell>
          <cell r="BV21">
            <v>-2351.4399999999996</v>
          </cell>
          <cell r="BW21">
            <v>-2892.2399999999989</v>
          </cell>
          <cell r="BX21">
            <v>0</v>
          </cell>
          <cell r="BY21">
            <v>-7023.3100000000068</v>
          </cell>
          <cell r="BZ21">
            <v>-7023.3100000000068</v>
          </cell>
          <cell r="CA21">
            <v>-2892.2399999999989</v>
          </cell>
          <cell r="CB21">
            <v>0</v>
          </cell>
          <cell r="CC21">
            <v>-901.71</v>
          </cell>
          <cell r="CD21">
            <v>-918.61000000000013</v>
          </cell>
          <cell r="CE21">
            <v>-1049.02</v>
          </cell>
          <cell r="CF21">
            <v>-20212.78</v>
          </cell>
          <cell r="CG21">
            <v>-11730.57</v>
          </cell>
          <cell r="CH21">
            <v>-4099.3099999999995</v>
          </cell>
          <cell r="CI21">
            <v>-2454.35</v>
          </cell>
          <cell r="CJ21">
            <v>-1750.26</v>
          </cell>
          <cell r="CK21">
            <v>-1827.23</v>
          </cell>
          <cell r="CL21">
            <v>-1942.4699999999998</v>
          </cell>
          <cell r="CM21">
            <v>-1469.9</v>
          </cell>
          <cell r="CN21">
            <v>-886.56999999999994</v>
          </cell>
          <cell r="CO21">
            <v>0</v>
          </cell>
          <cell r="CP21">
            <v>-49242.78</v>
          </cell>
          <cell r="CQ21">
            <v>-49242.78</v>
          </cell>
          <cell r="CR21">
            <v>0</v>
          </cell>
          <cell r="CS21">
            <v>-930.86999999999989</v>
          </cell>
          <cell r="CT21">
            <v>-1158.0599999999997</v>
          </cell>
          <cell r="CU21">
            <v>-1188.23</v>
          </cell>
          <cell r="CV21">
            <v>-5973.0999999999995</v>
          </cell>
          <cell r="CW21">
            <v>-1365.27</v>
          </cell>
          <cell r="CX21">
            <v>-1357.0299999999997</v>
          </cell>
          <cell r="CY21">
            <v>276.60000000000002</v>
          </cell>
          <cell r="CZ21">
            <v>-1348.6099999999997</v>
          </cell>
          <cell r="DA21">
            <v>-1001.96</v>
          </cell>
          <cell r="DB21">
            <v>-870.13</v>
          </cell>
          <cell r="DC21">
            <v>-921.6099999999999</v>
          </cell>
          <cell r="DD21">
            <v>-1116.52</v>
          </cell>
          <cell r="DE21">
            <v>0</v>
          </cell>
          <cell r="DF21">
            <v>-16954.79</v>
          </cell>
          <cell r="DG21">
            <v>-16954.79</v>
          </cell>
        </row>
        <row r="22">
          <cell r="B22">
            <v>19</v>
          </cell>
          <cell r="C22" t="str">
            <v>Umlage/Verrechnung Hilfskostenstellen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-12232.94</v>
          </cell>
          <cell r="U22">
            <v>-14971.170000000004</v>
          </cell>
          <cell r="V22">
            <v>-13315.799999999997</v>
          </cell>
          <cell r="W22">
            <v>-13374.249999999998</v>
          </cell>
          <cell r="X22">
            <v>-12777.389999999998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-66671.549999999988</v>
          </cell>
          <cell r="AH22">
            <v>-66671.549999999988</v>
          </cell>
          <cell r="AI22">
            <v>0</v>
          </cell>
          <cell r="AK22">
            <v>1341.17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-40519.910000000003</v>
          </cell>
          <cell r="AV22">
            <v>-40519.910000000003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-66671.549999999988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-66671.549999999988</v>
          </cell>
          <cell r="BI22">
            <v>0</v>
          </cell>
          <cell r="BJ22">
            <v>0</v>
          </cell>
          <cell r="BK22">
            <v>0</v>
          </cell>
          <cell r="BL22">
            <v>-15826.460000000006</v>
          </cell>
          <cell r="BM22">
            <v>-16542.13</v>
          </cell>
          <cell r="BN22">
            <v>-15679.309999999998</v>
          </cell>
          <cell r="BO22">
            <v>-16426.82</v>
          </cell>
          <cell r="BP22">
            <v>-14876.66</v>
          </cell>
          <cell r="BQ22">
            <v>-14580.010000000002</v>
          </cell>
          <cell r="BR22">
            <v>-13489.86</v>
          </cell>
          <cell r="BS22">
            <v>-13311.060000000001</v>
          </cell>
          <cell r="BT22">
            <v>-11758.14</v>
          </cell>
          <cell r="BU22">
            <v>-14858.449999999999</v>
          </cell>
          <cell r="BV22">
            <v>-17311.23</v>
          </cell>
          <cell r="BW22">
            <v>-10798.929999999998</v>
          </cell>
          <cell r="BX22">
            <v>0</v>
          </cell>
          <cell r="BY22">
            <v>-175459.05999999994</v>
          </cell>
          <cell r="BZ22">
            <v>-175459.05999999994</v>
          </cell>
          <cell r="CA22">
            <v>-10798.929999999998</v>
          </cell>
          <cell r="CB22">
            <v>0</v>
          </cell>
          <cell r="CC22">
            <v>-8927.23</v>
          </cell>
          <cell r="CD22">
            <v>-14889.300000000003</v>
          </cell>
          <cell r="CE22">
            <v>-15975.79</v>
          </cell>
          <cell r="CF22">
            <v>-12266.34</v>
          </cell>
          <cell r="CG22">
            <v>-12549.430000000004</v>
          </cell>
          <cell r="CH22">
            <v>-13063.11</v>
          </cell>
          <cell r="CI22">
            <v>-12409.38</v>
          </cell>
          <cell r="CJ22">
            <v>-11284.7</v>
          </cell>
          <cell r="CK22">
            <v>-12453.939999999999</v>
          </cell>
          <cell r="CL22">
            <v>-15356.489999999998</v>
          </cell>
          <cell r="CM22">
            <v>-16832.699999999997</v>
          </cell>
          <cell r="CN22">
            <v>-13094.399999999998</v>
          </cell>
          <cell r="CO22">
            <v>0</v>
          </cell>
          <cell r="CP22">
            <v>-159102.81</v>
          </cell>
          <cell r="CQ22">
            <v>-159102.81</v>
          </cell>
          <cell r="CR22">
            <v>0</v>
          </cell>
          <cell r="CS22">
            <v>-12535.71</v>
          </cell>
          <cell r="CT22">
            <v>-12526.740000000002</v>
          </cell>
          <cell r="CU22">
            <v>-13868.970000000001</v>
          </cell>
          <cell r="CV22">
            <v>-11471.029999999999</v>
          </cell>
          <cell r="CW22">
            <v>-10699.420000000002</v>
          </cell>
          <cell r="CX22">
            <v>-14159.850000000002</v>
          </cell>
          <cell r="CY22">
            <v>-12299.180000000002</v>
          </cell>
          <cell r="CZ22">
            <v>-10277</v>
          </cell>
          <cell r="DA22">
            <v>-11447.850000000002</v>
          </cell>
          <cell r="DB22">
            <v>-10231.299999999999</v>
          </cell>
          <cell r="DC22">
            <v>-16303.810000000001</v>
          </cell>
          <cell r="DD22">
            <v>-9052.7799999999988</v>
          </cell>
          <cell r="DE22">
            <v>0</v>
          </cell>
          <cell r="DF22">
            <v>-144873.64000000001</v>
          </cell>
          <cell r="DG22">
            <v>-144873.64000000001</v>
          </cell>
        </row>
        <row r="23">
          <cell r="B23">
            <v>20</v>
          </cell>
          <cell r="C23" t="str">
            <v>Innenaufträge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5980.3000000000011</v>
          </cell>
          <cell r="U23">
            <v>7449.18</v>
          </cell>
          <cell r="V23">
            <v>19140.490000000002</v>
          </cell>
          <cell r="W23">
            <v>7971.01</v>
          </cell>
          <cell r="X23">
            <v>10749.61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51290.590000000011</v>
          </cell>
          <cell r="AH23">
            <v>51290.590000000011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32569.969999999998</v>
          </cell>
          <cell r="AV23">
            <v>32569.969999999998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51290.590000000011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51290.590000000011</v>
          </cell>
          <cell r="BI23">
            <v>0</v>
          </cell>
          <cell r="BJ23">
            <v>0</v>
          </cell>
          <cell r="BK23">
            <v>0</v>
          </cell>
          <cell r="BL23">
            <v>2462.13</v>
          </cell>
          <cell r="BM23">
            <v>12266.26</v>
          </cell>
          <cell r="BN23">
            <v>7321.09</v>
          </cell>
          <cell r="BO23">
            <v>8276.2199999999993</v>
          </cell>
          <cell r="BP23">
            <v>4778.6000000000004</v>
          </cell>
          <cell r="BQ23">
            <v>6193.3</v>
          </cell>
          <cell r="BR23">
            <v>9470.7000000000007</v>
          </cell>
          <cell r="BS23">
            <v>9259.69</v>
          </cell>
          <cell r="BT23">
            <v>8460.7099999999973</v>
          </cell>
          <cell r="BU23">
            <v>9617.2899999999991</v>
          </cell>
          <cell r="BV23">
            <v>6564.38</v>
          </cell>
          <cell r="BW23">
            <v>9607.73</v>
          </cell>
          <cell r="BX23">
            <v>0</v>
          </cell>
          <cell r="BY23">
            <v>94278.099999999977</v>
          </cell>
          <cell r="BZ23">
            <v>94278.099999999977</v>
          </cell>
          <cell r="CA23">
            <v>9607.73</v>
          </cell>
          <cell r="CB23">
            <v>0</v>
          </cell>
          <cell r="CC23">
            <v>6521.9400000000005</v>
          </cell>
          <cell r="CD23">
            <v>11161.580000000002</v>
          </cell>
          <cell r="CE23">
            <v>5854.56</v>
          </cell>
          <cell r="CF23">
            <v>10131.650000000001</v>
          </cell>
          <cell r="CG23">
            <v>3257.13</v>
          </cell>
          <cell r="CH23">
            <v>7687.4999999999991</v>
          </cell>
          <cell r="CI23">
            <v>9448.6799999999985</v>
          </cell>
          <cell r="CJ23">
            <v>10054.990000000002</v>
          </cell>
          <cell r="CK23">
            <v>10972.26</v>
          </cell>
          <cell r="CL23">
            <v>10026.209999999999</v>
          </cell>
          <cell r="CM23">
            <v>10266.019999999999</v>
          </cell>
          <cell r="CN23">
            <v>5867.3499999999995</v>
          </cell>
          <cell r="CO23">
            <v>0</v>
          </cell>
          <cell r="CP23">
            <v>101249.87000000002</v>
          </cell>
          <cell r="CQ23">
            <v>101249.87000000002</v>
          </cell>
          <cell r="CR23">
            <v>0</v>
          </cell>
          <cell r="CS23">
            <v>9419.81</v>
          </cell>
          <cell r="CT23">
            <v>7229.46</v>
          </cell>
          <cell r="CU23">
            <v>9137.4399999999987</v>
          </cell>
          <cell r="CV23">
            <v>13217.210000000001</v>
          </cell>
          <cell r="CW23">
            <v>5602.78</v>
          </cell>
          <cell r="CX23">
            <v>5321.53</v>
          </cell>
          <cell r="CY23">
            <v>16384.509999999998</v>
          </cell>
          <cell r="CZ23">
            <v>7208.89</v>
          </cell>
          <cell r="DA23">
            <v>9558.43</v>
          </cell>
          <cell r="DB23">
            <v>9321.31</v>
          </cell>
          <cell r="DC23">
            <v>19228.409999999996</v>
          </cell>
          <cell r="DD23">
            <v>7623.46</v>
          </cell>
          <cell r="DE23">
            <v>0</v>
          </cell>
          <cell r="DF23">
            <v>119253.24</v>
          </cell>
          <cell r="DG23">
            <v>119253.24</v>
          </cell>
        </row>
        <row r="24">
          <cell r="B24">
            <v>21</v>
          </cell>
          <cell r="C24" t="str">
            <v>Materialeinsatz SQL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2575808.2000000002</v>
          </cell>
          <cell r="U24">
            <v>4191283.18</v>
          </cell>
          <cell r="V24">
            <v>4751075.2699999996</v>
          </cell>
          <cell r="W24">
            <v>3898410.1600000015</v>
          </cell>
          <cell r="X24">
            <v>5117402.3299999982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20533979.140000008</v>
          </cell>
          <cell r="AH24">
            <v>20533979.140000008</v>
          </cell>
          <cell r="AI24">
            <v>0</v>
          </cell>
          <cell r="AK24">
            <v>88746.45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11518166.650000004</v>
          </cell>
          <cell r="AV24">
            <v>11518166.650000004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20533979.140000008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20533979.140000008</v>
          </cell>
          <cell r="BI24">
            <v>0</v>
          </cell>
          <cell r="BJ24">
            <v>0</v>
          </cell>
          <cell r="BK24">
            <v>0</v>
          </cell>
          <cell r="BL24">
            <v>2306633.83</v>
          </cell>
          <cell r="BM24">
            <v>3087329.2999999993</v>
          </cell>
          <cell r="BN24">
            <v>4860787.97</v>
          </cell>
          <cell r="BO24">
            <v>4702117.13</v>
          </cell>
          <cell r="BP24">
            <v>4337420.8800000008</v>
          </cell>
          <cell r="BQ24">
            <v>4796282.5500000007</v>
          </cell>
          <cell r="BR24">
            <v>4761480.1199999992</v>
          </cell>
          <cell r="BS24">
            <v>4653196.6999999993</v>
          </cell>
          <cell r="BT24">
            <v>3637672.3099999996</v>
          </cell>
          <cell r="BU24">
            <v>3314872.0999999996</v>
          </cell>
          <cell r="BV24">
            <v>3647756.4700000011</v>
          </cell>
          <cell r="BW24">
            <v>2626237.9800000004</v>
          </cell>
          <cell r="BX24">
            <v>0</v>
          </cell>
          <cell r="BY24">
            <v>46731787.340000004</v>
          </cell>
          <cell r="BZ24">
            <v>46731787.340000004</v>
          </cell>
          <cell r="CA24">
            <v>2626237.9800000004</v>
          </cell>
          <cell r="CB24">
            <v>0</v>
          </cell>
          <cell r="CC24">
            <v>2970411.0100000007</v>
          </cell>
          <cell r="CD24">
            <v>2943447.47</v>
          </cell>
          <cell r="CE24">
            <v>4220432.82</v>
          </cell>
          <cell r="CF24">
            <v>3643657.2399999998</v>
          </cell>
          <cell r="CG24">
            <v>3842649.8499999996</v>
          </cell>
          <cell r="CH24">
            <v>4297982.3400000008</v>
          </cell>
          <cell r="CI24">
            <v>4719705.03</v>
          </cell>
          <cell r="CJ24">
            <v>3963017.209999999</v>
          </cell>
          <cell r="CK24">
            <v>4250688.7499999991</v>
          </cell>
          <cell r="CL24">
            <v>4562536.76</v>
          </cell>
          <cell r="CM24">
            <v>3814059.46</v>
          </cell>
          <cell r="CN24">
            <v>3198452.09</v>
          </cell>
          <cell r="CO24">
            <v>0</v>
          </cell>
          <cell r="CP24">
            <v>46427040.030000001</v>
          </cell>
          <cell r="CQ24">
            <v>46427040.030000001</v>
          </cell>
          <cell r="CR24">
            <v>0</v>
          </cell>
          <cell r="CS24">
            <v>2693812.34</v>
          </cell>
          <cell r="CT24">
            <v>2789331.2100000004</v>
          </cell>
          <cell r="CU24">
            <v>3883288.6300000004</v>
          </cell>
          <cell r="CV24">
            <v>4145499.3699999996</v>
          </cell>
          <cell r="CW24">
            <v>4371346.17</v>
          </cell>
          <cell r="CX24">
            <v>3616296.7700000009</v>
          </cell>
          <cell r="CY24">
            <v>4457560.1199999992</v>
          </cell>
          <cell r="CZ24">
            <v>3873855.7000000007</v>
          </cell>
          <cell r="DA24">
            <v>3823551.2300000004</v>
          </cell>
          <cell r="DB24">
            <v>3428154.0899999994</v>
          </cell>
          <cell r="DC24">
            <v>3163429.7199999997</v>
          </cell>
          <cell r="DD24">
            <v>2095662.5399999996</v>
          </cell>
          <cell r="DE24">
            <v>0</v>
          </cell>
          <cell r="DF24">
            <v>42341787.889999986</v>
          </cell>
          <cell r="DG24">
            <v>42341787.889999986</v>
          </cell>
        </row>
        <row r="25">
          <cell r="B25">
            <v>22</v>
          </cell>
          <cell r="C25" t="str">
            <v>Materialeinsatz Lieferantenskonti / -Boni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-50471.109999999986</v>
          </cell>
          <cell r="U25">
            <v>-123173.83000000002</v>
          </cell>
          <cell r="V25">
            <v>-128865.55999999998</v>
          </cell>
          <cell r="W25">
            <v>-95258.33</v>
          </cell>
          <cell r="X25">
            <v>-116652.49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-514421.32000000007</v>
          </cell>
          <cell r="AH25">
            <v>-514421.32000000007</v>
          </cell>
          <cell r="AI25">
            <v>0</v>
          </cell>
          <cell r="AK25">
            <v>-2627.33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-302510.50000000006</v>
          </cell>
          <cell r="AV25">
            <v>-302510.50000000006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-514421.32000000007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-514421.32000000007</v>
          </cell>
          <cell r="BI25">
            <v>0</v>
          </cell>
          <cell r="BJ25">
            <v>0</v>
          </cell>
          <cell r="BK25">
            <v>0</v>
          </cell>
          <cell r="BL25">
            <v>-37911.119999999995</v>
          </cell>
          <cell r="BM25">
            <v>-84135.569999999963</v>
          </cell>
          <cell r="BN25">
            <v>-136425.84999999998</v>
          </cell>
          <cell r="BO25">
            <v>-121725.1</v>
          </cell>
          <cell r="BP25">
            <v>-109293.11000000002</v>
          </cell>
          <cell r="BQ25">
            <v>-124060.19999999998</v>
          </cell>
          <cell r="BR25">
            <v>-117555.37999999999</v>
          </cell>
          <cell r="BS25">
            <v>-107074.64000000001</v>
          </cell>
          <cell r="BT25">
            <v>-85740.449999999983</v>
          </cell>
          <cell r="BU25">
            <v>-75460.55</v>
          </cell>
          <cell r="BV25">
            <v>-92184.119999999981</v>
          </cell>
          <cell r="BW25">
            <v>-886439.14000000013</v>
          </cell>
          <cell r="BX25">
            <v>0</v>
          </cell>
          <cell r="BY25">
            <v>-1978005.2300000002</v>
          </cell>
          <cell r="BZ25">
            <v>-1978005.2300000002</v>
          </cell>
          <cell r="CA25">
            <v>-886439.14000000013</v>
          </cell>
          <cell r="CB25">
            <v>0</v>
          </cell>
          <cell r="CC25">
            <v>-54045.979999999989</v>
          </cell>
          <cell r="CD25">
            <v>-69349.91</v>
          </cell>
          <cell r="CE25">
            <v>-119350.07</v>
          </cell>
          <cell r="CF25">
            <v>-101283.62</v>
          </cell>
          <cell r="CG25">
            <v>-116085.9</v>
          </cell>
          <cell r="CH25">
            <v>-108221.46</v>
          </cell>
          <cell r="CI25">
            <v>-117754.63999999997</v>
          </cell>
          <cell r="CJ25">
            <v>-99157.869999999981</v>
          </cell>
          <cell r="CK25">
            <v>-105780.92</v>
          </cell>
          <cell r="CL25">
            <v>-95279.589999999967</v>
          </cell>
          <cell r="CM25">
            <v>-97922.030000000028</v>
          </cell>
          <cell r="CN25">
            <v>-751801.15999999992</v>
          </cell>
          <cell r="CO25">
            <v>0</v>
          </cell>
          <cell r="CP25">
            <v>-1836033.15</v>
          </cell>
          <cell r="CQ25">
            <v>-1836033.15</v>
          </cell>
          <cell r="CR25">
            <v>0</v>
          </cell>
          <cell r="CS25">
            <v>-54071.290000000008</v>
          </cell>
          <cell r="CT25">
            <v>-79319.219999999987</v>
          </cell>
          <cell r="CU25">
            <v>-116697.81999999998</v>
          </cell>
          <cell r="CV25">
            <v>-124551.98999999999</v>
          </cell>
          <cell r="CW25">
            <v>-105459.01999999999</v>
          </cell>
          <cell r="CX25">
            <v>-94382.279999999984</v>
          </cell>
          <cell r="CY25">
            <v>-108850.39000000003</v>
          </cell>
          <cell r="CZ25">
            <v>-97287.180000000008</v>
          </cell>
          <cell r="DA25">
            <v>-92174.409999999989</v>
          </cell>
          <cell r="DB25">
            <v>-72556.49000000002</v>
          </cell>
          <cell r="DC25">
            <v>-85956.54</v>
          </cell>
          <cell r="DD25">
            <v>-652089.61</v>
          </cell>
          <cell r="DE25">
            <v>0</v>
          </cell>
          <cell r="DF25">
            <v>-1683396.2400000002</v>
          </cell>
          <cell r="DG25">
            <v>-1683396.2400000002</v>
          </cell>
        </row>
        <row r="26">
          <cell r="B26">
            <v>23</v>
          </cell>
          <cell r="C26" t="str">
            <v>Materialeinsatz KST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153038.87000000002</v>
          </cell>
          <cell r="U26">
            <v>222007.28999999998</v>
          </cell>
          <cell r="V26">
            <v>322327.23000000004</v>
          </cell>
          <cell r="W26">
            <v>340420.22000000003</v>
          </cell>
          <cell r="X26">
            <v>247171.28999999995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1284964.8999999999</v>
          </cell>
          <cell r="AH26">
            <v>1284964.8999999999</v>
          </cell>
          <cell r="AI26">
            <v>0</v>
          </cell>
          <cell r="AK26">
            <v>1606.82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697373.3899999999</v>
          </cell>
          <cell r="AV26">
            <v>697373.3899999999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1284964.8999999999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1284964.8999999999</v>
          </cell>
          <cell r="BI26">
            <v>0</v>
          </cell>
          <cell r="BJ26">
            <v>0</v>
          </cell>
          <cell r="BK26">
            <v>0</v>
          </cell>
          <cell r="BL26">
            <v>168775</v>
          </cell>
          <cell r="BM26">
            <v>213087.37000000002</v>
          </cell>
          <cell r="BN26">
            <v>272202.17</v>
          </cell>
          <cell r="BO26">
            <v>172598.87</v>
          </cell>
          <cell r="BP26">
            <v>257288.85</v>
          </cell>
          <cell r="BQ26">
            <v>289420.73</v>
          </cell>
          <cell r="BR26">
            <v>273592.41000000003</v>
          </cell>
          <cell r="BS26">
            <v>273913.89999999997</v>
          </cell>
          <cell r="BT26">
            <v>252684.88</v>
          </cell>
          <cell r="BU26">
            <v>259188.43999999994</v>
          </cell>
          <cell r="BV26">
            <v>232546.93999999994</v>
          </cell>
          <cell r="BW26">
            <v>253456.57000000004</v>
          </cell>
          <cell r="BX26">
            <v>0</v>
          </cell>
          <cell r="BY26">
            <v>2918756.1299999994</v>
          </cell>
          <cell r="BZ26">
            <v>2918756.1299999994</v>
          </cell>
          <cell r="CA26">
            <v>253456.57000000004</v>
          </cell>
          <cell r="CB26">
            <v>0</v>
          </cell>
          <cell r="CC26">
            <v>183902.74</v>
          </cell>
          <cell r="CD26">
            <v>176486.32</v>
          </cell>
          <cell r="CE26">
            <v>247588.48000000001</v>
          </cell>
          <cell r="CF26">
            <v>143457.45000000001</v>
          </cell>
          <cell r="CG26">
            <v>208053.55999999997</v>
          </cell>
          <cell r="CH26">
            <v>244594.21999999994</v>
          </cell>
          <cell r="CI26">
            <v>243885.55000000002</v>
          </cell>
          <cell r="CJ26">
            <v>257684.28000000006</v>
          </cell>
          <cell r="CK26">
            <v>281578.51000000007</v>
          </cell>
          <cell r="CL26">
            <v>216481.83999999997</v>
          </cell>
          <cell r="CM26">
            <v>234198.06999999995</v>
          </cell>
          <cell r="CN26">
            <v>392851.71</v>
          </cell>
          <cell r="CO26">
            <v>0</v>
          </cell>
          <cell r="CP26">
            <v>2830762.7299999995</v>
          </cell>
          <cell r="CQ26">
            <v>2830762.7299999995</v>
          </cell>
          <cell r="CR26">
            <v>0</v>
          </cell>
          <cell r="CS26">
            <v>139389.66000000003</v>
          </cell>
          <cell r="CT26">
            <v>171297.30000000005</v>
          </cell>
          <cell r="CU26">
            <v>212431.0400000001</v>
          </cell>
          <cell r="CV26">
            <v>223895.53999999989</v>
          </cell>
          <cell r="CW26">
            <v>323298.53999999998</v>
          </cell>
          <cell r="CX26">
            <v>335166.48000000004</v>
          </cell>
          <cell r="CY26">
            <v>245177.58000000007</v>
          </cell>
          <cell r="CZ26">
            <v>218330.39999999997</v>
          </cell>
          <cell r="DA26">
            <v>174688.58000000002</v>
          </cell>
          <cell r="DB26">
            <v>203104.59999999998</v>
          </cell>
          <cell r="DC26">
            <v>210008.97</v>
          </cell>
          <cell r="DD26">
            <v>237248.58</v>
          </cell>
          <cell r="DE26">
            <v>0</v>
          </cell>
          <cell r="DF26">
            <v>2694037.2700000005</v>
          </cell>
          <cell r="DG26">
            <v>2694037.2700000005</v>
          </cell>
        </row>
        <row r="27">
          <cell r="B27">
            <v>24</v>
          </cell>
          <cell r="C27" t="str">
            <v>Materialeinsatz Bestandsveränderung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181279.30000000002</v>
          </cell>
          <cell r="U27">
            <v>231658.96999999994</v>
          </cell>
          <cell r="V27">
            <v>118253.88</v>
          </cell>
          <cell r="W27">
            <v>-20605.910000000003</v>
          </cell>
          <cell r="X27">
            <v>1973.5299999999952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512559.76999999984</v>
          </cell>
          <cell r="AH27">
            <v>512559.76999999984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531192.15</v>
          </cell>
          <cell r="AV27">
            <v>531192.15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512559.76999999984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512559.76999999984</v>
          </cell>
          <cell r="BI27">
            <v>0</v>
          </cell>
          <cell r="BJ27">
            <v>0</v>
          </cell>
          <cell r="BK27">
            <v>0</v>
          </cell>
          <cell r="BL27">
            <v>107175.98000000001</v>
          </cell>
          <cell r="BM27">
            <v>154474.09000000003</v>
          </cell>
          <cell r="BN27">
            <v>117438.47000000002</v>
          </cell>
          <cell r="BO27">
            <v>87706.22</v>
          </cell>
          <cell r="BP27">
            <v>6034.13</v>
          </cell>
          <cell r="BQ27">
            <v>109339.27999999998</v>
          </cell>
          <cell r="BR27">
            <v>110203.60000000002</v>
          </cell>
          <cell r="BS27">
            <v>-45723.55</v>
          </cell>
          <cell r="BT27">
            <v>16517.469999999994</v>
          </cell>
          <cell r="BU27">
            <v>-18002.62</v>
          </cell>
          <cell r="BV27">
            <v>95020.91</v>
          </cell>
          <cell r="BW27">
            <v>-108907.34999999998</v>
          </cell>
          <cell r="BX27">
            <v>0</v>
          </cell>
          <cell r="BY27">
            <v>631276.63</v>
          </cell>
          <cell r="BZ27">
            <v>631276.63</v>
          </cell>
          <cell r="CA27">
            <v>-108907.34999999998</v>
          </cell>
          <cell r="CB27">
            <v>0</v>
          </cell>
          <cell r="CC27">
            <v>42033.909999999989</v>
          </cell>
          <cell r="CD27">
            <v>168401.68</v>
          </cell>
          <cell r="CE27">
            <v>-119846.36000000002</v>
          </cell>
          <cell r="CF27">
            <v>15645.450000000003</v>
          </cell>
          <cell r="CG27">
            <v>-55094.010000000009</v>
          </cell>
          <cell r="CH27">
            <v>-2200.2300000000005</v>
          </cell>
          <cell r="CI27">
            <v>11783.059999999998</v>
          </cell>
          <cell r="CJ27">
            <v>-6044.5300000000007</v>
          </cell>
          <cell r="CK27">
            <v>-56085.279999999999</v>
          </cell>
          <cell r="CL27">
            <v>-27046.389999999996</v>
          </cell>
          <cell r="CM27">
            <v>112221.15</v>
          </cell>
          <cell r="CN27">
            <v>-64553.05</v>
          </cell>
          <cell r="CO27">
            <v>0</v>
          </cell>
          <cell r="CP27">
            <v>19215.399999999961</v>
          </cell>
          <cell r="CQ27">
            <v>19215.399999999961</v>
          </cell>
          <cell r="CR27">
            <v>0</v>
          </cell>
          <cell r="CS27">
            <v>58744.979999999996</v>
          </cell>
          <cell r="CT27">
            <v>188823.63</v>
          </cell>
          <cell r="CU27">
            <v>110016.70999999999</v>
          </cell>
          <cell r="CV27">
            <v>-20218.39</v>
          </cell>
          <cell r="CW27">
            <v>-166333.54</v>
          </cell>
          <cell r="CX27">
            <v>32813.270000000004</v>
          </cell>
          <cell r="CY27">
            <v>108206.98000000001</v>
          </cell>
          <cell r="CZ27">
            <v>-30972.910000000003</v>
          </cell>
          <cell r="DA27">
            <v>-120833.33999999998</v>
          </cell>
          <cell r="DB27">
            <v>-67453.2</v>
          </cell>
          <cell r="DC27">
            <v>-53894.82</v>
          </cell>
          <cell r="DD27">
            <v>-27223.839999999993</v>
          </cell>
          <cell r="DE27">
            <v>0</v>
          </cell>
          <cell r="DF27">
            <v>11675.530000000028</v>
          </cell>
          <cell r="DG27">
            <v>11675.530000000028</v>
          </cell>
        </row>
        <row r="28">
          <cell r="B28">
            <v>25</v>
          </cell>
          <cell r="C28" t="str">
            <v>Verschnitt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208248.82</v>
          </cell>
          <cell r="U28">
            <v>272364.47000000003</v>
          </cell>
          <cell r="V28">
            <v>354154.85000000003</v>
          </cell>
          <cell r="W28">
            <v>326735.98</v>
          </cell>
          <cell r="X28">
            <v>365753.45999999996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1527257.5800000003</v>
          </cell>
          <cell r="AH28">
            <v>1527257.5800000003</v>
          </cell>
          <cell r="AI28">
            <v>0</v>
          </cell>
          <cell r="AK28">
            <v>1047.4000000000001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834768.14</v>
          </cell>
          <cell r="AV28">
            <v>834768.14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1527257.5800000003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1527257.5800000003</v>
          </cell>
          <cell r="BI28">
            <v>0</v>
          </cell>
          <cell r="BJ28">
            <v>0</v>
          </cell>
          <cell r="BK28">
            <v>0</v>
          </cell>
          <cell r="BL28">
            <v>216771.45999999996</v>
          </cell>
          <cell r="BM28">
            <v>231740.59999999995</v>
          </cell>
          <cell r="BN28">
            <v>315076.62999999995</v>
          </cell>
          <cell r="BO28">
            <v>301773.3299999999</v>
          </cell>
          <cell r="BP28">
            <v>308094.94000000006</v>
          </cell>
          <cell r="BQ28">
            <v>339833.48999999987</v>
          </cell>
          <cell r="BR28">
            <v>311724.25</v>
          </cell>
          <cell r="BS28">
            <v>286390.68000000005</v>
          </cell>
          <cell r="BT28">
            <v>231286.82</v>
          </cell>
          <cell r="BU28">
            <v>257089.89</v>
          </cell>
          <cell r="BV28">
            <v>308820.40999999997</v>
          </cell>
          <cell r="BW28">
            <v>191894.2</v>
          </cell>
          <cell r="BX28">
            <v>0</v>
          </cell>
          <cell r="BY28">
            <v>3300496.7</v>
          </cell>
          <cell r="BZ28">
            <v>3300496.7</v>
          </cell>
          <cell r="CA28">
            <v>191894.2</v>
          </cell>
          <cell r="CB28">
            <v>0</v>
          </cell>
          <cell r="CC28">
            <v>236277.70999999993</v>
          </cell>
          <cell r="CD28">
            <v>237018.14000000004</v>
          </cell>
          <cell r="CE28">
            <v>227050.56000000006</v>
          </cell>
          <cell r="CF28">
            <v>192357.19999999995</v>
          </cell>
          <cell r="CG28">
            <v>248367.58000000002</v>
          </cell>
          <cell r="CH28">
            <v>306261.01000000007</v>
          </cell>
          <cell r="CI28">
            <v>329713.48</v>
          </cell>
          <cell r="CJ28">
            <v>271725.24999999994</v>
          </cell>
          <cell r="CK28">
            <v>283183.68</v>
          </cell>
          <cell r="CL28">
            <v>283271.63999999996</v>
          </cell>
          <cell r="CM28">
            <v>282014.97999999992</v>
          </cell>
          <cell r="CN28">
            <v>229409.86999999997</v>
          </cell>
          <cell r="CO28">
            <v>0</v>
          </cell>
          <cell r="CP28">
            <v>3126651.0999999992</v>
          </cell>
          <cell r="CQ28">
            <v>3126651.0999999992</v>
          </cell>
          <cell r="CR28">
            <v>0</v>
          </cell>
          <cell r="CS28">
            <v>241056.77000000002</v>
          </cell>
          <cell r="CT28">
            <v>221119.95</v>
          </cell>
          <cell r="CU28">
            <v>265111.10000000003</v>
          </cell>
          <cell r="CV28">
            <v>265773.35000000003</v>
          </cell>
          <cell r="CW28">
            <v>292226.10000000003</v>
          </cell>
          <cell r="CX28">
            <v>252068.81000000003</v>
          </cell>
          <cell r="CY28">
            <v>310487.23</v>
          </cell>
          <cell r="CZ28">
            <v>262866.79000000004</v>
          </cell>
          <cell r="DA28">
            <v>251423.06999999998</v>
          </cell>
          <cell r="DB28">
            <v>254676.90000000002</v>
          </cell>
          <cell r="DC28">
            <v>255125.21000000002</v>
          </cell>
          <cell r="DD28">
            <v>147512.18</v>
          </cell>
          <cell r="DE28">
            <v>0</v>
          </cell>
          <cell r="DF28">
            <v>3019447.46</v>
          </cell>
          <cell r="DG28">
            <v>3019447.46</v>
          </cell>
        </row>
        <row r="29">
          <cell r="B29">
            <v>26</v>
          </cell>
          <cell r="C29" t="str">
            <v>Fertigungseinzelkosten [Fertigungsaufträge]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60111.64</v>
          </cell>
          <cell r="U29">
            <v>96433.73000000001</v>
          </cell>
          <cell r="V29">
            <v>120423.5</v>
          </cell>
          <cell r="W29">
            <v>115841.37</v>
          </cell>
          <cell r="X29">
            <v>138262.43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531072.67000000016</v>
          </cell>
          <cell r="AH29">
            <v>531072.67000000016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276968.87</v>
          </cell>
          <cell r="AV29">
            <v>276968.87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531072.67000000016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531072.67000000016</v>
          </cell>
          <cell r="BI29">
            <v>0</v>
          </cell>
          <cell r="BJ29">
            <v>0</v>
          </cell>
          <cell r="BK29">
            <v>0</v>
          </cell>
          <cell r="BL29">
            <v>74842.320000000007</v>
          </cell>
          <cell r="BM29">
            <v>94632.469999999987</v>
          </cell>
          <cell r="BN29">
            <v>137314.52000000002</v>
          </cell>
          <cell r="BO29">
            <v>107843.75000000001</v>
          </cell>
          <cell r="BP29">
            <v>150859.44999999998</v>
          </cell>
          <cell r="BQ29">
            <v>142989.37</v>
          </cell>
          <cell r="BR29">
            <v>128870.60000000002</v>
          </cell>
          <cell r="BS29">
            <v>106126.47000000002</v>
          </cell>
          <cell r="BT29">
            <v>94442.34</v>
          </cell>
          <cell r="BU29">
            <v>112497.83</v>
          </cell>
          <cell r="BV29">
            <v>77489.599999999991</v>
          </cell>
          <cell r="BW29">
            <v>71302.559999999983</v>
          </cell>
          <cell r="BX29">
            <v>0</v>
          </cell>
          <cell r="BY29">
            <v>1299211.28</v>
          </cell>
          <cell r="BZ29">
            <v>1299211.28</v>
          </cell>
          <cell r="CA29">
            <v>71302.559999999983</v>
          </cell>
          <cell r="CB29">
            <v>0</v>
          </cell>
          <cell r="CC29">
            <v>56043.429999999986</v>
          </cell>
          <cell r="CD29">
            <v>103896.61</v>
          </cell>
          <cell r="CE29">
            <v>138641.32</v>
          </cell>
          <cell r="CF29">
            <v>105787.57000000002</v>
          </cell>
          <cell r="CG29">
            <v>134905.32</v>
          </cell>
          <cell r="CH29">
            <v>115389.93000000001</v>
          </cell>
          <cell r="CI29">
            <v>165291.81000000003</v>
          </cell>
          <cell r="CJ29">
            <v>111664.04</v>
          </cell>
          <cell r="CK29">
            <v>121822.71</v>
          </cell>
          <cell r="CL29">
            <v>97627.47</v>
          </cell>
          <cell r="CM29">
            <v>100671.20999999999</v>
          </cell>
          <cell r="CN29">
            <v>79352.700000000012</v>
          </cell>
          <cell r="CO29">
            <v>0</v>
          </cell>
          <cell r="CP29">
            <v>1331094.1200000001</v>
          </cell>
          <cell r="CQ29">
            <v>1331094.1200000001</v>
          </cell>
          <cell r="CR29">
            <v>0</v>
          </cell>
          <cell r="CS29">
            <v>56597.81</v>
          </cell>
          <cell r="CT29">
            <v>69062.720000000001</v>
          </cell>
          <cell r="CU29">
            <v>108868.62999999998</v>
          </cell>
          <cell r="CV29">
            <v>110308.20000000001</v>
          </cell>
          <cell r="CW29">
            <v>123734.32</v>
          </cell>
          <cell r="CX29">
            <v>96209.93</v>
          </cell>
          <cell r="CY29">
            <v>115485.33</v>
          </cell>
          <cell r="CZ29">
            <v>91627.079999999987</v>
          </cell>
          <cell r="DA29">
            <v>74201.97</v>
          </cell>
          <cell r="DB29">
            <v>88022.080000000002</v>
          </cell>
          <cell r="DC29">
            <v>70392.650000000009</v>
          </cell>
          <cell r="DD29">
            <v>64979.7</v>
          </cell>
          <cell r="DE29">
            <v>0</v>
          </cell>
          <cell r="DF29">
            <v>1069490.42</v>
          </cell>
          <cell r="DG29">
            <v>1069490.42</v>
          </cell>
        </row>
        <row r="30">
          <cell r="B30">
            <v>27</v>
          </cell>
          <cell r="C30" t="str">
            <v>Fertigungsgemeinkosten [Fertigungsaufträge]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23957.399999999998</v>
          </cell>
          <cell r="U30">
            <v>35968.97</v>
          </cell>
          <cell r="V30">
            <v>50092.1</v>
          </cell>
          <cell r="W30">
            <v>48170.01</v>
          </cell>
          <cell r="X30">
            <v>56817.900000000009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215006.37999999998</v>
          </cell>
          <cell r="AH30">
            <v>215006.37999999998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110018.47</v>
          </cell>
          <cell r="AV30">
            <v>110018.47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215006.37999999998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215006.37999999998</v>
          </cell>
          <cell r="BI30">
            <v>0</v>
          </cell>
          <cell r="BJ30">
            <v>0</v>
          </cell>
          <cell r="BK30">
            <v>0</v>
          </cell>
          <cell r="BL30">
            <v>22938.14</v>
          </cell>
          <cell r="BM30">
            <v>34390.35</v>
          </cell>
          <cell r="BN30">
            <v>47094.299999999996</v>
          </cell>
          <cell r="BO30">
            <v>45068.170000000006</v>
          </cell>
          <cell r="BP30">
            <v>56424.54</v>
          </cell>
          <cell r="BQ30">
            <v>58638.94999999999</v>
          </cell>
          <cell r="BR30">
            <v>54971.69</v>
          </cell>
          <cell r="BS30">
            <v>42788.049999999996</v>
          </cell>
          <cell r="BT30">
            <v>39233.879999999997</v>
          </cell>
          <cell r="BU30">
            <v>34729.08</v>
          </cell>
          <cell r="BV30">
            <v>31934.019999999997</v>
          </cell>
          <cell r="BW30">
            <v>27190.979999999996</v>
          </cell>
          <cell r="BX30">
            <v>0</v>
          </cell>
          <cell r="BY30">
            <v>495402.15</v>
          </cell>
          <cell r="BZ30">
            <v>495402.15</v>
          </cell>
          <cell r="CA30">
            <v>27190.979999999996</v>
          </cell>
          <cell r="CB30">
            <v>0</v>
          </cell>
          <cell r="CC30">
            <v>26815</v>
          </cell>
          <cell r="CD30">
            <v>32334.15</v>
          </cell>
          <cell r="CE30">
            <v>51547.780000000006</v>
          </cell>
          <cell r="CF30">
            <v>41856.740000000005</v>
          </cell>
          <cell r="CG30">
            <v>41223.620000000003</v>
          </cell>
          <cell r="CH30">
            <v>53429.340000000004</v>
          </cell>
          <cell r="CI30">
            <v>59680.53</v>
          </cell>
          <cell r="CJ30">
            <v>43705.14</v>
          </cell>
          <cell r="CK30">
            <v>42795.149999999994</v>
          </cell>
          <cell r="CL30">
            <v>35837.86</v>
          </cell>
          <cell r="CM30">
            <v>37598.259999999995</v>
          </cell>
          <cell r="CN30">
            <v>24153.32</v>
          </cell>
          <cell r="CO30">
            <v>0</v>
          </cell>
          <cell r="CP30">
            <v>490976.89</v>
          </cell>
          <cell r="CQ30">
            <v>490976.89</v>
          </cell>
          <cell r="CR30">
            <v>0</v>
          </cell>
          <cell r="CS30">
            <v>25026.920000000002</v>
          </cell>
          <cell r="CT30">
            <v>10803.490000000002</v>
          </cell>
          <cell r="CU30">
            <v>46701.810000000005</v>
          </cell>
          <cell r="CV30">
            <v>48050.47</v>
          </cell>
          <cell r="CW30">
            <v>51304.33</v>
          </cell>
          <cell r="CX30">
            <v>38546.240000000005</v>
          </cell>
          <cell r="CY30">
            <v>41585.369999999995</v>
          </cell>
          <cell r="CZ30">
            <v>35011.310000000005</v>
          </cell>
          <cell r="DA30">
            <v>27825.14</v>
          </cell>
          <cell r="DB30">
            <v>24243.510000000006</v>
          </cell>
          <cell r="DC30">
            <v>19039.800000000003</v>
          </cell>
          <cell r="DD30">
            <v>17221.75</v>
          </cell>
          <cell r="DE30">
            <v>0</v>
          </cell>
          <cell r="DF30">
            <v>385360.14000000007</v>
          </cell>
          <cell r="DG30">
            <v>385360.14000000007</v>
          </cell>
        </row>
        <row r="31">
          <cell r="B31">
            <v>28</v>
          </cell>
          <cell r="C31" t="str">
            <v>Materialgemeinkosten [Fertigungsaufträge]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24918.06</v>
          </cell>
          <cell r="U31">
            <v>42127.71</v>
          </cell>
          <cell r="V31">
            <v>64388.94</v>
          </cell>
          <cell r="W31">
            <v>65878.73</v>
          </cell>
          <cell r="X31">
            <v>68793.17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266106.61</v>
          </cell>
          <cell r="AH31">
            <v>266106.61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131434.71</v>
          </cell>
          <cell r="AV31">
            <v>131434.71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266106.61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266106.61</v>
          </cell>
          <cell r="BI31">
            <v>0</v>
          </cell>
          <cell r="BJ31">
            <v>0</v>
          </cell>
          <cell r="BK31">
            <v>0</v>
          </cell>
          <cell r="BL31">
            <v>19997.849999999999</v>
          </cell>
          <cell r="BM31">
            <v>32892.239999999998</v>
          </cell>
          <cell r="BN31">
            <v>57706.160000000011</v>
          </cell>
          <cell r="BO31">
            <v>53817.989999999991</v>
          </cell>
          <cell r="BP31">
            <v>92907.11</v>
          </cell>
          <cell r="BQ31">
            <v>63578.26</v>
          </cell>
          <cell r="BR31">
            <v>60712.56</v>
          </cell>
          <cell r="BS31">
            <v>50291.37</v>
          </cell>
          <cell r="BT31">
            <v>45718.930000000008</v>
          </cell>
          <cell r="BU31">
            <v>36196.11</v>
          </cell>
          <cell r="BV31">
            <v>34943.339999999997</v>
          </cell>
          <cell r="BW31">
            <v>24325.760000000002</v>
          </cell>
          <cell r="BX31">
            <v>0</v>
          </cell>
          <cell r="BY31">
            <v>573087.67999999993</v>
          </cell>
          <cell r="BZ31">
            <v>573087.67999999993</v>
          </cell>
          <cell r="CA31">
            <v>24325.760000000002</v>
          </cell>
          <cell r="CB31">
            <v>0</v>
          </cell>
          <cell r="CC31">
            <v>24261.8</v>
          </cell>
          <cell r="CD31">
            <v>34686.5</v>
          </cell>
          <cell r="CE31">
            <v>53650.130000000005</v>
          </cell>
          <cell r="CF31">
            <v>52030.92</v>
          </cell>
          <cell r="CG31">
            <v>46168.69</v>
          </cell>
          <cell r="CH31">
            <v>54388.409999999996</v>
          </cell>
          <cell r="CI31">
            <v>60775.349999999991</v>
          </cell>
          <cell r="CJ31">
            <v>43727.099999999991</v>
          </cell>
          <cell r="CK31">
            <v>49354.64</v>
          </cell>
          <cell r="CL31">
            <v>35398.49</v>
          </cell>
          <cell r="CM31">
            <v>26707.899999999998</v>
          </cell>
          <cell r="CN31">
            <v>20079</v>
          </cell>
          <cell r="CO31">
            <v>0</v>
          </cell>
          <cell r="CP31">
            <v>501228.93</v>
          </cell>
          <cell r="CQ31">
            <v>501228.93</v>
          </cell>
          <cell r="CR31">
            <v>0</v>
          </cell>
          <cell r="CS31">
            <v>20325.629999999997</v>
          </cell>
          <cell r="CT31">
            <v>29034.609999999997</v>
          </cell>
          <cell r="CU31">
            <v>50445.8</v>
          </cell>
          <cell r="CV31">
            <v>62166.98</v>
          </cell>
          <cell r="CW31">
            <v>54611.82</v>
          </cell>
          <cell r="CX31">
            <v>43608.700000000004</v>
          </cell>
          <cell r="CY31">
            <v>45000.01</v>
          </cell>
          <cell r="CZ31">
            <v>36812.920000000006</v>
          </cell>
          <cell r="DA31">
            <v>28826.53</v>
          </cell>
          <cell r="DB31">
            <v>22707.48</v>
          </cell>
          <cell r="DC31">
            <v>19827.96</v>
          </cell>
          <cell r="DD31">
            <v>14114.34</v>
          </cell>
          <cell r="DE31">
            <v>0</v>
          </cell>
          <cell r="DF31">
            <v>427482.77999999997</v>
          </cell>
          <cell r="DG31">
            <v>427482.77999999997</v>
          </cell>
        </row>
        <row r="32">
          <cell r="B32">
            <v>29</v>
          </cell>
          <cell r="C32" t="str">
            <v>Maschinenkosten [Fertigungsaufträge]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20469.060000000001</v>
          </cell>
          <cell r="U32">
            <v>25482.58</v>
          </cell>
          <cell r="V32">
            <v>22613</v>
          </cell>
          <cell r="W32">
            <v>17795.55</v>
          </cell>
          <cell r="X32">
            <v>26518.230000000003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112878.42</v>
          </cell>
          <cell r="AH32">
            <v>112878.42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68564.639999999999</v>
          </cell>
          <cell r="AV32">
            <v>68564.639999999999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112878.42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112878.42</v>
          </cell>
          <cell r="BI32">
            <v>0</v>
          </cell>
          <cell r="BJ32">
            <v>0</v>
          </cell>
          <cell r="BK32">
            <v>0</v>
          </cell>
          <cell r="BL32">
            <v>15697.01</v>
          </cell>
          <cell r="BM32">
            <v>20096.86</v>
          </cell>
          <cell r="BN32">
            <v>17095.86</v>
          </cell>
          <cell r="BO32">
            <v>14279.51</v>
          </cell>
          <cell r="BP32">
            <v>10808.39</v>
          </cell>
          <cell r="BQ32">
            <v>21761.63</v>
          </cell>
          <cell r="BR32">
            <v>19338.650000000001</v>
          </cell>
          <cell r="BS32">
            <v>9914.0600000000013</v>
          </cell>
          <cell r="BT32">
            <v>17919.309999999998</v>
          </cell>
          <cell r="BU32">
            <v>27409.03</v>
          </cell>
          <cell r="BV32">
            <v>31792.55</v>
          </cell>
          <cell r="BW32">
            <v>30482.129999999997</v>
          </cell>
          <cell r="BX32">
            <v>0</v>
          </cell>
          <cell r="BY32">
            <v>236594.99</v>
          </cell>
          <cell r="BZ32">
            <v>236594.99</v>
          </cell>
          <cell r="CA32">
            <v>30482.129999999997</v>
          </cell>
          <cell r="CB32">
            <v>0</v>
          </cell>
          <cell r="CC32">
            <v>14544.449999999999</v>
          </cell>
          <cell r="CD32">
            <v>12157.269999999999</v>
          </cell>
          <cell r="CE32">
            <v>14041.29</v>
          </cell>
          <cell r="CF32">
            <v>18367.16</v>
          </cell>
          <cell r="CG32">
            <v>7566.11</v>
          </cell>
          <cell r="CH32">
            <v>17747.060000000001</v>
          </cell>
          <cell r="CI32">
            <v>22897.9</v>
          </cell>
          <cell r="CJ32">
            <v>18274.310000000001</v>
          </cell>
          <cell r="CK32">
            <v>8021.48</v>
          </cell>
          <cell r="CL32">
            <v>16494.780000000002</v>
          </cell>
          <cell r="CM32">
            <v>19456.32</v>
          </cell>
          <cell r="CN32">
            <v>15136.880000000001</v>
          </cell>
          <cell r="CO32">
            <v>0</v>
          </cell>
          <cell r="CP32">
            <v>184705.01000000004</v>
          </cell>
          <cell r="CQ32">
            <v>184705.01000000004</v>
          </cell>
          <cell r="CR32">
            <v>0</v>
          </cell>
          <cell r="CS32">
            <v>25814.38</v>
          </cell>
          <cell r="CT32">
            <v>25116.34</v>
          </cell>
          <cell r="CU32">
            <v>16896.870000000003</v>
          </cell>
          <cell r="CV32">
            <v>21520.38</v>
          </cell>
          <cell r="CW32">
            <v>42716.2</v>
          </cell>
          <cell r="CX32">
            <v>32879.300000000003</v>
          </cell>
          <cell r="CY32">
            <v>28530.58</v>
          </cell>
          <cell r="CZ32">
            <v>34210.630000000005</v>
          </cell>
          <cell r="DA32">
            <v>28384.22</v>
          </cell>
          <cell r="DB32">
            <v>16443.400000000001</v>
          </cell>
          <cell r="DC32">
            <v>20796.010000000002</v>
          </cell>
          <cell r="DD32">
            <v>37160.44</v>
          </cell>
          <cell r="DE32">
            <v>0</v>
          </cell>
          <cell r="DF32">
            <v>330468.75</v>
          </cell>
          <cell r="DG32">
            <v>330468.75</v>
          </cell>
        </row>
        <row r="33">
          <cell r="B33">
            <v>30</v>
          </cell>
          <cell r="C33" t="str">
            <v>SEK der Fertigung [Fertigungsaufträge]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57.02</v>
          </cell>
          <cell r="W33">
            <v>45.68</v>
          </cell>
          <cell r="X33">
            <v>380.04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482.74</v>
          </cell>
          <cell r="AH33">
            <v>482.74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57.02</v>
          </cell>
          <cell r="AV33">
            <v>57.02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482.74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482.74</v>
          </cell>
          <cell r="BI33">
            <v>0</v>
          </cell>
          <cell r="BJ33">
            <v>0</v>
          </cell>
          <cell r="BK33">
            <v>0</v>
          </cell>
          <cell r="BL33">
            <v>171.93</v>
          </cell>
          <cell r="BM33">
            <v>175.35</v>
          </cell>
          <cell r="BN33">
            <v>79.42</v>
          </cell>
          <cell r="BO33">
            <v>6.44</v>
          </cell>
          <cell r="BP33">
            <v>0</v>
          </cell>
          <cell r="BQ33">
            <v>0</v>
          </cell>
          <cell r="BR33">
            <v>107.19</v>
          </cell>
          <cell r="BS33">
            <v>3</v>
          </cell>
          <cell r="BT33">
            <v>65.41</v>
          </cell>
          <cell r="BU33">
            <v>671.41</v>
          </cell>
          <cell r="BV33">
            <v>133.80000000000001</v>
          </cell>
          <cell r="BW33">
            <v>3.59</v>
          </cell>
          <cell r="BX33">
            <v>0</v>
          </cell>
          <cell r="BY33">
            <v>1417.5399999999997</v>
          </cell>
          <cell r="BZ33">
            <v>1417.5399999999997</v>
          </cell>
          <cell r="CA33">
            <v>3.59</v>
          </cell>
          <cell r="CB33">
            <v>0</v>
          </cell>
          <cell r="CC33">
            <v>8.26</v>
          </cell>
          <cell r="CD33">
            <v>142.06</v>
          </cell>
          <cell r="CE33">
            <v>2.9</v>
          </cell>
          <cell r="CF33">
            <v>0</v>
          </cell>
          <cell r="CG33">
            <v>0</v>
          </cell>
          <cell r="CH33">
            <v>136.84</v>
          </cell>
          <cell r="CI33">
            <v>6.4</v>
          </cell>
          <cell r="CJ33">
            <v>506.18</v>
          </cell>
          <cell r="CK33">
            <v>54.54</v>
          </cell>
          <cell r="CL33">
            <v>6.55</v>
          </cell>
          <cell r="CM33">
            <v>81.239999999999995</v>
          </cell>
          <cell r="CN33">
            <v>20.55</v>
          </cell>
          <cell r="CO33">
            <v>0</v>
          </cell>
          <cell r="CP33">
            <v>965.51999999999987</v>
          </cell>
          <cell r="CQ33">
            <v>965.51999999999987</v>
          </cell>
          <cell r="CR33">
            <v>0</v>
          </cell>
          <cell r="CS33">
            <v>29.25</v>
          </cell>
          <cell r="CT33">
            <v>44.75</v>
          </cell>
          <cell r="CU33">
            <v>513.03</v>
          </cell>
          <cell r="CV33">
            <v>0</v>
          </cell>
          <cell r="CW33">
            <v>330.15999999999997</v>
          </cell>
          <cell r="CX33">
            <v>47.71</v>
          </cell>
          <cell r="CY33">
            <v>69.709999999999994</v>
          </cell>
          <cell r="CZ33">
            <v>59.08</v>
          </cell>
          <cell r="DA33">
            <v>1.68</v>
          </cell>
          <cell r="DB33">
            <v>293.45</v>
          </cell>
          <cell r="DC33">
            <v>5.94</v>
          </cell>
          <cell r="DD33">
            <v>0</v>
          </cell>
          <cell r="DE33">
            <v>0</v>
          </cell>
          <cell r="DF33">
            <v>1394.76</v>
          </cell>
          <cell r="DG33">
            <v>1394.76</v>
          </cell>
        </row>
        <row r="34">
          <cell r="B34">
            <v>31</v>
          </cell>
          <cell r="C34" t="str">
            <v>Energiekosten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62316.89</v>
          </cell>
          <cell r="U34">
            <v>73885.100000000006</v>
          </cell>
          <cell r="V34">
            <v>29293.659999999996</v>
          </cell>
          <cell r="W34">
            <v>75863.100000000006</v>
          </cell>
          <cell r="X34">
            <v>47644.25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289003</v>
          </cell>
          <cell r="AH34">
            <v>289003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165495.64999999997</v>
          </cell>
          <cell r="AV34">
            <v>165495.64999999997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289003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289003</v>
          </cell>
          <cell r="BI34">
            <v>0</v>
          </cell>
          <cell r="BJ34">
            <v>0</v>
          </cell>
          <cell r="BK34">
            <v>0</v>
          </cell>
          <cell r="BL34">
            <v>50197.23</v>
          </cell>
          <cell r="BM34">
            <v>77303.69</v>
          </cell>
          <cell r="BN34">
            <v>71323.649999999994</v>
          </cell>
          <cell r="BO34">
            <v>74736.41</v>
          </cell>
          <cell r="BP34">
            <v>51977.180000000008</v>
          </cell>
          <cell r="BQ34">
            <v>48884.66</v>
          </cell>
          <cell r="BR34">
            <v>8734.9000000000015</v>
          </cell>
          <cell r="BS34">
            <v>84130.790000000008</v>
          </cell>
          <cell r="BT34">
            <v>48787.759999999995</v>
          </cell>
          <cell r="BU34">
            <v>52328.009999999995</v>
          </cell>
          <cell r="BV34">
            <v>54373.600000000006</v>
          </cell>
          <cell r="BW34">
            <v>81350.320000000007</v>
          </cell>
          <cell r="BX34">
            <v>0</v>
          </cell>
          <cell r="BY34">
            <v>704128.20000000019</v>
          </cell>
          <cell r="BZ34">
            <v>704128.20000000019</v>
          </cell>
          <cell r="CA34">
            <v>81350.320000000007</v>
          </cell>
          <cell r="CB34">
            <v>0</v>
          </cell>
          <cell r="CC34">
            <v>49973.930000000008</v>
          </cell>
          <cell r="CD34">
            <v>51353.460000000006</v>
          </cell>
          <cell r="CE34">
            <v>76360.09</v>
          </cell>
          <cell r="CF34">
            <v>63492.38</v>
          </cell>
          <cell r="CG34">
            <v>39296.36</v>
          </cell>
          <cell r="CH34">
            <v>44418.94</v>
          </cell>
          <cell r="CI34">
            <v>41532.46</v>
          </cell>
          <cell r="CJ34">
            <v>43128.570000000007</v>
          </cell>
          <cell r="CK34">
            <v>13344.509999999998</v>
          </cell>
          <cell r="CL34">
            <v>41661.210000000006</v>
          </cell>
          <cell r="CM34">
            <v>89155.59</v>
          </cell>
          <cell r="CN34">
            <v>69101.22</v>
          </cell>
          <cell r="CO34">
            <v>0</v>
          </cell>
          <cell r="CP34">
            <v>622818.72</v>
          </cell>
          <cell r="CQ34">
            <v>622818.72</v>
          </cell>
          <cell r="CR34">
            <v>0</v>
          </cell>
          <cell r="CS34">
            <v>54091.07</v>
          </cell>
          <cell r="CT34">
            <v>81557.110000000015</v>
          </cell>
          <cell r="CU34">
            <v>66947.329999999987</v>
          </cell>
          <cell r="CV34">
            <v>53830.35</v>
          </cell>
          <cell r="CW34">
            <v>56761.16</v>
          </cell>
          <cell r="CX34">
            <v>23565.82</v>
          </cell>
          <cell r="CY34">
            <v>32578.030000000006</v>
          </cell>
          <cell r="CZ34">
            <v>46622.55</v>
          </cell>
          <cell r="DA34">
            <v>35568.300000000003</v>
          </cell>
          <cell r="DB34">
            <v>52932.799999999988</v>
          </cell>
          <cell r="DC34">
            <v>99711.049999999988</v>
          </cell>
          <cell r="DD34">
            <v>23008.79</v>
          </cell>
          <cell r="DE34">
            <v>0</v>
          </cell>
          <cell r="DF34">
            <v>627174.36</v>
          </cell>
          <cell r="DG34">
            <v>627174.36</v>
          </cell>
        </row>
        <row r="35">
          <cell r="B35">
            <v>32</v>
          </cell>
          <cell r="C35" t="str">
            <v>Kataloge (BilRUG)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</row>
        <row r="36">
          <cell r="B36">
            <v>33</v>
          </cell>
          <cell r="C36" t="str">
            <v>Warenbezug (BilRUG)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6055.0499999999993</v>
          </cell>
          <cell r="U36">
            <v>7546.5400000000009</v>
          </cell>
          <cell r="V36">
            <v>8107.0599999999995</v>
          </cell>
          <cell r="W36">
            <v>7933.3999999999978</v>
          </cell>
          <cell r="X36">
            <v>9546.89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39188.939999999995</v>
          </cell>
          <cell r="AH36">
            <v>39188.939999999995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21708.65</v>
          </cell>
          <cell r="AV36">
            <v>21708.65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39188.939999999995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39188.939999999995</v>
          </cell>
          <cell r="BI36">
            <v>0</v>
          </cell>
          <cell r="BJ36">
            <v>0</v>
          </cell>
          <cell r="BK36">
            <v>0</v>
          </cell>
          <cell r="BL36">
            <v>3629.8199999999997</v>
          </cell>
          <cell r="BM36">
            <v>6937.52</v>
          </cell>
          <cell r="BN36">
            <v>7094.18</v>
          </cell>
          <cell r="BO36">
            <v>5536.0199999999995</v>
          </cell>
          <cell r="BP36">
            <v>5783.3600000000006</v>
          </cell>
          <cell r="BQ36">
            <v>9266.1999999999989</v>
          </cell>
          <cell r="BR36">
            <v>9433.380000000001</v>
          </cell>
          <cell r="BS36">
            <v>10683.45</v>
          </cell>
          <cell r="BT36">
            <v>5011.41</v>
          </cell>
          <cell r="BU36">
            <v>7796.7099999999991</v>
          </cell>
          <cell r="BV36">
            <v>6014.7899999999991</v>
          </cell>
          <cell r="BW36">
            <v>7465.56</v>
          </cell>
          <cell r="BX36">
            <v>0</v>
          </cell>
          <cell r="BY36">
            <v>84652.4</v>
          </cell>
          <cell r="BZ36">
            <v>84652.4</v>
          </cell>
          <cell r="CA36">
            <v>7465.56</v>
          </cell>
          <cell r="CB36">
            <v>0</v>
          </cell>
          <cell r="CC36">
            <v>4657.07</v>
          </cell>
          <cell r="CD36">
            <v>6612.5199999999995</v>
          </cell>
          <cell r="CE36">
            <v>5221.05</v>
          </cell>
          <cell r="CF36">
            <v>4759.1400000000003</v>
          </cell>
          <cell r="CG36">
            <v>3271.7599999999998</v>
          </cell>
          <cell r="CH36">
            <v>5133.2300000000005</v>
          </cell>
          <cell r="CI36">
            <v>5480.6</v>
          </cell>
          <cell r="CJ36">
            <v>5972.98</v>
          </cell>
          <cell r="CK36">
            <v>6135.63</v>
          </cell>
          <cell r="CL36">
            <v>7972.1100000000006</v>
          </cell>
          <cell r="CM36">
            <v>6207.47</v>
          </cell>
          <cell r="CN36">
            <v>5492.06</v>
          </cell>
          <cell r="CO36">
            <v>0</v>
          </cell>
          <cell r="CP36">
            <v>66915.62</v>
          </cell>
          <cell r="CQ36">
            <v>66915.62</v>
          </cell>
          <cell r="CR36">
            <v>0</v>
          </cell>
          <cell r="CS36">
            <v>4490.09</v>
          </cell>
          <cell r="CT36">
            <v>6221.45</v>
          </cell>
          <cell r="CU36">
            <v>4679.66</v>
          </cell>
          <cell r="CV36">
            <v>4251.5200000000004</v>
          </cell>
          <cell r="CW36">
            <v>4733.33</v>
          </cell>
          <cell r="CX36">
            <v>4806.4199999999992</v>
          </cell>
          <cell r="CY36">
            <v>6600.6500000000015</v>
          </cell>
          <cell r="CZ36">
            <v>6936.81</v>
          </cell>
          <cell r="DA36">
            <v>5550.97</v>
          </cell>
          <cell r="DB36">
            <v>4695.8000000000011</v>
          </cell>
          <cell r="DC36">
            <v>5408.09</v>
          </cell>
          <cell r="DD36">
            <v>4676.51</v>
          </cell>
          <cell r="DE36">
            <v>0</v>
          </cell>
          <cell r="DF36">
            <v>63051.3</v>
          </cell>
          <cell r="DG36">
            <v>63051.3</v>
          </cell>
        </row>
        <row r="37">
          <cell r="B37">
            <v>34</v>
          </cell>
          <cell r="C37" t="str">
            <v>Katalog/Prospektkosten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337548.75000000006</v>
          </cell>
          <cell r="U37">
            <v>991370.31000000017</v>
          </cell>
          <cell r="V37">
            <v>262924.93999999994</v>
          </cell>
          <cell r="W37">
            <v>-34720.640000000007</v>
          </cell>
          <cell r="X37">
            <v>37678.959999999999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1594802.3200000003</v>
          </cell>
          <cell r="AH37">
            <v>1594802.3200000003</v>
          </cell>
          <cell r="AI37">
            <v>0</v>
          </cell>
          <cell r="AK37">
            <v>1595.5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1591844.0000000002</v>
          </cell>
          <cell r="AV37">
            <v>1591844.0000000002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1594802.3200000003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1594802.3200000003</v>
          </cell>
          <cell r="BI37">
            <v>0</v>
          </cell>
          <cell r="BJ37">
            <v>0</v>
          </cell>
          <cell r="BK37">
            <v>0</v>
          </cell>
          <cell r="BL37">
            <v>19229.690000000006</v>
          </cell>
          <cell r="BM37">
            <v>426211.18999999994</v>
          </cell>
          <cell r="BN37">
            <v>105051.57</v>
          </cell>
          <cell r="BO37">
            <v>365266.66</v>
          </cell>
          <cell r="BP37">
            <v>263771.45</v>
          </cell>
          <cell r="BQ37">
            <v>90373.199999999983</v>
          </cell>
          <cell r="BR37">
            <v>166008.12000000008</v>
          </cell>
          <cell r="BS37">
            <v>237734.23</v>
          </cell>
          <cell r="BT37">
            <v>56272.320000000014</v>
          </cell>
          <cell r="BU37">
            <v>227317.05999999997</v>
          </cell>
          <cell r="BV37">
            <v>200265.58999999997</v>
          </cell>
          <cell r="BW37">
            <v>-23267.339999999993</v>
          </cell>
          <cell r="BX37">
            <v>0</v>
          </cell>
          <cell r="BY37">
            <v>2134233.7399999993</v>
          </cell>
          <cell r="BZ37">
            <v>2134233.7399999993</v>
          </cell>
          <cell r="CA37">
            <v>-23267.339999999993</v>
          </cell>
          <cell r="CB37">
            <v>0</v>
          </cell>
          <cell r="CC37">
            <v>56645.25</v>
          </cell>
          <cell r="CD37">
            <v>874092.44</v>
          </cell>
          <cell r="CE37">
            <v>426500.12999999983</v>
          </cell>
          <cell r="CF37">
            <v>316676.43</v>
          </cell>
          <cell r="CG37">
            <v>209792.4</v>
          </cell>
          <cell r="CH37">
            <v>282640.18</v>
          </cell>
          <cell r="CI37">
            <v>289855.68000000005</v>
          </cell>
          <cell r="CJ37">
            <v>171625.97000000003</v>
          </cell>
          <cell r="CK37">
            <v>201692.38999999998</v>
          </cell>
          <cell r="CL37">
            <v>-23212.170000000013</v>
          </cell>
          <cell r="CM37">
            <v>-211002.02</v>
          </cell>
          <cell r="CN37">
            <v>32777.990000000013</v>
          </cell>
          <cell r="CO37">
            <v>0</v>
          </cell>
          <cell r="CP37">
            <v>2628084.6700000004</v>
          </cell>
          <cell r="CQ37">
            <v>2628084.6700000004</v>
          </cell>
          <cell r="CR37">
            <v>0</v>
          </cell>
          <cell r="CS37">
            <v>495098.92</v>
          </cell>
          <cell r="CT37">
            <v>191937.64999999994</v>
          </cell>
          <cell r="CU37">
            <v>324966.40999999992</v>
          </cell>
          <cell r="CV37">
            <v>208956.57000000004</v>
          </cell>
          <cell r="CW37">
            <v>154833.98000000004</v>
          </cell>
          <cell r="CX37">
            <v>110100.51000000002</v>
          </cell>
          <cell r="CY37">
            <v>146679.75999999998</v>
          </cell>
          <cell r="CZ37">
            <v>83875.699999999983</v>
          </cell>
          <cell r="DA37">
            <v>37801.569999999992</v>
          </cell>
          <cell r="DB37">
            <v>41663.220000000008</v>
          </cell>
          <cell r="DC37">
            <v>-23468.469999999987</v>
          </cell>
          <cell r="DD37">
            <v>96873.829999999973</v>
          </cell>
          <cell r="DE37">
            <v>0</v>
          </cell>
          <cell r="DF37">
            <v>1869319.6500000001</v>
          </cell>
          <cell r="DG37">
            <v>1869319.6500000001</v>
          </cell>
        </row>
        <row r="38">
          <cell r="B38">
            <v>35</v>
          </cell>
          <cell r="C38" t="str">
            <v>Messekosten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990.90000000000009</v>
          </cell>
          <cell r="U38">
            <v>4435.5300000000007</v>
          </cell>
          <cell r="V38">
            <v>-735.87000000000012</v>
          </cell>
          <cell r="W38">
            <v>1364.3999999999999</v>
          </cell>
          <cell r="X38">
            <v>43480.35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49535.310000000012</v>
          </cell>
          <cell r="AH38">
            <v>49535.310000000012</v>
          </cell>
          <cell r="AI38">
            <v>0</v>
          </cell>
          <cell r="AK38">
            <v>137.77000000000001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4690.5600000000004</v>
          </cell>
          <cell r="AV38">
            <v>4690.5600000000004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49535.310000000012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49535.310000000012</v>
          </cell>
          <cell r="BI38">
            <v>0</v>
          </cell>
          <cell r="BJ38">
            <v>0</v>
          </cell>
          <cell r="BK38">
            <v>0</v>
          </cell>
          <cell r="BL38">
            <v>20296.12</v>
          </cell>
          <cell r="BM38">
            <v>6443.1299999999992</v>
          </cell>
          <cell r="BN38">
            <v>0</v>
          </cell>
          <cell r="BO38">
            <v>784.13999999999987</v>
          </cell>
          <cell r="BP38">
            <v>0</v>
          </cell>
          <cell r="BQ38">
            <v>1206.07</v>
          </cell>
          <cell r="BR38">
            <v>1568.68</v>
          </cell>
          <cell r="BS38">
            <v>2601.1500000000005</v>
          </cell>
          <cell r="BT38">
            <v>271.50000000000006</v>
          </cell>
          <cell r="BU38">
            <v>1695.2300000000005</v>
          </cell>
          <cell r="BV38">
            <v>2551.44</v>
          </cell>
          <cell r="BW38">
            <v>29094.939999999995</v>
          </cell>
          <cell r="BX38">
            <v>0</v>
          </cell>
          <cell r="BY38">
            <v>66512.400000000009</v>
          </cell>
          <cell r="BZ38">
            <v>66512.400000000009</v>
          </cell>
          <cell r="CA38">
            <v>29094.939999999995</v>
          </cell>
          <cell r="CB38">
            <v>0</v>
          </cell>
          <cell r="CC38">
            <v>114546.37999999999</v>
          </cell>
          <cell r="CD38">
            <v>44585.630000000005</v>
          </cell>
          <cell r="CE38">
            <v>32101.55</v>
          </cell>
          <cell r="CF38">
            <v>1420.5400000000004</v>
          </cell>
          <cell r="CG38">
            <v>0</v>
          </cell>
          <cell r="CH38">
            <v>-1234.47</v>
          </cell>
          <cell r="CI38">
            <v>0</v>
          </cell>
          <cell r="CJ38">
            <v>0</v>
          </cell>
          <cell r="CK38">
            <v>2668.7200000000003</v>
          </cell>
          <cell r="CL38">
            <v>1655.6900000000003</v>
          </cell>
          <cell r="CM38">
            <v>181.53</v>
          </cell>
          <cell r="CN38">
            <v>3785.5699999999997</v>
          </cell>
          <cell r="CO38">
            <v>0</v>
          </cell>
          <cell r="CP38">
            <v>199711.13999999996</v>
          </cell>
          <cell r="CQ38">
            <v>199711.13999999996</v>
          </cell>
          <cell r="CR38">
            <v>0</v>
          </cell>
          <cell r="CS38">
            <v>155836.74000000002</v>
          </cell>
          <cell r="CT38">
            <v>67854.47</v>
          </cell>
          <cell r="CU38">
            <v>15605.21</v>
          </cell>
          <cell r="CV38">
            <v>6548.2799999999988</v>
          </cell>
          <cell r="CW38">
            <v>811.82000000000016</v>
          </cell>
          <cell r="CX38">
            <v>202.86</v>
          </cell>
          <cell r="CY38">
            <v>57.329999999999984</v>
          </cell>
          <cell r="CZ38">
            <v>102.47</v>
          </cell>
          <cell r="DA38">
            <v>479.05000000000007</v>
          </cell>
          <cell r="DB38">
            <v>1515.58</v>
          </cell>
          <cell r="DC38">
            <v>9042.49</v>
          </cell>
          <cell r="DD38">
            <v>10635.689999999997</v>
          </cell>
          <cell r="DE38">
            <v>0</v>
          </cell>
          <cell r="DF38">
            <v>268691.99</v>
          </cell>
          <cell r="DG38">
            <v>268691.99</v>
          </cell>
        </row>
        <row r="39">
          <cell r="B39">
            <v>36</v>
          </cell>
          <cell r="C39" t="str">
            <v>Abstimmbrücke CO-PA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2641810.46</v>
          </cell>
          <cell r="U39">
            <v>3059850.7100000004</v>
          </cell>
          <cell r="V39">
            <v>3137766.8400000003</v>
          </cell>
          <cell r="W39">
            <v>3104986.8200000003</v>
          </cell>
          <cell r="X39">
            <v>3266079.3299999996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15210494.160000002</v>
          </cell>
          <cell r="AH39">
            <v>15210494.160000002</v>
          </cell>
          <cell r="AI39">
            <v>0</v>
          </cell>
          <cell r="AK39">
            <v>62628.03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8839428.0100000016</v>
          </cell>
          <cell r="AV39">
            <v>8839428.0100000016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15210494.160000002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15210494.160000002</v>
          </cell>
          <cell r="BI39">
            <v>0</v>
          </cell>
          <cell r="BJ39">
            <v>0</v>
          </cell>
          <cell r="BK39">
            <v>0</v>
          </cell>
          <cell r="BL39">
            <v>2519609.810000001</v>
          </cell>
          <cell r="BM39">
            <v>2810351.0199999991</v>
          </cell>
          <cell r="BN39">
            <v>3108678.1999999997</v>
          </cell>
          <cell r="BO39">
            <v>3100328.5899999989</v>
          </cell>
          <cell r="BP39">
            <v>2914137.6100000003</v>
          </cell>
          <cell r="BQ39">
            <v>2784344.97</v>
          </cell>
          <cell r="BR39">
            <v>2895792.7299999995</v>
          </cell>
          <cell r="BS39">
            <v>2442971.19</v>
          </cell>
          <cell r="BT39">
            <v>2685837.0200000005</v>
          </cell>
          <cell r="BU39">
            <v>2942478.2199999988</v>
          </cell>
          <cell r="BV39">
            <v>3059417.5799999996</v>
          </cell>
          <cell r="BW39">
            <v>2759200.14</v>
          </cell>
          <cell r="BX39">
            <v>0</v>
          </cell>
          <cell r="BY39">
            <v>34023147.079999998</v>
          </cell>
          <cell r="BZ39">
            <v>34023147.079999998</v>
          </cell>
          <cell r="CA39">
            <v>2759200.14</v>
          </cell>
          <cell r="CB39">
            <v>0</v>
          </cell>
          <cell r="CC39">
            <v>2698468.7</v>
          </cell>
          <cell r="CD39">
            <v>2886826.7499999991</v>
          </cell>
          <cell r="CE39">
            <v>2993732.36</v>
          </cell>
          <cell r="CF39">
            <v>2422185.5500000007</v>
          </cell>
          <cell r="CG39">
            <v>2820774.0900000003</v>
          </cell>
          <cell r="CH39">
            <v>2772365.4299999997</v>
          </cell>
          <cell r="CI39">
            <v>2778882.2899999996</v>
          </cell>
          <cell r="CJ39">
            <v>2568252.7399999998</v>
          </cell>
          <cell r="CK39">
            <v>2783527.87</v>
          </cell>
          <cell r="CL39">
            <v>3296899.9099999992</v>
          </cell>
          <cell r="CM39">
            <v>3043653.3199999994</v>
          </cell>
          <cell r="CN39">
            <v>3008529.4399999985</v>
          </cell>
          <cell r="CO39">
            <v>0</v>
          </cell>
          <cell r="CP39">
            <v>34074098.449999988</v>
          </cell>
          <cell r="CQ39">
            <v>34074098.449999988</v>
          </cell>
          <cell r="CR39">
            <v>0</v>
          </cell>
          <cell r="CS39">
            <v>2821636.8600000003</v>
          </cell>
          <cell r="CT39">
            <v>2624474.0099999993</v>
          </cell>
          <cell r="CU39">
            <v>2837727.31</v>
          </cell>
          <cell r="CV39">
            <v>2870283.7399999998</v>
          </cell>
          <cell r="CW39">
            <v>2656178.1</v>
          </cell>
          <cell r="CX39">
            <v>2589307.89</v>
          </cell>
          <cell r="CY39">
            <v>2877970.4600000009</v>
          </cell>
          <cell r="CZ39">
            <v>2748539.8099999996</v>
          </cell>
          <cell r="DA39">
            <v>2730016.56</v>
          </cell>
          <cell r="DB39">
            <v>2818689.99</v>
          </cell>
          <cell r="DC39">
            <v>2484505.61</v>
          </cell>
          <cell r="DD39">
            <v>2888801.2399999998</v>
          </cell>
          <cell r="DE39">
            <v>0</v>
          </cell>
          <cell r="DF39">
            <v>32948131.579999991</v>
          </cell>
          <cell r="DG39">
            <v>32948131.579999991</v>
          </cell>
        </row>
        <row r="40">
          <cell r="B40">
            <v>37</v>
          </cell>
          <cell r="C40" t="str">
            <v>Anzahl Auftragspositionen [Stk]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73228</v>
          </cell>
          <cell r="U40">
            <v>84653</v>
          </cell>
          <cell r="V40">
            <v>105325</v>
          </cell>
          <cell r="W40">
            <v>93482</v>
          </cell>
          <cell r="X40">
            <v>104273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460961</v>
          </cell>
          <cell r="AH40">
            <v>460961</v>
          </cell>
          <cell r="AI40">
            <v>0</v>
          </cell>
          <cell r="AK40">
            <v>3929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263206</v>
          </cell>
          <cell r="AV40">
            <v>263206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460961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460961</v>
          </cell>
          <cell r="BI40">
            <v>0</v>
          </cell>
          <cell r="BJ40">
            <v>0</v>
          </cell>
          <cell r="BK40">
            <v>0</v>
          </cell>
          <cell r="BL40">
            <v>69986</v>
          </cell>
          <cell r="BM40">
            <v>82648</v>
          </cell>
          <cell r="BN40">
            <v>112124</v>
          </cell>
          <cell r="BO40">
            <v>114834</v>
          </cell>
          <cell r="BP40">
            <v>106384</v>
          </cell>
          <cell r="BQ40">
            <v>113686</v>
          </cell>
          <cell r="BR40">
            <v>111823</v>
          </cell>
          <cell r="BS40">
            <v>96477</v>
          </cell>
          <cell r="BT40">
            <v>86267</v>
          </cell>
          <cell r="BU40">
            <v>89905</v>
          </cell>
          <cell r="BV40">
            <v>97550</v>
          </cell>
          <cell r="BW40">
            <v>67352</v>
          </cell>
          <cell r="BX40">
            <v>0</v>
          </cell>
          <cell r="BY40">
            <v>1149036</v>
          </cell>
          <cell r="BZ40">
            <v>1149036</v>
          </cell>
          <cell r="CA40">
            <v>67352</v>
          </cell>
          <cell r="CB40">
            <v>0</v>
          </cell>
          <cell r="CC40">
            <v>83538</v>
          </cell>
          <cell r="CD40">
            <v>86483</v>
          </cell>
          <cell r="CE40">
            <v>121043</v>
          </cell>
          <cell r="CF40">
            <v>98328</v>
          </cell>
          <cell r="CG40">
            <v>98099</v>
          </cell>
          <cell r="CH40">
            <v>114668</v>
          </cell>
          <cell r="CI40">
            <v>124408</v>
          </cell>
          <cell r="CJ40">
            <v>100035</v>
          </cell>
          <cell r="CK40">
            <v>105788</v>
          </cell>
          <cell r="CL40">
            <v>106074</v>
          </cell>
          <cell r="CM40">
            <v>102942</v>
          </cell>
          <cell r="CN40">
            <v>79157</v>
          </cell>
          <cell r="CO40">
            <v>0</v>
          </cell>
          <cell r="CP40">
            <v>1220563</v>
          </cell>
          <cell r="CQ40">
            <v>1220563</v>
          </cell>
          <cell r="CR40">
            <v>0</v>
          </cell>
          <cell r="CS40">
            <v>86210</v>
          </cell>
          <cell r="CT40">
            <v>84039</v>
          </cell>
          <cell r="CU40">
            <v>98377</v>
          </cell>
          <cell r="CV40">
            <v>98296</v>
          </cell>
          <cell r="CW40">
            <v>106818</v>
          </cell>
          <cell r="CX40">
            <v>97160</v>
          </cell>
          <cell r="CY40">
            <v>121485</v>
          </cell>
          <cell r="CZ40">
            <v>98784</v>
          </cell>
          <cell r="DA40">
            <v>94683</v>
          </cell>
          <cell r="DB40">
            <v>99865</v>
          </cell>
          <cell r="DC40">
            <v>91533</v>
          </cell>
          <cell r="DD40">
            <v>56684</v>
          </cell>
          <cell r="DE40">
            <v>0</v>
          </cell>
          <cell r="DF40">
            <v>1133934</v>
          </cell>
          <cell r="DG40">
            <v>1133934</v>
          </cell>
        </row>
        <row r="41">
          <cell r="B41">
            <v>38</v>
          </cell>
          <cell r="C41" t="str">
            <v>Anzahl Garnitur [Stk]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73542.350000000006</v>
          </cell>
          <cell r="U41">
            <v>88446.32</v>
          </cell>
          <cell r="V41">
            <v>107847.99</v>
          </cell>
          <cell r="W41">
            <v>96196.78</v>
          </cell>
          <cell r="X41">
            <v>109186.31000000001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475219.75</v>
          </cell>
          <cell r="AH41">
            <v>475219.75</v>
          </cell>
          <cell r="AI41">
            <v>0</v>
          </cell>
          <cell r="AK41">
            <v>2784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269836.65999999997</v>
          </cell>
          <cell r="AV41">
            <v>269836.65999999997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475219.75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475219.75</v>
          </cell>
          <cell r="BI41">
            <v>0</v>
          </cell>
          <cell r="BJ41">
            <v>0</v>
          </cell>
          <cell r="BK41">
            <v>0</v>
          </cell>
          <cell r="BL41">
            <v>75174.399999999994</v>
          </cell>
          <cell r="BM41">
            <v>89329.7</v>
          </cell>
          <cell r="BN41">
            <v>115611.01</v>
          </cell>
          <cell r="BO41">
            <v>113809.03</v>
          </cell>
          <cell r="BP41">
            <v>110760.90000000001</v>
          </cell>
          <cell r="BQ41">
            <v>120410.94</v>
          </cell>
          <cell r="BR41">
            <v>115005.91</v>
          </cell>
          <cell r="BS41">
            <v>99064.41</v>
          </cell>
          <cell r="BT41">
            <v>87049.14</v>
          </cell>
          <cell r="BU41">
            <v>87146.42</v>
          </cell>
          <cell r="BV41">
            <v>101516.77</v>
          </cell>
          <cell r="BW41">
            <v>71497.27</v>
          </cell>
          <cell r="BX41">
            <v>0</v>
          </cell>
          <cell r="BY41">
            <v>1186375.9000000001</v>
          </cell>
          <cell r="BZ41">
            <v>1186375.9000000001</v>
          </cell>
          <cell r="CA41">
            <v>71497.27</v>
          </cell>
          <cell r="CB41">
            <v>0</v>
          </cell>
          <cell r="CC41">
            <v>94066.209999999992</v>
          </cell>
          <cell r="CD41">
            <v>95017.200000000012</v>
          </cell>
          <cell r="CE41">
            <v>93444.110000000015</v>
          </cell>
          <cell r="CF41">
            <v>81512.87000000001</v>
          </cell>
          <cell r="CG41">
            <v>96132.26</v>
          </cell>
          <cell r="CH41">
            <v>114556.48999999999</v>
          </cell>
          <cell r="CI41">
            <v>122259.45</v>
          </cell>
          <cell r="CJ41">
            <v>102821.31</v>
          </cell>
          <cell r="CK41">
            <v>111084.15000000001</v>
          </cell>
          <cell r="CL41">
            <v>107725.49</v>
          </cell>
          <cell r="CM41">
            <v>109817.19</v>
          </cell>
          <cell r="CN41">
            <v>87701.290000000008</v>
          </cell>
          <cell r="CO41">
            <v>0</v>
          </cell>
          <cell r="CP41">
            <v>1216138.0200000003</v>
          </cell>
          <cell r="CQ41">
            <v>1216138.0200000003</v>
          </cell>
          <cell r="CR41">
            <v>0</v>
          </cell>
          <cell r="CS41">
            <v>92409.780000000013</v>
          </cell>
          <cell r="CT41">
            <v>86863.71</v>
          </cell>
          <cell r="CU41">
            <v>101693.70999999999</v>
          </cell>
          <cell r="CV41">
            <v>101089.89</v>
          </cell>
          <cell r="CW41">
            <v>110327.04999999999</v>
          </cell>
          <cell r="CX41">
            <v>96251.71</v>
          </cell>
          <cell r="CY41">
            <v>118182.29999999999</v>
          </cell>
          <cell r="CZ41">
            <v>101683.28</v>
          </cell>
          <cell r="DA41">
            <v>97843.39</v>
          </cell>
          <cell r="DB41">
            <v>99542.91</v>
          </cell>
          <cell r="DC41">
            <v>98802.11</v>
          </cell>
          <cell r="DD41">
            <v>62637.32</v>
          </cell>
          <cell r="DE41">
            <v>0</v>
          </cell>
          <cell r="DF41">
            <v>1167327.1600000001</v>
          </cell>
          <cell r="DG41">
            <v>1167327.1600000001</v>
          </cell>
        </row>
        <row r="42">
          <cell r="B42">
            <v>39</v>
          </cell>
          <cell r="C42" t="str">
            <v>Anzahl Absatz [m²]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159</v>
          </cell>
          <cell r="U42">
            <v>261</v>
          </cell>
          <cell r="V42">
            <v>205</v>
          </cell>
          <cell r="W42">
            <v>269</v>
          </cell>
          <cell r="X42">
            <v>290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1184</v>
          </cell>
          <cell r="AH42">
            <v>1184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625</v>
          </cell>
          <cell r="AV42">
            <v>625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1184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1184</v>
          </cell>
          <cell r="BI42">
            <v>0</v>
          </cell>
          <cell r="BJ42">
            <v>0</v>
          </cell>
          <cell r="BK42">
            <v>0</v>
          </cell>
          <cell r="BL42">
            <v>163</v>
          </cell>
          <cell r="BM42">
            <v>141</v>
          </cell>
          <cell r="BN42">
            <v>233</v>
          </cell>
          <cell r="BO42">
            <v>178</v>
          </cell>
          <cell r="BP42">
            <v>186</v>
          </cell>
          <cell r="BQ42">
            <v>254</v>
          </cell>
          <cell r="BR42">
            <v>384</v>
          </cell>
          <cell r="BS42">
            <v>163</v>
          </cell>
          <cell r="BT42">
            <v>226</v>
          </cell>
          <cell r="BU42">
            <v>175</v>
          </cell>
          <cell r="BV42">
            <v>139</v>
          </cell>
          <cell r="BW42">
            <v>117</v>
          </cell>
          <cell r="BX42">
            <v>0</v>
          </cell>
          <cell r="BY42">
            <v>2359</v>
          </cell>
          <cell r="BZ42">
            <v>2359</v>
          </cell>
          <cell r="CA42">
            <v>117</v>
          </cell>
          <cell r="CB42">
            <v>0</v>
          </cell>
          <cell r="CC42">
            <v>210</v>
          </cell>
          <cell r="CD42">
            <v>301</v>
          </cell>
          <cell r="CE42">
            <v>314</v>
          </cell>
          <cell r="CF42">
            <v>491</v>
          </cell>
          <cell r="CG42">
            <v>327</v>
          </cell>
          <cell r="CH42">
            <v>329</v>
          </cell>
          <cell r="CI42">
            <v>321</v>
          </cell>
          <cell r="CJ42">
            <v>441</v>
          </cell>
          <cell r="CK42">
            <v>355</v>
          </cell>
          <cell r="CL42">
            <v>213</v>
          </cell>
          <cell r="CM42">
            <v>314</v>
          </cell>
          <cell r="CN42">
            <v>205</v>
          </cell>
          <cell r="CO42">
            <v>0</v>
          </cell>
          <cell r="CP42">
            <v>3821</v>
          </cell>
          <cell r="CQ42">
            <v>3821</v>
          </cell>
          <cell r="CR42">
            <v>0</v>
          </cell>
          <cell r="CS42">
            <v>397</v>
          </cell>
          <cell r="CT42">
            <v>196</v>
          </cell>
          <cell r="CU42">
            <v>314</v>
          </cell>
          <cell r="CV42">
            <v>344</v>
          </cell>
          <cell r="CW42">
            <v>441</v>
          </cell>
          <cell r="CX42">
            <v>340</v>
          </cell>
          <cell r="CY42">
            <v>529</v>
          </cell>
          <cell r="CZ42">
            <v>339</v>
          </cell>
          <cell r="DA42">
            <v>402</v>
          </cell>
          <cell r="DB42">
            <v>415</v>
          </cell>
          <cell r="DC42">
            <v>318</v>
          </cell>
          <cell r="DD42">
            <v>282</v>
          </cell>
          <cell r="DE42">
            <v>0</v>
          </cell>
          <cell r="DF42">
            <v>4317</v>
          </cell>
          <cell r="DG42">
            <v>4317</v>
          </cell>
        </row>
        <row r="43">
          <cell r="B43">
            <v>40</v>
          </cell>
          <cell r="C43" t="str">
            <v>Fiktiver Auftragswert Reklamation [EUR]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19582.670000000002</v>
          </cell>
          <cell r="U43">
            <v>49126.83</v>
          </cell>
          <cell r="V43">
            <v>40022.410000000003</v>
          </cell>
          <cell r="W43">
            <v>39267.980000000003</v>
          </cell>
          <cell r="X43">
            <v>50426.450000000004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198426.33999999997</v>
          </cell>
          <cell r="AH43">
            <v>198426.33999999997</v>
          </cell>
          <cell r="AI43">
            <v>0</v>
          </cell>
          <cell r="AK43">
            <v>594.83000000000004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108731.91000000002</v>
          </cell>
          <cell r="AV43">
            <v>108731.91000000002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198426.33999999997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198426.33999999997</v>
          </cell>
          <cell r="BI43">
            <v>0</v>
          </cell>
          <cell r="BJ43">
            <v>0</v>
          </cell>
          <cell r="BK43">
            <v>0</v>
          </cell>
          <cell r="BL43">
            <v>24574.19</v>
          </cell>
          <cell r="BM43">
            <v>33149.4</v>
          </cell>
          <cell r="BN43">
            <v>43379.58</v>
          </cell>
          <cell r="BO43">
            <v>48029.369999999995</v>
          </cell>
          <cell r="BP43">
            <v>51757.789999999994</v>
          </cell>
          <cell r="BQ43">
            <v>65975.820000000007</v>
          </cell>
          <cell r="BR43">
            <v>62685.069999999992</v>
          </cell>
          <cell r="BS43">
            <v>41648.6</v>
          </cell>
          <cell r="BT43">
            <v>50104.539999999994</v>
          </cell>
          <cell r="BU43">
            <v>43181.920000000006</v>
          </cell>
          <cell r="BV43">
            <v>39620.710000000006</v>
          </cell>
          <cell r="BW43">
            <v>46557.930000000008</v>
          </cell>
          <cell r="BX43">
            <v>0</v>
          </cell>
          <cell r="BY43">
            <v>550664.92000000004</v>
          </cell>
          <cell r="BZ43">
            <v>550664.92000000004</v>
          </cell>
          <cell r="CA43">
            <v>46557.930000000008</v>
          </cell>
          <cell r="CB43">
            <v>0</v>
          </cell>
          <cell r="CC43">
            <v>26158.289999999997</v>
          </cell>
          <cell r="CD43">
            <v>29781.910000000007</v>
          </cell>
          <cell r="CE43">
            <v>37365.950000000004</v>
          </cell>
          <cell r="CF43">
            <v>46192.490000000005</v>
          </cell>
          <cell r="CG43">
            <v>46137.410000000011</v>
          </cell>
          <cell r="CH43">
            <v>56459.529999999992</v>
          </cell>
          <cell r="CI43">
            <v>80517.110000000015</v>
          </cell>
          <cell r="CJ43">
            <v>63140.049999999996</v>
          </cell>
          <cell r="CK43">
            <v>71635.47</v>
          </cell>
          <cell r="CL43">
            <v>58940.45</v>
          </cell>
          <cell r="CM43">
            <v>61874.110000000008</v>
          </cell>
          <cell r="CN43">
            <v>50208.469999999987</v>
          </cell>
          <cell r="CO43">
            <v>0</v>
          </cell>
          <cell r="CP43">
            <v>628411.23999999987</v>
          </cell>
          <cell r="CQ43">
            <v>628411.23999999987</v>
          </cell>
          <cell r="CR43">
            <v>0</v>
          </cell>
          <cell r="CS43">
            <v>27975.499999999996</v>
          </cell>
          <cell r="CT43">
            <v>27650.16</v>
          </cell>
          <cell r="CU43">
            <v>34693.94</v>
          </cell>
          <cell r="CV43">
            <v>43659.31</v>
          </cell>
          <cell r="CW43">
            <v>52510.459999999992</v>
          </cell>
          <cell r="CX43">
            <v>38179.410000000003</v>
          </cell>
          <cell r="CY43">
            <v>72033.73000000001</v>
          </cell>
          <cell r="CZ43">
            <v>54477.499999999993</v>
          </cell>
          <cell r="DA43">
            <v>51957.140000000007</v>
          </cell>
          <cell r="DB43">
            <v>51134.71</v>
          </cell>
          <cell r="DC43">
            <v>46222.62</v>
          </cell>
          <cell r="DD43">
            <v>34380.28</v>
          </cell>
          <cell r="DE43">
            <v>0</v>
          </cell>
          <cell r="DF43">
            <v>534874.76</v>
          </cell>
          <cell r="DG43">
            <v>534874.76</v>
          </cell>
        </row>
        <row r="44">
          <cell r="B44">
            <v>41</v>
          </cell>
          <cell r="C44" t="str">
            <v>Anzahl Reklamationen  [Stk]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333</v>
          </cell>
          <cell r="U44">
            <v>439</v>
          </cell>
          <cell r="V44">
            <v>530</v>
          </cell>
          <cell r="W44">
            <v>467</v>
          </cell>
          <cell r="X44">
            <v>731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2500</v>
          </cell>
          <cell r="AH44">
            <v>2500</v>
          </cell>
          <cell r="AI44">
            <v>0</v>
          </cell>
          <cell r="AK44">
            <v>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1302</v>
          </cell>
          <cell r="AV44">
            <v>1302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2500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2500</v>
          </cell>
          <cell r="BI44">
            <v>0</v>
          </cell>
          <cell r="BJ44">
            <v>0</v>
          </cell>
          <cell r="BK44">
            <v>0</v>
          </cell>
          <cell r="BL44">
            <v>384</v>
          </cell>
          <cell r="BM44">
            <v>457</v>
          </cell>
          <cell r="BN44">
            <v>554</v>
          </cell>
          <cell r="BO44">
            <v>616</v>
          </cell>
          <cell r="BP44">
            <v>671</v>
          </cell>
          <cell r="BQ44">
            <v>834</v>
          </cell>
          <cell r="BR44">
            <v>783</v>
          </cell>
          <cell r="BS44">
            <v>637</v>
          </cell>
          <cell r="BT44">
            <v>667</v>
          </cell>
          <cell r="BU44">
            <v>577</v>
          </cell>
          <cell r="BV44">
            <v>483</v>
          </cell>
          <cell r="BW44">
            <v>398</v>
          </cell>
          <cell r="BX44">
            <v>0</v>
          </cell>
          <cell r="BY44">
            <v>7061</v>
          </cell>
          <cell r="BZ44">
            <v>7061</v>
          </cell>
          <cell r="CA44">
            <v>398</v>
          </cell>
          <cell r="CB44">
            <v>0</v>
          </cell>
          <cell r="CC44">
            <v>388</v>
          </cell>
          <cell r="CD44">
            <v>437</v>
          </cell>
          <cell r="CE44">
            <v>547</v>
          </cell>
          <cell r="CF44">
            <v>556</v>
          </cell>
          <cell r="CG44">
            <v>551</v>
          </cell>
          <cell r="CH44">
            <v>745</v>
          </cell>
          <cell r="CI44">
            <v>957</v>
          </cell>
          <cell r="CJ44">
            <v>816</v>
          </cell>
          <cell r="CK44">
            <v>1004</v>
          </cell>
          <cell r="CL44">
            <v>888</v>
          </cell>
          <cell r="CM44">
            <v>877</v>
          </cell>
          <cell r="CN44">
            <v>721</v>
          </cell>
          <cell r="CO44">
            <v>0</v>
          </cell>
          <cell r="CP44">
            <v>8487</v>
          </cell>
          <cell r="CQ44">
            <v>8487</v>
          </cell>
          <cell r="CR44">
            <v>0</v>
          </cell>
          <cell r="CS44">
            <v>439</v>
          </cell>
          <cell r="CT44">
            <v>441</v>
          </cell>
          <cell r="CU44">
            <v>477</v>
          </cell>
          <cell r="CV44">
            <v>578</v>
          </cell>
          <cell r="CW44">
            <v>706</v>
          </cell>
          <cell r="CX44">
            <v>624</v>
          </cell>
          <cell r="CY44">
            <v>826</v>
          </cell>
          <cell r="CZ44">
            <v>750</v>
          </cell>
          <cell r="DA44">
            <v>744</v>
          </cell>
          <cell r="DB44">
            <v>749</v>
          </cell>
          <cell r="DC44">
            <v>530</v>
          </cell>
          <cell r="DD44">
            <v>492</v>
          </cell>
          <cell r="DE44">
            <v>0</v>
          </cell>
          <cell r="DF44">
            <v>7356</v>
          </cell>
          <cell r="DG44">
            <v>7356</v>
          </cell>
        </row>
        <row r="45">
          <cell r="B45">
            <v>42</v>
          </cell>
          <cell r="C45" t="str">
            <v>Materialbestand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24252889.779999994</v>
          </cell>
          <cell r="U45">
            <v>25256520.84</v>
          </cell>
          <cell r="V45">
            <v>26561927.969999991</v>
          </cell>
          <cell r="W45">
            <v>27116778.760000002</v>
          </cell>
          <cell r="X45">
            <v>27377255.52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130565372.87</v>
          </cell>
          <cell r="AH45">
            <v>130565372.87</v>
          </cell>
          <cell r="AI45">
            <v>0</v>
          </cell>
          <cell r="AK45">
            <v>868911.19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76071338.590000004</v>
          </cell>
          <cell r="AV45">
            <v>76071338.590000004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130565372.87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130565372.87</v>
          </cell>
          <cell r="BI45">
            <v>0</v>
          </cell>
          <cell r="BJ45">
            <v>0</v>
          </cell>
          <cell r="BK45">
            <v>0</v>
          </cell>
          <cell r="BL45">
            <v>18981585.73</v>
          </cell>
          <cell r="BM45">
            <v>19696234.030000001</v>
          </cell>
          <cell r="BN45">
            <v>20780763.250000004</v>
          </cell>
          <cell r="BO45">
            <v>21849731.819999997</v>
          </cell>
          <cell r="BP45">
            <v>22596823.600000001</v>
          </cell>
          <cell r="BQ45">
            <v>23466337.290000003</v>
          </cell>
          <cell r="BR45">
            <v>23845708.380000003</v>
          </cell>
          <cell r="BS45">
            <v>23574646.829999998</v>
          </cell>
          <cell r="BT45">
            <v>23916725.849999994</v>
          </cell>
          <cell r="BU45">
            <v>23856619.680000003</v>
          </cell>
          <cell r="BV45">
            <v>23755535.139999997</v>
          </cell>
          <cell r="BW45">
            <v>23906243.610000007</v>
          </cell>
          <cell r="BX45">
            <v>0</v>
          </cell>
          <cell r="BY45">
            <v>270226955.20999998</v>
          </cell>
          <cell r="BZ45">
            <v>270226955.20999998</v>
          </cell>
          <cell r="CA45">
            <v>23906243.610000007</v>
          </cell>
          <cell r="CB45">
            <v>0</v>
          </cell>
          <cell r="CC45">
            <v>17487067.730000004</v>
          </cell>
          <cell r="CD45">
            <v>17783658.729999997</v>
          </cell>
          <cell r="CE45">
            <v>18526353.889999993</v>
          </cell>
          <cell r="CF45">
            <v>18734619.020000003</v>
          </cell>
          <cell r="CG45">
            <v>19609622.690000001</v>
          </cell>
          <cell r="CH45">
            <v>19240471.300000004</v>
          </cell>
          <cell r="CI45">
            <v>19910766.349999998</v>
          </cell>
          <cell r="CJ45">
            <v>19651440.079999994</v>
          </cell>
          <cell r="CK45">
            <v>19502488.939999998</v>
          </cell>
          <cell r="CL45">
            <v>18820572.82</v>
          </cell>
          <cell r="CM45">
            <v>18874681.009999998</v>
          </cell>
          <cell r="CN45">
            <v>18434777.190000001</v>
          </cell>
          <cell r="CO45">
            <v>0</v>
          </cell>
          <cell r="CP45">
            <v>226576519.75000003</v>
          </cell>
          <cell r="CQ45">
            <v>226576519.75000003</v>
          </cell>
          <cell r="CR45">
            <v>0</v>
          </cell>
          <cell r="CS45">
            <v>17439768.43</v>
          </cell>
          <cell r="CT45">
            <v>18298602.690000009</v>
          </cell>
          <cell r="CU45">
            <v>18640446.189999998</v>
          </cell>
          <cell r="CV45">
            <v>19126509.32</v>
          </cell>
          <cell r="CW45">
            <v>18804695.600000001</v>
          </cell>
          <cell r="CX45">
            <v>18830927.960000001</v>
          </cell>
          <cell r="CY45">
            <v>18644082.140000001</v>
          </cell>
          <cell r="CZ45">
            <v>18303383.069999997</v>
          </cell>
          <cell r="DA45">
            <v>17995789.109999999</v>
          </cell>
          <cell r="DB45">
            <v>17761890.18</v>
          </cell>
          <cell r="DC45">
            <v>17816920.109999999</v>
          </cell>
          <cell r="DD45">
            <v>17422786.710000001</v>
          </cell>
          <cell r="DE45">
            <v>0</v>
          </cell>
          <cell r="DF45">
            <v>219085801.50999993</v>
          </cell>
          <cell r="DG45">
            <v>219085801.50999993</v>
          </cell>
        </row>
        <row r="46">
          <cell r="B46">
            <v>43</v>
          </cell>
          <cell r="C46" t="str">
            <v>Investitionen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46469.279999999992</v>
          </cell>
          <cell r="U46">
            <v>174197.47999999998</v>
          </cell>
          <cell r="V46">
            <v>250185.02999999994</v>
          </cell>
          <cell r="W46">
            <v>79627.340000000011</v>
          </cell>
          <cell r="X46">
            <v>362450.05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912929.18</v>
          </cell>
          <cell r="AH46">
            <v>912929.18</v>
          </cell>
          <cell r="AI46">
            <v>0</v>
          </cell>
          <cell r="AK46">
            <v>56.02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470851.78999999992</v>
          </cell>
          <cell r="AV46">
            <v>470851.78999999992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912929.18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912929.18</v>
          </cell>
          <cell r="BI46">
            <v>0</v>
          </cell>
          <cell r="BJ46">
            <v>0</v>
          </cell>
          <cell r="BK46">
            <v>0</v>
          </cell>
          <cell r="BL46">
            <v>158925.44000000003</v>
          </cell>
          <cell r="BM46">
            <v>136834.13999999998</v>
          </cell>
          <cell r="BN46">
            <v>350827.62000000011</v>
          </cell>
          <cell r="BO46">
            <v>149919.95000000004</v>
          </cell>
          <cell r="BP46">
            <v>528524.12000000011</v>
          </cell>
          <cell r="BQ46">
            <v>122005.96</v>
          </cell>
          <cell r="BR46">
            <v>122950.81999999996</v>
          </cell>
          <cell r="BS46">
            <v>212527.1</v>
          </cell>
          <cell r="BT46">
            <v>258704.1</v>
          </cell>
          <cell r="BU46">
            <v>164686.62000000002</v>
          </cell>
          <cell r="BV46">
            <v>169596.28</v>
          </cell>
          <cell r="BW46">
            <v>143503.49</v>
          </cell>
          <cell r="BX46">
            <v>0</v>
          </cell>
          <cell r="BY46">
            <v>2519005.6399999997</v>
          </cell>
          <cell r="BZ46">
            <v>2519005.6399999997</v>
          </cell>
          <cell r="CA46">
            <v>143503.49</v>
          </cell>
          <cell r="CB46">
            <v>0</v>
          </cell>
          <cell r="CC46">
            <v>100372.40999999999</v>
          </cell>
          <cell r="CD46">
            <v>181470.33</v>
          </cell>
          <cell r="CE46">
            <v>183046.30000000002</v>
          </cell>
          <cell r="CF46">
            <v>370500.87</v>
          </cell>
          <cell r="CG46">
            <v>179495.25</v>
          </cell>
          <cell r="CH46">
            <v>168240.74999999997</v>
          </cell>
          <cell r="CI46">
            <v>79591.87</v>
          </cell>
          <cell r="CJ46">
            <v>179747.82999999996</v>
          </cell>
          <cell r="CK46">
            <v>151654.86000000002</v>
          </cell>
          <cell r="CL46">
            <v>108904.02000000003</v>
          </cell>
          <cell r="CM46">
            <v>253189.96999999997</v>
          </cell>
          <cell r="CN46">
            <v>116223.16</v>
          </cell>
          <cell r="CO46">
            <v>0</v>
          </cell>
          <cell r="CP46">
            <v>2072437.6199999999</v>
          </cell>
          <cell r="CQ46">
            <v>2072437.6199999999</v>
          </cell>
          <cell r="CR46">
            <v>0</v>
          </cell>
          <cell r="CS46">
            <v>165864.95999999996</v>
          </cell>
          <cell r="CT46">
            <v>87154.83</v>
          </cell>
          <cell r="CU46">
            <v>238523.75999999998</v>
          </cell>
          <cell r="CV46">
            <v>185643.67</v>
          </cell>
          <cell r="CW46">
            <v>191239.58000000002</v>
          </cell>
          <cell r="CX46">
            <v>288002.94000000012</v>
          </cell>
          <cell r="CY46">
            <v>184019</v>
          </cell>
          <cell r="CZ46">
            <v>171688.65</v>
          </cell>
          <cell r="DA46">
            <v>67800.559999999983</v>
          </cell>
          <cell r="DB46">
            <v>327692.48999999993</v>
          </cell>
          <cell r="DC46">
            <v>69016.910000000018</v>
          </cell>
          <cell r="DD46">
            <v>137184.54999999996</v>
          </cell>
          <cell r="DE46">
            <v>0</v>
          </cell>
          <cell r="DF46">
            <v>2113831.9000000004</v>
          </cell>
          <cell r="DG46">
            <v>2113831.9000000004</v>
          </cell>
        </row>
        <row r="47">
          <cell r="B47">
            <v>44</v>
          </cell>
          <cell r="C47" t="str">
            <v>Anzahl Beschäftigte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652.0100000000001</v>
          </cell>
          <cell r="U47">
            <v>657.53</v>
          </cell>
          <cell r="V47">
            <v>689.91</v>
          </cell>
          <cell r="W47">
            <v>683.88</v>
          </cell>
          <cell r="X47">
            <v>679.71999999999969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3363.05</v>
          </cell>
          <cell r="AH47">
            <v>3363.05</v>
          </cell>
          <cell r="AI47">
            <v>0</v>
          </cell>
          <cell r="AK47">
            <v>8.42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1999.4500000000003</v>
          </cell>
          <cell r="AV47">
            <v>1999.4500000000003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3363.05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3363.05</v>
          </cell>
          <cell r="BI47">
            <v>0</v>
          </cell>
          <cell r="BJ47">
            <v>0</v>
          </cell>
          <cell r="BK47">
            <v>0</v>
          </cell>
          <cell r="BL47">
            <v>659.7299999999999</v>
          </cell>
          <cell r="BM47">
            <v>667.7199999999998</v>
          </cell>
          <cell r="BN47">
            <v>666.8399999999998</v>
          </cell>
          <cell r="BO47">
            <v>687.15</v>
          </cell>
          <cell r="BP47">
            <v>686.38000000000011</v>
          </cell>
          <cell r="BQ47">
            <v>700.23</v>
          </cell>
          <cell r="BR47">
            <v>680.9699999999998</v>
          </cell>
          <cell r="BS47">
            <v>674.87</v>
          </cell>
          <cell r="BT47">
            <v>682.97000000000037</v>
          </cell>
          <cell r="BU47">
            <v>678.54999999999984</v>
          </cell>
          <cell r="BV47">
            <v>669.67</v>
          </cell>
          <cell r="BW47">
            <v>662.47</v>
          </cell>
          <cell r="BX47">
            <v>0</v>
          </cell>
          <cell r="BY47">
            <v>8117.5499999999993</v>
          </cell>
          <cell r="BZ47">
            <v>8117.5499999999993</v>
          </cell>
          <cell r="CA47">
            <v>662.47</v>
          </cell>
          <cell r="CB47">
            <v>0</v>
          </cell>
          <cell r="CC47">
            <v>634.54000000000008</v>
          </cell>
          <cell r="CD47">
            <v>636.82000000000005</v>
          </cell>
          <cell r="CE47">
            <v>651.47000000000014</v>
          </cell>
          <cell r="CF47">
            <v>622.37999999999988</v>
          </cell>
          <cell r="CG47">
            <v>639.94000000000017</v>
          </cell>
          <cell r="CH47">
            <v>668</v>
          </cell>
          <cell r="CI47">
            <v>682.12999999999988</v>
          </cell>
          <cell r="CJ47">
            <v>683.52999999999986</v>
          </cell>
          <cell r="CK47">
            <v>649.39999999999986</v>
          </cell>
          <cell r="CL47">
            <v>643.97</v>
          </cell>
          <cell r="CM47">
            <v>660.80000000000007</v>
          </cell>
          <cell r="CN47">
            <v>640.55999999999995</v>
          </cell>
          <cell r="CO47">
            <v>0</v>
          </cell>
          <cell r="CP47">
            <v>7813.54</v>
          </cell>
          <cell r="CQ47">
            <v>7813.54</v>
          </cell>
          <cell r="CR47">
            <v>0</v>
          </cell>
          <cell r="CS47">
            <v>632.75000000000011</v>
          </cell>
          <cell r="CT47">
            <v>643.28000000000009</v>
          </cell>
          <cell r="CU47">
            <v>633.18000000000006</v>
          </cell>
          <cell r="CV47">
            <v>634.91999999999996</v>
          </cell>
          <cell r="CW47">
            <v>639.06000000000006</v>
          </cell>
          <cell r="CX47">
            <v>636.96000000000015</v>
          </cell>
          <cell r="CY47">
            <v>648.0200000000001</v>
          </cell>
          <cell r="CZ47">
            <v>647.20999999999992</v>
          </cell>
          <cell r="DA47">
            <v>630.4100000000002</v>
          </cell>
          <cell r="DB47">
            <v>632.88000000000011</v>
          </cell>
          <cell r="DC47">
            <v>627.55999999999983</v>
          </cell>
          <cell r="DD47">
            <v>621.79000000000008</v>
          </cell>
          <cell r="DE47">
            <v>0</v>
          </cell>
          <cell r="DF47">
            <v>7628.0199999999995</v>
          </cell>
          <cell r="DG47">
            <v>7628.0199999999995</v>
          </cell>
        </row>
        <row r="48">
          <cell r="B48">
            <v>45</v>
          </cell>
          <cell r="C48" t="str">
            <v>Anzahl Leiharbeitskräfte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43.99</v>
          </cell>
          <cell r="U48">
            <v>48.199999999999989</v>
          </cell>
          <cell r="V48">
            <v>59.24</v>
          </cell>
          <cell r="W48">
            <v>61.999999999999993</v>
          </cell>
          <cell r="X48">
            <v>65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278.42999999999995</v>
          </cell>
          <cell r="AH48">
            <v>278.42999999999995</v>
          </cell>
          <cell r="AI48">
            <v>0</v>
          </cell>
          <cell r="AK48">
            <v>0.28999999999999998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151.43</v>
          </cell>
          <cell r="AV48">
            <v>151.43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278.42999999999995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278.42999999999995</v>
          </cell>
          <cell r="BI48">
            <v>0</v>
          </cell>
          <cell r="BJ48">
            <v>0</v>
          </cell>
          <cell r="BK48">
            <v>0</v>
          </cell>
          <cell r="BL48">
            <v>53.480000000000004</v>
          </cell>
          <cell r="BM48">
            <v>61.989999999999995</v>
          </cell>
          <cell r="BN48">
            <v>83.01</v>
          </cell>
          <cell r="BO48">
            <v>104.99999999999997</v>
          </cell>
          <cell r="BP48">
            <v>109</v>
          </cell>
          <cell r="BQ48">
            <v>107.78999999999996</v>
          </cell>
          <cell r="BR48">
            <v>128.31</v>
          </cell>
          <cell r="BS48">
            <v>112.01999999999998</v>
          </cell>
          <cell r="BT48">
            <v>71.010000000000005</v>
          </cell>
          <cell r="BU48">
            <v>61.999999999999986</v>
          </cell>
          <cell r="BV48">
            <v>52.020000000000017</v>
          </cell>
          <cell r="BW48">
            <v>45.419999999999987</v>
          </cell>
          <cell r="BX48">
            <v>0</v>
          </cell>
          <cell r="BY48">
            <v>991.04999999999984</v>
          </cell>
          <cell r="BZ48">
            <v>991.04999999999984</v>
          </cell>
          <cell r="CA48">
            <v>45.419999999999987</v>
          </cell>
          <cell r="CB48">
            <v>0</v>
          </cell>
          <cell r="CC48">
            <v>47.660000000000004</v>
          </cell>
          <cell r="CD48">
            <v>64.489999999999995</v>
          </cell>
          <cell r="CE48">
            <v>85.389999999999986</v>
          </cell>
          <cell r="CF48">
            <v>71.23</v>
          </cell>
          <cell r="CG48">
            <v>98.190000000000012</v>
          </cell>
          <cell r="CH48">
            <v>109.01000000000002</v>
          </cell>
          <cell r="CI48">
            <v>121.88000000000001</v>
          </cell>
          <cell r="CJ48">
            <v>105.76</v>
          </cell>
          <cell r="CK48">
            <v>102.66999999999999</v>
          </cell>
          <cell r="CL48">
            <v>96.82</v>
          </cell>
          <cell r="CM48">
            <v>70.110000000000014</v>
          </cell>
          <cell r="CN48">
            <v>65.430000000000007</v>
          </cell>
          <cell r="CO48">
            <v>0</v>
          </cell>
          <cell r="CP48">
            <v>1038.6399999999999</v>
          </cell>
          <cell r="CQ48">
            <v>1038.6399999999999</v>
          </cell>
          <cell r="CR48">
            <v>0</v>
          </cell>
          <cell r="CS48">
            <v>13.3</v>
          </cell>
          <cell r="CT48">
            <v>13</v>
          </cell>
          <cell r="CU48">
            <v>24.210000000000004</v>
          </cell>
          <cell r="CV48">
            <v>33.659999999999997</v>
          </cell>
          <cell r="CW48">
            <v>61.05</v>
          </cell>
          <cell r="CX48">
            <v>67.63</v>
          </cell>
          <cell r="CY48">
            <v>95.009999999999991</v>
          </cell>
          <cell r="CZ48">
            <v>83.219999999999985</v>
          </cell>
          <cell r="DA48">
            <v>63.74</v>
          </cell>
          <cell r="DB48">
            <v>60.480000000000011</v>
          </cell>
          <cell r="DC48">
            <v>42.570000000000014</v>
          </cell>
          <cell r="DD48">
            <v>37.389999999999993</v>
          </cell>
          <cell r="DE48">
            <v>0</v>
          </cell>
          <cell r="DF48">
            <v>595.26</v>
          </cell>
          <cell r="DG48">
            <v>595.26</v>
          </cell>
        </row>
        <row r="49">
          <cell r="B49">
            <v>46</v>
          </cell>
          <cell r="C49" t="str">
            <v>Anzahl Mitarbeiter Fertigung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536.4799999999999</v>
          </cell>
          <cell r="U49">
            <v>548.65</v>
          </cell>
          <cell r="V49">
            <v>591.18000000000018</v>
          </cell>
          <cell r="W49">
            <v>588.0200000000001</v>
          </cell>
          <cell r="X49">
            <v>591.18000000000006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2855.5100000000007</v>
          </cell>
          <cell r="AH49">
            <v>2855.5100000000007</v>
          </cell>
          <cell r="AI49">
            <v>0</v>
          </cell>
          <cell r="AK49">
            <v>5.85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1676.3099999999997</v>
          </cell>
          <cell r="AV49">
            <v>1676.3099999999997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2855.5100000000007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2855.5100000000007</v>
          </cell>
          <cell r="BI49">
            <v>0</v>
          </cell>
          <cell r="BJ49">
            <v>0</v>
          </cell>
          <cell r="BK49">
            <v>0</v>
          </cell>
          <cell r="BL49">
            <v>552.20000000000005</v>
          </cell>
          <cell r="BM49">
            <v>567.03</v>
          </cell>
          <cell r="BN49">
            <v>588.95999999999992</v>
          </cell>
          <cell r="BO49">
            <v>626.25</v>
          </cell>
          <cell r="BP49">
            <v>633.80999999999995</v>
          </cell>
          <cell r="BQ49">
            <v>640.1</v>
          </cell>
          <cell r="BR49">
            <v>646.66</v>
          </cell>
          <cell r="BS49">
            <v>629.29000000000008</v>
          </cell>
          <cell r="BT49">
            <v>584.85000000000014</v>
          </cell>
          <cell r="BU49">
            <v>568.92000000000007</v>
          </cell>
          <cell r="BV49">
            <v>553.33000000000004</v>
          </cell>
          <cell r="BW49">
            <v>541.11</v>
          </cell>
          <cell r="BX49">
            <v>0</v>
          </cell>
          <cell r="BY49">
            <v>7132.5099999999975</v>
          </cell>
          <cell r="BZ49">
            <v>7132.5099999999975</v>
          </cell>
          <cell r="CA49">
            <v>541.11</v>
          </cell>
          <cell r="CB49">
            <v>0</v>
          </cell>
          <cell r="CC49">
            <v>529.55999999999995</v>
          </cell>
          <cell r="CD49">
            <v>548.08000000000004</v>
          </cell>
          <cell r="CE49">
            <v>580.16999999999996</v>
          </cell>
          <cell r="CF49">
            <v>542.72000000000014</v>
          </cell>
          <cell r="CG49">
            <v>584.46000000000015</v>
          </cell>
          <cell r="CH49">
            <v>619.44999999999993</v>
          </cell>
          <cell r="CI49">
            <v>650.80000000000018</v>
          </cell>
          <cell r="CJ49">
            <v>644.09999999999991</v>
          </cell>
          <cell r="CK49">
            <v>601.82000000000005</v>
          </cell>
          <cell r="CL49">
            <v>581.1</v>
          </cell>
          <cell r="CM49">
            <v>563.75000000000011</v>
          </cell>
          <cell r="CN49">
            <v>544.28999999999985</v>
          </cell>
          <cell r="CO49">
            <v>0</v>
          </cell>
          <cell r="CP49">
            <v>6990.3</v>
          </cell>
          <cell r="CQ49">
            <v>6990.3</v>
          </cell>
          <cell r="CR49">
            <v>0</v>
          </cell>
          <cell r="CS49">
            <v>494.05</v>
          </cell>
          <cell r="CT49">
            <v>501.38</v>
          </cell>
          <cell r="CU49">
            <v>504.87000000000006</v>
          </cell>
          <cell r="CV49">
            <v>517.78</v>
          </cell>
          <cell r="CW49">
            <v>548.61999999999989</v>
          </cell>
          <cell r="CX49">
            <v>557.34999999999991</v>
          </cell>
          <cell r="CY49">
            <v>593.57999999999993</v>
          </cell>
          <cell r="CZ49">
            <v>580.04000000000019</v>
          </cell>
          <cell r="DA49">
            <v>544.7600000000001</v>
          </cell>
          <cell r="DB49">
            <v>539.65</v>
          </cell>
          <cell r="DC49">
            <v>517.86999999999989</v>
          </cell>
          <cell r="DD49">
            <v>511.8</v>
          </cell>
          <cell r="DE49">
            <v>0</v>
          </cell>
          <cell r="DF49">
            <v>6411.75</v>
          </cell>
          <cell r="DG49">
            <v>6411.75</v>
          </cell>
        </row>
        <row r="50">
          <cell r="B50">
            <v>47</v>
          </cell>
          <cell r="C50" t="str">
            <v>Anzahl Mitarbeiter Büro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159.51999999999998</v>
          </cell>
          <cell r="U50">
            <v>157.06000000000006</v>
          </cell>
          <cell r="V50">
            <v>157.96000000000004</v>
          </cell>
          <cell r="W50">
            <v>157.86999999999995</v>
          </cell>
          <cell r="X50">
            <v>153.54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785.94999999999993</v>
          </cell>
          <cell r="AH50">
            <v>785.94999999999993</v>
          </cell>
          <cell r="AI50">
            <v>0</v>
          </cell>
          <cell r="AK50">
            <v>2.85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474.54</v>
          </cell>
          <cell r="AV50">
            <v>474.54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785.94999999999993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785.94999999999993</v>
          </cell>
          <cell r="BI50">
            <v>0</v>
          </cell>
          <cell r="BJ50">
            <v>0</v>
          </cell>
          <cell r="BK50">
            <v>0</v>
          </cell>
          <cell r="BL50">
            <v>161.04</v>
          </cell>
          <cell r="BM50">
            <v>162.66999999999999</v>
          </cell>
          <cell r="BN50">
            <v>160.89999999999998</v>
          </cell>
          <cell r="BO50">
            <v>165.92999999999995</v>
          </cell>
          <cell r="BP50">
            <v>161.59999999999997</v>
          </cell>
          <cell r="BQ50">
            <v>167.96999999999997</v>
          </cell>
          <cell r="BR50">
            <v>162.60000000000005</v>
          </cell>
          <cell r="BS50">
            <v>157.57</v>
          </cell>
          <cell r="BT50">
            <v>169.13</v>
          </cell>
          <cell r="BU50">
            <v>171.62000000000003</v>
          </cell>
          <cell r="BV50">
            <v>168.35</v>
          </cell>
          <cell r="BW50">
            <v>166.75</v>
          </cell>
          <cell r="BX50">
            <v>0</v>
          </cell>
          <cell r="BY50">
            <v>1976.1299999999999</v>
          </cell>
          <cell r="BZ50">
            <v>1976.1299999999999</v>
          </cell>
          <cell r="CA50">
            <v>166.75</v>
          </cell>
          <cell r="CB50">
            <v>0</v>
          </cell>
          <cell r="CC50">
            <v>152.66999999999999</v>
          </cell>
          <cell r="CD50">
            <v>153.25999999999996</v>
          </cell>
          <cell r="CE50">
            <v>156.70999999999989</v>
          </cell>
          <cell r="CF50">
            <v>150.91999999999999</v>
          </cell>
          <cell r="CG50">
            <v>153.67000000000002</v>
          </cell>
          <cell r="CH50">
            <v>157.59</v>
          </cell>
          <cell r="CI50">
            <v>153.21</v>
          </cell>
          <cell r="CJ50">
            <v>145.20000000000002</v>
          </cell>
          <cell r="CK50">
            <v>150.21999999999994</v>
          </cell>
          <cell r="CL50">
            <v>159.74999999999997</v>
          </cell>
          <cell r="CM50">
            <v>167.17000000000002</v>
          </cell>
          <cell r="CN50">
            <v>161.68000000000004</v>
          </cell>
          <cell r="CO50">
            <v>0</v>
          </cell>
          <cell r="CP50">
            <v>1862.0500000000002</v>
          </cell>
          <cell r="CQ50">
            <v>1862.0500000000002</v>
          </cell>
          <cell r="CR50">
            <v>0</v>
          </cell>
          <cell r="CS50">
            <v>152.02000000000001</v>
          </cell>
          <cell r="CT50">
            <v>154.84</v>
          </cell>
          <cell r="CU50">
            <v>152.53999999999994</v>
          </cell>
          <cell r="CV50">
            <v>150.82000000000002</v>
          </cell>
          <cell r="CW50">
            <v>151.48000000000002</v>
          </cell>
          <cell r="CX50">
            <v>147.24000000000004</v>
          </cell>
          <cell r="CY50">
            <v>149.43</v>
          </cell>
          <cell r="CZ50">
            <v>150.42000000000007</v>
          </cell>
          <cell r="DA50">
            <v>149.41999999999999</v>
          </cell>
          <cell r="DB50">
            <v>153.72</v>
          </cell>
          <cell r="DC50">
            <v>152.29</v>
          </cell>
          <cell r="DD50">
            <v>147.41</v>
          </cell>
          <cell r="DE50">
            <v>0</v>
          </cell>
          <cell r="DF50">
            <v>1811.6300000000003</v>
          </cell>
          <cell r="DG50">
            <v>1811.6300000000003</v>
          </cell>
        </row>
        <row r="51">
          <cell r="B51">
            <v>48</v>
          </cell>
          <cell r="C51" t="str">
            <v>Anzahl Mitarbeiter MJ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612.70000000000005</v>
          </cell>
          <cell r="U51">
            <v>621.39</v>
          </cell>
          <cell r="V51">
            <v>661.15000000000009</v>
          </cell>
          <cell r="W51">
            <v>659.74</v>
          </cell>
          <cell r="X51">
            <v>652.45999999999992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3207.44</v>
          </cell>
          <cell r="AH51">
            <v>3207.44</v>
          </cell>
          <cell r="AI51">
            <v>0</v>
          </cell>
          <cell r="AK51">
            <v>7.35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1895.2400000000002</v>
          </cell>
          <cell r="AV51">
            <v>1895.2400000000002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3207.44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3207.44</v>
          </cell>
          <cell r="BI51">
            <v>0</v>
          </cell>
          <cell r="BJ51">
            <v>0</v>
          </cell>
          <cell r="BK51">
            <v>0</v>
          </cell>
          <cell r="BL51">
            <v>628.74999999999989</v>
          </cell>
          <cell r="BM51">
            <v>643.6400000000001</v>
          </cell>
          <cell r="BN51">
            <v>661.9</v>
          </cell>
          <cell r="BO51">
            <v>698.99999999999977</v>
          </cell>
          <cell r="BP51">
            <v>706.59</v>
          </cell>
          <cell r="BQ51">
            <v>712.74999999999989</v>
          </cell>
          <cell r="BR51">
            <v>715.95999999999992</v>
          </cell>
          <cell r="BS51">
            <v>700.63999999999976</v>
          </cell>
          <cell r="BT51">
            <v>665.42</v>
          </cell>
          <cell r="BU51">
            <v>652.44000000000005</v>
          </cell>
          <cell r="BV51">
            <v>635.06999999999982</v>
          </cell>
          <cell r="BW51">
            <v>623.12000000000012</v>
          </cell>
          <cell r="BX51">
            <v>0</v>
          </cell>
          <cell r="BY51">
            <v>8045.2800000000016</v>
          </cell>
          <cell r="BZ51">
            <v>8045.2800000000016</v>
          </cell>
          <cell r="CA51">
            <v>623.12000000000012</v>
          </cell>
          <cell r="CB51">
            <v>0</v>
          </cell>
          <cell r="CC51">
            <v>600.15</v>
          </cell>
          <cell r="CD51">
            <v>614.41000000000008</v>
          </cell>
          <cell r="CE51">
            <v>648.04000000000019</v>
          </cell>
          <cell r="CF51">
            <v>610.08999999999992</v>
          </cell>
          <cell r="CG51">
            <v>650.37999999999988</v>
          </cell>
          <cell r="CH51">
            <v>686.12999999999988</v>
          </cell>
          <cell r="CI51">
            <v>710.50999999999976</v>
          </cell>
          <cell r="CJ51">
            <v>700.53999999999985</v>
          </cell>
          <cell r="CK51">
            <v>663.77999999999986</v>
          </cell>
          <cell r="CL51">
            <v>651.80000000000007</v>
          </cell>
          <cell r="CM51">
            <v>643.50000000000011</v>
          </cell>
          <cell r="CN51">
            <v>621.94999999999993</v>
          </cell>
          <cell r="CO51">
            <v>0</v>
          </cell>
          <cell r="CP51">
            <v>7801.28</v>
          </cell>
          <cell r="CQ51">
            <v>7801.28</v>
          </cell>
          <cell r="CR51">
            <v>0</v>
          </cell>
          <cell r="CS51">
            <v>563</v>
          </cell>
          <cell r="CT51">
            <v>572.75</v>
          </cell>
          <cell r="CU51">
            <v>573.72</v>
          </cell>
          <cell r="CV51">
            <v>582.33000000000004</v>
          </cell>
          <cell r="CW51">
            <v>609.57999999999993</v>
          </cell>
          <cell r="CX51">
            <v>614.35</v>
          </cell>
          <cell r="CY51">
            <v>649.92000000000007</v>
          </cell>
          <cell r="CZ51">
            <v>639.05000000000007</v>
          </cell>
          <cell r="DA51">
            <v>608.57000000000028</v>
          </cell>
          <cell r="DB51">
            <v>606.75000000000023</v>
          </cell>
          <cell r="DC51">
            <v>582.65999999999985</v>
          </cell>
          <cell r="DD51">
            <v>577.20000000000005</v>
          </cell>
          <cell r="DE51">
            <v>0</v>
          </cell>
          <cell r="DF51">
            <v>7179.8799999999983</v>
          </cell>
          <cell r="DG51">
            <v>7179.8799999999983</v>
          </cell>
        </row>
        <row r="52">
          <cell r="B52">
            <v>49</v>
          </cell>
          <cell r="C52" t="str">
            <v xml:space="preserve">Stunden Beschäftigte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91821.9</v>
          </cell>
          <cell r="U52">
            <v>91597.92</v>
          </cell>
          <cell r="V52">
            <v>109664.34999999999</v>
          </cell>
          <cell r="W52">
            <v>90262.109999999986</v>
          </cell>
          <cell r="X52">
            <v>99859.409999999974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483205.69000000012</v>
          </cell>
          <cell r="AH52">
            <v>483205.69000000012</v>
          </cell>
          <cell r="AI52">
            <v>0</v>
          </cell>
          <cell r="AK52">
            <v>1136.1099999999999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293084.17</v>
          </cell>
          <cell r="AV52">
            <v>293084.17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483205.69000000012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483205.69000000012</v>
          </cell>
          <cell r="BI52">
            <v>0</v>
          </cell>
          <cell r="BJ52">
            <v>0</v>
          </cell>
          <cell r="BK52">
            <v>0</v>
          </cell>
          <cell r="BL52">
            <v>86947.010000000009</v>
          </cell>
          <cell r="BM52">
            <v>89336.98000000001</v>
          </cell>
          <cell r="BN52">
            <v>105462.17</v>
          </cell>
          <cell r="BO52">
            <v>95031.310000000012</v>
          </cell>
          <cell r="BP52">
            <v>92407.540000000037</v>
          </cell>
          <cell r="BQ52">
            <v>102736.85</v>
          </cell>
          <cell r="BR52">
            <v>100277.34</v>
          </cell>
          <cell r="BS52">
            <v>102977.41999999998</v>
          </cell>
          <cell r="BT52">
            <v>103343.72</v>
          </cell>
          <cell r="BU52">
            <v>97346.819999999992</v>
          </cell>
          <cell r="BV52">
            <v>98214.260000000009</v>
          </cell>
          <cell r="BW52">
            <v>101946.60000000002</v>
          </cell>
          <cell r="BX52">
            <v>0</v>
          </cell>
          <cell r="BY52">
            <v>1176028.0200000003</v>
          </cell>
          <cell r="BZ52">
            <v>1176028.0200000003</v>
          </cell>
          <cell r="CA52">
            <v>101946.60000000002</v>
          </cell>
          <cell r="CB52">
            <v>0</v>
          </cell>
          <cell r="CC52">
            <v>92347.06</v>
          </cell>
          <cell r="CD52">
            <v>87822.430000000008</v>
          </cell>
          <cell r="CE52">
            <v>98655.91</v>
          </cell>
          <cell r="CF52">
            <v>83978.950000000012</v>
          </cell>
          <cell r="CG52">
            <v>81724.090000000011</v>
          </cell>
          <cell r="CH52">
            <v>93684.569999999992</v>
          </cell>
          <cell r="CI52">
            <v>105668.93999999999</v>
          </cell>
          <cell r="CJ52">
            <v>97986.329999999987</v>
          </cell>
          <cell r="CK52">
            <v>97164.79</v>
          </cell>
          <cell r="CL52">
            <v>95984.55</v>
          </cell>
          <cell r="CM52">
            <v>94626.52</v>
          </cell>
          <cell r="CN52">
            <v>95168.14</v>
          </cell>
          <cell r="CO52">
            <v>0</v>
          </cell>
          <cell r="CP52">
            <v>1124812.2799999998</v>
          </cell>
          <cell r="CQ52">
            <v>1124812.2799999998</v>
          </cell>
          <cell r="CR52">
            <v>0</v>
          </cell>
          <cell r="CS52">
            <v>95764.859999999986</v>
          </cell>
          <cell r="CT52">
            <v>88050.75</v>
          </cell>
          <cell r="CU52">
            <v>90361.090000000011</v>
          </cell>
          <cell r="CV52">
            <v>88814.26999999999</v>
          </cell>
          <cell r="CW52">
            <v>91596.500000000029</v>
          </cell>
          <cell r="CX52">
            <v>80045.470000000016</v>
          </cell>
          <cell r="CY52">
            <v>100804.67000000001</v>
          </cell>
          <cell r="CZ52">
            <v>96974.83</v>
          </cell>
          <cell r="DA52">
            <v>90935.469999999972</v>
          </cell>
          <cell r="DB52">
            <v>95292.540000000008</v>
          </cell>
          <cell r="DC52">
            <v>87449.220000000016</v>
          </cell>
          <cell r="DD52">
            <v>81779.88</v>
          </cell>
          <cell r="DE52">
            <v>0</v>
          </cell>
          <cell r="DF52">
            <v>1087869.55</v>
          </cell>
          <cell r="DG52">
            <v>1087869.55</v>
          </cell>
        </row>
        <row r="53">
          <cell r="B53">
            <v>50</v>
          </cell>
          <cell r="C53" t="str">
            <v>Stunden Leiharbeitskräfte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4416.1000000000004</v>
          </cell>
          <cell r="U53">
            <v>4464.5399999999991</v>
          </cell>
          <cell r="V53">
            <v>5982.2900000000009</v>
          </cell>
          <cell r="W53">
            <v>6274.5</v>
          </cell>
          <cell r="X53">
            <v>7756.03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28893.459999999995</v>
          </cell>
          <cell r="AH53">
            <v>28893.459999999995</v>
          </cell>
          <cell r="AI53">
            <v>0</v>
          </cell>
          <cell r="AK53">
            <v>38.6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14862.93</v>
          </cell>
          <cell r="AV53">
            <v>14862.93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28893.459999999995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28893.459999999995</v>
          </cell>
          <cell r="BI53">
            <v>0</v>
          </cell>
          <cell r="BJ53">
            <v>0</v>
          </cell>
          <cell r="BK53">
            <v>0</v>
          </cell>
          <cell r="BL53">
            <v>5402.5999999999995</v>
          </cell>
          <cell r="BM53">
            <v>6230.3600000000006</v>
          </cell>
          <cell r="BN53">
            <v>9495.17</v>
          </cell>
          <cell r="BO53">
            <v>11781.859999999999</v>
          </cell>
          <cell r="BP53">
            <v>11544.150000000001</v>
          </cell>
          <cell r="BQ53">
            <v>13588.090000000002</v>
          </cell>
          <cell r="BR53">
            <v>16014.129999999997</v>
          </cell>
          <cell r="BS53">
            <v>13182.27</v>
          </cell>
          <cell r="BT53">
            <v>8762.2799999999988</v>
          </cell>
          <cell r="BU53">
            <v>6491.3899999999994</v>
          </cell>
          <cell r="BV53">
            <v>5605.63</v>
          </cell>
          <cell r="BW53">
            <v>4359.5099999999993</v>
          </cell>
          <cell r="BX53">
            <v>0</v>
          </cell>
          <cell r="BY53">
            <v>112457.44000000003</v>
          </cell>
          <cell r="BZ53">
            <v>112457.44000000003</v>
          </cell>
          <cell r="CA53">
            <v>4359.5099999999993</v>
          </cell>
          <cell r="CB53">
            <v>0</v>
          </cell>
          <cell r="CC53">
            <v>5297.9400000000014</v>
          </cell>
          <cell r="CD53">
            <v>7049.9400000000014</v>
          </cell>
          <cell r="CE53">
            <v>10756.929999999997</v>
          </cell>
          <cell r="CF53">
            <v>9355.6099999999988</v>
          </cell>
          <cell r="CG53">
            <v>10371.310000000001</v>
          </cell>
          <cell r="CH53">
            <v>12685.76</v>
          </cell>
          <cell r="CI53">
            <v>16186.300000000001</v>
          </cell>
          <cell r="CJ53">
            <v>13555.53</v>
          </cell>
          <cell r="CK53">
            <v>12602.470000000001</v>
          </cell>
          <cell r="CL53">
            <v>11407.859999999999</v>
          </cell>
          <cell r="CM53">
            <v>8631.91</v>
          </cell>
          <cell r="CN53">
            <v>7045.8200000000006</v>
          </cell>
          <cell r="CO53">
            <v>0</v>
          </cell>
          <cell r="CP53">
            <v>124947.38000000005</v>
          </cell>
          <cell r="CQ53">
            <v>124947.38000000005</v>
          </cell>
          <cell r="CR53">
            <v>0</v>
          </cell>
          <cell r="CS53">
            <v>1285.2400000000002</v>
          </cell>
          <cell r="CT53">
            <v>1316.9699999999998</v>
          </cell>
          <cell r="CU53">
            <v>2438.1999999999994</v>
          </cell>
          <cell r="CV53">
            <v>3692.34</v>
          </cell>
          <cell r="CW53">
            <v>5934.0299999999988</v>
          </cell>
          <cell r="CX53">
            <v>6922.3000000000011</v>
          </cell>
          <cell r="CY53">
            <v>11239.140000000001</v>
          </cell>
          <cell r="CZ53">
            <v>9475.880000000001</v>
          </cell>
          <cell r="DA53">
            <v>7433.7099999999982</v>
          </cell>
          <cell r="DB53">
            <v>7013.3599999999988</v>
          </cell>
          <cell r="DC53">
            <v>4980.7599999999993</v>
          </cell>
          <cell r="DD53">
            <v>4055.2499999999995</v>
          </cell>
          <cell r="DE53">
            <v>0</v>
          </cell>
          <cell r="DF53">
            <v>65787.180000000008</v>
          </cell>
          <cell r="DG53">
            <v>65787.180000000008</v>
          </cell>
        </row>
        <row r="54">
          <cell r="B54">
            <v>51</v>
          </cell>
          <cell r="C54" t="str">
            <v>Veränderung Zeitkonto (+/-)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-5033.2200000000012</v>
          </cell>
          <cell r="U54">
            <v>-136.31000000000003</v>
          </cell>
          <cell r="V54">
            <v>1141.58</v>
          </cell>
          <cell r="W54">
            <v>4097.6400000000003</v>
          </cell>
          <cell r="X54">
            <v>4121.0600000000004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4190.75</v>
          </cell>
          <cell r="AH54">
            <v>4190.75</v>
          </cell>
          <cell r="AI54">
            <v>0</v>
          </cell>
          <cell r="AK54">
            <v>65.900000000000006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-4027.9500000000003</v>
          </cell>
          <cell r="AV54">
            <v>-4027.9500000000003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4190.75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4190.75</v>
          </cell>
          <cell r="BI54">
            <v>0</v>
          </cell>
          <cell r="BJ54">
            <v>0</v>
          </cell>
          <cell r="BK54">
            <v>0</v>
          </cell>
          <cell r="BL54">
            <v>-7546.5299999999988</v>
          </cell>
          <cell r="BM54">
            <v>-3631.8800000000006</v>
          </cell>
          <cell r="BN54">
            <v>1222.98</v>
          </cell>
          <cell r="BO54">
            <v>6019.4000000000005</v>
          </cell>
          <cell r="BP54">
            <v>6392.3399999999992</v>
          </cell>
          <cell r="BQ54">
            <v>5861.9699999999984</v>
          </cell>
          <cell r="BR54">
            <v>6915.8</v>
          </cell>
          <cell r="BS54">
            <v>2785.1899999999996</v>
          </cell>
          <cell r="BT54">
            <v>-2272.8200000000002</v>
          </cell>
          <cell r="BU54">
            <v>-3957.079999999999</v>
          </cell>
          <cell r="BV54">
            <v>-590.76</v>
          </cell>
          <cell r="BW54">
            <v>-8515.59</v>
          </cell>
          <cell r="BX54">
            <v>0</v>
          </cell>
          <cell r="BY54">
            <v>2683.0200000000009</v>
          </cell>
          <cell r="BZ54">
            <v>2683.0200000000009</v>
          </cell>
          <cell r="CA54">
            <v>-8515.59</v>
          </cell>
          <cell r="CB54">
            <v>0</v>
          </cell>
          <cell r="CC54">
            <v>-6801.3499999999985</v>
          </cell>
          <cell r="CD54">
            <v>-3462.4</v>
          </cell>
          <cell r="CE54">
            <v>-5040.4999999999991</v>
          </cell>
          <cell r="CF54">
            <v>-5274.79</v>
          </cell>
          <cell r="CG54">
            <v>2732.03</v>
          </cell>
          <cell r="CH54">
            <v>7418.6900000000005</v>
          </cell>
          <cell r="CI54">
            <v>8442.0800000000017</v>
          </cell>
          <cell r="CJ54">
            <v>6734.84</v>
          </cell>
          <cell r="CK54">
            <v>4857.3900000000012</v>
          </cell>
          <cell r="CL54">
            <v>2326.7699999999995</v>
          </cell>
          <cell r="CM54">
            <v>666.23000000000013</v>
          </cell>
          <cell r="CN54">
            <v>-5035.9799999999996</v>
          </cell>
          <cell r="CO54">
            <v>0</v>
          </cell>
          <cell r="CP54">
            <v>7563.01</v>
          </cell>
          <cell r="CQ54">
            <v>7563.01</v>
          </cell>
          <cell r="CR54">
            <v>0</v>
          </cell>
          <cell r="CS54">
            <v>-6856.6100000000006</v>
          </cell>
          <cell r="CT54">
            <v>-2581.71</v>
          </cell>
          <cell r="CU54">
            <v>2868.97</v>
          </cell>
          <cell r="CV54">
            <v>5500.9399999999987</v>
          </cell>
          <cell r="CW54">
            <v>6852.9499999999989</v>
          </cell>
          <cell r="CX54">
            <v>6138.15</v>
          </cell>
          <cell r="CY54">
            <v>7231.92</v>
          </cell>
          <cell r="CZ54">
            <v>5714.1900000000014</v>
          </cell>
          <cell r="DA54">
            <v>2877.0600000000004</v>
          </cell>
          <cell r="DB54">
            <v>-1615.73</v>
          </cell>
          <cell r="DC54">
            <v>-1879.3999999999999</v>
          </cell>
          <cell r="DD54">
            <v>-8371.9700000000012</v>
          </cell>
          <cell r="DE54">
            <v>0</v>
          </cell>
          <cell r="DF54">
            <v>15878.759999999997</v>
          </cell>
          <cell r="DG54">
            <v>15878.759999999997</v>
          </cell>
        </row>
        <row r="55">
          <cell r="B55">
            <v>52</v>
          </cell>
          <cell r="C55" t="str">
            <v>Krankheit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6775.4999999999991</v>
          </cell>
          <cell r="U55">
            <v>8425.1299999999974</v>
          </cell>
          <cell r="V55">
            <v>13051.209999999995</v>
          </cell>
          <cell r="W55">
            <v>7395.51</v>
          </cell>
          <cell r="X55">
            <v>5897.24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41544.589999999989</v>
          </cell>
          <cell r="AH55">
            <v>41544.589999999989</v>
          </cell>
          <cell r="AI55">
            <v>0</v>
          </cell>
          <cell r="AK55">
            <v>85.31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28251.839999999997</v>
          </cell>
          <cell r="AV55">
            <v>28251.839999999997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41544.589999999989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41544.589999999989</v>
          </cell>
          <cell r="BI55">
            <v>0</v>
          </cell>
          <cell r="BJ55">
            <v>0</v>
          </cell>
          <cell r="BK55">
            <v>0</v>
          </cell>
          <cell r="BL55">
            <v>5516.2800000000007</v>
          </cell>
          <cell r="BM55">
            <v>8527.35</v>
          </cell>
          <cell r="BN55">
            <v>6613.74</v>
          </cell>
          <cell r="BO55">
            <v>5783.909999999998</v>
          </cell>
          <cell r="BP55">
            <v>5832.12</v>
          </cell>
          <cell r="BQ55">
            <v>6174.329999999999</v>
          </cell>
          <cell r="BR55">
            <v>5773.4699999999975</v>
          </cell>
          <cell r="BS55">
            <v>5593.0399999999991</v>
          </cell>
          <cell r="BT55">
            <v>5878.18</v>
          </cell>
          <cell r="BU55">
            <v>7307.2899999999991</v>
          </cell>
          <cell r="BV55">
            <v>8139.420000000001</v>
          </cell>
          <cell r="BW55">
            <v>6826.630000000001</v>
          </cell>
          <cell r="BX55">
            <v>0</v>
          </cell>
          <cell r="BY55">
            <v>77965.760000000009</v>
          </cell>
          <cell r="BZ55">
            <v>77965.760000000009</v>
          </cell>
          <cell r="CA55">
            <v>6826.630000000001</v>
          </cell>
          <cell r="CB55">
            <v>0</v>
          </cell>
          <cell r="CC55">
            <v>5387.6999999999971</v>
          </cell>
          <cell r="CD55">
            <v>6695.4500000000007</v>
          </cell>
          <cell r="CE55">
            <v>10139.019999999999</v>
          </cell>
          <cell r="CF55">
            <v>5194.13</v>
          </cell>
          <cell r="CG55">
            <v>3671.9399999999996</v>
          </cell>
          <cell r="CH55">
            <v>3912.2700000000013</v>
          </cell>
          <cell r="CI55">
            <v>6093.01</v>
          </cell>
          <cell r="CJ55">
            <v>4314.2800000000016</v>
          </cell>
          <cell r="CK55">
            <v>5135</v>
          </cell>
          <cell r="CL55">
            <v>5331.829999999999</v>
          </cell>
          <cell r="CM55">
            <v>5932.4000000000005</v>
          </cell>
          <cell r="CN55">
            <v>3811.2</v>
          </cell>
          <cell r="CO55">
            <v>0</v>
          </cell>
          <cell r="CP55">
            <v>65618.229999999981</v>
          </cell>
          <cell r="CQ55">
            <v>65618.229999999981</v>
          </cell>
          <cell r="CR55">
            <v>0</v>
          </cell>
          <cell r="CS55">
            <v>5672.5199999999986</v>
          </cell>
          <cell r="CT55">
            <v>8292.1400000000012</v>
          </cell>
          <cell r="CU55">
            <v>7358.42</v>
          </cell>
          <cell r="CV55">
            <v>6099.0100000000011</v>
          </cell>
          <cell r="CW55">
            <v>6376.56</v>
          </cell>
          <cell r="CX55">
            <v>4465.55</v>
          </cell>
          <cell r="CY55">
            <v>6149.8499999999995</v>
          </cell>
          <cell r="CZ55">
            <v>5208.9999999999991</v>
          </cell>
          <cell r="DA55">
            <v>5274.88</v>
          </cell>
          <cell r="DB55">
            <v>7347.04</v>
          </cell>
          <cell r="DC55">
            <v>5795.2</v>
          </cell>
          <cell r="DD55">
            <v>4317.420000000001</v>
          </cell>
          <cell r="DE55">
            <v>0</v>
          </cell>
          <cell r="DF55">
            <v>72357.59</v>
          </cell>
          <cell r="DG55">
            <v>72357.59</v>
          </cell>
        </row>
        <row r="56">
          <cell r="B56">
            <v>53</v>
          </cell>
          <cell r="C56" t="str">
            <v>Fortbildung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440.34000000000003</v>
          </cell>
          <cell r="U56">
            <v>538.31000000000006</v>
          </cell>
          <cell r="V56">
            <v>476.48</v>
          </cell>
          <cell r="W56">
            <v>663.12</v>
          </cell>
          <cell r="X56">
            <v>598.80000000000007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2717.0500000000006</v>
          </cell>
          <cell r="AH56">
            <v>2717.0500000000006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1455.1299999999997</v>
          </cell>
          <cell r="AV56">
            <v>1455.1299999999997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2717.0500000000006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2717.0500000000006</v>
          </cell>
          <cell r="BI56">
            <v>0</v>
          </cell>
          <cell r="BJ56">
            <v>0</v>
          </cell>
          <cell r="BK56">
            <v>0</v>
          </cell>
          <cell r="BL56">
            <v>271.47000000000003</v>
          </cell>
          <cell r="BM56">
            <v>325.3</v>
          </cell>
          <cell r="BN56">
            <v>441.47</v>
          </cell>
          <cell r="BO56">
            <v>319.73000000000008</v>
          </cell>
          <cell r="BP56">
            <v>288.29999999999995</v>
          </cell>
          <cell r="BQ56">
            <v>418.09000000000003</v>
          </cell>
          <cell r="BR56">
            <v>293.03000000000009</v>
          </cell>
          <cell r="BS56">
            <v>93.659999999999982</v>
          </cell>
          <cell r="BT56">
            <v>591.49000000000012</v>
          </cell>
          <cell r="BU56">
            <v>653.42000000000019</v>
          </cell>
          <cell r="BV56">
            <v>688.92</v>
          </cell>
          <cell r="BW56">
            <v>494.2</v>
          </cell>
          <cell r="BX56">
            <v>0</v>
          </cell>
          <cell r="BY56">
            <v>4879.0800000000008</v>
          </cell>
          <cell r="BZ56">
            <v>4879.0800000000008</v>
          </cell>
          <cell r="CA56">
            <v>494.2</v>
          </cell>
          <cell r="CB56">
            <v>0</v>
          </cell>
          <cell r="CC56">
            <v>467.8300000000001</v>
          </cell>
          <cell r="CD56">
            <v>435.51000000000005</v>
          </cell>
          <cell r="CE56">
            <v>421.79999999999995</v>
          </cell>
          <cell r="CF56">
            <v>143.66000000000003</v>
          </cell>
          <cell r="CG56">
            <v>220.10000000000005</v>
          </cell>
          <cell r="CH56">
            <v>238.91000000000003</v>
          </cell>
          <cell r="CI56">
            <v>239.78</v>
          </cell>
          <cell r="CJ56">
            <v>16.82</v>
          </cell>
          <cell r="CK56">
            <v>321.92000000000007</v>
          </cell>
          <cell r="CL56">
            <v>251.73000000000002</v>
          </cell>
          <cell r="CM56">
            <v>491.3</v>
          </cell>
          <cell r="CN56">
            <v>217.40000000000006</v>
          </cell>
          <cell r="CO56">
            <v>0</v>
          </cell>
          <cell r="CP56">
            <v>3466.76</v>
          </cell>
          <cell r="CQ56">
            <v>3466.76</v>
          </cell>
          <cell r="CR56">
            <v>0</v>
          </cell>
          <cell r="CS56">
            <v>544.14</v>
          </cell>
          <cell r="CT56">
            <v>721.23000000000036</v>
          </cell>
          <cell r="CU56">
            <v>423.60999999999996</v>
          </cell>
          <cell r="CV56">
            <v>202.28</v>
          </cell>
          <cell r="CW56">
            <v>350.19</v>
          </cell>
          <cell r="CX56">
            <v>160.48999999999995</v>
          </cell>
          <cell r="CY56">
            <v>331.17</v>
          </cell>
          <cell r="CZ56">
            <v>70.8</v>
          </cell>
          <cell r="DA56">
            <v>347.99999999999994</v>
          </cell>
          <cell r="DB56">
            <v>415.4</v>
          </cell>
          <cell r="DC56">
            <v>517.42000000000007</v>
          </cell>
          <cell r="DD56">
            <v>302.90000000000003</v>
          </cell>
          <cell r="DE56">
            <v>0</v>
          </cell>
          <cell r="DF56">
            <v>4387.63</v>
          </cell>
          <cell r="DG56">
            <v>4387.63</v>
          </cell>
        </row>
        <row r="57">
          <cell r="B57">
            <v>54</v>
          </cell>
          <cell r="C57" t="str">
            <v>Urlaub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6941.0899999999992</v>
          </cell>
          <cell r="U57">
            <v>4377.7499999999991</v>
          </cell>
          <cell r="V57">
            <v>5397.5999999999995</v>
          </cell>
          <cell r="W57">
            <v>9082.65</v>
          </cell>
          <cell r="X57">
            <v>7614.3299999999981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33413.419999999991</v>
          </cell>
          <cell r="AH57">
            <v>33413.419999999991</v>
          </cell>
          <cell r="AI57">
            <v>0</v>
          </cell>
          <cell r="AK57">
            <v>199.01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16716.439999999999</v>
          </cell>
          <cell r="AV57">
            <v>16716.439999999999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33413.419999999991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33413.419999999991</v>
          </cell>
          <cell r="BI57">
            <v>0</v>
          </cell>
          <cell r="BJ57">
            <v>0</v>
          </cell>
          <cell r="BK57">
            <v>0</v>
          </cell>
          <cell r="BL57">
            <v>6593.1900000000014</v>
          </cell>
          <cell r="BM57">
            <v>3949.8699999999994</v>
          </cell>
          <cell r="BN57">
            <v>6767.91</v>
          </cell>
          <cell r="BO57">
            <v>9694.4500000000025</v>
          </cell>
          <cell r="BP57">
            <v>10212.510000000002</v>
          </cell>
          <cell r="BQ57">
            <v>10595.550000000001</v>
          </cell>
          <cell r="BR57">
            <v>16161.369999999997</v>
          </cell>
          <cell r="BS57">
            <v>26553</v>
          </cell>
          <cell r="BT57">
            <v>18858.23</v>
          </cell>
          <cell r="BU57">
            <v>11627.039999999997</v>
          </cell>
          <cell r="BV57">
            <v>10050.799999999999</v>
          </cell>
          <cell r="BW57">
            <v>29068.009999999995</v>
          </cell>
          <cell r="BX57">
            <v>0</v>
          </cell>
          <cell r="BY57">
            <v>160131.93000000002</v>
          </cell>
          <cell r="BZ57">
            <v>160131.93000000002</v>
          </cell>
          <cell r="CA57">
            <v>29068.009999999995</v>
          </cell>
          <cell r="CB57">
            <v>0</v>
          </cell>
          <cell r="CC57">
            <v>7064.5399999999991</v>
          </cell>
          <cell r="CD57">
            <v>4596.2499999999991</v>
          </cell>
          <cell r="CE57">
            <v>6274.670000000001</v>
          </cell>
          <cell r="CF57">
            <v>8220.0300000000025</v>
          </cell>
          <cell r="CG57">
            <v>7003.1100000000006</v>
          </cell>
          <cell r="CH57">
            <v>12067.760000000002</v>
          </cell>
          <cell r="CI57">
            <v>16395.3</v>
          </cell>
          <cell r="CJ57">
            <v>24446.509999999995</v>
          </cell>
          <cell r="CK57">
            <v>16035.070000000002</v>
          </cell>
          <cell r="CL57">
            <v>12593.88</v>
          </cell>
          <cell r="CM57">
            <v>10514.769999999999</v>
          </cell>
          <cell r="CN57">
            <v>26016.450000000004</v>
          </cell>
          <cell r="CO57">
            <v>0</v>
          </cell>
          <cell r="CP57">
            <v>151228.34000000005</v>
          </cell>
          <cell r="CQ57">
            <v>151228.34000000005</v>
          </cell>
          <cell r="CR57">
            <v>0</v>
          </cell>
          <cell r="CS57">
            <v>7057.4399999999987</v>
          </cell>
          <cell r="CT57">
            <v>4405.0899999999992</v>
          </cell>
          <cell r="CU57">
            <v>4782.1800000000012</v>
          </cell>
          <cell r="CV57">
            <v>8538.6699999999983</v>
          </cell>
          <cell r="CW57">
            <v>7760.92</v>
          </cell>
          <cell r="CX57">
            <v>11752.689999999999</v>
          </cell>
          <cell r="CY57">
            <v>15916.900000000001</v>
          </cell>
          <cell r="CZ57">
            <v>25325.11</v>
          </cell>
          <cell r="DA57">
            <v>14530.689999999997</v>
          </cell>
          <cell r="DB57">
            <v>13283.750000000004</v>
          </cell>
          <cell r="DC57">
            <v>9246.58</v>
          </cell>
          <cell r="DD57">
            <v>20300.38</v>
          </cell>
          <cell r="DE57">
            <v>0</v>
          </cell>
          <cell r="DF57">
            <v>142900.40000000002</v>
          </cell>
          <cell r="DG57">
            <v>142900.40000000002</v>
          </cell>
        </row>
        <row r="58">
          <cell r="B58">
            <v>55</v>
          </cell>
          <cell r="C58" t="str">
            <v>Arbeitsstd. Fertigungs-MA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48170.59</v>
          </cell>
          <cell r="U58">
            <v>54522.219999999987</v>
          </cell>
          <cell r="V58">
            <v>66567.64</v>
          </cell>
          <cell r="W58">
            <v>58061.450000000004</v>
          </cell>
          <cell r="X58">
            <v>67942.140000000014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295264.04000000004</v>
          </cell>
          <cell r="AH58">
            <v>295264.04000000004</v>
          </cell>
          <cell r="AI58">
            <v>0</v>
          </cell>
          <cell r="AK58">
            <v>732.34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169260.45000000004</v>
          </cell>
          <cell r="AV58">
            <v>169260.45000000004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295264.04000000004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295264.04000000004</v>
          </cell>
          <cell r="BI58">
            <v>0</v>
          </cell>
          <cell r="BJ58">
            <v>0</v>
          </cell>
          <cell r="BK58">
            <v>0</v>
          </cell>
          <cell r="BL58">
            <v>45917.55999999999</v>
          </cell>
          <cell r="BM58">
            <v>51527.959999999992</v>
          </cell>
          <cell r="BN58">
            <v>70568.660000000018</v>
          </cell>
          <cell r="BO58">
            <v>67567.900000000009</v>
          </cell>
          <cell r="BP58">
            <v>67073</v>
          </cell>
          <cell r="BQ58">
            <v>74344.17</v>
          </cell>
          <cell r="BR58">
            <v>72517.27</v>
          </cell>
          <cell r="BS58">
            <v>61673.2</v>
          </cell>
          <cell r="BT58">
            <v>56391.069999999992</v>
          </cell>
          <cell r="BU58">
            <v>51674.21</v>
          </cell>
          <cell r="BV58">
            <v>56784.919999999991</v>
          </cell>
          <cell r="BW58">
            <v>39958.03</v>
          </cell>
          <cell r="BX58">
            <v>0</v>
          </cell>
          <cell r="BY58">
            <v>715997.95</v>
          </cell>
          <cell r="BZ58">
            <v>715997.95</v>
          </cell>
          <cell r="CA58">
            <v>39958.03</v>
          </cell>
          <cell r="CB58">
            <v>0</v>
          </cell>
          <cell r="CC58">
            <v>52760.12000000001</v>
          </cell>
          <cell r="CD58">
            <v>54928.44</v>
          </cell>
          <cell r="CE58">
            <v>58163.44</v>
          </cell>
          <cell r="CF58">
            <v>51263.320000000022</v>
          </cell>
          <cell r="CG58">
            <v>60510.689999999988</v>
          </cell>
          <cell r="CH58">
            <v>70983.290000000008</v>
          </cell>
          <cell r="CI58">
            <v>78897.579999999973</v>
          </cell>
          <cell r="CJ58">
            <v>65532.440000000017</v>
          </cell>
          <cell r="CK58">
            <v>67285.41</v>
          </cell>
          <cell r="CL58">
            <v>64859.19999999999</v>
          </cell>
          <cell r="CM58">
            <v>58756.34</v>
          </cell>
          <cell r="CN58">
            <v>44492.250000000007</v>
          </cell>
          <cell r="CO58">
            <v>0</v>
          </cell>
          <cell r="CP58">
            <v>728432.52</v>
          </cell>
          <cell r="CQ58">
            <v>728432.52</v>
          </cell>
          <cell r="CR58">
            <v>0</v>
          </cell>
          <cell r="CS58">
            <v>51816.200000000004</v>
          </cell>
          <cell r="CT58">
            <v>48701.420000000006</v>
          </cell>
          <cell r="CU58">
            <v>56967.780000000013</v>
          </cell>
          <cell r="CV58">
            <v>57812.549999999996</v>
          </cell>
          <cell r="CW58">
            <v>64460.339999999989</v>
          </cell>
          <cell r="CX58">
            <v>54908.639999999999</v>
          </cell>
          <cell r="CY58">
            <v>70326.670000000027</v>
          </cell>
          <cell r="CZ58">
            <v>58969.68</v>
          </cell>
          <cell r="DA58">
            <v>57353.310000000019</v>
          </cell>
          <cell r="DB58">
            <v>54795.159999999996</v>
          </cell>
          <cell r="DC58">
            <v>51772.880000000005</v>
          </cell>
          <cell r="DD58">
            <v>34507.4</v>
          </cell>
          <cell r="DE58">
            <v>0</v>
          </cell>
          <cell r="DF58">
            <v>662392.03</v>
          </cell>
          <cell r="DG58">
            <v>662392.03</v>
          </cell>
        </row>
        <row r="59">
          <cell r="B59">
            <v>56</v>
          </cell>
          <cell r="C59" t="str">
            <v>Overheadstunden Büro / Fertigungsnahe MA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27188.570000000003</v>
          </cell>
          <cell r="U59">
            <v>25688.980000000003</v>
          </cell>
          <cell r="V59">
            <v>30025.469999999998</v>
          </cell>
          <cell r="W59">
            <v>24765.210000000003</v>
          </cell>
          <cell r="X59">
            <v>28201.040000000001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135869.27000000002</v>
          </cell>
          <cell r="AH59">
            <v>135869.27000000002</v>
          </cell>
          <cell r="AI59">
            <v>0</v>
          </cell>
          <cell r="AK59">
            <v>4744.3100000000004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82903.02</v>
          </cell>
          <cell r="AV59">
            <v>82903.02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135869.27000000002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135869.27000000002</v>
          </cell>
          <cell r="BI59">
            <v>0</v>
          </cell>
          <cell r="BJ59">
            <v>0</v>
          </cell>
          <cell r="BK59">
            <v>0</v>
          </cell>
          <cell r="BL59">
            <v>24831.099999999995</v>
          </cell>
          <cell r="BM59">
            <v>26111.230000000003</v>
          </cell>
          <cell r="BN59">
            <v>30714.799999999992</v>
          </cell>
          <cell r="BO59">
            <v>29046.010000000002</v>
          </cell>
          <cell r="BP59">
            <v>26849.910000000007</v>
          </cell>
          <cell r="BQ59">
            <v>30533.870000000003</v>
          </cell>
          <cell r="BR59">
            <v>28485.999999999989</v>
          </cell>
          <cell r="BS59">
            <v>24530.140000000007</v>
          </cell>
          <cell r="BT59">
            <v>27849.659999999996</v>
          </cell>
          <cell r="BU59">
            <v>28194.679999999989</v>
          </cell>
          <cell r="BV59">
            <v>27229.440000000002</v>
          </cell>
          <cell r="BW59">
            <v>20602.330000000005</v>
          </cell>
          <cell r="BX59">
            <v>0</v>
          </cell>
          <cell r="BY59">
            <v>324979.17</v>
          </cell>
          <cell r="BZ59">
            <v>324979.17</v>
          </cell>
          <cell r="CA59">
            <v>20602.330000000005</v>
          </cell>
          <cell r="CB59">
            <v>0</v>
          </cell>
          <cell r="CC59">
            <v>24592.670000000002</v>
          </cell>
          <cell r="CD59">
            <v>23482.870000000003</v>
          </cell>
          <cell r="CE59">
            <v>26457.219999999994</v>
          </cell>
          <cell r="CF59">
            <v>21738.05</v>
          </cell>
          <cell r="CG59">
            <v>23470.580000000009</v>
          </cell>
          <cell r="CH59">
            <v>26182.130000000008</v>
          </cell>
          <cell r="CI59">
            <v>27729.069999999985</v>
          </cell>
          <cell r="CJ59">
            <v>23970.18</v>
          </cell>
          <cell r="CK59">
            <v>25622.169999999995</v>
          </cell>
          <cell r="CL59">
            <v>26425.329999999998</v>
          </cell>
          <cell r="CM59">
            <v>27235.280000000002</v>
          </cell>
          <cell r="CN59">
            <v>21176.31</v>
          </cell>
          <cell r="CO59">
            <v>0</v>
          </cell>
          <cell r="CP59">
            <v>298081.85999999993</v>
          </cell>
          <cell r="CQ59">
            <v>298081.85999999993</v>
          </cell>
          <cell r="CR59">
            <v>0</v>
          </cell>
          <cell r="CS59">
            <v>25650.89</v>
          </cell>
          <cell r="CT59">
            <v>24415.460000000003</v>
          </cell>
          <cell r="CU59">
            <v>24825.87</v>
          </cell>
          <cell r="CV59">
            <v>25582.800000000003</v>
          </cell>
          <cell r="CW59">
            <v>24908.739999999998</v>
          </cell>
          <cell r="CX59">
            <v>23153.660000000003</v>
          </cell>
          <cell r="CY59">
            <v>26993.750000000011</v>
          </cell>
          <cell r="CZ59">
            <v>23948.239999999994</v>
          </cell>
          <cell r="DA59">
            <v>24057.49</v>
          </cell>
          <cell r="DB59">
            <v>26407.360000000001</v>
          </cell>
          <cell r="DC59">
            <v>24199.75</v>
          </cell>
          <cell r="DD59">
            <v>18863.940000000002</v>
          </cell>
          <cell r="DE59">
            <v>0</v>
          </cell>
          <cell r="DF59">
            <v>293007.95</v>
          </cell>
          <cell r="DG59">
            <v>293007.95</v>
          </cell>
        </row>
      </sheetData>
      <sheetData sheetId="12">
        <row r="5">
          <cell r="D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5">
          <cell r="D5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D5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T4">
            <v>634460.02</v>
          </cell>
        </row>
      </sheetData>
      <sheetData sheetId="39">
        <row r="4">
          <cell r="T4">
            <v>386313.43</v>
          </cell>
        </row>
      </sheetData>
      <sheetData sheetId="40">
        <row r="4">
          <cell r="T4">
            <v>1337314.6599999999</v>
          </cell>
        </row>
      </sheetData>
      <sheetData sheetId="41">
        <row r="4">
          <cell r="T4">
            <v>1601855.81</v>
          </cell>
        </row>
      </sheetData>
      <sheetData sheetId="42">
        <row r="4">
          <cell r="T4">
            <v>15631.49</v>
          </cell>
        </row>
      </sheetData>
      <sheetData sheetId="43">
        <row r="4">
          <cell r="T4">
            <v>0</v>
          </cell>
        </row>
      </sheetData>
      <sheetData sheetId="44">
        <row r="4">
          <cell r="T4">
            <v>14376.04</v>
          </cell>
        </row>
      </sheetData>
      <sheetData sheetId="45">
        <row r="4">
          <cell r="T4">
            <v>1257057.0900000001</v>
          </cell>
        </row>
      </sheetData>
      <sheetData sheetId="46"/>
      <sheetData sheetId="47">
        <row r="4">
          <cell r="T4">
            <v>3517600.34</v>
          </cell>
        </row>
      </sheetData>
      <sheetData sheetId="48">
        <row r="4">
          <cell r="T4">
            <v>2103636.19</v>
          </cell>
        </row>
      </sheetData>
      <sheetData sheetId="49">
        <row r="4">
          <cell r="T4">
            <v>372657.36</v>
          </cell>
        </row>
      </sheetData>
      <sheetData sheetId="50">
        <row r="4">
          <cell r="T4">
            <v>10023.67</v>
          </cell>
        </row>
      </sheetData>
      <sheetData sheetId="51">
        <row r="4">
          <cell r="T4">
            <v>278023.93</v>
          </cell>
        </row>
      </sheetData>
      <sheetData sheetId="52">
        <row r="4">
          <cell r="T4">
            <v>266546.65999999997</v>
          </cell>
        </row>
      </sheetData>
      <sheetData sheetId="53"/>
      <sheetData sheetId="54"/>
      <sheetData sheetId="55">
        <row r="4">
          <cell r="T4">
            <v>52005.8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lage"/>
      <sheetName val="Archiv"/>
    </sheetNames>
    <sheetDataSet>
      <sheetData sheetId="0"/>
      <sheetData sheetId="1" refreshError="1">
        <row r="1152">
          <cell r="C1152" t="str">
            <v>Zentralisierung der Buchhaltung in Musberg.</v>
          </cell>
        </row>
        <row r="1286">
          <cell r="C1286" t="str">
            <v>Arbeitsplan Abstimmung FB4 mit VL: wer führt mit wem wann das notwendige Gespräch??</v>
          </cell>
        </row>
        <row r="1287">
          <cell r="C1287" t="str">
            <v>Welche Steuerungsdaten können wir am nächsten VLT übergeben??</v>
          </cell>
        </row>
        <row r="1288">
          <cell r="C1288" t="str">
            <v>Wir fixieren wir die Aktivitäten der VL zur Zielvereinbarung und Budgetierung??</v>
          </cell>
        </row>
        <row r="1289">
          <cell r="C1289" t="str">
            <v>Wir können wir MB intensiver in die VLT einbringen??</v>
          </cell>
        </row>
        <row r="1290">
          <cell r="C1290" t="str">
            <v>SANA Steuerung FB</v>
          </cell>
        </row>
        <row r="1291">
          <cell r="C1291" t="str">
            <v>Mit JK Lavernapreise diskutieren</v>
          </cell>
          <cell r="D1291" t="str">
            <v>WH</v>
          </cell>
        </row>
        <row r="1292">
          <cell r="C1292" t="str">
            <v>Dr. Schmitt  Prof. Reiter,  Dr. Meckbach  Dr. Groh  Dr. Fetsch           W. Zeitler  W. Hachtel</v>
          </cell>
        </row>
        <row r="1293">
          <cell r="C1293" t="str">
            <v>Probeweise soll das Stichwortprotokoll geführt werden; im Bedarfsfall wird das Protokoll ergänzt.</v>
          </cell>
        </row>
        <row r="1294">
          <cell r="C1294" t="str">
            <v>Die Unterlagen an die Gesellschafter sind versandfertig und können nach Abstimmung mit dem Beirat versendet werden.</v>
          </cell>
        </row>
        <row r="1295">
          <cell r="C1295" t="str">
            <v>Wir diskutieren die Notwendigkeit einer getrennten GMBH-Sitzung; wir überlassen die Entscheidung darüber den Gesellschaftern selbst. Wir beginnen mit der Sanierung der Töchter und der Sicherung der MHZ</v>
          </cell>
        </row>
        <row r="1296">
          <cell r="C1296" t="str">
            <v>Tagesordung wird entsprechend dieses Beschlusses verabschiedet und versendet.</v>
          </cell>
        </row>
        <row r="1297">
          <cell r="C1297" t="str">
            <v>Prof.Günter Hachtel:  § 17 a : der Gesellschafterkreis vom 21.12.1992 wird als erbberechtigt gewünscht, wir halten diese Lösung für falsch, wer verkauft hat, kann nicht mehr in die Gesellschaft kommen.</v>
          </cell>
        </row>
        <row r="1298">
          <cell r="C1298" t="str">
            <v>§21 a: Dr Meckbach hat keine Bedenken wegen Sittenwidrigkeit dieser Passage; deshalb schlagen wir vor, daß sie bleibt.</v>
          </cell>
        </row>
        <row r="1299">
          <cell r="C1299" t="str">
            <v>§22 Abs. 1: dieser Vorschlag wird aufgenommen.</v>
          </cell>
        </row>
        <row r="1300">
          <cell r="C1300" t="str">
            <v>Herr Zeitler verteilt eine Anlage zu den internen Umsätzen mit den Töchtern. Außenumsatz ist ca 22.000.000.- DM . Wir rechnen mit einem DB von 20% und einem Grenzertrag von nahe 30%.</v>
          </cell>
        </row>
        <row r="1301">
          <cell r="C1301" t="str">
            <v>ATES: Verlust 4,5 Mio mit steigender Tendenz; Umsätze sind nicht erzielt erzielt worden. Der Umsatzzuwachs kommt aus einer Zusammenführung von MHZ F und ATES.</v>
          </cell>
        </row>
        <row r="1302">
          <cell r="C1302" t="str">
            <v>Erste Sanierungswelle mit 9 Personen ( Gesetzlich limitiert ) ist durchgeführt. 4 weitere Personen sind freiwillig gegangen.Nach drei Monaten Sperrfrist können weitere Personen gekündigt werden.</v>
          </cell>
        </row>
        <row r="1303">
          <cell r="C1303" t="str">
            <v>Ertragsplanung</v>
          </cell>
        </row>
        <row r="1304">
          <cell r="C1304" t="str">
            <v>MHZ A: am 7.4 werden sieben Mitarbeiter incl. dem GF entlassen. Danach wird die Immobilie liquidiert, zuletzt Buchhaltung und Fakturierung nach Musberg.</v>
          </cell>
        </row>
        <row r="1305">
          <cell r="C1305" t="str">
            <v xml:space="preserve">Kostensenkungspotentiale
</v>
          </cell>
        </row>
        <row r="1306">
          <cell r="C1306" t="str">
            <v>Umsatzzuwachsprognose</v>
          </cell>
        </row>
        <row r="1307">
          <cell r="C1307" t="str">
            <v>Umsatzentwicklung</v>
          </cell>
        </row>
        <row r="1308">
          <cell r="C1308" t="str">
            <v>Aktionsplan mit Ergebniswirkung wird als Anlage verteilt.</v>
          </cell>
        </row>
        <row r="1309">
          <cell r="C1309" t="str">
            <v>Dr.Schmitt spricht das Thema Fixkosten an: Dr.Fetsch erläutert die Situation der Nebenbetriebe; Niederstetten hat von 265 auf 197 abgebaut, seit Dr.Fe die Verantwortung hat.</v>
          </cell>
        </row>
        <row r="1310">
          <cell r="C1310" t="str">
            <v>Werkzeugbau: 1,1 Mio Umsatz, 400 TDM aktivierte Eigenleistungen, und Reparaturen aller Werkzeuge bei 1,1 Mio Personalkosten.</v>
          </cell>
        </row>
        <row r="1311">
          <cell r="C1311" t="str">
            <v>Maschinenbau: Einstellungsstop seit 2 Jahren, incl. Musberg 6 Altersabgänge.</v>
          </cell>
        </row>
        <row r="1312">
          <cell r="C1312" t="str">
            <v>Artline: die positiven Aspekte werden allgemein anerkannt. Wir werden diesen Gedanken nach der Sanierung der Töchter wieder aufgreifen.</v>
          </cell>
        </row>
        <row r="1313">
          <cell r="C1313" t="str">
            <v xml:space="preserve">Wertberichtigungsbedarf ATES:    5.000.000.-, </v>
          </cell>
        </row>
        <row r="1314">
          <cell r="C1314" t="str">
            <v>Wertberichtigungsbedarf MHZ A:   2.000.000.-</v>
          </cell>
        </row>
        <row r="1315">
          <cell r="C1315" t="str">
            <v>Aktionsplan ATES: wir schneiden die Kosten in Abhängigkeit der Umsatzentwicklung: Ziel: break even schnellstmöglich.</v>
          </cell>
        </row>
        <row r="1316">
          <cell r="C1316" t="str">
            <v>Aktionsplan MHZ A: Darstellung fr die Gesellschaft wie im Beirat aufbereitet.</v>
          </cell>
        </row>
        <row r="1317">
          <cell r="C1317" t="str">
            <v>Datenblatt Jahresergebnis wird für die Gesellschafter neu erstellt.</v>
          </cell>
          <cell r="D1317" t="str">
            <v>WZ</v>
          </cell>
        </row>
        <row r="1318">
          <cell r="C1318" t="str">
            <v>Gesellschaftsvertrag: keine weiterer Diskussionsbedarf; die Gesellschafter müssen über die Unterzeichnung entscheiden.</v>
          </cell>
        </row>
        <row r="1319">
          <cell r="C1319" t="str">
            <v xml:space="preserve">Der Abschluß der Gesellschaft wird Mitte April erwartet; </v>
          </cell>
        </row>
        <row r="1320">
          <cell r="C1320" t="str">
            <v>HHZ  MB  YB  TG  WH</v>
          </cell>
        </row>
        <row r="1321">
          <cell r="C1321" t="str">
            <v>Terminabstimmung MB WH TG</v>
          </cell>
          <cell r="D1321" t="str">
            <v>MB</v>
          </cell>
          <cell r="E1321" t="str">
            <v>X</v>
          </cell>
        </row>
        <row r="1322">
          <cell r="C1322" t="str">
            <v>Abstimmung der Tagungszyklen  von Regionalteams und VLT im VLT; Zeitbudgets transparent machen.</v>
          </cell>
        </row>
        <row r="1323">
          <cell r="C1323" t="str">
            <v>Die Daten für die Budgetierung stehen zentral zur Verfügung.</v>
          </cell>
        </row>
        <row r="1324">
          <cell r="C1324" t="str">
            <v>Sana zielorientiertes Führen des Aussendienstes: Notwendigkeit WH;  Daten HHZ, Umsetzung MB</v>
          </cell>
        </row>
        <row r="1325">
          <cell r="C1325" t="str">
            <v>Organisation des Datenrückflusses für die Budgetdaten, die von den VLs kommen.</v>
          </cell>
          <cell r="D1325" t="str">
            <v>HHz</v>
          </cell>
          <cell r="E1325" t="str">
            <v>x</v>
          </cell>
        </row>
        <row r="1326">
          <cell r="C1326" t="str">
            <v>Ziel: das System ist das VL-System. SANA: Defizite des heutigen Systems, Fixierung der Maßnahmen.</v>
          </cell>
          <cell r="D1326" t="str">
            <v>TG MB  WH</v>
          </cell>
        </row>
        <row r="1327">
          <cell r="C1327" t="str">
            <v>Workshop Katalog Dekotechnik</v>
          </cell>
          <cell r="D1327" t="str">
            <v>YB</v>
          </cell>
          <cell r="E1327" t="str">
            <v>X</v>
          </cell>
        </row>
        <row r="1328">
          <cell r="C1328" t="str">
            <v>Sana1 Visulaisierung/Datenbank</v>
          </cell>
          <cell r="D1328" t="str">
            <v>YB</v>
          </cell>
          <cell r="E1328" t="str">
            <v>X</v>
          </cell>
        </row>
        <row r="1329">
          <cell r="C1329" t="str">
            <v>Kalkulationsteam: pro Verkaufsgebiet einen Kalkulator, Lukas, Dohmen, Wahl, Gerstäcker, Sänger, Sareyko, Steck; Hori Vertikal und Alu; Kommunikation: Termine abstimmen.</v>
          </cell>
          <cell r="D1329" t="str">
            <v>HHz</v>
          </cell>
          <cell r="E1329" t="str">
            <v>X</v>
          </cell>
        </row>
        <row r="1330">
          <cell r="C1330" t="str">
            <v>Offensive Konditionen Horizontal bei VL einsteuern.</v>
          </cell>
          <cell r="D1330" t="str">
            <v>HHz</v>
          </cell>
          <cell r="E1330" t="str">
            <v>X</v>
          </cell>
        </row>
        <row r="1331">
          <cell r="C1331" t="str">
            <v>ADIS</v>
          </cell>
          <cell r="D1331" t="str">
            <v>HHz</v>
          </cell>
          <cell r="E1331" t="str">
            <v>X</v>
          </cell>
        </row>
        <row r="1332">
          <cell r="C1332" t="str">
            <v>DB-Darstellung der letzten 4 Monate: Rating erstellen: Routine Quartal</v>
          </cell>
          <cell r="D1332" t="str">
            <v xml:space="preserve">WH </v>
          </cell>
          <cell r="F1332" t="str">
            <v xml:space="preserve"> ==&gt; MB</v>
          </cell>
        </row>
        <row r="1333">
          <cell r="C1333" t="str">
            <v>Spesenregelung wird MB mit WZ  und VLT abstimmen.</v>
          </cell>
          <cell r="D1333" t="str">
            <v>MB</v>
          </cell>
          <cell r="E1333" t="str">
            <v>X</v>
          </cell>
        </row>
        <row r="1334">
          <cell r="C1334" t="str">
            <v>Fuhrparkregelung mit VL abstimmen: Sonderfall: Sanierung bei extremer Unterdeckung im Topf.</v>
          </cell>
          <cell r="D1334" t="str">
            <v>MB</v>
          </cell>
          <cell r="E1334" t="str">
            <v>X</v>
          </cell>
        </row>
        <row r="1335">
          <cell r="C1335" t="str">
            <v>Sana Führungsdienstleister</v>
          </cell>
          <cell r="D1335" t="str">
            <v>MB</v>
          </cell>
          <cell r="E1335" t="str">
            <v>X</v>
          </cell>
        </row>
        <row r="1336">
          <cell r="C1336" t="str">
            <v>Kämmers: wir laden ihn ohne Kinstler: Terminänderung über WS</v>
          </cell>
          <cell r="D1336" t="str">
            <v>WH</v>
          </cell>
        </row>
        <row r="1337">
          <cell r="C1337" t="str">
            <v>Bott Schreier: Sana Schreier mit EH</v>
          </cell>
          <cell r="D1337" t="str">
            <v>TG</v>
          </cell>
          <cell r="E1337" t="str">
            <v>X</v>
          </cell>
        </row>
        <row r="1338">
          <cell r="C1338" t="str">
            <v>Vertriebsgruppenleiter:  Funktionsbeschreibung und vertragliche Neugestaltung; Eigenverantwortung bei Führung durch VL</v>
          </cell>
          <cell r="D1338" t="str">
            <v xml:space="preserve">TG MB  </v>
          </cell>
          <cell r="E1338" t="str">
            <v>X</v>
          </cell>
        </row>
        <row r="1339">
          <cell r="C1339" t="str">
            <v>Vergütung Stefan Paulus: 5700+700;</v>
          </cell>
        </row>
        <row r="1340">
          <cell r="C1340" t="str">
            <v>Lagaly übernimmt Gebiet von Dommermuth und Meissner; Dommermuth übernimmt Müller</v>
          </cell>
        </row>
        <row r="1341">
          <cell r="C1341" t="str">
            <v>Verträge werden nicht an die VL herausgegeben; Grund: es ist nicht Usus, daß Führungskräfte die Verträge haben; Einsehen bei Bedarf keine Frage</v>
          </cell>
        </row>
        <row r="1342">
          <cell r="C1342" t="str">
            <v>Hans Porsch: wir müssen die regionale Planung präzise machen, dann können wir ihn integrieren. Zusatznutzen Hansa</v>
          </cell>
        </row>
        <row r="1343">
          <cell r="C1343" t="str">
            <v>Kein Ausbau der dezentralen Erfassungskapazitäten in den Büros; wir stärken lieber die Geschäftsstellen. Grenzen verschieben.</v>
          </cell>
        </row>
        <row r="1344">
          <cell r="C1344" t="str">
            <v>Es gibt keine anderen Fahrzeuge für Gruppenleiter; wir bezahlen höhere Gehälter.</v>
          </cell>
        </row>
        <row r="1345">
          <cell r="C1345" t="str">
            <v>Doris Riegger möchte mit F&amp;A abgestimmt zusammenarbeiten bei neuen Leuten. Ich habe auf die Problematik hingewiesen</v>
          </cell>
          <cell r="D1345" t="str">
            <v>TG</v>
          </cell>
        </row>
        <row r="1347">
          <cell r="C1347" t="str">
            <v>Sicherungsschraube am offenen Zwischenträger mit senkrechter Linsenkopfschraube M4</v>
          </cell>
        </row>
        <row r="1348">
          <cell r="C1348" t="str">
            <v>WZ DR.FE WH</v>
          </cell>
        </row>
        <row r="1349">
          <cell r="C1349" t="str">
            <v>Elmar Lutz möchte sofort ausbezahlt haben; Regelung: zukünftig Steigerungsprämie wie andere Kollegen?</v>
          </cell>
        </row>
        <row r="1352">
          <cell r="C1352" t="str">
            <v>Cosiflor Lizenzgebühr: wir dürfen keine Kundenlisten aus der Hand geben.</v>
          </cell>
        </row>
        <row r="1354">
          <cell r="C1354" t="str">
            <v>Abstimmung der Zusammenarbeit GF Technik Vertrieb durch eine SANA?</v>
          </cell>
          <cell r="D1354" t="str">
            <v>WH</v>
          </cell>
        </row>
        <row r="1355">
          <cell r="C1355" t="str">
            <v>Sana Preisniveauanpassung mit Hfi durchsprechen und ergänzen.</v>
          </cell>
          <cell r="D1355" t="str">
            <v>WH</v>
          </cell>
        </row>
        <row r="1356">
          <cell r="C1356" t="str">
            <v>Kempten mit VF abstimmen</v>
          </cell>
          <cell r="D1356" t="str">
            <v>WH</v>
          </cell>
        </row>
        <row r="1357">
          <cell r="C1357" t="str">
            <v>Wie bauen wir die AM der VL weiter aus?</v>
          </cell>
          <cell r="D1357" t="str">
            <v>WH</v>
          </cell>
        </row>
        <row r="1358">
          <cell r="C1358" t="str">
            <v>LMS nachfassen</v>
          </cell>
          <cell r="D1358" t="str">
            <v>WH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ndesliga"/>
      <sheetName val="Vertriebsstruktur"/>
      <sheetName val="AS"/>
      <sheetName val="Teams"/>
      <sheetName val="Kollektionszyklen"/>
      <sheetName val="Orga"/>
      <sheetName val="ATES_CM_SST"/>
      <sheetName val="Strategie ATES"/>
      <sheetName val="Kommunikation"/>
      <sheetName val="Organigramm"/>
      <sheetName val="FBE"/>
      <sheetName val="Mrktsgmnt"/>
      <sheetName val="PR"/>
      <sheetName val="Info_Knsmntn"/>
    </sheetNames>
    <sheetDataSet>
      <sheetData sheetId="0"/>
      <sheetData sheetId="1"/>
      <sheetData sheetId="2"/>
      <sheetData sheetId="3"/>
      <sheetData sheetId="4"/>
      <sheetData sheetId="5">
        <row r="41">
          <cell r="V41" t="str">
            <v>BLT</v>
          </cell>
          <cell r="W41" t="str">
            <v>Abensberg</v>
          </cell>
          <cell r="X41" t="str">
            <v>Halle</v>
          </cell>
          <cell r="Y41" t="str">
            <v>Hannover</v>
          </cell>
          <cell r="Z41" t="str">
            <v>Musberg</v>
          </cell>
          <cell r="AA41" t="str">
            <v>Neu Isenburg</v>
          </cell>
          <cell r="AB41" t="str">
            <v>Neuss</v>
          </cell>
          <cell r="AC41" t="str">
            <v>Niederstetten</v>
          </cell>
          <cell r="AD41" t="str">
            <v>Riegel</v>
          </cell>
          <cell r="AE41" t="str">
            <v>Stetten</v>
          </cell>
        </row>
        <row r="42">
          <cell r="U42" t="str">
            <v>Führung</v>
          </cell>
          <cell r="V42">
            <v>2510</v>
          </cell>
          <cell r="W42" t="str">
            <v>Heinz Schulz</v>
          </cell>
          <cell r="X42" t="str">
            <v>Thekla Müller</v>
          </cell>
          <cell r="Y42" t="str">
            <v>Henning Rieger</v>
          </cell>
          <cell r="Z42" t="str">
            <v>Pius Sauter</v>
          </cell>
          <cell r="AA42" t="str">
            <v>Ralf Spamer</v>
          </cell>
          <cell r="AB42" t="str">
            <v>Thomas Baersch</v>
          </cell>
          <cell r="AC42" t="str">
            <v>Albrecht Decker</v>
          </cell>
          <cell r="AD42" t="str">
            <v>Adolf Kübler</v>
          </cell>
          <cell r="AE42" t="str">
            <v>Helmut Kurz</v>
          </cell>
        </row>
        <row r="43">
          <cell r="U43" t="str">
            <v>Telephonbetreuung</v>
          </cell>
          <cell r="W43">
            <v>220</v>
          </cell>
          <cell r="X43">
            <v>50</v>
          </cell>
          <cell r="Y43">
            <v>0</v>
          </cell>
          <cell r="Z43">
            <v>0</v>
          </cell>
          <cell r="AA43">
            <v>0</v>
          </cell>
          <cell r="AB43">
            <v>70</v>
          </cell>
          <cell r="AC43">
            <v>0</v>
          </cell>
          <cell r="AD43">
            <v>0</v>
          </cell>
          <cell r="AE43">
            <v>100</v>
          </cell>
          <cell r="AF43">
            <v>440</v>
          </cell>
        </row>
        <row r="44">
          <cell r="U44" t="str">
            <v>Mawi/Dispo/Orga</v>
          </cell>
          <cell r="W44">
            <v>50</v>
          </cell>
          <cell r="X44">
            <v>50</v>
          </cell>
          <cell r="Y44">
            <v>0</v>
          </cell>
          <cell r="Z44">
            <v>50</v>
          </cell>
          <cell r="AA44">
            <v>0</v>
          </cell>
          <cell r="AB44">
            <v>50</v>
          </cell>
          <cell r="AC44">
            <v>50</v>
          </cell>
          <cell r="AD44">
            <v>100</v>
          </cell>
          <cell r="AE44">
            <v>50</v>
          </cell>
          <cell r="AF44">
            <v>400</v>
          </cell>
        </row>
        <row r="45">
          <cell r="U45" t="str">
            <v>Konfektion</v>
          </cell>
          <cell r="W45">
            <v>180</v>
          </cell>
          <cell r="X45">
            <v>0</v>
          </cell>
          <cell r="Y45">
            <v>0</v>
          </cell>
          <cell r="Z45">
            <v>420</v>
          </cell>
          <cell r="AA45">
            <v>50</v>
          </cell>
          <cell r="AB45">
            <v>100</v>
          </cell>
          <cell r="AC45">
            <v>50</v>
          </cell>
          <cell r="AD45">
            <v>300</v>
          </cell>
          <cell r="AE45">
            <v>50</v>
          </cell>
          <cell r="AF45">
            <v>1150</v>
          </cell>
        </row>
        <row r="46">
          <cell r="U46" t="str">
            <v>Auslieferung</v>
          </cell>
          <cell r="W46">
            <v>0</v>
          </cell>
          <cell r="X46">
            <v>60</v>
          </cell>
          <cell r="Y46">
            <v>60</v>
          </cell>
          <cell r="Z46">
            <v>150</v>
          </cell>
          <cell r="AA46">
            <v>0</v>
          </cell>
          <cell r="AB46">
            <v>50</v>
          </cell>
          <cell r="AC46">
            <v>150</v>
          </cell>
          <cell r="AD46">
            <v>50</v>
          </cell>
          <cell r="AE46">
            <v>0</v>
          </cell>
          <cell r="AF46">
            <v>520</v>
          </cell>
        </row>
        <row r="48">
          <cell r="U48" t="str">
            <v>Team-Leiter</v>
          </cell>
          <cell r="V48" t="str">
            <v>VLT</v>
          </cell>
          <cell r="W48" t="str">
            <v>VT Nord</v>
          </cell>
          <cell r="X48" t="str">
            <v>VT West</v>
          </cell>
          <cell r="Y48" t="str">
            <v>VT Mitte</v>
          </cell>
          <cell r="Z48" t="str">
            <v>VT Südwest</v>
          </cell>
          <cell r="AA48" t="str">
            <v>VT Südmitte</v>
          </cell>
          <cell r="AB48" t="str">
            <v>VT Südost</v>
          </cell>
          <cell r="AC48" t="str">
            <v>VT Nordost</v>
          </cell>
          <cell r="AD48" t="str">
            <v>VT Ost1</v>
          </cell>
          <cell r="AE48" t="str">
            <v>VT Ost 2</v>
          </cell>
        </row>
        <row r="49">
          <cell r="U49" t="str">
            <v>Führung</v>
          </cell>
          <cell r="W49" t="str">
            <v>Manfred Marheine</v>
          </cell>
          <cell r="X49" t="str">
            <v>Hannjörg Kinstler</v>
          </cell>
          <cell r="Y49" t="str">
            <v>Norbert Dommer.</v>
          </cell>
          <cell r="Z49" t="str">
            <v>Peter Unger</v>
          </cell>
          <cell r="AA49" t="str">
            <v>Eberhard Hachtel</v>
          </cell>
          <cell r="AB49" t="str">
            <v>Veit Funk</v>
          </cell>
          <cell r="AC49" t="str">
            <v>Erwin Schmitt</v>
          </cell>
          <cell r="AD49" t="str">
            <v>Heiner Frohn</v>
          </cell>
          <cell r="AE49" t="str">
            <v>Lars Puschm.</v>
          </cell>
        </row>
        <row r="50">
          <cell r="U50" t="str">
            <v>Daten &amp; Angebote</v>
          </cell>
          <cell r="V50" t="str">
            <v>Heiner Frohn</v>
          </cell>
        </row>
        <row r="51">
          <cell r="U51" t="str">
            <v>Einarbeitung neue FB</v>
          </cell>
          <cell r="V51" t="str">
            <v>Lars Puschm.</v>
          </cell>
        </row>
        <row r="52">
          <cell r="U52" t="str">
            <v>Konditionen</v>
          </cell>
          <cell r="V52" t="str">
            <v>Peter Unger</v>
          </cell>
        </row>
        <row r="53">
          <cell r="U53" t="str">
            <v>Produkte</v>
          </cell>
          <cell r="V53" t="str">
            <v>Eberhard Hachtel</v>
          </cell>
        </row>
        <row r="54">
          <cell r="U54" t="str">
            <v>Kommuni kation</v>
          </cell>
          <cell r="V54" t="str">
            <v>Hannjörg Kinstler</v>
          </cell>
        </row>
        <row r="55">
          <cell r="U55" t="str">
            <v>Steuerung</v>
          </cell>
          <cell r="V55" t="str">
            <v>Veit Funk</v>
          </cell>
        </row>
        <row r="56">
          <cell r="U56" t="str">
            <v>Marktanalyse</v>
          </cell>
          <cell r="V56" t="str">
            <v>Erwin Schmitt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Hachtel" id="{35A15404-4186-4954-868A-41C7A7CCB036}" userId="07b811b47acf0a8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2E9883-553D-4D6D-ABD4-D03B861874CD}" name="Preisliste_Archiv" displayName="Preisliste_Archiv" ref="A1:V306" totalsRowShown="0" headerRowDxfId="42" dataDxfId="41">
  <autoFilter ref="A1:V306" xr:uid="{E62E9883-553D-4D6D-ABD4-D03B861874CD}"/>
  <tableColumns count="22">
    <tableColumn id="1" xr3:uid="{F20AB21A-10C6-45DB-A75C-75860091DCE8}" name="Art_Nr"/>
    <tableColumn id="2" xr3:uid="{A4CDFD78-194D-4C5A-AF0E-2C4FBDA2BE33}" name="Typ"/>
    <tableColumn id="3" xr3:uid="{A629DE2C-42CF-4A74-BDE7-0D0020684C98}" name="Kategorie"/>
    <tableColumn id="4" xr3:uid="{D384B970-9687-4ACD-8EBD-A1AA20793F23}" name="Bezeichnung"/>
    <tableColumn id="5" xr3:uid="{10A9044A-F5AB-4314-9442-5F349AEB9099}" name="Breite_mm"/>
    <tableColumn id="6" xr3:uid="{453521E7-D098-496F-B40C-D955683F1AEE}" name="Tiefe_mm"/>
    <tableColumn id="7" xr3:uid="{D066D1BA-9A06-4D3E-8F94-DBAA9B36C8B6}" name="PG1_EUR_alt" dataDxfId="40"/>
    <tableColumn id="8" xr3:uid="{BCA66D11-4A6D-45AF-86BB-E6AAF5647185}" name="PG2_EUR_alt" dataDxfId="39"/>
    <tableColumn id="9" xr3:uid="{7B85657B-1E8A-416C-9CA5-28F1C5341587}" name="PG3_EUR_alt" dataDxfId="38"/>
    <tableColumn id="10" xr3:uid="{862D195D-42BD-4EF8-B6A8-28C1CAD10E30}" name="PG4_EUR_alt" dataDxfId="37"/>
    <tableColumn id="11" xr3:uid="{1869AB40-F43C-49E7-AD7B-175203E920E9}" name="PG1_CHF_alt" dataDxfId="36"/>
    <tableColumn id="12" xr3:uid="{99D2CB30-2EFD-45BA-AFBC-2D5264F930EF}" name="PG2_CHF_alt" dataDxfId="35"/>
    <tableColumn id="13" xr3:uid="{3480B396-C216-4F53-BB84-FB0600957D5F}" name="PG3_CHF_alt" dataDxfId="34"/>
    <tableColumn id="14" xr3:uid="{D31DED76-A5A8-4EC3-A889-1423F8F44C63}" name="PG4_CHF_alt" dataDxfId="33"/>
    <tableColumn id="15" xr3:uid="{D9249B49-EDE1-496D-B9C4-249E1FD0B29B}" name="PG1_EUR_neu" dataDxfId="32">
      <calculatedColumnFormula>Aktiv!G6</calculatedColumnFormula>
    </tableColumn>
    <tableColumn id="16" xr3:uid="{9098B90B-BA9C-4D77-A447-219A07FAA745}" name="PG2_EUR_neu" dataDxfId="31">
      <calculatedColumnFormula>Aktiv!H6</calculatedColumnFormula>
    </tableColumn>
    <tableColumn id="17" xr3:uid="{31151393-771F-4234-BADF-99F62F7C28F8}" name="PG3_EUR_neu" dataDxfId="30">
      <calculatedColumnFormula>Aktiv!I6</calculatedColumnFormula>
    </tableColumn>
    <tableColumn id="18" xr3:uid="{F51A5CF9-8DD3-4249-BFE7-7BF257EEBFFB}" name="PG4_EUR_neu" dataDxfId="29">
      <calculatedColumnFormula>Aktiv!J6</calculatedColumnFormula>
    </tableColumn>
    <tableColumn id="19" xr3:uid="{54387093-B4EE-470B-A5B6-ED23EA1D3887}" name="Δ PG1%" dataDxfId="28">
      <calculatedColumnFormula>IF(OR(G2="",G2=0,O2=""),"",O2/G2-1)</calculatedColumnFormula>
    </tableColumn>
    <tableColumn id="20" xr3:uid="{1ACBBC7C-7D12-416D-BB8F-4B5ABD950EFD}" name="Δ PG2%" dataDxfId="27">
      <calculatedColumnFormula>IF(OR(H2="",H2=0,P2=""),"",P2/H2-1)</calculatedColumnFormula>
    </tableColumn>
    <tableColumn id="21" xr3:uid="{256AFAE3-CB56-4824-ADB5-B8F38B15B149}" name="Δ PG3%" dataDxfId="26">
      <calculatedColumnFormula>IF(OR(I2="",I2=0,Q2=""),"",Q2/I2-1)</calculatedColumnFormula>
    </tableColumn>
    <tableColumn id="22" xr3:uid="{3D88E172-779A-4434-854A-E2375C7AF98D}" name="Δ PG4%" dataDxfId="25">
      <calculatedColumnFormula>IF(OR(J2="",J2=0,R2=""),"",R2/J2-1)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7" dT="2026-03-30T13:11:36.06" personId="{35A15404-4186-4954-868A-41C7A7CCB036}" id="{8D185186-B7C9-4298-9482-7692A706D821}">
    <text>⚠️ VORSICHT: Tischprogramm-Artikel (TW1-TW10) sind Komplettsysteme (Gestell + Platte). Sie wurden mit einfachen Boden-Platten gematcht (gleiche Maße), aber sind fundamental andere Produkte. Die Preisabweichungen hier sind daher NICHT vergleichbar!</text>
  </threadedComment>
  <threadedComment ref="A103" dT="2026-03-30T13:11:36.07" personId="{35A15404-4186-4954-868A-41C7A7CCB036}" id="{DEC3C15A-BDD7-4151-A8FB-7B15DC8E4C17}">
    <text>⚠️ VORSICHT: Tischplatten (TWP1-TWP10) sind spezielle Tisch-Bauteile. Matching basiert nur auf Maßen, Vergleichbarkeit ist eingeschränkt.</text>
  </threadedComment>
  <threadedComment ref="A120" dT="2026-03-30T13:11:36.07" personId="{35A15404-4186-4954-868A-41C7A7CCB036}" id="{257FF2F1-0A54-4C56-843D-5606F6972402}">
    <text>⚠️ Tischprogramm-Werte nicht vergleichbar – Komplettsysteme vs. Einzelplatten!</text>
  </threadedComment>
  <threadedComment ref="A121" dT="2026-03-30T13:11:36.07" personId="{35A15404-4186-4954-868A-41C7A7CCB036}" id="{04C47F40-7CF6-4668-8E4B-C64BBBCE5FD2}">
    <text>⚠️ Tischprofile/platten nur bedingt vergleichbar!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B626B6-6F6D-4D66-BFFF-BC533B058400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zoomScaleNormal="100" workbookViewId="0">
      <selection sqref="A1:G1"/>
    </sheetView>
  </sheetViews>
  <sheetFormatPr baseColWidth="10" defaultColWidth="8.7109375" defaultRowHeight="15" x14ac:dyDescent="0.25"/>
  <cols>
    <col min="1" max="1" width="36" customWidth="1"/>
    <col min="2" max="2" width="16" customWidth="1"/>
    <col min="3" max="3" width="18" customWidth="1"/>
    <col min="4" max="4" width="22" customWidth="1"/>
  </cols>
  <sheetData>
    <row r="1" spans="1:4" ht="19.5" customHeight="1" x14ac:dyDescent="0.25">
      <c r="A1" s="106" t="s">
        <v>13</v>
      </c>
      <c r="B1" s="106"/>
      <c r="C1" s="106"/>
      <c r="D1" s="106"/>
    </row>
    <row r="2" spans="1:4" ht="15.75" customHeight="1" x14ac:dyDescent="0.25">
      <c r="A2" s="107" t="s">
        <v>14</v>
      </c>
      <c r="B2" s="107"/>
      <c r="C2" s="107"/>
      <c r="D2" s="107"/>
    </row>
    <row r="4" spans="1:4" ht="19.5" customHeight="1" x14ac:dyDescent="0.25">
      <c r="A4" s="106" t="s">
        <v>15</v>
      </c>
      <c r="B4" s="106"/>
      <c r="C4" s="106"/>
      <c r="D4" s="106"/>
    </row>
    <row r="5" spans="1:4" ht="16.5" customHeight="1" x14ac:dyDescent="0.25">
      <c r="A5" s="4" t="s">
        <v>16</v>
      </c>
      <c r="B5" s="5">
        <v>422.32</v>
      </c>
      <c r="C5" s="6" t="s">
        <v>17</v>
      </c>
      <c r="D5" s="4" t="s">
        <v>18</v>
      </c>
    </row>
    <row r="6" spans="1:4" ht="16.5" customHeight="1" x14ac:dyDescent="0.25">
      <c r="A6" s="7" t="s">
        <v>19</v>
      </c>
      <c r="B6" s="8">
        <v>0.16350000000000001</v>
      </c>
      <c r="C6" s="9" t="s">
        <v>20</v>
      </c>
      <c r="D6" s="7" t="s">
        <v>21</v>
      </c>
    </row>
    <row r="7" spans="1:4" ht="16.5" customHeight="1" x14ac:dyDescent="0.25">
      <c r="A7" s="10" t="s">
        <v>22</v>
      </c>
      <c r="B7" s="11">
        <v>0.17430000000000001</v>
      </c>
      <c r="C7" s="12" t="s">
        <v>20</v>
      </c>
      <c r="D7" s="10" t="s">
        <v>23</v>
      </c>
    </row>
    <row r="8" spans="1:4" ht="16.5" customHeight="1" x14ac:dyDescent="0.25">
      <c r="A8" s="7" t="s">
        <v>24</v>
      </c>
      <c r="B8" s="8">
        <v>0.24829999999999999</v>
      </c>
      <c r="C8" s="9" t="s">
        <v>20</v>
      </c>
      <c r="D8" s="7" t="s">
        <v>25</v>
      </c>
    </row>
    <row r="10" spans="1:4" ht="19.5" customHeight="1" x14ac:dyDescent="0.25">
      <c r="A10" s="106" t="s">
        <v>26</v>
      </c>
      <c r="B10" s="106"/>
      <c r="C10" s="106"/>
      <c r="D10" s="106"/>
    </row>
    <row r="11" spans="1:4" ht="16.5" customHeight="1" x14ac:dyDescent="0.25">
      <c r="A11" s="4" t="s">
        <v>9</v>
      </c>
      <c r="B11" s="5">
        <v>0</v>
      </c>
      <c r="C11" s="6" t="s">
        <v>27</v>
      </c>
      <c r="D11" s="4" t="s">
        <v>28</v>
      </c>
    </row>
    <row r="12" spans="1:4" ht="16.5" customHeight="1" x14ac:dyDescent="0.25">
      <c r="A12" s="4" t="s">
        <v>10</v>
      </c>
      <c r="B12" s="5">
        <v>220.53</v>
      </c>
      <c r="C12" s="6" t="s">
        <v>27</v>
      </c>
      <c r="D12" s="4" t="s">
        <v>29</v>
      </c>
    </row>
    <row r="13" spans="1:4" ht="16.5" customHeight="1" x14ac:dyDescent="0.25">
      <c r="A13" s="4" t="s">
        <v>11</v>
      </c>
      <c r="B13" s="5">
        <v>247.22</v>
      </c>
      <c r="C13" s="6" t="s">
        <v>27</v>
      </c>
      <c r="D13" s="4" t="s">
        <v>30</v>
      </c>
    </row>
    <row r="14" spans="1:4" ht="16.5" customHeight="1" x14ac:dyDescent="0.25">
      <c r="A14" s="4" t="s">
        <v>12</v>
      </c>
      <c r="B14" s="5">
        <v>387.97</v>
      </c>
      <c r="C14" s="6" t="s">
        <v>27</v>
      </c>
      <c r="D14" s="4" t="s">
        <v>31</v>
      </c>
    </row>
    <row r="16" spans="1:4" ht="19.5" customHeight="1" x14ac:dyDescent="0.25">
      <c r="A16" s="106" t="s">
        <v>32</v>
      </c>
      <c r="B16" s="106"/>
      <c r="C16" s="106"/>
      <c r="D16" s="106"/>
    </row>
    <row r="17" spans="1:4" ht="16.5" customHeight="1" x14ac:dyDescent="0.25">
      <c r="A17" s="10" t="s">
        <v>33</v>
      </c>
      <c r="B17" s="11">
        <v>0</v>
      </c>
      <c r="C17" s="12" t="s">
        <v>34</v>
      </c>
      <c r="D17" s="10" t="s">
        <v>35</v>
      </c>
    </row>
    <row r="18" spans="1:4" ht="16.5" customHeight="1" x14ac:dyDescent="0.25">
      <c r="A18" s="7" t="s">
        <v>36</v>
      </c>
      <c r="B18" s="8">
        <v>16.350000000000001</v>
      </c>
      <c r="C18" s="9" t="s">
        <v>34</v>
      </c>
      <c r="D18" s="7" t="s">
        <v>37</v>
      </c>
    </row>
    <row r="19" spans="1:4" ht="16.5" customHeight="1" x14ac:dyDescent="0.25">
      <c r="A19" s="10" t="s">
        <v>38</v>
      </c>
      <c r="B19" s="11">
        <v>7.36</v>
      </c>
      <c r="C19" s="12" t="s">
        <v>34</v>
      </c>
      <c r="D19" s="10" t="s">
        <v>39</v>
      </c>
    </row>
    <row r="20" spans="1:4" ht="16.5" customHeight="1" x14ac:dyDescent="0.25">
      <c r="A20" s="7" t="s">
        <v>40</v>
      </c>
      <c r="B20" s="8">
        <v>17.16</v>
      </c>
      <c r="C20" s="9" t="s">
        <v>34</v>
      </c>
      <c r="D20" s="7" t="s">
        <v>41</v>
      </c>
    </row>
    <row r="21" spans="1:4" ht="16.5" customHeight="1" x14ac:dyDescent="0.25">
      <c r="A21" s="10" t="s">
        <v>42</v>
      </c>
      <c r="B21" s="11">
        <v>40.869999999999997</v>
      </c>
      <c r="C21" s="12" t="s">
        <v>34</v>
      </c>
      <c r="D21" s="10" t="s">
        <v>43</v>
      </c>
    </row>
    <row r="23" spans="1:4" ht="19.5" customHeight="1" x14ac:dyDescent="0.25">
      <c r="A23" s="106" t="s">
        <v>44</v>
      </c>
      <c r="B23" s="106"/>
      <c r="C23" s="106"/>
      <c r="D23" s="106"/>
    </row>
    <row r="24" spans="1:4" ht="16.5" customHeight="1" x14ac:dyDescent="0.25">
      <c r="A24" s="7" t="s">
        <v>45</v>
      </c>
      <c r="B24" s="8">
        <v>0</v>
      </c>
      <c r="C24" s="9" t="s">
        <v>34</v>
      </c>
      <c r="D24" s="7"/>
    </row>
    <row r="25" spans="1:4" ht="16.5" customHeight="1" x14ac:dyDescent="0.25">
      <c r="A25" s="10" t="s">
        <v>46</v>
      </c>
      <c r="B25" s="11">
        <v>13.07</v>
      </c>
      <c r="C25" s="12" t="s">
        <v>34</v>
      </c>
      <c r="D25" s="10"/>
    </row>
    <row r="26" spans="1:4" ht="16.5" customHeight="1" x14ac:dyDescent="0.25">
      <c r="A26" s="7" t="s">
        <v>47</v>
      </c>
      <c r="B26" s="8">
        <v>13.07</v>
      </c>
      <c r="C26" s="9" t="s">
        <v>34</v>
      </c>
      <c r="D26" s="7"/>
    </row>
    <row r="27" spans="1:4" ht="16.5" customHeight="1" x14ac:dyDescent="0.25">
      <c r="A27" s="10" t="s">
        <v>48</v>
      </c>
      <c r="B27" s="11">
        <v>17.43</v>
      </c>
      <c r="C27" s="12" t="s">
        <v>34</v>
      </c>
      <c r="D27" s="10"/>
    </row>
    <row r="28" spans="1:4" ht="16.5" customHeight="1" x14ac:dyDescent="0.25">
      <c r="A28" s="7" t="s">
        <v>49</v>
      </c>
      <c r="B28" s="8">
        <v>7.84</v>
      </c>
      <c r="C28" s="9" t="s">
        <v>34</v>
      </c>
      <c r="D28" s="7"/>
    </row>
    <row r="29" spans="1:4" ht="16.5" customHeight="1" x14ac:dyDescent="0.25">
      <c r="A29" s="10" t="s">
        <v>50</v>
      </c>
      <c r="B29" s="11">
        <v>18.3</v>
      </c>
      <c r="C29" s="12" t="s">
        <v>34</v>
      </c>
      <c r="D29" s="10"/>
    </row>
    <row r="31" spans="1:4" ht="19.5" customHeight="1" x14ac:dyDescent="0.25">
      <c r="A31" s="106" t="s">
        <v>51</v>
      </c>
      <c r="B31" s="106"/>
      <c r="C31" s="106"/>
      <c r="D31" s="106"/>
    </row>
    <row r="32" spans="1:4" ht="16.5" customHeight="1" x14ac:dyDescent="0.25">
      <c r="A32" s="4" t="s">
        <v>52</v>
      </c>
      <c r="B32" s="5">
        <v>422.32</v>
      </c>
      <c r="C32" s="6" t="s">
        <v>53</v>
      </c>
      <c r="D32" s="4" t="s">
        <v>54</v>
      </c>
    </row>
    <row r="33" spans="1:4" ht="16.5" customHeight="1" x14ac:dyDescent="0.25">
      <c r="A33" s="4" t="s">
        <v>55</v>
      </c>
      <c r="B33" s="5">
        <v>510.86</v>
      </c>
      <c r="C33" s="6" t="s">
        <v>53</v>
      </c>
      <c r="D33" s="4" t="s">
        <v>54</v>
      </c>
    </row>
    <row r="34" spans="1:4" ht="16.5" customHeight="1" x14ac:dyDescent="0.25">
      <c r="A34" s="4" t="s">
        <v>56</v>
      </c>
      <c r="B34" s="5">
        <v>537.01</v>
      </c>
      <c r="C34" s="6" t="s">
        <v>53</v>
      </c>
      <c r="D34" s="4" t="s">
        <v>54</v>
      </c>
    </row>
    <row r="35" spans="1:4" ht="16.5" customHeight="1" x14ac:dyDescent="0.25">
      <c r="A35" s="4" t="s">
        <v>57</v>
      </c>
      <c r="B35" s="5">
        <v>548.1</v>
      </c>
      <c r="C35" s="6" t="s">
        <v>53</v>
      </c>
      <c r="D35" s="4" t="s">
        <v>54</v>
      </c>
    </row>
    <row r="36" spans="1:4" ht="16.5" customHeight="1" x14ac:dyDescent="0.25">
      <c r="A36" s="4" t="s">
        <v>58</v>
      </c>
      <c r="B36" s="5">
        <v>731.39</v>
      </c>
      <c r="C36" s="6" t="s">
        <v>53</v>
      </c>
      <c r="D36" s="4" t="s">
        <v>54</v>
      </c>
    </row>
    <row r="37" spans="1:4" ht="16.5" customHeight="1" x14ac:dyDescent="0.25">
      <c r="A37" s="4" t="s">
        <v>59</v>
      </c>
      <c r="B37" s="5">
        <v>758.08</v>
      </c>
      <c r="C37" s="6" t="s">
        <v>53</v>
      </c>
      <c r="D37" s="4" t="s">
        <v>54</v>
      </c>
    </row>
    <row r="38" spans="1:4" ht="16.5" customHeight="1" x14ac:dyDescent="0.25">
      <c r="A38" s="4" t="s">
        <v>60</v>
      </c>
      <c r="B38" s="5">
        <v>898.83</v>
      </c>
      <c r="C38" s="6" t="s">
        <v>53</v>
      </c>
      <c r="D38" s="4" t="s">
        <v>54</v>
      </c>
    </row>
    <row r="40" spans="1:4" ht="19.5" customHeight="1" x14ac:dyDescent="0.25">
      <c r="A40" s="106" t="s">
        <v>61</v>
      </c>
      <c r="B40" s="106"/>
      <c r="C40" s="106"/>
      <c r="D40" s="106"/>
    </row>
    <row r="41" spans="1:4" ht="15" customHeight="1" x14ac:dyDescent="0.25">
      <c r="A41" s="108" t="s">
        <v>62</v>
      </c>
      <c r="B41" s="108"/>
      <c r="C41" s="108"/>
      <c r="D41" s="108"/>
    </row>
    <row r="42" spans="1:4" ht="15" customHeight="1" x14ac:dyDescent="0.25">
      <c r="A42" s="108" t="s">
        <v>63</v>
      </c>
      <c r="B42" s="108"/>
      <c r="C42" s="108"/>
      <c r="D42" s="108"/>
    </row>
    <row r="43" spans="1:4" ht="15" customHeight="1" x14ac:dyDescent="0.25">
      <c r="A43" s="108" t="s">
        <v>64</v>
      </c>
      <c r="B43" s="108"/>
      <c r="C43" s="108"/>
      <c r="D43" s="108"/>
    </row>
    <row r="44" spans="1:4" ht="15" customHeight="1" x14ac:dyDescent="0.25">
      <c r="A44" s="108" t="s">
        <v>65</v>
      </c>
      <c r="B44" s="108"/>
      <c r="C44" s="108"/>
      <c r="D44" s="108"/>
    </row>
    <row r="45" spans="1:4" ht="15" customHeight="1" x14ac:dyDescent="0.25">
      <c r="A45" s="108" t="s">
        <v>66</v>
      </c>
      <c r="B45" s="108"/>
      <c r="C45" s="108"/>
      <c r="D45" s="108"/>
    </row>
    <row r="46" spans="1:4" ht="15" customHeight="1" x14ac:dyDescent="0.25">
      <c r="A46" s="108" t="s">
        <v>67</v>
      </c>
      <c r="B46" s="108"/>
      <c r="C46" s="108"/>
      <c r="D46" s="108"/>
    </row>
  </sheetData>
  <mergeCells count="14">
    <mergeCell ref="A43:D43"/>
    <mergeCell ref="A44:D44"/>
    <mergeCell ref="A45:D45"/>
    <mergeCell ref="A46:D46"/>
    <mergeCell ref="A23:D23"/>
    <mergeCell ref="A31:D31"/>
    <mergeCell ref="A40:D40"/>
    <mergeCell ref="A41:D41"/>
    <mergeCell ref="A42:D42"/>
    <mergeCell ref="A1:D1"/>
    <mergeCell ref="A2:D2"/>
    <mergeCell ref="A4:D4"/>
    <mergeCell ref="A10:D10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zoomScaleNormal="100" workbookViewId="0">
      <pane xSplit="1" ySplit="3" topLeftCell="B4" activePane="bottomRight" state="frozen"/>
      <selection sqref="A1:D1"/>
      <selection pane="topRight" sqref="A1:D1"/>
      <selection pane="bottomLeft" sqref="A1:D1"/>
      <selection pane="bottomRight" sqref="A1:G1"/>
    </sheetView>
  </sheetViews>
  <sheetFormatPr baseColWidth="10" defaultColWidth="8.7109375" defaultRowHeight="15" x14ac:dyDescent="0.25"/>
  <cols>
    <col min="1" max="1" width="14" customWidth="1"/>
    <col min="2" max="7" width="13" customWidth="1"/>
  </cols>
  <sheetData>
    <row r="1" spans="1:7" ht="19.5" customHeight="1" x14ac:dyDescent="0.25">
      <c r="A1" s="104" t="s">
        <v>68</v>
      </c>
      <c r="B1" s="104"/>
      <c r="C1" s="104"/>
      <c r="D1" s="104"/>
      <c r="E1" s="104"/>
      <c r="F1" s="104"/>
      <c r="G1" s="104"/>
    </row>
    <row r="3" spans="1:7" ht="19.5" customHeight="1" x14ac:dyDescent="0.25">
      <c r="A3" s="105" t="s">
        <v>69</v>
      </c>
      <c r="B3" s="105"/>
      <c r="C3" s="105"/>
      <c r="D3" s="105"/>
      <c r="E3" s="105"/>
      <c r="F3" s="105"/>
      <c r="G3" s="105"/>
    </row>
    <row r="4" spans="1:7" ht="21.75" customHeight="1" x14ac:dyDescent="0.25">
      <c r="A4" s="13" t="s">
        <v>70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</row>
    <row r="5" spans="1:7" ht="16.5" customHeight="1" x14ac:dyDescent="0.25">
      <c r="A5" s="13">
        <v>250</v>
      </c>
      <c r="B5" s="1">
        <v>458.79</v>
      </c>
      <c r="C5" s="1">
        <v>474.36</v>
      </c>
      <c r="D5" s="1">
        <v>489.91</v>
      </c>
      <c r="E5" s="1">
        <v>510.66</v>
      </c>
      <c r="F5" s="1">
        <v>519.99</v>
      </c>
      <c r="G5" s="1">
        <v>541.78</v>
      </c>
    </row>
    <row r="6" spans="1:7" ht="16.5" customHeight="1" x14ac:dyDescent="0.25">
      <c r="A6" s="13">
        <v>350</v>
      </c>
      <c r="B6" s="2">
        <v>478.25</v>
      </c>
      <c r="C6" s="2">
        <v>493.8</v>
      </c>
      <c r="D6" s="2">
        <v>509.37</v>
      </c>
      <c r="E6" s="2">
        <v>530.11</v>
      </c>
      <c r="F6" s="2">
        <v>539.45000000000005</v>
      </c>
      <c r="G6" s="2">
        <v>561.23</v>
      </c>
    </row>
    <row r="7" spans="1:7" ht="16.5" customHeight="1" x14ac:dyDescent="0.25">
      <c r="A7" s="13">
        <v>395</v>
      </c>
      <c r="B7" s="1">
        <v>487.01</v>
      </c>
      <c r="C7" s="3">
        <v>502.56</v>
      </c>
      <c r="D7" s="1">
        <v>518.11</v>
      </c>
      <c r="E7" s="1">
        <v>538.87</v>
      </c>
      <c r="F7" s="1">
        <v>548.20000000000005</v>
      </c>
      <c r="G7" s="1">
        <v>569.99</v>
      </c>
    </row>
    <row r="8" spans="1:7" ht="16.5" customHeight="1" x14ac:dyDescent="0.25">
      <c r="A8" s="13">
        <v>500</v>
      </c>
      <c r="B8" s="2">
        <v>507.43</v>
      </c>
      <c r="C8" s="2">
        <v>522.98</v>
      </c>
      <c r="D8" s="2">
        <v>538.54999999999995</v>
      </c>
      <c r="E8" s="2">
        <v>559.29</v>
      </c>
      <c r="F8" s="2">
        <v>568.63</v>
      </c>
      <c r="G8" s="2">
        <v>590.41</v>
      </c>
    </row>
    <row r="9" spans="1:7" ht="16.5" customHeight="1" x14ac:dyDescent="0.25">
      <c r="A9" s="13">
        <v>750</v>
      </c>
      <c r="B9" s="1">
        <v>556.05999999999995</v>
      </c>
      <c r="C9" s="1">
        <v>571.62</v>
      </c>
      <c r="D9" s="1">
        <v>587.17999999999995</v>
      </c>
      <c r="E9" s="3">
        <v>607.91999999999996</v>
      </c>
      <c r="F9" s="1">
        <v>617.25</v>
      </c>
      <c r="G9" s="3">
        <v>639.04</v>
      </c>
    </row>
    <row r="10" spans="1:7" ht="6" customHeight="1" x14ac:dyDescent="0.25"/>
    <row r="12" spans="1:7" ht="19.5" customHeight="1" x14ac:dyDescent="0.25">
      <c r="A12" s="105" t="s">
        <v>71</v>
      </c>
      <c r="B12" s="105"/>
      <c r="C12" s="105"/>
      <c r="D12" s="105"/>
      <c r="E12" s="105"/>
      <c r="F12" s="105"/>
      <c r="G12" s="105"/>
    </row>
    <row r="13" spans="1:7" ht="21.75" customHeight="1" x14ac:dyDescent="0.25">
      <c r="A13" s="13" t="s">
        <v>70</v>
      </c>
      <c r="B13" s="13" t="s">
        <v>3</v>
      </c>
      <c r="C13" s="13" t="s">
        <v>4</v>
      </c>
      <c r="D13" s="13" t="s">
        <v>5</v>
      </c>
      <c r="E13" s="13" t="s">
        <v>6</v>
      </c>
      <c r="F13" s="13" t="s">
        <v>7</v>
      </c>
      <c r="G13" s="13" t="s">
        <v>8</v>
      </c>
    </row>
    <row r="14" spans="1:7" ht="16.5" customHeight="1" x14ac:dyDescent="0.25">
      <c r="A14" s="13">
        <v>250</v>
      </c>
      <c r="B14" s="1">
        <v>721.22</v>
      </c>
      <c r="C14" s="1">
        <v>736.79</v>
      </c>
      <c r="D14" s="1">
        <v>752.34</v>
      </c>
      <c r="E14" s="1">
        <v>773.1</v>
      </c>
      <c r="F14" s="1">
        <v>782.42</v>
      </c>
      <c r="G14" s="1">
        <v>804.21</v>
      </c>
    </row>
    <row r="15" spans="1:7" ht="16.5" customHeight="1" x14ac:dyDescent="0.25">
      <c r="A15" s="13">
        <v>350</v>
      </c>
      <c r="B15" s="2">
        <v>740.68</v>
      </c>
      <c r="C15" s="2">
        <v>756.23</v>
      </c>
      <c r="D15" s="2">
        <v>771.8</v>
      </c>
      <c r="E15" s="2">
        <v>792.54</v>
      </c>
      <c r="F15" s="2">
        <v>801.88</v>
      </c>
      <c r="G15" s="2">
        <v>823.66</v>
      </c>
    </row>
    <row r="16" spans="1:7" ht="16.5" customHeight="1" x14ac:dyDescent="0.25">
      <c r="A16" s="13">
        <v>395</v>
      </c>
      <c r="B16" s="1">
        <v>749.43</v>
      </c>
      <c r="C16" s="1">
        <v>764.99</v>
      </c>
      <c r="D16" s="1">
        <v>780.54</v>
      </c>
      <c r="E16" s="1">
        <v>801.3</v>
      </c>
      <c r="F16" s="1">
        <v>810.63</v>
      </c>
      <c r="G16" s="1">
        <v>832.42</v>
      </c>
    </row>
    <row r="17" spans="1:7" ht="16.5" customHeight="1" x14ac:dyDescent="0.25">
      <c r="A17" s="13">
        <v>500</v>
      </c>
      <c r="B17" s="2">
        <v>769.86</v>
      </c>
      <c r="C17" s="2">
        <v>785.41</v>
      </c>
      <c r="D17" s="2">
        <v>800.98</v>
      </c>
      <c r="E17" s="2">
        <v>821.72</v>
      </c>
      <c r="F17" s="2">
        <v>831.06</v>
      </c>
      <c r="G17" s="2">
        <v>852.84</v>
      </c>
    </row>
    <row r="18" spans="1:7" ht="16.5" customHeight="1" x14ac:dyDescent="0.25">
      <c r="A18" s="13">
        <v>750</v>
      </c>
      <c r="B18" s="1">
        <v>818.49</v>
      </c>
      <c r="C18" s="1">
        <v>834.05</v>
      </c>
      <c r="D18" s="1">
        <v>849.61</v>
      </c>
      <c r="E18" s="3">
        <v>870.35</v>
      </c>
      <c r="F18" s="1">
        <v>879.68</v>
      </c>
      <c r="G18" s="1">
        <v>901.47</v>
      </c>
    </row>
    <row r="19" spans="1:7" ht="6" customHeight="1" x14ac:dyDescent="0.25"/>
    <row r="21" spans="1:7" ht="19.5" customHeight="1" x14ac:dyDescent="0.25">
      <c r="A21" s="105" t="s">
        <v>72</v>
      </c>
      <c r="B21" s="105"/>
      <c r="C21" s="105"/>
      <c r="D21" s="105"/>
      <c r="E21" s="105"/>
      <c r="F21" s="105"/>
      <c r="G21" s="105"/>
    </row>
    <row r="22" spans="1:7" ht="21.75" customHeight="1" x14ac:dyDescent="0.25">
      <c r="A22" s="13" t="s">
        <v>70</v>
      </c>
      <c r="B22" s="13" t="s">
        <v>3</v>
      </c>
      <c r="C22" s="13" t="s">
        <v>4</v>
      </c>
      <c r="D22" s="13" t="s">
        <v>5</v>
      </c>
      <c r="E22" s="13" t="s">
        <v>6</v>
      </c>
      <c r="F22" s="13" t="s">
        <v>7</v>
      </c>
      <c r="G22" s="13" t="s">
        <v>8</v>
      </c>
    </row>
    <row r="23" spans="1:7" ht="16.5" customHeight="1" x14ac:dyDescent="0.25">
      <c r="A23" s="13">
        <v>250</v>
      </c>
      <c r="B23" s="1">
        <v>752.98</v>
      </c>
      <c r="C23" s="1">
        <v>768.55</v>
      </c>
      <c r="D23" s="1">
        <v>784.1</v>
      </c>
      <c r="E23" s="1">
        <v>804.86</v>
      </c>
      <c r="F23" s="1">
        <v>814.19</v>
      </c>
      <c r="G23" s="1">
        <v>835.97</v>
      </c>
    </row>
    <row r="24" spans="1:7" ht="16.5" customHeight="1" x14ac:dyDescent="0.25">
      <c r="A24" s="13">
        <v>350</v>
      </c>
      <c r="B24" s="2">
        <v>772.44</v>
      </c>
      <c r="C24" s="2">
        <v>787.99</v>
      </c>
      <c r="D24" s="2">
        <v>803.56</v>
      </c>
      <c r="E24" s="2">
        <v>824.3</v>
      </c>
      <c r="F24" s="2">
        <v>833.64</v>
      </c>
      <c r="G24" s="2">
        <v>855.42</v>
      </c>
    </row>
    <row r="25" spans="1:7" ht="16.5" customHeight="1" x14ac:dyDescent="0.25">
      <c r="A25" s="13">
        <v>395</v>
      </c>
      <c r="B25" s="1">
        <v>781.2</v>
      </c>
      <c r="C25" s="1">
        <v>796.75</v>
      </c>
      <c r="D25" s="1">
        <v>812.32</v>
      </c>
      <c r="E25" s="1">
        <v>833.06</v>
      </c>
      <c r="F25" s="1">
        <v>842.39</v>
      </c>
      <c r="G25" s="1">
        <v>864.18</v>
      </c>
    </row>
    <row r="26" spans="1:7" ht="16.5" customHeight="1" x14ac:dyDescent="0.25">
      <c r="A26" s="13">
        <v>500</v>
      </c>
      <c r="B26" s="2">
        <v>801.62</v>
      </c>
      <c r="C26" s="2">
        <v>817.17</v>
      </c>
      <c r="D26" s="2">
        <v>832.74</v>
      </c>
      <c r="E26" s="2">
        <v>853.48</v>
      </c>
      <c r="F26" s="2">
        <v>862.82</v>
      </c>
      <c r="G26" s="2">
        <v>884.6</v>
      </c>
    </row>
    <row r="27" spans="1:7" ht="16.5" customHeight="1" x14ac:dyDescent="0.25">
      <c r="A27" s="13">
        <v>750</v>
      </c>
      <c r="B27" s="1">
        <v>850.25</v>
      </c>
      <c r="C27" s="1">
        <v>865.81</v>
      </c>
      <c r="D27" s="1">
        <v>881.37</v>
      </c>
      <c r="E27" s="3">
        <v>902.12</v>
      </c>
      <c r="F27" s="1">
        <v>911.44</v>
      </c>
      <c r="G27" s="1">
        <v>933.23</v>
      </c>
    </row>
    <row r="28" spans="1:7" ht="6" customHeight="1" x14ac:dyDescent="0.25"/>
    <row r="30" spans="1:7" ht="19.5" customHeight="1" x14ac:dyDescent="0.25">
      <c r="A30" s="105" t="s">
        <v>73</v>
      </c>
      <c r="B30" s="105"/>
      <c r="C30" s="105"/>
      <c r="D30" s="105"/>
      <c r="E30" s="105"/>
      <c r="F30" s="105"/>
      <c r="G30" s="105"/>
    </row>
    <row r="31" spans="1:7" ht="21.75" customHeight="1" x14ac:dyDescent="0.25">
      <c r="A31" s="13" t="s">
        <v>70</v>
      </c>
      <c r="B31" s="13" t="s">
        <v>3</v>
      </c>
      <c r="C31" s="13" t="s">
        <v>4</v>
      </c>
      <c r="D31" s="13" t="s">
        <v>5</v>
      </c>
      <c r="E31" s="13" t="s">
        <v>6</v>
      </c>
      <c r="F31" s="13" t="s">
        <v>7</v>
      </c>
      <c r="G31" s="13" t="s">
        <v>8</v>
      </c>
    </row>
    <row r="32" spans="1:7" ht="16.5" customHeight="1" x14ac:dyDescent="0.25">
      <c r="A32" s="13">
        <v>250</v>
      </c>
      <c r="B32" s="1">
        <v>920.48</v>
      </c>
      <c r="C32" s="1">
        <v>936.04</v>
      </c>
      <c r="D32" s="1">
        <v>951.6</v>
      </c>
      <c r="E32" s="1">
        <v>972.35</v>
      </c>
      <c r="F32" s="1">
        <v>981.68</v>
      </c>
      <c r="G32" s="1">
        <v>1003.47</v>
      </c>
    </row>
    <row r="33" spans="1:7" ht="16.5" customHeight="1" x14ac:dyDescent="0.25">
      <c r="A33" s="13">
        <v>350</v>
      </c>
      <c r="B33" s="2">
        <v>939.93</v>
      </c>
      <c r="C33" s="2">
        <v>955.49</v>
      </c>
      <c r="D33" s="2">
        <v>971.05</v>
      </c>
      <c r="E33" s="2">
        <v>991.79</v>
      </c>
      <c r="F33" s="2">
        <v>1001.14</v>
      </c>
      <c r="G33" s="2">
        <v>1022.91</v>
      </c>
    </row>
    <row r="34" spans="1:7" ht="16.5" customHeight="1" x14ac:dyDescent="0.25">
      <c r="A34" s="13">
        <v>395</v>
      </c>
      <c r="B34" s="1">
        <v>948.69</v>
      </c>
      <c r="C34" s="1">
        <v>964.25</v>
      </c>
      <c r="D34" s="1">
        <v>979.81</v>
      </c>
      <c r="E34" s="1">
        <v>1000.55</v>
      </c>
      <c r="F34" s="1">
        <v>1009.88</v>
      </c>
      <c r="G34" s="1">
        <v>1031.67</v>
      </c>
    </row>
    <row r="35" spans="1:7" ht="16.5" customHeight="1" x14ac:dyDescent="0.25">
      <c r="A35" s="13">
        <v>500</v>
      </c>
      <c r="B35" s="2">
        <v>969.11</v>
      </c>
      <c r="C35" s="2">
        <v>984.67</v>
      </c>
      <c r="D35" s="2">
        <v>1000.23</v>
      </c>
      <c r="E35" s="2">
        <v>1020.97</v>
      </c>
      <c r="F35" s="2">
        <v>1030.31</v>
      </c>
      <c r="G35" s="2">
        <v>1052.0899999999999</v>
      </c>
    </row>
    <row r="36" spans="1:7" ht="16.5" customHeight="1" x14ac:dyDescent="0.25">
      <c r="A36" s="13">
        <v>750</v>
      </c>
      <c r="B36" s="1">
        <v>1017.75</v>
      </c>
      <c r="C36" s="1">
        <v>1033.3</v>
      </c>
      <c r="D36" s="1">
        <v>1048.8699999999999</v>
      </c>
      <c r="E36" s="3">
        <v>1069.6099999999999</v>
      </c>
      <c r="F36" s="1">
        <v>1078.94</v>
      </c>
      <c r="G36" s="1">
        <v>1100.73</v>
      </c>
    </row>
    <row r="37" spans="1:7" ht="6" customHeight="1" x14ac:dyDescent="0.25"/>
  </sheetData>
  <mergeCells count="5">
    <mergeCell ref="A1:G1"/>
    <mergeCell ref="A3:G3"/>
    <mergeCell ref="A12:G12"/>
    <mergeCell ref="A21:G21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0111-F94E-4440-869F-FE405A580CD3}">
  <dimension ref="A1:I47"/>
  <sheetViews>
    <sheetView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M25" sqref="M25"/>
    </sheetView>
  </sheetViews>
  <sheetFormatPr baseColWidth="10" defaultRowHeight="15" x14ac:dyDescent="0.25"/>
  <cols>
    <col min="1" max="1" width="16.140625" customWidth="1"/>
    <col min="2" max="2" width="10.42578125" customWidth="1"/>
    <col min="4" max="9" width="17.140625" customWidth="1"/>
  </cols>
  <sheetData>
    <row r="1" spans="1:9" x14ac:dyDescent="0.25">
      <c r="A1" s="38" t="s">
        <v>444</v>
      </c>
    </row>
    <row r="3" spans="1:9" x14ac:dyDescent="0.25">
      <c r="A3" s="39" t="s">
        <v>445</v>
      </c>
      <c r="B3" s="39"/>
      <c r="C3" s="39"/>
      <c r="D3" s="39"/>
      <c r="E3" s="39"/>
      <c r="F3" s="39"/>
      <c r="G3" s="39"/>
      <c r="H3" s="39"/>
      <c r="I3" s="39"/>
    </row>
    <row r="4" spans="1:9" ht="25.5" x14ac:dyDescent="0.25">
      <c r="A4" s="40" t="s">
        <v>0</v>
      </c>
      <c r="B4" s="41" t="s">
        <v>1</v>
      </c>
      <c r="C4" s="41" t="s">
        <v>2</v>
      </c>
      <c r="D4" s="41" t="s">
        <v>446</v>
      </c>
      <c r="E4" s="41" t="s">
        <v>447</v>
      </c>
      <c r="F4" s="41" t="s">
        <v>448</v>
      </c>
      <c r="G4" s="41" t="s">
        <v>449</v>
      </c>
      <c r="H4" s="41" t="s">
        <v>450</v>
      </c>
      <c r="I4" s="42" t="s">
        <v>451</v>
      </c>
    </row>
    <row r="5" spans="1:9" x14ac:dyDescent="0.25">
      <c r="A5" s="54" t="s">
        <v>9</v>
      </c>
      <c r="B5" s="52">
        <v>360</v>
      </c>
      <c r="C5" s="44">
        <v>420</v>
      </c>
      <c r="D5" s="45">
        <f>2*Artmodul_Einzelteilpreise_alt!G3+2*Artmodul_Einzelteilpreise_alt!G18+Artmodul_Einzelteilpreise_alt!G67+8*Artmodul_Einzelteilpreise_alt!G263+4*Artmodul_Einzelteilpreise_alt!G273+4*Artmodul_Einzelteilpreise_alt!G271+4*Artmodul_Einzelteilpreise_alt!G272</f>
        <v>458</v>
      </c>
      <c r="E5" s="45">
        <f>2*Artmodul_Einzelteilpreise_alt!G3+2*Artmodul_Einzelteilpreise_alt!G19+Artmodul_Einzelteilpreise_alt!G72+8*Artmodul_Einzelteilpreise_alt!G263+4*Artmodul_Einzelteilpreise_alt!G273+4*Artmodul_Einzelteilpreise_alt!G272+4*Artmodul_Einzelteilpreise_alt!G272</f>
        <v>458</v>
      </c>
      <c r="F5" s="45">
        <f>2*Artmodul_Einzelteilpreise_alt!G3+2*Artmodul_Einzelteilpreise_alt!G20+Artmodul_Einzelteilpreise_alt!G77+8*Artmodul_Einzelteilpreise_alt!G263+4*Artmodul_Einzelteilpreise_alt!G273+4*Artmodul_Einzelteilpreise_alt!G276+4*Artmodul_Einzelteilpreise_alt!G272</f>
        <v>540</v>
      </c>
      <c r="G5" s="45">
        <f>2*Artmodul_Einzelteilpreise_alt!G3+2*Artmodul_Einzelteilpreise_alt!G21+Artmodul_Einzelteilpreise_alt!G82+8*Artmodul_Einzelteilpreise_alt!G263+4*Artmodul_Einzelteilpreise_alt!G273+4*Artmodul_Einzelteilpreise_alt!G279+4*Artmodul_Einzelteilpreise_alt!G272</f>
        <v>632</v>
      </c>
      <c r="H5" s="45">
        <f>2*Artmodul_Einzelteilpreise_alt!G3+2*Artmodul_Einzelteilpreise_alt!G22+Artmodul_Einzelteilpreise_alt!G87+8*Artmodul_Einzelteilpreise_alt!G263+4*Artmodul_Einzelteilpreise_alt!G273+4*Artmodul_Einzelteilpreise_alt!G280+4*Artmodul_Einzelteilpreise_alt!G272</f>
        <v>731</v>
      </c>
      <c r="I5" s="46">
        <f>2*Artmodul_Einzelteilpreise_alt!G3+2*Artmodul_Einzelteilpreise_alt!G23+Artmodul_Einzelteilpreise_alt!G92+8*Artmodul_Einzelteilpreise_alt!G263+4*Artmodul_Einzelteilpreise_alt!G273+4*Artmodul_Einzelteilpreise_alt!G281+4*Artmodul_Einzelteilpreise_alt!G272</f>
        <v>825</v>
      </c>
    </row>
    <row r="6" spans="1:9" x14ac:dyDescent="0.25">
      <c r="A6" s="55"/>
      <c r="B6" s="52"/>
      <c r="C6" s="44">
        <v>580</v>
      </c>
      <c r="D6" s="48">
        <f>2*Artmodul_Einzelteilpreise_alt!G4+2*Artmodul_Einzelteilpreise_alt!G18+Artmodul_Einzelteilpreise_alt!G68+8*Artmodul_Einzelteilpreise_alt!G263+4*Artmodul_Einzelteilpreise_alt!G274+4*Artmodul_Einzelteilpreise_alt!G271+4*Artmodul_Einzelteilpreise_alt!G272</f>
        <v>493</v>
      </c>
      <c r="E6" s="48">
        <f>2*Artmodul_Einzelteilpreise_alt!G4+2*Artmodul_Einzelteilpreise_alt!G19+Artmodul_Einzelteilpreise_alt!G73+8*Artmodul_Einzelteilpreise_alt!G263+4*Artmodul_Einzelteilpreise_alt!G274+4*Artmodul_Einzelteilpreise_alt!G272+4*Artmodul_Einzelteilpreise_alt!G272</f>
        <v>493</v>
      </c>
      <c r="F6" s="48">
        <f>2*Artmodul_Einzelteilpreise_alt!G4+2*Artmodul_Einzelteilpreise_alt!G20+Artmodul_Einzelteilpreise_alt!G78+8*Artmodul_Einzelteilpreise_alt!G263+4*Artmodul_Einzelteilpreise_alt!G274+4*Artmodul_Einzelteilpreise_alt!G276+4*Artmodul_Einzelteilpreise_alt!G272</f>
        <v>588</v>
      </c>
      <c r="G6" s="48">
        <f>2*Artmodul_Einzelteilpreise_alt!G4+2*Artmodul_Einzelteilpreise_alt!G21+Artmodul_Einzelteilpreise_alt!G83+8*Artmodul_Einzelteilpreise_alt!G263+4*Artmodul_Einzelteilpreise_alt!G274+4*Artmodul_Einzelteilpreise_alt!G279+4*Artmodul_Einzelteilpreise_alt!G272</f>
        <v>689</v>
      </c>
      <c r="H6" s="48">
        <f>2*Artmodul_Einzelteilpreise_alt!G4+2*Artmodul_Einzelteilpreise_alt!G22+Artmodul_Einzelteilpreise_alt!G88+8*Artmodul_Einzelteilpreise_alt!G263+4*Artmodul_Einzelteilpreise_alt!G274+4*Artmodul_Einzelteilpreise_alt!G280+4*Artmodul_Einzelteilpreise_alt!G272</f>
        <v>800</v>
      </c>
      <c r="I6" s="49">
        <f>2*Artmodul_Einzelteilpreise_alt!G4+2*Artmodul_Einzelteilpreise_alt!G23+Artmodul_Einzelteilpreise_alt!G93+8*Artmodul_Einzelteilpreise_alt!G263+4*Artmodul_Einzelteilpreise_alt!G274+4*Artmodul_Einzelteilpreise_alt!G281+4*Artmodul_Einzelteilpreise_alt!G272</f>
        <v>905</v>
      </c>
    </row>
    <row r="7" spans="1:9" x14ac:dyDescent="0.25">
      <c r="A7" s="55"/>
      <c r="B7" s="52"/>
      <c r="C7" s="44">
        <v>780</v>
      </c>
      <c r="D7" s="45">
        <f>2*Artmodul_Einzelteilpreise_alt!G5+2*Artmodul_Einzelteilpreise_alt!G18+Artmodul_Einzelteilpreise_alt!G69+8*Artmodul_Einzelteilpreise_alt!G263+4*Artmodul_Einzelteilpreise_alt!G277+4*Artmodul_Einzelteilpreise_alt!G271+4*Artmodul_Einzelteilpreise_alt!G272</f>
        <v>544</v>
      </c>
      <c r="E7" s="45">
        <f>2*Artmodul_Einzelteilpreise_alt!G5+2*Artmodul_Einzelteilpreise_alt!G19+Artmodul_Einzelteilpreise_alt!G74+8*Artmodul_Einzelteilpreise_alt!G263+4*Artmodul_Einzelteilpreise_alt!G277+4*Artmodul_Einzelteilpreise_alt!G272+4*Artmodul_Einzelteilpreise_alt!G272</f>
        <v>544</v>
      </c>
      <c r="F7" s="45">
        <f>2*Artmodul_Einzelteilpreise_alt!G5+2*Artmodul_Einzelteilpreise_alt!G20+Artmodul_Einzelteilpreise_alt!G79+8*Artmodul_Einzelteilpreise_alt!G263+4*Artmodul_Einzelteilpreise_alt!G277+4*Artmodul_Einzelteilpreise_alt!G276+4*Artmodul_Einzelteilpreise_alt!G272</f>
        <v>651</v>
      </c>
      <c r="G7" s="45">
        <f>2*Artmodul_Einzelteilpreise_alt!G5+2*Artmodul_Einzelteilpreise_alt!G21+Artmodul_Einzelteilpreise_alt!G84+8*Artmodul_Einzelteilpreise_alt!G263+4*Artmodul_Einzelteilpreise_alt!G277+4*Artmodul_Einzelteilpreise_alt!G279+4*Artmodul_Einzelteilpreise_alt!G272</f>
        <v>769</v>
      </c>
      <c r="H7" s="45">
        <f>2*Artmodul_Einzelteilpreise_alt!G5+2*Artmodul_Einzelteilpreise_alt!G22+Artmodul_Einzelteilpreise_alt!G89+8*Artmodul_Einzelteilpreise_alt!G263+4*Artmodul_Einzelteilpreise_alt!G277+4*Artmodul_Einzelteilpreise_alt!G280+4*Artmodul_Einzelteilpreise_alt!G272</f>
        <v>891</v>
      </c>
      <c r="I7" s="46">
        <f>2*Artmodul_Einzelteilpreise_alt!G5+2*Artmodul_Einzelteilpreise_alt!G23+Artmodul_Einzelteilpreise_alt!G94+8*Artmodul_Einzelteilpreise_alt!G263+4*Artmodul_Einzelteilpreise_alt!G277+4*Artmodul_Einzelteilpreise_alt!G281+4*Artmodul_Einzelteilpreise_alt!G272</f>
        <v>1010</v>
      </c>
    </row>
    <row r="8" spans="1:9" x14ac:dyDescent="0.25">
      <c r="A8" s="56"/>
      <c r="B8" s="53"/>
      <c r="C8" s="47">
        <v>980</v>
      </c>
      <c r="D8" s="50">
        <f>2*Artmodul_Einzelteilpreise_alt!G6+2*Artmodul_Einzelteilpreise_alt!G18+Artmodul_Einzelteilpreise_alt!G70+8*Artmodul_Einzelteilpreise_alt!G263+4*Artmodul_Einzelteilpreise_alt!G278+4*Artmodul_Einzelteilpreise_alt!G271+4*Artmodul_Einzelteilpreise_alt!G272</f>
        <v>594</v>
      </c>
      <c r="E8" s="50">
        <f>2*Artmodul_Einzelteilpreise_alt!G6+2*Artmodul_Einzelteilpreise_alt!G19+Artmodul_Einzelteilpreise_alt!G75+8*Artmodul_Einzelteilpreise_alt!G263+4*Artmodul_Einzelteilpreise_alt!G278+4*Artmodul_Einzelteilpreise_alt!G272+4*Artmodul_Einzelteilpreise_alt!G272</f>
        <v>594</v>
      </c>
      <c r="F8" s="50">
        <f>2*Artmodul_Einzelteilpreise_alt!G6+2*Artmodul_Einzelteilpreise_alt!G20+Artmodul_Einzelteilpreise_alt!G80+8*Artmodul_Einzelteilpreise_alt!G263+4*Artmodul_Einzelteilpreise_alt!G278+4*Artmodul_Einzelteilpreise_alt!G276+4*Artmodul_Einzelteilpreise_alt!G272</f>
        <v>714</v>
      </c>
      <c r="G8" s="50">
        <f>2*Artmodul_Einzelteilpreise_alt!G6+2*Artmodul_Einzelteilpreise_alt!G21+Artmodul_Einzelteilpreise_alt!G85+8*Artmodul_Einzelteilpreise_alt!G263+4*Artmodul_Einzelteilpreise_alt!G278+4*Artmodul_Einzelteilpreise_alt!G279+4*Artmodul_Einzelteilpreise_alt!G272</f>
        <v>844</v>
      </c>
      <c r="H8" s="50">
        <f>2*Artmodul_Einzelteilpreise_alt!G6+2*Artmodul_Einzelteilpreise_alt!G22+Artmodul_Einzelteilpreise_alt!G90+8*Artmodul_Einzelteilpreise_alt!G263+4*Artmodul_Einzelteilpreise_alt!G278+4*Artmodul_Einzelteilpreise_alt!G280+4*Artmodul_Einzelteilpreise_alt!G272</f>
        <v>980</v>
      </c>
      <c r="I8" s="51">
        <f>2*Artmodul_Einzelteilpreise_alt!G6+2*Artmodul_Einzelteilpreise_alt!G23+Artmodul_Einzelteilpreise_alt!G95+8*Artmodul_Einzelteilpreise_alt!G263+4*Artmodul_Einzelteilpreise_alt!G278+4*Artmodul_Einzelteilpreise_alt!G281+4*Artmodul_Einzelteilpreise_alt!G272</f>
        <v>1111</v>
      </c>
    </row>
    <row r="9" spans="1:9" x14ac:dyDescent="0.25">
      <c r="A9" s="57"/>
      <c r="B9" s="57"/>
      <c r="C9" s="57"/>
      <c r="D9" s="57"/>
      <c r="E9" s="57"/>
      <c r="F9" s="57"/>
      <c r="G9" s="57"/>
      <c r="H9" s="57"/>
      <c r="I9" s="57"/>
    </row>
    <row r="10" spans="1:9" x14ac:dyDescent="0.25">
      <c r="A10" s="62" t="s">
        <v>10</v>
      </c>
      <c r="B10" s="60">
        <v>360</v>
      </c>
      <c r="C10" s="59">
        <v>420</v>
      </c>
      <c r="D10" s="45">
        <f>2*Artmodul_Einzelteilpreise_alt!G3+2*Artmodul_Einzelteilpreise_alt!G18+Artmodul_Einzelteilpreise_alt!G67+8*Artmodul_Einzelteilpreise_alt!G263+4*Artmodul_Einzelteilpreise_alt!G273+4*Artmodul_Einzelteilpreise_alt!G271+4*Artmodul_Einzelteilpreise_alt!G272+Artmodul_Einzelteilpreise_alt!G191</f>
        <v>627</v>
      </c>
      <c r="E10" s="45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192</f>
        <v>627</v>
      </c>
      <c r="F10" s="45"/>
      <c r="G10" s="45"/>
      <c r="H10" s="45"/>
      <c r="I10" s="46"/>
    </row>
    <row r="11" spans="1:9" x14ac:dyDescent="0.25">
      <c r="A11" s="63"/>
      <c r="B11" s="60"/>
      <c r="C11" s="59">
        <v>580</v>
      </c>
      <c r="D11" s="48">
        <f>2*Artmodul_Einzelteilpreise_alt!G4+2*Artmodul_Einzelteilpreise_alt!G18+Artmodul_Einzelteilpreise_alt!G68+8*Artmodul_Einzelteilpreise_alt!G263+4*Artmodul_Einzelteilpreise_alt!G274+4*Artmodul_Einzelteilpreise_alt!G271+4*Artmodul_Einzelteilpreise_alt!G272+Artmodul_Einzelteilpreise_alt!G193</f>
        <v>677</v>
      </c>
      <c r="E11" s="48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194</f>
        <v>677</v>
      </c>
      <c r="F11" s="48"/>
      <c r="G11" s="48"/>
      <c r="H11" s="48"/>
      <c r="I11" s="49"/>
    </row>
    <row r="12" spans="1:9" x14ac:dyDescent="0.25">
      <c r="A12" s="63"/>
      <c r="B12" s="60"/>
      <c r="C12" s="59">
        <v>780</v>
      </c>
      <c r="D12" s="45">
        <f>2*Artmodul_Einzelteilpreise_alt!G5+2*Artmodul_Einzelteilpreise_alt!G18+Artmodul_Einzelteilpreise_alt!G69+8*Artmodul_Einzelteilpreise_alt!G263+4*Artmodul_Einzelteilpreise_alt!G277+4*Artmodul_Einzelteilpreise_alt!G271+4*Artmodul_Einzelteilpreise_alt!G272+Artmodul_Einzelteilpreise_alt!G195</f>
        <v>742</v>
      </c>
      <c r="E12" s="45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196</f>
        <v>742</v>
      </c>
      <c r="F12" s="45"/>
      <c r="G12" s="45"/>
      <c r="H12" s="45"/>
      <c r="I12" s="46"/>
    </row>
    <row r="13" spans="1:9" x14ac:dyDescent="0.25">
      <c r="A13" s="64"/>
      <c r="B13" s="61"/>
      <c r="C13" s="58">
        <v>980</v>
      </c>
      <c r="D13" s="50">
        <f>2*Artmodul_Einzelteilpreise_alt!G6+2*Artmodul_Einzelteilpreise_alt!G18+Artmodul_Einzelteilpreise_alt!G70+8*Artmodul_Einzelteilpreise_alt!G263+4*Artmodul_Einzelteilpreise_alt!G278+4*Artmodul_Einzelteilpreise_alt!G271+4*Artmodul_Einzelteilpreise_alt!G272+Artmodul_Einzelteilpreise_alt!G197</f>
        <v>844</v>
      </c>
      <c r="E13" s="50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198</f>
        <v>844</v>
      </c>
      <c r="F13" s="50"/>
      <c r="G13" s="50"/>
      <c r="H13" s="50"/>
      <c r="I13" s="51"/>
    </row>
    <row r="14" spans="1:9" x14ac:dyDescent="0.25">
      <c r="A14" s="57"/>
      <c r="B14" s="57"/>
      <c r="C14" s="57"/>
      <c r="D14" s="57"/>
      <c r="E14" s="57"/>
      <c r="F14" s="57"/>
      <c r="G14" s="57"/>
      <c r="H14" s="57"/>
      <c r="I14" s="57"/>
    </row>
    <row r="15" spans="1:9" x14ac:dyDescent="0.25">
      <c r="A15" s="69" t="s">
        <v>314</v>
      </c>
      <c r="B15" s="67">
        <v>360</v>
      </c>
      <c r="C15" s="66">
        <v>420</v>
      </c>
      <c r="D15" s="45"/>
      <c r="E15" s="45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202</f>
        <v>594</v>
      </c>
      <c r="F15" s="45">
        <f>2*Artmodul_Einzelteilpreise_alt!G3+2*Artmodul_Einzelteilpreise_alt!G20+Artmodul_Einzelteilpreise_alt!G77+8*Artmodul_Einzelteilpreise_alt!G263+4*Artmodul_Einzelteilpreise_alt!G273+4*Artmodul_Einzelteilpreise_alt!G276+4*Artmodul_Einzelteilpreise_alt!G272+Artmodul_Einzelteilpreise_alt!G203</f>
        <v>699</v>
      </c>
      <c r="G15" s="45">
        <f>2*Artmodul_Einzelteilpreise_alt!G3+2*Artmodul_Einzelteilpreise_alt!G21+Artmodul_Einzelteilpreise_alt!G82+8*Artmodul_Einzelteilpreise_alt!G263+4*Artmodul_Einzelteilpreise_alt!G273+4*Artmodul_Einzelteilpreise_alt!G279+4*Artmodul_Einzelteilpreise_alt!G272+Artmodul_Einzelteilpreise_alt!G204</f>
        <v>867</v>
      </c>
      <c r="H15" s="45">
        <f>2*Artmodul_Einzelteilpreise_alt!G3+2*Artmodul_Einzelteilpreise_alt!G22+Artmodul_Einzelteilpreise_alt!G87+8*Artmodul_Einzelteilpreise_alt!G263+4*Artmodul_Einzelteilpreise_alt!G273+4*Artmodul_Einzelteilpreise_alt!G280+4*Artmodul_Einzelteilpreise_alt!G272+Artmodul_Einzelteilpreise_alt!G205</f>
        <v>988</v>
      </c>
      <c r="I15" s="46">
        <f>2*Artmodul_Einzelteilpreise_alt!G3+2*Artmodul_Einzelteilpreise_alt!G23+Artmodul_Einzelteilpreise_alt!G92+8*Artmodul_Einzelteilpreise_alt!G263+4*Artmodul_Einzelteilpreise_alt!G273+4*Artmodul_Einzelteilpreise_alt!G281+4*Artmodul_Einzelteilpreise_alt!G272+Artmodul_Einzelteilpreise_alt!G206</f>
        <v>1165</v>
      </c>
    </row>
    <row r="16" spans="1:9" x14ac:dyDescent="0.25">
      <c r="A16" s="70"/>
      <c r="B16" s="67"/>
      <c r="C16" s="66">
        <v>580</v>
      </c>
      <c r="D16" s="48"/>
      <c r="E16" s="48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207</f>
        <v>646</v>
      </c>
      <c r="F16" s="48">
        <f>2*Artmodul_Einzelteilpreise_alt!G4+2*Artmodul_Einzelteilpreise_alt!G20+Artmodul_Einzelteilpreise_alt!G78+8*Artmodul_Einzelteilpreise_alt!G263+4*Artmodul_Einzelteilpreise_alt!G274+4*Artmodul_Einzelteilpreise_alt!G276+4*Artmodul_Einzelteilpreise_alt!G272+Artmodul_Einzelteilpreise_alt!G208</f>
        <v>798</v>
      </c>
      <c r="G16" s="48">
        <f>2*Artmodul_Einzelteilpreise_alt!G4+2*Artmodul_Einzelteilpreise_alt!G21+Artmodul_Einzelteilpreise_alt!G83+8*Artmodul_Einzelteilpreise_alt!G263+4*Artmodul_Einzelteilpreise_alt!G274+4*Artmodul_Einzelteilpreise_alt!G279+4*Artmodul_Einzelteilpreise_alt!G272+Artmodul_Einzelteilpreise_alt!G209</f>
        <v>967</v>
      </c>
      <c r="H16" s="48">
        <f>2*Artmodul_Einzelteilpreise_alt!G4+2*Artmodul_Einzelteilpreise_alt!G22+Artmodul_Einzelteilpreise_alt!G88+8*Artmodul_Einzelteilpreise_alt!G263+4*Artmodul_Einzelteilpreise_alt!G274+4*Artmodul_Einzelteilpreise_alt!G280+4*Artmodul_Einzelteilpreise_alt!G272+Artmodul_Einzelteilpreise_alt!G210</f>
        <v>1137</v>
      </c>
      <c r="I16" s="49">
        <f>2*Artmodul_Einzelteilpreise_alt!G4+2*Artmodul_Einzelteilpreise_alt!G23+Artmodul_Einzelteilpreise_alt!G93+8*Artmodul_Einzelteilpreise_alt!G263+4*Artmodul_Einzelteilpreise_alt!G274+4*Artmodul_Einzelteilpreise_alt!G281+4*Artmodul_Einzelteilpreise_alt!G272+Artmodul_Einzelteilpreise_alt!G211</f>
        <v>1322</v>
      </c>
    </row>
    <row r="17" spans="1:9" x14ac:dyDescent="0.25">
      <c r="A17" s="70"/>
      <c r="B17" s="67"/>
      <c r="C17" s="66">
        <v>780</v>
      </c>
      <c r="D17" s="45"/>
      <c r="E17" s="45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214</f>
        <v>799</v>
      </c>
      <c r="F17" s="45">
        <f>2*Artmodul_Einzelteilpreise_alt!G5+2*Artmodul_Einzelteilpreise_alt!G20+Artmodul_Einzelteilpreise_alt!G79+8*Artmodul_Einzelteilpreise_alt!G263+4*Artmodul_Einzelteilpreise_alt!G277+4*Artmodul_Einzelteilpreise_alt!G276+4*Artmodul_Einzelteilpreise_alt!G272+Artmodul_Einzelteilpreise_alt!G216</f>
        <v>965</v>
      </c>
      <c r="G17" s="45">
        <f>2*Artmodul_Einzelteilpreise_alt!G5+2*Artmodul_Einzelteilpreise_alt!G21+Artmodul_Einzelteilpreise_alt!G84+8*Artmodul_Einzelteilpreise_alt!G263+4*Artmodul_Einzelteilpreise_alt!G277+4*Artmodul_Einzelteilpreise_alt!G279+4*Artmodul_Einzelteilpreise_alt!G272+Artmodul_Einzelteilpreise_alt!G217</f>
        <v>1233</v>
      </c>
      <c r="H17" s="45">
        <f>2*Artmodul_Einzelteilpreise_alt!G5+2*Artmodul_Einzelteilpreise_alt!G22+Artmodul_Einzelteilpreise_alt!G89+8*Artmodul_Einzelteilpreise_alt!G263+4*Artmodul_Einzelteilpreise_alt!G277+4*Artmodul_Einzelteilpreise_alt!G280+4*Artmodul_Einzelteilpreise_alt!G272+Artmodul_Einzelteilpreise_alt!G218</f>
        <v>1433</v>
      </c>
      <c r="I17" s="46">
        <f>2*Artmodul_Einzelteilpreise_alt!G5+2*Artmodul_Einzelteilpreise_alt!G23+Artmodul_Einzelteilpreise_alt!G94+8*Artmodul_Einzelteilpreise_alt!G263+4*Artmodul_Einzelteilpreise_alt!G277+4*Artmodul_Einzelteilpreise_alt!G281+4*Artmodul_Einzelteilpreise_alt!G272+Artmodul_Einzelteilpreise_alt!G219</f>
        <v>1678</v>
      </c>
    </row>
    <row r="18" spans="1:9" x14ac:dyDescent="0.25">
      <c r="A18" s="71"/>
      <c r="B18" s="68"/>
      <c r="C18" s="65">
        <v>980</v>
      </c>
      <c r="D18" s="50"/>
      <c r="E18" s="50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220</f>
        <v>863</v>
      </c>
      <c r="F18" s="50">
        <f>2*Artmodul_Einzelteilpreise_alt!G6+2*Artmodul_Einzelteilpreise_alt!G20+Artmodul_Einzelteilpreise_alt!G80+8*Artmodul_Einzelteilpreise_alt!G263+4*Artmodul_Einzelteilpreise_alt!G278+4*Artmodul_Einzelteilpreise_alt!G276+4*Artmodul_Einzelteilpreise_alt!G272+Artmodul_Einzelteilpreise_alt!G221</f>
        <v>1089</v>
      </c>
      <c r="G18" s="50">
        <f>2*Artmodul_Einzelteilpreise_alt!G6+2*Artmodul_Einzelteilpreise_alt!G21+Artmodul_Einzelteilpreise_alt!G85+8*Artmodul_Einzelteilpreise_alt!G263+4*Artmodul_Einzelteilpreise_alt!G278+4*Artmodul_Einzelteilpreise_alt!G279+4*Artmodul_Einzelteilpreise_alt!G272+Artmodul_Einzelteilpreise_alt!G222</f>
        <v>1367</v>
      </c>
      <c r="H18" s="50">
        <f>2*Artmodul_Einzelteilpreise_alt!G6+2*Artmodul_Einzelteilpreise_alt!G22+Artmodul_Einzelteilpreise_alt!G90+8*Artmodul_Einzelteilpreise_alt!G263+4*Artmodul_Einzelteilpreise_alt!G278+4*Artmodul_Einzelteilpreise_alt!G280+4*Artmodul_Einzelteilpreise_alt!G272+Artmodul_Einzelteilpreise_alt!G223</f>
        <v>1605</v>
      </c>
      <c r="I18" s="51">
        <f>2*Artmodul_Einzelteilpreise_alt!G6+2*Artmodul_Einzelteilpreise_alt!G23+Artmodul_Einzelteilpreise_alt!G95+8*Artmodul_Einzelteilpreise_alt!G263+4*Artmodul_Einzelteilpreise_alt!G278+4*Artmodul_Einzelteilpreise_alt!G281+4*Artmodul_Einzelteilpreise_alt!G272+Artmodul_Einzelteilpreise_alt!G224</f>
        <v>1880</v>
      </c>
    </row>
    <row r="19" spans="1:9" x14ac:dyDescent="0.25">
      <c r="A19" s="57"/>
      <c r="B19" s="57"/>
      <c r="C19" s="57"/>
      <c r="D19" s="57"/>
      <c r="E19" s="57"/>
      <c r="F19" s="57"/>
      <c r="G19" s="57"/>
      <c r="H19" s="57"/>
      <c r="I19" s="57"/>
    </row>
    <row r="20" spans="1:9" x14ac:dyDescent="0.25">
      <c r="A20" s="76" t="s">
        <v>12</v>
      </c>
      <c r="B20" s="74">
        <v>360</v>
      </c>
      <c r="C20" s="73">
        <v>420</v>
      </c>
      <c r="D20" s="45">
        <f>2*Artmodul_Einzelteilpreise_alt!G3+2*Artmodul_Einzelteilpreise_alt!G18+Artmodul_Einzelteilpreise_alt!G67+8*Artmodul_Einzelteilpreise_alt!G263+4*Artmodul_Einzelteilpreise_alt!G273+4*Artmodul_Einzelteilpreise_alt!G271+4*Artmodul_Einzelteilpreise_alt!G272+Artmodul_Einzelteilpreise_alt!G225</f>
        <v>743</v>
      </c>
      <c r="E20" s="45">
        <f>2*Artmodul_Einzelteilpreise_alt!G3+2*Artmodul_Einzelteilpreise_alt!G19+Artmodul_Einzelteilpreise_alt!G72+8*Artmodul_Einzelteilpreise_alt!G263+4*Artmodul_Einzelteilpreise_alt!G273+4*Artmodul_Einzelteilpreise_alt!G272+4*Artmodul_Einzelteilpreise_alt!G272+Artmodul_Einzelteilpreise_alt!G226</f>
        <v>810</v>
      </c>
      <c r="F20" s="45"/>
      <c r="G20" s="45"/>
      <c r="H20" s="45"/>
      <c r="I20" s="46"/>
    </row>
    <row r="21" spans="1:9" x14ac:dyDescent="0.25">
      <c r="A21" s="77"/>
      <c r="B21" s="74"/>
      <c r="C21" s="73">
        <v>580</v>
      </c>
      <c r="D21" s="48">
        <f>2*Artmodul_Einzelteilpreise_alt!G4+2*Artmodul_Einzelteilpreise_alt!G18+Artmodul_Einzelteilpreise_alt!G68+8*Artmodul_Einzelteilpreise_alt!G263+4*Artmodul_Einzelteilpreise_alt!G274+4*Artmodul_Einzelteilpreise_alt!G271+4*Artmodul_Einzelteilpreise_alt!G272+Artmodul_Einzelteilpreise_alt!G227</f>
        <v>791</v>
      </c>
      <c r="E21" s="48">
        <f>2*Artmodul_Einzelteilpreise_alt!G4+2*Artmodul_Einzelteilpreise_alt!G19+Artmodul_Einzelteilpreise_alt!G73+8*Artmodul_Einzelteilpreise_alt!G263+4*Artmodul_Einzelteilpreise_alt!G274+4*Artmodul_Einzelteilpreise_alt!G272+4*Artmodul_Einzelteilpreise_alt!G272+Artmodul_Einzelteilpreise_alt!G228</f>
        <v>846</v>
      </c>
      <c r="F21" s="48"/>
      <c r="G21" s="48"/>
      <c r="H21" s="48"/>
      <c r="I21" s="49"/>
    </row>
    <row r="22" spans="1:9" x14ac:dyDescent="0.25">
      <c r="A22" s="77"/>
      <c r="B22" s="74"/>
      <c r="C22" s="73">
        <v>780</v>
      </c>
      <c r="D22" s="45">
        <f>2*Artmodul_Einzelteilpreise_alt!G5+2*Artmodul_Einzelteilpreise_alt!G18+Artmodul_Einzelteilpreise_alt!G69+8*Artmodul_Einzelteilpreise_alt!G263+4*Artmodul_Einzelteilpreise_alt!G277+4*Artmodul_Einzelteilpreise_alt!G271+4*Artmodul_Einzelteilpreise_alt!G272+Artmodul_Einzelteilpreise_alt!G229</f>
        <v>853</v>
      </c>
      <c r="E22" s="45">
        <f>2*Artmodul_Einzelteilpreise_alt!G5+2*Artmodul_Einzelteilpreise_alt!G19+Artmodul_Einzelteilpreise_alt!G74+8*Artmodul_Einzelteilpreise_alt!G263+4*Artmodul_Einzelteilpreise_alt!G277+4*Artmodul_Einzelteilpreise_alt!G272+4*Artmodul_Einzelteilpreise_alt!G272+Artmodul_Einzelteilpreise_alt!G230</f>
        <v>900</v>
      </c>
      <c r="F22" s="45"/>
      <c r="G22" s="45"/>
      <c r="H22" s="45"/>
      <c r="I22" s="46"/>
    </row>
    <row r="23" spans="1:9" x14ac:dyDescent="0.25">
      <c r="A23" s="78"/>
      <c r="B23" s="75"/>
      <c r="C23" s="72">
        <v>980</v>
      </c>
      <c r="D23" s="50">
        <f>2*Artmodul_Einzelteilpreise_alt!G6+2*Artmodul_Einzelteilpreise_alt!G18+Artmodul_Einzelteilpreise_alt!G70+8*Artmodul_Einzelteilpreise_alt!G263+4*Artmodul_Einzelteilpreise_alt!G278+4*Artmodul_Einzelteilpreise_alt!G271+4*Artmodul_Einzelteilpreise_alt!G272+Artmodul_Einzelteilpreise_alt!G231</f>
        <v>942</v>
      </c>
      <c r="E23" s="50">
        <f>2*Artmodul_Einzelteilpreise_alt!G6+2*Artmodul_Einzelteilpreise_alt!G19+Artmodul_Einzelteilpreise_alt!G75+8*Artmodul_Einzelteilpreise_alt!G263+4*Artmodul_Einzelteilpreise_alt!G278+4*Artmodul_Einzelteilpreise_alt!G272+4*Artmodul_Einzelteilpreise_alt!G272+Artmodul_Einzelteilpreise_alt!G232</f>
        <v>1023</v>
      </c>
      <c r="F23" s="50"/>
      <c r="G23" s="50"/>
      <c r="H23" s="50"/>
      <c r="I23" s="51"/>
    </row>
    <row r="24" spans="1:9" x14ac:dyDescent="0.25">
      <c r="A24" s="57"/>
      <c r="B24" s="57"/>
      <c r="C24" s="57"/>
      <c r="D24" s="57"/>
      <c r="E24" s="57"/>
      <c r="F24" s="57"/>
      <c r="G24" s="57"/>
      <c r="H24" s="57"/>
      <c r="I24" s="57"/>
    </row>
    <row r="26" spans="1:9" x14ac:dyDescent="0.25">
      <c r="A26" s="39" t="s">
        <v>452</v>
      </c>
      <c r="B26" s="39"/>
      <c r="C26" s="39"/>
      <c r="D26" s="39"/>
      <c r="E26" s="39"/>
      <c r="F26" s="39"/>
      <c r="G26" s="39"/>
      <c r="H26" s="39"/>
      <c r="I26" s="39"/>
    </row>
    <row r="27" spans="1:9" ht="25.5" x14ac:dyDescent="0.25">
      <c r="A27" s="40" t="s">
        <v>0</v>
      </c>
      <c r="B27" s="41" t="s">
        <v>1</v>
      </c>
      <c r="C27" s="41" t="s">
        <v>2</v>
      </c>
      <c r="D27" s="41" t="s">
        <v>446</v>
      </c>
      <c r="E27" s="41" t="s">
        <v>447</v>
      </c>
      <c r="F27" s="41" t="s">
        <v>448</v>
      </c>
      <c r="G27" s="41" t="s">
        <v>449</v>
      </c>
      <c r="H27" s="41" t="s">
        <v>450</v>
      </c>
      <c r="I27" s="42" t="s">
        <v>451</v>
      </c>
    </row>
    <row r="28" spans="1:9" x14ac:dyDescent="0.25">
      <c r="A28" s="54" t="s">
        <v>9</v>
      </c>
      <c r="B28" s="52">
        <v>580</v>
      </c>
      <c r="C28" s="44">
        <v>420</v>
      </c>
      <c r="D28" s="45">
        <f>2*Artmodul_Einzelteilpreise_alt!G8+2*Artmodul_Einzelteilpreise_alt!G24+Artmodul_Einzelteilpreise_alt!G67+8*Artmodul_Einzelteilpreise_alt!G263+4*Artmodul_Einzelteilpreise_alt!G273+4*Artmodul_Einzelteilpreise_alt!G271+4*Artmodul_Einzelteilpreise_alt!G274</f>
        <v>514</v>
      </c>
      <c r="E28" s="45">
        <f>2*Artmodul_Einzelteilpreise_alt!G8+2*Artmodul_Einzelteilpreise_alt!G25+Artmodul_Einzelteilpreise_alt!G72+8*Artmodul_Einzelteilpreise_alt!G263+4*Artmodul_Einzelteilpreise_alt!G273+4*Artmodul_Einzelteilpreise_alt!G272+4*Artmodul_Einzelteilpreise_alt!G274</f>
        <v>514</v>
      </c>
      <c r="F28" s="45">
        <f>2*Artmodul_Einzelteilpreise_alt!G8+2*Artmodul_Einzelteilpreise_alt!G26+Artmodul_Einzelteilpreise_alt!G77+8*Artmodul_Einzelteilpreise_alt!G263+4*Artmodul_Einzelteilpreise_alt!G273+4*Artmodul_Einzelteilpreise_alt!G276+4*Artmodul_Einzelteilpreise_alt!G274</f>
        <v>638</v>
      </c>
      <c r="G28" s="45">
        <f>2*Artmodul_Einzelteilpreise_alt!G8+2*Artmodul_Einzelteilpreise_alt!G27+Artmodul_Einzelteilpreise_alt!G82+8*Artmodul_Einzelteilpreise_alt!G263+4*Artmodul_Einzelteilpreise_alt!G273+4*Artmodul_Einzelteilpreise_alt!G279+4*Artmodul_Einzelteilpreise_alt!G274</f>
        <v>756</v>
      </c>
      <c r="H28" s="45">
        <f>2*Artmodul_Einzelteilpreise_alt!G8+2*Artmodul_Einzelteilpreise_alt!G28+Artmodul_Einzelteilpreise_alt!G87+8*Artmodul_Einzelteilpreise_alt!G263+4*Artmodul_Einzelteilpreise_alt!G273+4*Artmodul_Einzelteilpreise_alt!G280+4*Artmodul_Einzelteilpreise_alt!G274</f>
        <v>885</v>
      </c>
      <c r="I28" s="46">
        <f>2*Artmodul_Einzelteilpreise_alt!G8+2*Artmodul_Einzelteilpreise_alt!G29+Artmodul_Einzelteilpreise_alt!G92+8*Artmodul_Einzelteilpreise_alt!G263+4*Artmodul_Einzelteilpreise_alt!G273+4*Artmodul_Einzelteilpreise_alt!G281+4*Artmodul_Einzelteilpreise_alt!G274</f>
        <v>1007</v>
      </c>
    </row>
    <row r="29" spans="1:9" x14ac:dyDescent="0.25">
      <c r="A29" s="55"/>
      <c r="B29" s="52"/>
      <c r="C29" s="44">
        <v>580</v>
      </c>
      <c r="D29" s="48">
        <f>2*Artmodul_Einzelteilpreise_alt!G9+2*Artmodul_Einzelteilpreise_alt!G24+Artmodul_Einzelteilpreise_alt!G68+8*Artmodul_Einzelteilpreise_alt!G263+4*Artmodul_Einzelteilpreise_alt!G274+4*Artmodul_Einzelteilpreise_alt!G271+4*Artmodul_Einzelteilpreise_alt!G274</f>
        <v>567</v>
      </c>
      <c r="E29" s="48">
        <f>2*Artmodul_Einzelteilpreise_alt!G9+2*Artmodul_Einzelteilpreise_alt!G25+Artmodul_Einzelteilpreise_alt!G73+8*Artmodul_Einzelteilpreise_alt!G263+4*Artmodul_Einzelteilpreise_alt!G274+4*Artmodul_Einzelteilpreise_alt!G272+4*Artmodul_Einzelteilpreise_alt!G274</f>
        <v>567</v>
      </c>
      <c r="F29" s="48">
        <f>2*Artmodul_Einzelteilpreise_alt!G9+2*Artmodul_Einzelteilpreise_alt!G26+Artmodul_Einzelteilpreise_alt!G78+8*Artmodul_Einzelteilpreise_alt!G263+4*Artmodul_Einzelteilpreise_alt!G274+4*Artmodul_Einzelteilpreise_alt!G276+4*Artmodul_Einzelteilpreise_alt!G274</f>
        <v>704</v>
      </c>
      <c r="G29" s="48">
        <f>2*Artmodul_Einzelteilpreise_alt!G9+2*Artmodul_Einzelteilpreise_alt!G27+Artmodul_Einzelteilpreise_alt!G83+8*Artmodul_Einzelteilpreise_alt!G263+4*Artmodul_Einzelteilpreise_alt!G274+4*Artmodul_Einzelteilpreise_alt!G279+4*Artmodul_Einzelteilpreise_alt!G274</f>
        <v>831</v>
      </c>
      <c r="H29" s="48">
        <f>2*Artmodul_Einzelteilpreise_alt!G9+2*Artmodul_Einzelteilpreise_alt!G28+Artmodul_Einzelteilpreise_alt!G88+8*Artmodul_Einzelteilpreise_alt!G263+4*Artmodul_Einzelteilpreise_alt!G274+4*Artmodul_Einzelteilpreise_alt!G280+4*Artmodul_Einzelteilpreise_alt!G274</f>
        <v>972</v>
      </c>
      <c r="I29" s="49">
        <f>2*Artmodul_Einzelteilpreise_alt!G9+2*Artmodul_Einzelteilpreise_alt!G29+Artmodul_Einzelteilpreise_alt!G93+8*Artmodul_Einzelteilpreise_alt!G263+4*Artmodul_Einzelteilpreise_alt!G274+4*Artmodul_Einzelteilpreise_alt!G281+4*Artmodul_Einzelteilpreise_alt!G274</f>
        <v>1105</v>
      </c>
    </row>
    <row r="30" spans="1:9" x14ac:dyDescent="0.25">
      <c r="A30" s="55"/>
      <c r="B30" s="52"/>
      <c r="C30" s="44">
        <v>780</v>
      </c>
      <c r="D30" s="45">
        <f>2*Artmodul_Einzelteilpreise_alt!G10+2*Artmodul_Einzelteilpreise_alt!G24+Artmodul_Einzelteilpreise_alt!G69+8*Artmodul_Einzelteilpreise_alt!G263+4*Artmodul_Einzelteilpreise_alt!G277+4*Artmodul_Einzelteilpreise_alt!G271+4*Artmodul_Einzelteilpreise_alt!G274</f>
        <v>632</v>
      </c>
      <c r="E30" s="45">
        <f>2*Artmodul_Einzelteilpreise_alt!G10+2*Artmodul_Einzelteilpreise_alt!G25+Artmodul_Einzelteilpreise_alt!G74+8*Artmodul_Einzelteilpreise_alt!G263+4*Artmodul_Einzelteilpreise_alt!G277+4*Artmodul_Einzelteilpreise_alt!G272+4*Artmodul_Einzelteilpreise_alt!G274</f>
        <v>632</v>
      </c>
      <c r="F30" s="45">
        <f>2*Artmodul_Einzelteilpreise_alt!G10+2*Artmodul_Einzelteilpreise_alt!G26+Artmodul_Einzelteilpreise_alt!G79+8*Artmodul_Einzelteilpreise_alt!G263+4*Artmodul_Einzelteilpreise_alt!G277+4*Artmodul_Einzelteilpreise_alt!G276+4*Artmodul_Einzelteilpreise_alt!G274</f>
        <v>781</v>
      </c>
      <c r="G30" s="45">
        <f>2*Artmodul_Einzelteilpreise_alt!G10+2*Artmodul_Einzelteilpreise_alt!G27+Artmodul_Einzelteilpreise_alt!G84+8*Artmodul_Einzelteilpreise_alt!G263+4*Artmodul_Einzelteilpreise_alt!G277+4*Artmodul_Einzelteilpreise_alt!G279+4*Artmodul_Einzelteilpreise_alt!G274</f>
        <v>925</v>
      </c>
      <c r="H30" s="45">
        <f>2*Artmodul_Einzelteilpreise_alt!G10+2*Artmodul_Einzelteilpreise_alt!G28+Artmodul_Einzelteilpreise_alt!G89+8*Artmodul_Einzelteilpreise_alt!G263+4*Artmodul_Einzelteilpreise_alt!G277+4*Artmodul_Einzelteilpreise_alt!G280+4*Artmodul_Einzelteilpreise_alt!G274</f>
        <v>1077</v>
      </c>
      <c r="I30" s="46">
        <f>2*Artmodul_Einzelteilpreise_alt!G10+2*Artmodul_Einzelteilpreise_alt!G29+Artmodul_Einzelteilpreise_alt!G94+8*Artmodul_Einzelteilpreise_alt!G263+4*Artmodul_Einzelteilpreise_alt!G277+4*Artmodul_Einzelteilpreise_alt!G281+4*Artmodul_Einzelteilpreise_alt!G274</f>
        <v>1224</v>
      </c>
    </row>
    <row r="31" spans="1:9" x14ac:dyDescent="0.25">
      <c r="A31" s="56"/>
      <c r="B31" s="53"/>
      <c r="C31" s="47">
        <v>980</v>
      </c>
      <c r="D31" s="50">
        <f>2*Artmodul_Einzelteilpreise_alt!G11+2*Artmodul_Einzelteilpreise_alt!G24+Artmodul_Einzelteilpreise_alt!G70+8*Artmodul_Einzelteilpreise_alt!G263+4*Artmodul_Einzelteilpreise_alt!G278+4*Artmodul_Einzelteilpreise_alt!G271+4*Artmodul_Einzelteilpreise_alt!G274</f>
        <v>700</v>
      </c>
      <c r="E31" s="50">
        <f>2*Artmodul_Einzelteilpreise_alt!G11+2*Artmodul_Einzelteilpreise_alt!G25+Artmodul_Einzelteilpreise_alt!G75+8*Artmodul_Einzelteilpreise_alt!G263+4*Artmodul_Einzelteilpreise_alt!G278+4*Artmodul_Einzelteilpreise_alt!G272+4*Artmodul_Einzelteilpreise_alt!G274</f>
        <v>700</v>
      </c>
      <c r="F31" s="50">
        <f>2*Artmodul_Einzelteilpreise_alt!G11+2*Artmodul_Einzelteilpreise_alt!G26+Artmodul_Einzelteilpreise_alt!G80+8*Artmodul_Einzelteilpreise_alt!G263+4*Artmodul_Einzelteilpreise_alt!G278+4*Artmodul_Einzelteilpreise_alt!G276+4*Artmodul_Einzelteilpreise_alt!G274</f>
        <v>862</v>
      </c>
      <c r="G31" s="50">
        <f>2*Artmodul_Einzelteilpreise_alt!G11+2*Artmodul_Einzelteilpreise_alt!G27+Artmodul_Einzelteilpreise_alt!G85+8*Artmodul_Einzelteilpreise_alt!G263+4*Artmodul_Einzelteilpreise_alt!G278+4*Artmodul_Einzelteilpreise_alt!G279+4*Artmodul_Einzelteilpreise_alt!G274</f>
        <v>1018</v>
      </c>
      <c r="H31" s="50">
        <f>2*Artmodul_Einzelteilpreise_alt!G11+2*Artmodul_Einzelteilpreise_alt!G28+Artmodul_Einzelteilpreise_alt!G90+8*Artmodul_Einzelteilpreise_alt!G263+4*Artmodul_Einzelteilpreise_alt!G278+4*Artmodul_Einzelteilpreise_alt!G280+4*Artmodul_Einzelteilpreise_alt!G274</f>
        <v>1184</v>
      </c>
      <c r="I31" s="51">
        <f>2*Artmodul_Einzelteilpreise_alt!G11+2*Artmodul_Einzelteilpreise_alt!G29+Artmodul_Einzelteilpreise_alt!G95+8*Artmodul_Einzelteilpreise_alt!G263+4*Artmodul_Einzelteilpreise_alt!G278+4*Artmodul_Einzelteilpreise_alt!G281+4*Artmodul_Einzelteilpreise_alt!G274</f>
        <v>1343</v>
      </c>
    </row>
    <row r="32" spans="1:9" x14ac:dyDescent="0.25">
      <c r="A32" s="57"/>
      <c r="B32" s="57"/>
      <c r="C32" s="57"/>
      <c r="D32" s="57"/>
      <c r="E32" s="57"/>
      <c r="F32" s="57"/>
      <c r="G32" s="57"/>
      <c r="H32" s="57"/>
      <c r="I32" s="57"/>
    </row>
    <row r="33" spans="1:9" x14ac:dyDescent="0.25">
      <c r="A33" s="62" t="s">
        <v>10</v>
      </c>
      <c r="B33" s="60">
        <v>580</v>
      </c>
      <c r="C33" s="59">
        <v>420</v>
      </c>
      <c r="D33" s="45">
        <f>2*Artmodul_Einzelteilpreise_alt!G8+2*Artmodul_Einzelteilpreise_alt!G24+Artmodul_Einzelteilpreise_alt!G67+8*Artmodul_Einzelteilpreise_alt!G263+4*Artmodul_Einzelteilpreise_alt!G273+4*Artmodul_Einzelteilpreise_alt!G271+4*Artmodul_Einzelteilpreise_alt!G274+Artmodul_Einzelteilpreise_alt!G191</f>
        <v>683</v>
      </c>
      <c r="E33" s="45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192</f>
        <v>683</v>
      </c>
      <c r="F33" s="45"/>
      <c r="G33" s="45"/>
      <c r="H33" s="45"/>
      <c r="I33" s="46"/>
    </row>
    <row r="34" spans="1:9" x14ac:dyDescent="0.25">
      <c r="A34" s="63"/>
      <c r="B34" s="60"/>
      <c r="C34" s="59">
        <v>580</v>
      </c>
      <c r="D34" s="48">
        <f>2*Artmodul_Einzelteilpreise_alt!G9+2*Artmodul_Einzelteilpreise_alt!G24+Artmodul_Einzelteilpreise_alt!G68+8*Artmodul_Einzelteilpreise_alt!G263+4*Artmodul_Einzelteilpreise_alt!G274+4*Artmodul_Einzelteilpreise_alt!G271+4*Artmodul_Einzelteilpreise_alt!G274+Artmodul_Einzelteilpreise_alt!G193</f>
        <v>751</v>
      </c>
      <c r="E34" s="48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194</f>
        <v>751</v>
      </c>
      <c r="F34" s="48"/>
      <c r="G34" s="48"/>
      <c r="H34" s="48"/>
      <c r="I34" s="49"/>
    </row>
    <row r="35" spans="1:9" x14ac:dyDescent="0.25">
      <c r="A35" s="63"/>
      <c r="B35" s="60"/>
      <c r="C35" s="59">
        <v>780</v>
      </c>
      <c r="D35" s="45">
        <f>2*Artmodul_Einzelteilpreise_alt!G10+2*Artmodul_Einzelteilpreise_alt!G24+Artmodul_Einzelteilpreise_alt!G69+8*Artmodul_Einzelteilpreise_alt!G263+4*Artmodul_Einzelteilpreise_alt!G277+4*Artmodul_Einzelteilpreise_alt!G271+4*Artmodul_Einzelteilpreise_alt!G274+Artmodul_Einzelteilpreise_alt!G195</f>
        <v>830</v>
      </c>
      <c r="E35" s="45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196</f>
        <v>830</v>
      </c>
      <c r="F35" s="45"/>
      <c r="G35" s="45"/>
      <c r="H35" s="45"/>
      <c r="I35" s="46"/>
    </row>
    <row r="36" spans="1:9" x14ac:dyDescent="0.25">
      <c r="A36" s="64"/>
      <c r="B36" s="61"/>
      <c r="C36" s="58">
        <v>980</v>
      </c>
      <c r="D36" s="50">
        <f>2*Artmodul_Einzelteilpreise_alt!G11+2*Artmodul_Einzelteilpreise_alt!G24+Artmodul_Einzelteilpreise_alt!G70+8*Artmodul_Einzelteilpreise_alt!G263+4*Artmodul_Einzelteilpreise_alt!G278+4*Artmodul_Einzelteilpreise_alt!G271+4*Artmodul_Einzelteilpreise_alt!G274+Artmodul_Einzelteilpreise_alt!G197</f>
        <v>950</v>
      </c>
      <c r="E36" s="50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198</f>
        <v>950</v>
      </c>
      <c r="F36" s="50"/>
      <c r="G36" s="50"/>
      <c r="H36" s="50"/>
      <c r="I36" s="51"/>
    </row>
    <row r="37" spans="1:9" x14ac:dyDescent="0.25">
      <c r="A37" s="57"/>
      <c r="B37" s="57"/>
      <c r="C37" s="57"/>
      <c r="D37" s="57"/>
      <c r="E37" s="57"/>
      <c r="F37" s="57"/>
      <c r="G37" s="57"/>
      <c r="H37" s="57"/>
      <c r="I37" s="57"/>
    </row>
    <row r="38" spans="1:9" x14ac:dyDescent="0.25">
      <c r="A38" s="69" t="s">
        <v>314</v>
      </c>
      <c r="B38" s="67">
        <v>580</v>
      </c>
      <c r="C38" s="66">
        <v>420</v>
      </c>
      <c r="D38" s="45"/>
      <c r="E38" s="45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202</f>
        <v>650</v>
      </c>
      <c r="F38" s="45">
        <f>2*Artmodul_Einzelteilpreise_alt!G8+2*Artmodul_Einzelteilpreise_alt!G26+Artmodul_Einzelteilpreise_alt!G77+8*Artmodul_Einzelteilpreise_alt!G263+4*Artmodul_Einzelteilpreise_alt!G273+4*Artmodul_Einzelteilpreise_alt!G276+4*Artmodul_Einzelteilpreise_alt!G274+Artmodul_Einzelteilpreise_alt!G203</f>
        <v>797</v>
      </c>
      <c r="G38" s="45">
        <f>2*Artmodul_Einzelteilpreise_alt!G8+2*Artmodul_Einzelteilpreise_alt!G27+Artmodul_Einzelteilpreise_alt!G82+8*Artmodul_Einzelteilpreise_alt!G263+4*Artmodul_Einzelteilpreise_alt!G273+4*Artmodul_Einzelteilpreise_alt!G279+4*Artmodul_Einzelteilpreise_alt!G274+Artmodul_Einzelteilpreise_alt!G204</f>
        <v>991</v>
      </c>
      <c r="H38" s="45">
        <f>2*Artmodul_Einzelteilpreise_alt!G8+2*Artmodul_Einzelteilpreise_alt!G28+Artmodul_Einzelteilpreise_alt!G87+8*Artmodul_Einzelteilpreise_alt!G263+4*Artmodul_Einzelteilpreise_alt!G273+4*Artmodul_Einzelteilpreise_alt!G280+4*Artmodul_Einzelteilpreise_alt!G274+Artmodul_Einzelteilpreise_alt!G205</f>
        <v>1142</v>
      </c>
      <c r="I38" s="46">
        <f>2*Artmodul_Einzelteilpreise_alt!G8+2*Artmodul_Einzelteilpreise_alt!G29+Artmodul_Einzelteilpreise_alt!G92+8*Artmodul_Einzelteilpreise_alt!G263+4*Artmodul_Einzelteilpreise_alt!G273+4*Artmodul_Einzelteilpreise_alt!G281+4*Artmodul_Einzelteilpreise_alt!G274+Artmodul_Einzelteilpreise_alt!G206</f>
        <v>1347</v>
      </c>
    </row>
    <row r="39" spans="1:9" x14ac:dyDescent="0.25">
      <c r="A39" s="70"/>
      <c r="B39" s="67"/>
      <c r="C39" s="66">
        <v>580</v>
      </c>
      <c r="D39" s="48"/>
      <c r="E39" s="48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207</f>
        <v>720</v>
      </c>
      <c r="F39" s="48">
        <f>2*Artmodul_Einzelteilpreise_alt!G9+2*Artmodul_Einzelteilpreise_alt!G26+Artmodul_Einzelteilpreise_alt!G78+8*Artmodul_Einzelteilpreise_alt!G263+4*Artmodul_Einzelteilpreise_alt!G274+4*Artmodul_Einzelteilpreise_alt!G276+4*Artmodul_Einzelteilpreise_alt!G274+Artmodul_Einzelteilpreise_alt!G208</f>
        <v>914</v>
      </c>
      <c r="G39" s="48">
        <f>2*Artmodul_Einzelteilpreise_alt!G9+2*Artmodul_Einzelteilpreise_alt!G27+Artmodul_Einzelteilpreise_alt!G83+8*Artmodul_Einzelteilpreise_alt!G263+4*Artmodul_Einzelteilpreise_alt!G274+4*Artmodul_Einzelteilpreise_alt!G279+4*Artmodul_Einzelteilpreise_alt!G274+Artmodul_Einzelteilpreise_alt!G209</f>
        <v>1109</v>
      </c>
      <c r="H39" s="48">
        <f>2*Artmodul_Einzelteilpreise_alt!G9+2*Artmodul_Einzelteilpreise_alt!G28+Artmodul_Einzelteilpreise_alt!G88+8*Artmodul_Einzelteilpreise_alt!G263+4*Artmodul_Einzelteilpreise_alt!G274+4*Artmodul_Einzelteilpreise_alt!G280+4*Artmodul_Einzelteilpreise_alt!G274+Artmodul_Einzelteilpreise_alt!G210</f>
        <v>1309</v>
      </c>
      <c r="I39" s="49">
        <f>2*Artmodul_Einzelteilpreise_alt!G9+2*Artmodul_Einzelteilpreise_alt!G29+Artmodul_Einzelteilpreise_alt!G93+8*Artmodul_Einzelteilpreise_alt!G263+4*Artmodul_Einzelteilpreise_alt!G274+4*Artmodul_Einzelteilpreise_alt!G281+4*Artmodul_Einzelteilpreise_alt!G274+Artmodul_Einzelteilpreise_alt!G211</f>
        <v>1522</v>
      </c>
    </row>
    <row r="40" spans="1:9" x14ac:dyDescent="0.25">
      <c r="A40" s="70"/>
      <c r="B40" s="67"/>
      <c r="C40" s="66">
        <v>780</v>
      </c>
      <c r="D40" s="45"/>
      <c r="E40" s="45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214</f>
        <v>887</v>
      </c>
      <c r="F40" s="45">
        <f>2*Artmodul_Einzelteilpreise_alt!G10+2*Artmodul_Einzelteilpreise_alt!G26+Artmodul_Einzelteilpreise_alt!G79+8*Artmodul_Einzelteilpreise_alt!G263+4*Artmodul_Einzelteilpreise_alt!G277+4*Artmodul_Einzelteilpreise_alt!G276+4*Artmodul_Einzelteilpreise_alt!G274+Artmodul_Einzelteilpreise_alt!G216</f>
        <v>1095</v>
      </c>
      <c r="G40" s="45">
        <f>2*Artmodul_Einzelteilpreise_alt!G10+2*Artmodul_Einzelteilpreise_alt!G27+Artmodul_Einzelteilpreise_alt!G84+8*Artmodul_Einzelteilpreise_alt!G263+4*Artmodul_Einzelteilpreise_alt!G277+4*Artmodul_Einzelteilpreise_alt!G279+4*Artmodul_Einzelteilpreise_alt!G274+Artmodul_Einzelteilpreise_alt!G217</f>
        <v>1389</v>
      </c>
      <c r="H40" s="45">
        <f>2*Artmodul_Einzelteilpreise_alt!G10+2*Artmodul_Einzelteilpreise_alt!G28+Artmodul_Einzelteilpreise_alt!G89+8*Artmodul_Einzelteilpreise_alt!G263+4*Artmodul_Einzelteilpreise_alt!G277+4*Artmodul_Einzelteilpreise_alt!G280+4*Artmodul_Einzelteilpreise_alt!G274+Artmodul_Einzelteilpreise_alt!G218</f>
        <v>1619</v>
      </c>
      <c r="I40" s="46">
        <f>2*Artmodul_Einzelteilpreise_alt!G10+2*Artmodul_Einzelteilpreise_alt!G29+Artmodul_Einzelteilpreise_alt!G94+8*Artmodul_Einzelteilpreise_alt!G263+4*Artmodul_Einzelteilpreise_alt!G277+4*Artmodul_Einzelteilpreise_alt!G281+4*Artmodul_Einzelteilpreise_alt!G274+Artmodul_Einzelteilpreise_alt!G219</f>
        <v>1892</v>
      </c>
    </row>
    <row r="41" spans="1:9" x14ac:dyDescent="0.25">
      <c r="A41" s="71"/>
      <c r="B41" s="68"/>
      <c r="C41" s="65">
        <v>980</v>
      </c>
      <c r="D41" s="50"/>
      <c r="E41" s="50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220</f>
        <v>969</v>
      </c>
      <c r="F41" s="50">
        <f>2*Artmodul_Einzelteilpreise_alt!G11+2*Artmodul_Einzelteilpreise_alt!G26+Artmodul_Einzelteilpreise_alt!G80+8*Artmodul_Einzelteilpreise_alt!G263+4*Artmodul_Einzelteilpreise_alt!G278+4*Artmodul_Einzelteilpreise_alt!G276+4*Artmodul_Einzelteilpreise_alt!G274+Artmodul_Einzelteilpreise_alt!G221</f>
        <v>1237</v>
      </c>
      <c r="G41" s="50">
        <f>2*Artmodul_Einzelteilpreise_alt!G11+2*Artmodul_Einzelteilpreise_alt!G27+Artmodul_Einzelteilpreise_alt!G85+8*Artmodul_Einzelteilpreise_alt!G263+4*Artmodul_Einzelteilpreise_alt!G278+4*Artmodul_Einzelteilpreise_alt!G279+4*Artmodul_Einzelteilpreise_alt!G274+Artmodul_Einzelteilpreise_alt!G222</f>
        <v>1541</v>
      </c>
      <c r="H41" s="50">
        <f>2*Artmodul_Einzelteilpreise_alt!G11+2*Artmodul_Einzelteilpreise_alt!G28+Artmodul_Einzelteilpreise_alt!G90+8*Artmodul_Einzelteilpreise_alt!G263+4*Artmodul_Einzelteilpreise_alt!G278+4*Artmodul_Einzelteilpreise_alt!G280+4*Artmodul_Einzelteilpreise_alt!G274+Artmodul_Einzelteilpreise_alt!G223</f>
        <v>1809</v>
      </c>
      <c r="I41" s="51">
        <f>2*Artmodul_Einzelteilpreise_alt!G11+2*Artmodul_Einzelteilpreise_alt!G29+Artmodul_Einzelteilpreise_alt!G95+8*Artmodul_Einzelteilpreise_alt!G263+4*Artmodul_Einzelteilpreise_alt!G278+4*Artmodul_Einzelteilpreise_alt!G281+4*Artmodul_Einzelteilpreise_alt!G274+Artmodul_Einzelteilpreise_alt!G224</f>
        <v>2112</v>
      </c>
    </row>
    <row r="42" spans="1:9" x14ac:dyDescent="0.25">
      <c r="A42" s="57"/>
      <c r="B42" s="57"/>
      <c r="C42" s="57"/>
      <c r="D42" s="57"/>
      <c r="E42" s="57"/>
      <c r="F42" s="57"/>
      <c r="G42" s="57"/>
      <c r="H42" s="57"/>
      <c r="I42" s="57"/>
    </row>
    <row r="43" spans="1:9" x14ac:dyDescent="0.25">
      <c r="A43" s="76" t="s">
        <v>12</v>
      </c>
      <c r="B43" s="74">
        <v>580</v>
      </c>
      <c r="C43" s="73">
        <v>420</v>
      </c>
      <c r="D43" s="45">
        <f>2*Artmodul_Einzelteilpreise_alt!G8+2*Artmodul_Einzelteilpreise_alt!G24+Artmodul_Einzelteilpreise_alt!G67+8*Artmodul_Einzelteilpreise_alt!G263+4*Artmodul_Einzelteilpreise_alt!G273+4*Artmodul_Einzelteilpreise_alt!G271+4*Artmodul_Einzelteilpreise_alt!G274+Artmodul_Einzelteilpreise_alt!G225</f>
        <v>799</v>
      </c>
      <c r="E43" s="45">
        <f>2*Artmodul_Einzelteilpreise_alt!G8+2*Artmodul_Einzelteilpreise_alt!G25+Artmodul_Einzelteilpreise_alt!G72+8*Artmodul_Einzelteilpreise_alt!G263+4*Artmodul_Einzelteilpreise_alt!G273+4*Artmodul_Einzelteilpreise_alt!G272+4*Artmodul_Einzelteilpreise_alt!G274+Artmodul_Einzelteilpreise_alt!G226</f>
        <v>866</v>
      </c>
      <c r="F43" s="45"/>
      <c r="G43" s="45"/>
      <c r="H43" s="45"/>
      <c r="I43" s="46"/>
    </row>
    <row r="44" spans="1:9" x14ac:dyDescent="0.25">
      <c r="A44" s="77"/>
      <c r="B44" s="74"/>
      <c r="C44" s="73">
        <v>580</v>
      </c>
      <c r="D44" s="48">
        <f>2*Artmodul_Einzelteilpreise_alt!G9+2*Artmodul_Einzelteilpreise_alt!G24+Artmodul_Einzelteilpreise_alt!G68+8*Artmodul_Einzelteilpreise_alt!G263+4*Artmodul_Einzelteilpreise_alt!G274+4*Artmodul_Einzelteilpreise_alt!G271+4*Artmodul_Einzelteilpreise_alt!G274+Artmodul_Einzelteilpreise_alt!G227</f>
        <v>865</v>
      </c>
      <c r="E44" s="48">
        <f>2*Artmodul_Einzelteilpreise_alt!G9+2*Artmodul_Einzelteilpreise_alt!G25+Artmodul_Einzelteilpreise_alt!G73+8*Artmodul_Einzelteilpreise_alt!G263+4*Artmodul_Einzelteilpreise_alt!G274+4*Artmodul_Einzelteilpreise_alt!G272+4*Artmodul_Einzelteilpreise_alt!G274+Artmodul_Einzelteilpreise_alt!G228</f>
        <v>920</v>
      </c>
      <c r="F44" s="48"/>
      <c r="G44" s="48"/>
      <c r="H44" s="48"/>
      <c r="I44" s="49"/>
    </row>
    <row r="45" spans="1:9" x14ac:dyDescent="0.25">
      <c r="A45" s="77"/>
      <c r="B45" s="74"/>
      <c r="C45" s="73">
        <v>780</v>
      </c>
      <c r="D45" s="45">
        <f>2*Artmodul_Einzelteilpreise_alt!G10+2*Artmodul_Einzelteilpreise_alt!G24+Artmodul_Einzelteilpreise_alt!G69+8*Artmodul_Einzelteilpreise_alt!G263+4*Artmodul_Einzelteilpreise_alt!G277+4*Artmodul_Einzelteilpreise_alt!G271+4*Artmodul_Einzelteilpreise_alt!G274+Artmodul_Einzelteilpreise_alt!G229</f>
        <v>941</v>
      </c>
      <c r="E45" s="45">
        <f>2*Artmodul_Einzelteilpreise_alt!G10+2*Artmodul_Einzelteilpreise_alt!G25+Artmodul_Einzelteilpreise_alt!G74+8*Artmodul_Einzelteilpreise_alt!G263+4*Artmodul_Einzelteilpreise_alt!G277+4*Artmodul_Einzelteilpreise_alt!G272+4*Artmodul_Einzelteilpreise_alt!G274+Artmodul_Einzelteilpreise_alt!G230</f>
        <v>988</v>
      </c>
      <c r="F45" s="45"/>
      <c r="G45" s="45"/>
      <c r="H45" s="45"/>
      <c r="I45" s="46"/>
    </row>
    <row r="46" spans="1:9" x14ac:dyDescent="0.25">
      <c r="A46" s="78"/>
      <c r="B46" s="75"/>
      <c r="C46" s="72">
        <v>980</v>
      </c>
      <c r="D46" s="50">
        <f>2*Artmodul_Einzelteilpreise_alt!G11+2*Artmodul_Einzelteilpreise_alt!G24+Artmodul_Einzelteilpreise_alt!G70+8*Artmodul_Einzelteilpreise_alt!G263+4*Artmodul_Einzelteilpreise_alt!G278+4*Artmodul_Einzelteilpreise_alt!G271+4*Artmodul_Einzelteilpreise_alt!G274+Artmodul_Einzelteilpreise_alt!G231</f>
        <v>1048</v>
      </c>
      <c r="E46" s="50">
        <f>2*Artmodul_Einzelteilpreise_alt!G11+2*Artmodul_Einzelteilpreise_alt!G25+Artmodul_Einzelteilpreise_alt!G75+8*Artmodul_Einzelteilpreise_alt!G263+4*Artmodul_Einzelteilpreise_alt!G278+4*Artmodul_Einzelteilpreise_alt!G272+4*Artmodul_Einzelteilpreise_alt!G274+Artmodul_Einzelteilpreise_alt!G232</f>
        <v>1129</v>
      </c>
      <c r="F46" s="50"/>
      <c r="G46" s="50"/>
      <c r="H46" s="50"/>
      <c r="I46" s="51"/>
    </row>
    <row r="47" spans="1:9" x14ac:dyDescent="0.25">
      <c r="A47" s="57"/>
      <c r="B47" s="57"/>
      <c r="C47" s="57"/>
      <c r="D47" s="57"/>
      <c r="E47" s="57"/>
      <c r="F47" s="57"/>
      <c r="G47" s="57"/>
      <c r="H47" s="57"/>
      <c r="I47" s="5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07E2-9A43-4BD1-A715-98905DCA4725}">
  <dimension ref="A1:R309"/>
  <sheetViews>
    <sheetView workbookViewId="0">
      <selection activeCell="I17" sqref="I17"/>
    </sheetView>
  </sheetViews>
  <sheetFormatPr baseColWidth="10" defaultRowHeight="15" x14ac:dyDescent="0.25"/>
  <cols>
    <col min="1" max="1" width="21" style="15" customWidth="1"/>
    <col min="2" max="2" width="13.28515625" style="15" customWidth="1"/>
    <col min="3" max="3" width="24.7109375" style="15" customWidth="1"/>
    <col min="4" max="4" width="47.5703125" style="15" customWidth="1"/>
    <col min="5" max="6" width="13.28515625" style="15" customWidth="1"/>
    <col min="7" max="8" width="17.140625" style="15" customWidth="1"/>
    <col min="9" max="9" width="19" style="15" customWidth="1"/>
    <col min="10" max="13" width="17.140625" style="15" customWidth="1"/>
    <col min="14" max="14" width="19" style="15" customWidth="1"/>
    <col min="15" max="15" width="17.140625" style="15" customWidth="1"/>
    <col min="16" max="16" width="11.42578125" style="15"/>
    <col min="17" max="18" width="28.5703125" style="15" customWidth="1"/>
    <col min="19" max="16384" width="11.42578125" style="15"/>
  </cols>
  <sheetData>
    <row r="1" spans="1:18" ht="18.75" x14ac:dyDescent="0.3">
      <c r="A1" s="14" t="s">
        <v>74</v>
      </c>
      <c r="B1" s="14" t="s">
        <v>75</v>
      </c>
      <c r="C1" s="14" t="s">
        <v>76</v>
      </c>
      <c r="D1" s="14" t="s">
        <v>77</v>
      </c>
      <c r="E1" s="14" t="s">
        <v>78</v>
      </c>
      <c r="F1" s="14" t="s">
        <v>79</v>
      </c>
      <c r="G1" s="14" t="s">
        <v>80</v>
      </c>
      <c r="H1" s="14" t="s">
        <v>81</v>
      </c>
      <c r="I1" s="14" t="s">
        <v>82</v>
      </c>
      <c r="J1" s="14" t="s">
        <v>83</v>
      </c>
      <c r="K1" s="14" t="s">
        <v>84</v>
      </c>
      <c r="L1" s="14" t="s">
        <v>85</v>
      </c>
      <c r="M1" s="14" t="s">
        <v>86</v>
      </c>
      <c r="N1" s="14" t="s">
        <v>87</v>
      </c>
      <c r="O1" s="14" t="s">
        <v>88</v>
      </c>
      <c r="Q1" s="16" t="s">
        <v>89</v>
      </c>
      <c r="R1" s="16"/>
    </row>
    <row r="2" spans="1:18" x14ac:dyDescent="0.25">
      <c r="A2" s="15">
        <v>3000</v>
      </c>
      <c r="B2" s="15" t="s">
        <v>90</v>
      </c>
      <c r="C2" s="15" t="s">
        <v>91</v>
      </c>
      <c r="D2" s="15" t="s">
        <v>92</v>
      </c>
      <c r="E2" s="15">
        <v>360</v>
      </c>
      <c r="F2" s="15">
        <v>360</v>
      </c>
      <c r="G2" s="17">
        <v>34</v>
      </c>
      <c r="H2" s="17">
        <v>114</v>
      </c>
      <c r="I2" s="17">
        <v>89</v>
      </c>
      <c r="J2" s="17">
        <v>177</v>
      </c>
      <c r="L2" s="17">
        <f t="shared" ref="L2:O65" si="0">IF(G2="","",ROUND(G2*1.15,0))</f>
        <v>39</v>
      </c>
      <c r="M2" s="17">
        <f t="shared" si="0"/>
        <v>131</v>
      </c>
      <c r="N2" s="17">
        <f t="shared" si="0"/>
        <v>102</v>
      </c>
      <c r="O2" s="17">
        <f t="shared" si="0"/>
        <v>204</v>
      </c>
      <c r="Q2" s="18" t="s">
        <v>93</v>
      </c>
      <c r="R2" s="15" t="s">
        <v>94</v>
      </c>
    </row>
    <row r="3" spans="1:18" x14ac:dyDescent="0.25">
      <c r="A3" s="15">
        <v>3001</v>
      </c>
      <c r="B3" s="15" t="s">
        <v>90</v>
      </c>
      <c r="C3" s="15" t="s">
        <v>91</v>
      </c>
      <c r="D3" s="15" t="s">
        <v>95</v>
      </c>
      <c r="E3" s="15">
        <v>420</v>
      </c>
      <c r="F3" s="15">
        <v>360</v>
      </c>
      <c r="G3" s="17">
        <v>34</v>
      </c>
      <c r="H3" s="17">
        <v>121</v>
      </c>
      <c r="I3" s="17">
        <v>92</v>
      </c>
      <c r="J3" s="17">
        <v>178</v>
      </c>
      <c r="L3" s="17">
        <f t="shared" si="0"/>
        <v>39</v>
      </c>
      <c r="M3" s="17">
        <f t="shared" si="0"/>
        <v>139</v>
      </c>
      <c r="N3" s="17">
        <f t="shared" si="0"/>
        <v>106</v>
      </c>
      <c r="O3" s="17">
        <f t="shared" si="0"/>
        <v>205</v>
      </c>
      <c r="Q3" s="18" t="s">
        <v>96</v>
      </c>
      <c r="R3" s="15">
        <f>COUNTIF(B:B,"Platte")</f>
        <v>258</v>
      </c>
    </row>
    <row r="4" spans="1:18" x14ac:dyDescent="0.25">
      <c r="A4" s="15">
        <v>3002</v>
      </c>
      <c r="B4" s="15" t="s">
        <v>90</v>
      </c>
      <c r="C4" s="15" t="s">
        <v>91</v>
      </c>
      <c r="D4" s="15" t="s">
        <v>97</v>
      </c>
      <c r="E4" s="15">
        <v>580</v>
      </c>
      <c r="F4" s="15">
        <v>360</v>
      </c>
      <c r="G4" s="17">
        <v>43</v>
      </c>
      <c r="H4" s="17">
        <v>161</v>
      </c>
      <c r="I4" s="17">
        <v>130</v>
      </c>
      <c r="J4" s="17">
        <v>185</v>
      </c>
      <c r="L4" s="17">
        <f t="shared" si="0"/>
        <v>49</v>
      </c>
      <c r="M4" s="17">
        <f t="shared" si="0"/>
        <v>185</v>
      </c>
      <c r="N4" s="17">
        <f t="shared" si="0"/>
        <v>150</v>
      </c>
      <c r="O4" s="17">
        <f t="shared" si="0"/>
        <v>213</v>
      </c>
      <c r="Q4" s="18" t="s">
        <v>98</v>
      </c>
      <c r="R4" s="15">
        <f>COUNTIF(B:B,"Zubehör")</f>
        <v>47</v>
      </c>
    </row>
    <row r="5" spans="1:18" x14ac:dyDescent="0.25">
      <c r="A5" s="15">
        <v>3003</v>
      </c>
      <c r="B5" s="15" t="s">
        <v>90</v>
      </c>
      <c r="C5" s="15" t="s">
        <v>91</v>
      </c>
      <c r="D5" s="15" t="s">
        <v>99</v>
      </c>
      <c r="E5" s="15">
        <v>780</v>
      </c>
      <c r="F5" s="15">
        <v>360</v>
      </c>
      <c r="G5" s="17">
        <v>56</v>
      </c>
      <c r="H5" s="17">
        <v>185</v>
      </c>
      <c r="I5" s="17">
        <v>144</v>
      </c>
      <c r="J5" s="17">
        <v>190</v>
      </c>
      <c r="L5" s="17">
        <f t="shared" si="0"/>
        <v>64</v>
      </c>
      <c r="M5" s="17">
        <f t="shared" si="0"/>
        <v>213</v>
      </c>
      <c r="N5" s="17">
        <f t="shared" si="0"/>
        <v>166</v>
      </c>
      <c r="O5" s="17">
        <f t="shared" si="0"/>
        <v>219</v>
      </c>
      <c r="Q5" s="18" t="s">
        <v>100</v>
      </c>
      <c r="R5" s="15" t="s">
        <v>101</v>
      </c>
    </row>
    <row r="6" spans="1:18" x14ac:dyDescent="0.25">
      <c r="A6" s="15">
        <v>3004</v>
      </c>
      <c r="B6" s="15" t="s">
        <v>90</v>
      </c>
      <c r="C6" s="15" t="s">
        <v>91</v>
      </c>
      <c r="D6" s="15" t="s">
        <v>102</v>
      </c>
      <c r="E6" s="15">
        <v>980</v>
      </c>
      <c r="F6" s="15">
        <v>360</v>
      </c>
      <c r="G6" s="17">
        <v>70</v>
      </c>
      <c r="H6" s="17">
        <v>223</v>
      </c>
      <c r="I6" s="17">
        <v>174</v>
      </c>
      <c r="J6" s="17">
        <v>209</v>
      </c>
      <c r="L6" s="17">
        <f t="shared" si="0"/>
        <v>81</v>
      </c>
      <c r="M6" s="17">
        <f t="shared" si="0"/>
        <v>256</v>
      </c>
      <c r="N6" s="17">
        <f t="shared" si="0"/>
        <v>200</v>
      </c>
      <c r="O6" s="17">
        <f t="shared" si="0"/>
        <v>240</v>
      </c>
      <c r="Q6" s="18" t="s">
        <v>103</v>
      </c>
      <c r="R6" s="15">
        <f>COUNTIF(K:K,"*nicht OK*")</f>
        <v>10</v>
      </c>
    </row>
    <row r="7" spans="1:18" x14ac:dyDescent="0.25">
      <c r="A7" s="15">
        <v>3005</v>
      </c>
      <c r="B7" s="15" t="s">
        <v>90</v>
      </c>
      <c r="C7" s="15" t="s">
        <v>91</v>
      </c>
      <c r="D7" s="15" t="s">
        <v>104</v>
      </c>
      <c r="E7" s="15">
        <v>360</v>
      </c>
      <c r="F7" s="15">
        <v>580</v>
      </c>
      <c r="G7" s="17">
        <v>43</v>
      </c>
      <c r="H7" s="17">
        <v>161</v>
      </c>
      <c r="I7" s="17">
        <v>130</v>
      </c>
      <c r="J7" s="17">
        <v>185</v>
      </c>
      <c r="L7" s="17">
        <f t="shared" si="0"/>
        <v>49</v>
      </c>
      <c r="M7" s="17">
        <f t="shared" si="0"/>
        <v>185</v>
      </c>
      <c r="N7" s="17">
        <f t="shared" si="0"/>
        <v>150</v>
      </c>
      <c r="O7" s="17">
        <f t="shared" si="0"/>
        <v>213</v>
      </c>
      <c r="Q7" s="18" t="s">
        <v>105</v>
      </c>
      <c r="R7" s="15">
        <v>1.1499999999999999</v>
      </c>
    </row>
    <row r="8" spans="1:18" x14ac:dyDescent="0.25">
      <c r="A8" s="15">
        <v>3006</v>
      </c>
      <c r="B8" s="15" t="s">
        <v>90</v>
      </c>
      <c r="C8" s="15" t="s">
        <v>91</v>
      </c>
      <c r="D8" s="15" t="s">
        <v>106</v>
      </c>
      <c r="E8" s="15">
        <v>420</v>
      </c>
      <c r="F8" s="15">
        <v>580</v>
      </c>
      <c r="G8" s="17">
        <v>49</v>
      </c>
      <c r="H8" s="17">
        <v>181</v>
      </c>
      <c r="I8" s="17">
        <v>147</v>
      </c>
      <c r="J8" s="17">
        <v>186</v>
      </c>
      <c r="L8" s="17">
        <f t="shared" si="0"/>
        <v>56</v>
      </c>
      <c r="M8" s="17">
        <f t="shared" si="0"/>
        <v>208</v>
      </c>
      <c r="N8" s="17">
        <f t="shared" si="0"/>
        <v>169</v>
      </c>
      <c r="O8" s="17">
        <f t="shared" si="0"/>
        <v>214</v>
      </c>
      <c r="Q8" s="18" t="s">
        <v>107</v>
      </c>
      <c r="R8" s="15" t="s">
        <v>108</v>
      </c>
    </row>
    <row r="9" spans="1:18" x14ac:dyDescent="0.25">
      <c r="A9" s="15">
        <v>3007</v>
      </c>
      <c r="B9" s="15" t="s">
        <v>90</v>
      </c>
      <c r="C9" s="15" t="s">
        <v>91</v>
      </c>
      <c r="D9" s="15" t="s">
        <v>109</v>
      </c>
      <c r="E9" s="15">
        <v>580</v>
      </c>
      <c r="F9" s="15">
        <v>580</v>
      </c>
      <c r="G9" s="17">
        <v>67</v>
      </c>
      <c r="H9" s="17">
        <v>228</v>
      </c>
      <c r="I9" s="17">
        <v>183</v>
      </c>
      <c r="J9" s="17">
        <v>191</v>
      </c>
      <c r="L9" s="17">
        <f t="shared" si="0"/>
        <v>77</v>
      </c>
      <c r="M9" s="17">
        <f t="shared" si="0"/>
        <v>262</v>
      </c>
      <c r="N9" s="17">
        <f t="shared" si="0"/>
        <v>210</v>
      </c>
      <c r="O9" s="17">
        <f t="shared" si="0"/>
        <v>220</v>
      </c>
    </row>
    <row r="10" spans="1:18" x14ac:dyDescent="0.25">
      <c r="A10" s="15">
        <v>3008</v>
      </c>
      <c r="B10" s="15" t="s">
        <v>90</v>
      </c>
      <c r="C10" s="15" t="s">
        <v>91</v>
      </c>
      <c r="D10" s="15" t="s">
        <v>110</v>
      </c>
      <c r="E10" s="15">
        <v>780</v>
      </c>
      <c r="F10" s="15">
        <v>580</v>
      </c>
      <c r="G10" s="17">
        <v>87</v>
      </c>
      <c r="H10" s="17">
        <v>275</v>
      </c>
      <c r="I10" s="17">
        <v>225</v>
      </c>
      <c r="J10" s="17">
        <v>237</v>
      </c>
      <c r="L10" s="17">
        <f t="shared" si="0"/>
        <v>100</v>
      </c>
      <c r="M10" s="17">
        <f t="shared" si="0"/>
        <v>316</v>
      </c>
      <c r="N10" s="17">
        <f t="shared" si="0"/>
        <v>259</v>
      </c>
      <c r="O10" s="17">
        <f t="shared" si="0"/>
        <v>273</v>
      </c>
    </row>
    <row r="11" spans="1:18" x14ac:dyDescent="0.25">
      <c r="A11" s="15">
        <v>3009</v>
      </c>
      <c r="B11" s="15" t="s">
        <v>90</v>
      </c>
      <c r="C11" s="15" t="s">
        <v>91</v>
      </c>
      <c r="D11" s="15" t="s">
        <v>111</v>
      </c>
      <c r="E11" s="15">
        <v>980</v>
      </c>
      <c r="F11" s="15">
        <v>580</v>
      </c>
      <c r="G11" s="17">
        <v>110</v>
      </c>
      <c r="H11" s="17">
        <v>355</v>
      </c>
      <c r="I11" s="17">
        <v>286</v>
      </c>
      <c r="J11" s="17">
        <v>276</v>
      </c>
      <c r="L11" s="17">
        <f t="shared" si="0"/>
        <v>127</v>
      </c>
      <c r="M11" s="17">
        <f t="shared" si="0"/>
        <v>408</v>
      </c>
      <c r="N11" s="17">
        <f t="shared" si="0"/>
        <v>329</v>
      </c>
      <c r="O11" s="17">
        <f t="shared" si="0"/>
        <v>317</v>
      </c>
    </row>
    <row r="12" spans="1:18" x14ac:dyDescent="0.25">
      <c r="A12" s="15">
        <v>3010</v>
      </c>
      <c r="B12" s="15" t="s">
        <v>90</v>
      </c>
      <c r="C12" s="15" t="s">
        <v>91</v>
      </c>
      <c r="D12" s="15" t="s">
        <v>112</v>
      </c>
      <c r="E12" s="15">
        <v>780</v>
      </c>
      <c r="F12" s="15">
        <v>780</v>
      </c>
      <c r="G12" s="17">
        <v>113</v>
      </c>
      <c r="H12" s="17">
        <v>302</v>
      </c>
      <c r="I12" s="17">
        <v>272</v>
      </c>
      <c r="J12" s="17">
        <v>295</v>
      </c>
      <c r="L12" s="17">
        <f t="shared" si="0"/>
        <v>130</v>
      </c>
      <c r="M12" s="17">
        <f t="shared" si="0"/>
        <v>347</v>
      </c>
      <c r="N12" s="17">
        <f t="shared" si="0"/>
        <v>313</v>
      </c>
      <c r="O12" s="17">
        <f t="shared" si="0"/>
        <v>339</v>
      </c>
    </row>
    <row r="13" spans="1:18" x14ac:dyDescent="0.25">
      <c r="A13" s="15">
        <v>3011</v>
      </c>
      <c r="B13" s="15" t="s">
        <v>90</v>
      </c>
      <c r="C13" s="15" t="s">
        <v>91</v>
      </c>
      <c r="D13" s="15" t="s">
        <v>113</v>
      </c>
      <c r="E13" s="15">
        <v>980</v>
      </c>
      <c r="F13" s="15">
        <v>780</v>
      </c>
      <c r="G13" s="17">
        <v>139</v>
      </c>
      <c r="H13" s="17">
        <v>416</v>
      </c>
      <c r="I13" s="17">
        <v>216</v>
      </c>
      <c r="J13" s="17">
        <v>406</v>
      </c>
      <c r="L13" s="17">
        <f t="shared" si="0"/>
        <v>160</v>
      </c>
      <c r="M13" s="17">
        <f t="shared" si="0"/>
        <v>478</v>
      </c>
      <c r="N13" s="17">
        <f t="shared" si="0"/>
        <v>248</v>
      </c>
      <c r="O13" s="17">
        <f t="shared" si="0"/>
        <v>467</v>
      </c>
    </row>
    <row r="14" spans="1:18" x14ac:dyDescent="0.25">
      <c r="A14" s="15">
        <v>3012</v>
      </c>
      <c r="B14" s="15" t="s">
        <v>90</v>
      </c>
      <c r="C14" s="15" t="s">
        <v>91</v>
      </c>
      <c r="D14" s="15" t="s">
        <v>114</v>
      </c>
      <c r="E14" s="15">
        <v>980</v>
      </c>
      <c r="F14" s="15">
        <v>980</v>
      </c>
      <c r="G14" s="17">
        <v>180</v>
      </c>
      <c r="H14" s="17">
        <v>496</v>
      </c>
      <c r="I14" s="17">
        <v>257</v>
      </c>
      <c r="J14" s="17">
        <v>483</v>
      </c>
      <c r="L14" s="17">
        <f t="shared" si="0"/>
        <v>207</v>
      </c>
      <c r="M14" s="17">
        <f t="shared" si="0"/>
        <v>570</v>
      </c>
      <c r="N14" s="17">
        <f t="shared" si="0"/>
        <v>296</v>
      </c>
      <c r="O14" s="17">
        <f t="shared" si="0"/>
        <v>555</v>
      </c>
    </row>
    <row r="15" spans="1:18" x14ac:dyDescent="0.25">
      <c r="A15" s="15">
        <v>3013</v>
      </c>
      <c r="B15" s="15" t="s">
        <v>90</v>
      </c>
      <c r="C15" s="15" t="s">
        <v>91</v>
      </c>
      <c r="D15" s="15" t="s">
        <v>115</v>
      </c>
      <c r="E15" s="15">
        <v>420</v>
      </c>
      <c r="F15" s="15">
        <v>780</v>
      </c>
      <c r="G15" s="17">
        <v>71</v>
      </c>
      <c r="H15" s="17">
        <v>219</v>
      </c>
      <c r="I15" s="17">
        <v>113</v>
      </c>
      <c r="J15" s="17">
        <v>213</v>
      </c>
      <c r="L15" s="17">
        <f t="shared" si="0"/>
        <v>82</v>
      </c>
      <c r="M15" s="17">
        <f t="shared" si="0"/>
        <v>252</v>
      </c>
      <c r="N15" s="17">
        <f t="shared" si="0"/>
        <v>130</v>
      </c>
      <c r="O15" s="17">
        <f t="shared" si="0"/>
        <v>245</v>
      </c>
    </row>
    <row r="16" spans="1:18" x14ac:dyDescent="0.25">
      <c r="A16" s="15">
        <v>3014</v>
      </c>
      <c r="B16" s="15" t="s">
        <v>90</v>
      </c>
      <c r="C16" s="15" t="s">
        <v>91</v>
      </c>
      <c r="D16" s="15" t="s">
        <v>116</v>
      </c>
      <c r="E16" s="15">
        <v>420</v>
      </c>
      <c r="F16" s="15">
        <v>980</v>
      </c>
      <c r="G16" s="17">
        <v>88</v>
      </c>
      <c r="H16" s="17">
        <v>247</v>
      </c>
      <c r="I16" s="17">
        <v>128</v>
      </c>
      <c r="J16" s="17">
        <v>241</v>
      </c>
      <c r="L16" s="17">
        <f t="shared" si="0"/>
        <v>101</v>
      </c>
      <c r="M16" s="17">
        <f t="shared" si="0"/>
        <v>284</v>
      </c>
      <c r="N16" s="17">
        <f t="shared" si="0"/>
        <v>147</v>
      </c>
      <c r="O16" s="17">
        <f t="shared" si="0"/>
        <v>277</v>
      </c>
    </row>
    <row r="17" spans="1:15" x14ac:dyDescent="0.25">
      <c r="A17" s="15" t="s">
        <v>117</v>
      </c>
      <c r="B17" s="15" t="s">
        <v>90</v>
      </c>
      <c r="C17" s="15" t="s">
        <v>91</v>
      </c>
      <c r="D17" s="15" t="s">
        <v>118</v>
      </c>
      <c r="E17" s="15">
        <v>420</v>
      </c>
      <c r="F17" s="15">
        <v>420</v>
      </c>
      <c r="G17" s="17">
        <v>56</v>
      </c>
      <c r="H17" s="17">
        <v>134</v>
      </c>
      <c r="I17" s="17">
        <v>69</v>
      </c>
      <c r="J17" s="17">
        <v>130</v>
      </c>
      <c r="L17" s="17">
        <f t="shared" si="0"/>
        <v>64</v>
      </c>
      <c r="M17" s="17">
        <f t="shared" si="0"/>
        <v>154</v>
      </c>
      <c r="N17" s="17">
        <f t="shared" si="0"/>
        <v>79</v>
      </c>
      <c r="O17" s="17">
        <f t="shared" si="0"/>
        <v>150</v>
      </c>
    </row>
    <row r="18" spans="1:15" x14ac:dyDescent="0.25">
      <c r="A18" s="15">
        <v>3100</v>
      </c>
      <c r="B18" s="15" t="s">
        <v>90</v>
      </c>
      <c r="C18" s="15" t="s">
        <v>119</v>
      </c>
      <c r="D18" s="15" t="s">
        <v>120</v>
      </c>
      <c r="E18" s="15">
        <v>360</v>
      </c>
      <c r="F18" s="15">
        <v>180</v>
      </c>
      <c r="G18" s="17">
        <v>34</v>
      </c>
      <c r="H18" s="17">
        <v>114</v>
      </c>
      <c r="I18" s="17">
        <v>89</v>
      </c>
      <c r="J18" s="17">
        <v>201</v>
      </c>
      <c r="L18" s="17">
        <f t="shared" si="0"/>
        <v>39</v>
      </c>
      <c r="M18" s="17">
        <f t="shared" si="0"/>
        <v>131</v>
      </c>
      <c r="N18" s="17">
        <f t="shared" si="0"/>
        <v>102</v>
      </c>
      <c r="O18" s="17">
        <f t="shared" si="0"/>
        <v>231</v>
      </c>
    </row>
    <row r="19" spans="1:15" x14ac:dyDescent="0.25">
      <c r="A19" s="15">
        <v>3101</v>
      </c>
      <c r="B19" s="15" t="s">
        <v>90</v>
      </c>
      <c r="C19" s="15" t="s">
        <v>119</v>
      </c>
      <c r="D19" s="15" t="s">
        <v>121</v>
      </c>
      <c r="E19" s="15">
        <v>360</v>
      </c>
      <c r="F19" s="15">
        <v>360</v>
      </c>
      <c r="G19" s="17">
        <v>34</v>
      </c>
      <c r="H19" s="17">
        <v>114</v>
      </c>
      <c r="I19" s="17">
        <v>89</v>
      </c>
      <c r="J19" s="17">
        <v>177</v>
      </c>
      <c r="L19" s="17">
        <f t="shared" si="0"/>
        <v>39</v>
      </c>
      <c r="M19" s="17">
        <f t="shared" si="0"/>
        <v>131</v>
      </c>
      <c r="N19" s="17">
        <f t="shared" si="0"/>
        <v>102</v>
      </c>
      <c r="O19" s="17">
        <f t="shared" si="0"/>
        <v>204</v>
      </c>
    </row>
    <row r="20" spans="1:15" x14ac:dyDescent="0.25">
      <c r="A20" s="15">
        <v>3102</v>
      </c>
      <c r="B20" s="15" t="s">
        <v>90</v>
      </c>
      <c r="C20" s="15" t="s">
        <v>119</v>
      </c>
      <c r="D20" s="15" t="s">
        <v>122</v>
      </c>
      <c r="E20" s="15">
        <v>360</v>
      </c>
      <c r="F20" s="15">
        <v>720</v>
      </c>
      <c r="G20" s="17">
        <v>52</v>
      </c>
      <c r="H20" s="17">
        <v>181</v>
      </c>
      <c r="I20" s="17">
        <v>143</v>
      </c>
      <c r="J20" s="17">
        <v>212</v>
      </c>
      <c r="L20" s="17">
        <f t="shared" si="0"/>
        <v>60</v>
      </c>
      <c r="M20" s="17">
        <f t="shared" si="0"/>
        <v>208</v>
      </c>
      <c r="N20" s="17">
        <f t="shared" si="0"/>
        <v>164</v>
      </c>
      <c r="O20" s="17">
        <f t="shared" si="0"/>
        <v>244</v>
      </c>
    </row>
    <row r="21" spans="1:15" x14ac:dyDescent="0.25">
      <c r="A21" s="15">
        <v>3103</v>
      </c>
      <c r="B21" s="15" t="s">
        <v>90</v>
      </c>
      <c r="C21" s="15" t="s">
        <v>119</v>
      </c>
      <c r="D21" s="15" t="s">
        <v>123</v>
      </c>
      <c r="E21" s="15">
        <v>360</v>
      </c>
      <c r="F21" s="15">
        <v>1080</v>
      </c>
      <c r="G21" s="17">
        <v>76</v>
      </c>
      <c r="H21" s="17">
        <v>267</v>
      </c>
      <c r="I21" s="17">
        <v>222</v>
      </c>
      <c r="J21" s="17">
        <v>240</v>
      </c>
      <c r="L21" s="17">
        <f t="shared" si="0"/>
        <v>87</v>
      </c>
      <c r="M21" s="17">
        <f t="shared" si="0"/>
        <v>307</v>
      </c>
      <c r="N21" s="17">
        <f t="shared" si="0"/>
        <v>255</v>
      </c>
      <c r="O21" s="17">
        <f t="shared" si="0"/>
        <v>276</v>
      </c>
    </row>
    <row r="22" spans="1:15" x14ac:dyDescent="0.25">
      <c r="A22" s="15">
        <v>3104</v>
      </c>
      <c r="B22" s="15" t="s">
        <v>90</v>
      </c>
      <c r="C22" s="15" t="s">
        <v>119</v>
      </c>
      <c r="D22" s="15" t="s">
        <v>124</v>
      </c>
      <c r="E22" s="15">
        <v>360</v>
      </c>
      <c r="F22" s="15">
        <v>1440</v>
      </c>
      <c r="G22" s="17">
        <v>100</v>
      </c>
      <c r="H22" s="17">
        <v>336</v>
      </c>
      <c r="I22" s="17">
        <v>281</v>
      </c>
      <c r="J22" s="17">
        <v>529</v>
      </c>
      <c r="L22" s="17">
        <f t="shared" si="0"/>
        <v>115</v>
      </c>
      <c r="M22" s="17">
        <f t="shared" si="0"/>
        <v>386</v>
      </c>
      <c r="N22" s="17">
        <f t="shared" si="0"/>
        <v>323</v>
      </c>
      <c r="O22" s="17">
        <f t="shared" si="0"/>
        <v>608</v>
      </c>
    </row>
    <row r="23" spans="1:15" x14ac:dyDescent="0.25">
      <c r="A23" s="15">
        <v>3105</v>
      </c>
      <c r="B23" s="15" t="s">
        <v>90</v>
      </c>
      <c r="C23" s="15" t="s">
        <v>119</v>
      </c>
      <c r="D23" s="15" t="s">
        <v>125</v>
      </c>
      <c r="E23" s="15">
        <v>360</v>
      </c>
      <c r="F23" s="15">
        <v>1800</v>
      </c>
      <c r="G23" s="17">
        <v>125</v>
      </c>
      <c r="H23" s="17">
        <v>246</v>
      </c>
      <c r="I23" s="17">
        <v>343</v>
      </c>
      <c r="J23" s="17">
        <v>645</v>
      </c>
      <c r="L23" s="17">
        <f t="shared" si="0"/>
        <v>144</v>
      </c>
      <c r="M23" s="17">
        <f t="shared" si="0"/>
        <v>283</v>
      </c>
      <c r="N23" s="17">
        <f t="shared" si="0"/>
        <v>394</v>
      </c>
      <c r="O23" s="17">
        <f t="shared" si="0"/>
        <v>742</v>
      </c>
    </row>
    <row r="24" spans="1:15" x14ac:dyDescent="0.25">
      <c r="A24" s="15">
        <v>3106</v>
      </c>
      <c r="B24" s="15" t="s">
        <v>90</v>
      </c>
      <c r="C24" s="15" t="s">
        <v>119</v>
      </c>
      <c r="D24" s="15" t="s">
        <v>126</v>
      </c>
      <c r="E24" s="15">
        <v>580</v>
      </c>
      <c r="F24" s="15">
        <v>180</v>
      </c>
      <c r="G24" s="17">
        <v>43</v>
      </c>
      <c r="H24" s="17">
        <v>161</v>
      </c>
      <c r="I24" s="17">
        <v>130</v>
      </c>
      <c r="J24" s="17">
        <v>208</v>
      </c>
      <c r="L24" s="17">
        <f t="shared" si="0"/>
        <v>49</v>
      </c>
      <c r="M24" s="17">
        <f t="shared" si="0"/>
        <v>185</v>
      </c>
      <c r="N24" s="17">
        <f t="shared" si="0"/>
        <v>150</v>
      </c>
      <c r="O24" s="17">
        <f t="shared" si="0"/>
        <v>239</v>
      </c>
    </row>
    <row r="25" spans="1:15" x14ac:dyDescent="0.25">
      <c r="A25" s="15">
        <v>3107</v>
      </c>
      <c r="B25" s="15" t="s">
        <v>90</v>
      </c>
      <c r="C25" s="15" t="s">
        <v>119</v>
      </c>
      <c r="D25" s="15" t="s">
        <v>127</v>
      </c>
      <c r="E25" s="15">
        <v>580</v>
      </c>
      <c r="F25" s="15">
        <v>360</v>
      </c>
      <c r="G25" s="17">
        <v>43</v>
      </c>
      <c r="H25" s="17">
        <v>161</v>
      </c>
      <c r="I25" s="17">
        <v>130</v>
      </c>
      <c r="J25" s="17">
        <v>185</v>
      </c>
      <c r="L25" s="17">
        <f t="shared" si="0"/>
        <v>49</v>
      </c>
      <c r="M25" s="17">
        <f t="shared" si="0"/>
        <v>185</v>
      </c>
      <c r="N25" s="17">
        <f t="shared" si="0"/>
        <v>150</v>
      </c>
      <c r="O25" s="17">
        <f t="shared" si="0"/>
        <v>213</v>
      </c>
    </row>
    <row r="26" spans="1:15" x14ac:dyDescent="0.25">
      <c r="A26" s="15">
        <v>3108</v>
      </c>
      <c r="B26" s="15" t="s">
        <v>90</v>
      </c>
      <c r="C26" s="15" t="s">
        <v>119</v>
      </c>
      <c r="D26" s="15" t="s">
        <v>128</v>
      </c>
      <c r="E26" s="15">
        <v>580</v>
      </c>
      <c r="F26" s="15">
        <v>720</v>
      </c>
      <c r="G26" s="17">
        <v>82</v>
      </c>
      <c r="H26" s="17">
        <v>262</v>
      </c>
      <c r="I26" s="17">
        <v>216</v>
      </c>
      <c r="J26" s="17">
        <v>245</v>
      </c>
      <c r="L26" s="17">
        <f t="shared" si="0"/>
        <v>94</v>
      </c>
      <c r="M26" s="17">
        <f t="shared" si="0"/>
        <v>301</v>
      </c>
      <c r="N26" s="17">
        <f t="shared" si="0"/>
        <v>248</v>
      </c>
      <c r="O26" s="17">
        <f t="shared" si="0"/>
        <v>282</v>
      </c>
    </row>
    <row r="27" spans="1:15" x14ac:dyDescent="0.25">
      <c r="A27" s="15">
        <v>3109</v>
      </c>
      <c r="B27" s="15" t="s">
        <v>90</v>
      </c>
      <c r="C27" s="15" t="s">
        <v>119</v>
      </c>
      <c r="D27" s="15" t="s">
        <v>129</v>
      </c>
      <c r="E27" s="15">
        <v>580</v>
      </c>
      <c r="F27" s="15">
        <v>1080</v>
      </c>
      <c r="G27" s="17">
        <v>119</v>
      </c>
      <c r="H27" s="17">
        <v>377</v>
      </c>
      <c r="I27" s="17">
        <v>300</v>
      </c>
      <c r="J27" s="17">
        <v>307</v>
      </c>
      <c r="L27" s="17">
        <f t="shared" si="0"/>
        <v>137</v>
      </c>
      <c r="M27" s="17">
        <f t="shared" si="0"/>
        <v>434</v>
      </c>
      <c r="N27" s="17">
        <f t="shared" si="0"/>
        <v>345</v>
      </c>
      <c r="O27" s="17">
        <f t="shared" si="0"/>
        <v>353</v>
      </c>
    </row>
    <row r="28" spans="1:15" x14ac:dyDescent="0.25">
      <c r="A28" s="15">
        <v>3110</v>
      </c>
      <c r="B28" s="15" t="s">
        <v>90</v>
      </c>
      <c r="C28" s="15" t="s">
        <v>119</v>
      </c>
      <c r="D28" s="15" t="s">
        <v>130</v>
      </c>
      <c r="E28" s="15">
        <v>580</v>
      </c>
      <c r="F28" s="15">
        <v>1440</v>
      </c>
      <c r="G28" s="17">
        <v>158</v>
      </c>
      <c r="H28" s="17">
        <v>484</v>
      </c>
      <c r="I28" s="17">
        <v>400</v>
      </c>
      <c r="J28" s="17">
        <v>752</v>
      </c>
      <c r="L28" s="17">
        <f t="shared" si="0"/>
        <v>182</v>
      </c>
      <c r="M28" s="17">
        <f t="shared" si="0"/>
        <v>557</v>
      </c>
      <c r="N28" s="17">
        <f t="shared" si="0"/>
        <v>460</v>
      </c>
      <c r="O28" s="17">
        <f t="shared" si="0"/>
        <v>865</v>
      </c>
    </row>
    <row r="29" spans="1:15" x14ac:dyDescent="0.25">
      <c r="A29" s="15">
        <v>3111</v>
      </c>
      <c r="B29" s="15" t="s">
        <v>90</v>
      </c>
      <c r="C29" s="15" t="s">
        <v>119</v>
      </c>
      <c r="D29" s="15" t="s">
        <v>131</v>
      </c>
      <c r="E29" s="15">
        <v>580</v>
      </c>
      <c r="F29" s="15">
        <v>1800</v>
      </c>
      <c r="G29" s="17">
        <v>197</v>
      </c>
      <c r="H29" s="17">
        <v>388</v>
      </c>
      <c r="I29" s="17">
        <v>467</v>
      </c>
      <c r="J29" s="17">
        <v>879</v>
      </c>
      <c r="L29" s="17">
        <f t="shared" si="0"/>
        <v>227</v>
      </c>
      <c r="M29" s="17">
        <f t="shared" si="0"/>
        <v>446</v>
      </c>
      <c r="N29" s="17">
        <f t="shared" si="0"/>
        <v>537</v>
      </c>
      <c r="O29" s="17">
        <f t="shared" si="0"/>
        <v>1011</v>
      </c>
    </row>
    <row r="30" spans="1:15" x14ac:dyDescent="0.25">
      <c r="A30" s="15">
        <v>3112</v>
      </c>
      <c r="B30" s="15" t="s">
        <v>90</v>
      </c>
      <c r="C30" s="15" t="s">
        <v>119</v>
      </c>
      <c r="D30" s="15" t="s">
        <v>132</v>
      </c>
      <c r="E30" s="15">
        <v>180</v>
      </c>
      <c r="F30" s="15">
        <v>780</v>
      </c>
      <c r="G30" s="17">
        <v>56</v>
      </c>
      <c r="H30" s="17">
        <v>185</v>
      </c>
      <c r="I30" s="17">
        <v>144</v>
      </c>
      <c r="J30" s="17">
        <v>212</v>
      </c>
      <c r="L30" s="17">
        <f t="shared" si="0"/>
        <v>64</v>
      </c>
      <c r="M30" s="17">
        <f t="shared" si="0"/>
        <v>213</v>
      </c>
      <c r="N30" s="17">
        <f t="shared" si="0"/>
        <v>166</v>
      </c>
      <c r="O30" s="17">
        <f t="shared" si="0"/>
        <v>244</v>
      </c>
    </row>
    <row r="31" spans="1:15" x14ac:dyDescent="0.25">
      <c r="A31" s="15">
        <v>3113</v>
      </c>
      <c r="B31" s="15" t="s">
        <v>90</v>
      </c>
      <c r="C31" s="15" t="s">
        <v>119</v>
      </c>
      <c r="D31" s="15" t="s">
        <v>133</v>
      </c>
      <c r="E31" s="15">
        <v>180</v>
      </c>
      <c r="F31" s="15">
        <v>980</v>
      </c>
      <c r="G31" s="17">
        <v>70</v>
      </c>
      <c r="H31" s="17">
        <v>223</v>
      </c>
      <c r="I31" s="17">
        <v>174</v>
      </c>
      <c r="J31" s="17">
        <v>229</v>
      </c>
      <c r="L31" s="17">
        <f t="shared" si="0"/>
        <v>81</v>
      </c>
      <c r="M31" s="17">
        <f t="shared" si="0"/>
        <v>256</v>
      </c>
      <c r="N31" s="17">
        <f t="shared" si="0"/>
        <v>200</v>
      </c>
      <c r="O31" s="17">
        <f t="shared" si="0"/>
        <v>263</v>
      </c>
    </row>
    <row r="32" spans="1:15" x14ac:dyDescent="0.25">
      <c r="A32" s="15">
        <v>3114</v>
      </c>
      <c r="B32" s="15" t="s">
        <v>90</v>
      </c>
      <c r="C32" s="15" t="s">
        <v>119</v>
      </c>
      <c r="D32" s="15" t="s">
        <v>134</v>
      </c>
      <c r="E32" s="15">
        <v>360</v>
      </c>
      <c r="F32" s="15">
        <v>780</v>
      </c>
      <c r="G32" s="17">
        <v>56</v>
      </c>
      <c r="H32" s="17">
        <v>185</v>
      </c>
      <c r="I32" s="17">
        <v>144</v>
      </c>
      <c r="J32" s="17">
        <v>190</v>
      </c>
      <c r="L32" s="17">
        <f t="shared" si="0"/>
        <v>64</v>
      </c>
      <c r="M32" s="17">
        <f t="shared" si="0"/>
        <v>213</v>
      </c>
      <c r="N32" s="17">
        <f t="shared" si="0"/>
        <v>166</v>
      </c>
      <c r="O32" s="17">
        <f t="shared" si="0"/>
        <v>219</v>
      </c>
    </row>
    <row r="33" spans="1:15" x14ac:dyDescent="0.25">
      <c r="A33" s="15">
        <v>3115</v>
      </c>
      <c r="B33" s="15" t="s">
        <v>90</v>
      </c>
      <c r="C33" s="15" t="s">
        <v>119</v>
      </c>
      <c r="D33" s="15" t="s">
        <v>135</v>
      </c>
      <c r="E33" s="15">
        <v>360</v>
      </c>
      <c r="F33" s="15">
        <v>980</v>
      </c>
      <c r="G33" s="17">
        <v>70</v>
      </c>
      <c r="H33" s="17">
        <v>223</v>
      </c>
      <c r="I33" s="17">
        <v>174</v>
      </c>
      <c r="J33" s="17">
        <v>209</v>
      </c>
      <c r="L33" s="17">
        <f t="shared" si="0"/>
        <v>81</v>
      </c>
      <c r="M33" s="17">
        <f t="shared" si="0"/>
        <v>256</v>
      </c>
      <c r="N33" s="17">
        <f t="shared" si="0"/>
        <v>200</v>
      </c>
      <c r="O33" s="17">
        <f t="shared" si="0"/>
        <v>240</v>
      </c>
    </row>
    <row r="34" spans="1:15" x14ac:dyDescent="0.25">
      <c r="A34" s="15">
        <v>3116</v>
      </c>
      <c r="B34" s="15" t="s">
        <v>90</v>
      </c>
      <c r="C34" s="15" t="s">
        <v>119</v>
      </c>
      <c r="D34" s="15" t="s">
        <v>136</v>
      </c>
      <c r="E34" s="15">
        <v>720</v>
      </c>
      <c r="F34" s="15">
        <v>780</v>
      </c>
      <c r="G34" s="17">
        <v>107</v>
      </c>
      <c r="H34" s="17">
        <v>355</v>
      </c>
      <c r="I34" s="17">
        <v>277</v>
      </c>
      <c r="J34" s="17">
        <v>268</v>
      </c>
      <c r="L34" s="17">
        <f t="shared" si="0"/>
        <v>123</v>
      </c>
      <c r="M34" s="17">
        <f t="shared" si="0"/>
        <v>408</v>
      </c>
      <c r="N34" s="17">
        <f t="shared" si="0"/>
        <v>319</v>
      </c>
      <c r="O34" s="17">
        <f t="shared" si="0"/>
        <v>308</v>
      </c>
    </row>
    <row r="35" spans="1:15" x14ac:dyDescent="0.25">
      <c r="A35" s="15">
        <v>3117</v>
      </c>
      <c r="B35" s="15" t="s">
        <v>90</v>
      </c>
      <c r="C35" s="15" t="s">
        <v>119</v>
      </c>
      <c r="D35" s="15" t="s">
        <v>137</v>
      </c>
      <c r="E35" s="15">
        <v>720</v>
      </c>
      <c r="F35" s="15">
        <v>980</v>
      </c>
      <c r="G35" s="17">
        <v>134</v>
      </c>
      <c r="H35" s="17">
        <v>406</v>
      </c>
      <c r="I35" s="17">
        <v>320</v>
      </c>
      <c r="J35" s="17">
        <v>329</v>
      </c>
      <c r="L35" s="17">
        <f t="shared" si="0"/>
        <v>154</v>
      </c>
      <c r="M35" s="17">
        <f t="shared" si="0"/>
        <v>467</v>
      </c>
      <c r="N35" s="17">
        <f t="shared" si="0"/>
        <v>368</v>
      </c>
      <c r="O35" s="17">
        <f t="shared" si="0"/>
        <v>378</v>
      </c>
    </row>
    <row r="36" spans="1:15" x14ac:dyDescent="0.25">
      <c r="A36" s="15">
        <v>3118</v>
      </c>
      <c r="B36" s="15" t="s">
        <v>90</v>
      </c>
      <c r="C36" s="15" t="s">
        <v>119</v>
      </c>
      <c r="D36" s="15" t="s">
        <v>138</v>
      </c>
      <c r="E36" s="15">
        <v>1080</v>
      </c>
      <c r="F36" s="15">
        <v>780</v>
      </c>
      <c r="G36" s="17">
        <v>161</v>
      </c>
      <c r="H36" s="17">
        <v>517</v>
      </c>
      <c r="I36" s="17">
        <v>409</v>
      </c>
      <c r="J36" s="17">
        <v>385</v>
      </c>
      <c r="L36" s="17">
        <f t="shared" si="0"/>
        <v>185</v>
      </c>
      <c r="M36" s="17">
        <f t="shared" si="0"/>
        <v>595</v>
      </c>
      <c r="N36" s="17">
        <f t="shared" si="0"/>
        <v>470</v>
      </c>
      <c r="O36" s="17">
        <f t="shared" si="0"/>
        <v>443</v>
      </c>
    </row>
    <row r="37" spans="1:15" x14ac:dyDescent="0.25">
      <c r="A37" s="15">
        <v>3119</v>
      </c>
      <c r="B37" s="15" t="s">
        <v>90</v>
      </c>
      <c r="C37" s="15" t="s">
        <v>119</v>
      </c>
      <c r="D37" s="15" t="s">
        <v>139</v>
      </c>
      <c r="E37" s="15">
        <v>1080</v>
      </c>
      <c r="F37" s="15">
        <v>980</v>
      </c>
      <c r="G37" s="17">
        <v>200</v>
      </c>
      <c r="H37" s="17">
        <v>626</v>
      </c>
      <c r="I37" s="17">
        <v>474</v>
      </c>
      <c r="J37" s="17">
        <v>431</v>
      </c>
      <c r="L37" s="17">
        <f t="shared" si="0"/>
        <v>230</v>
      </c>
      <c r="M37" s="17">
        <f t="shared" si="0"/>
        <v>720</v>
      </c>
      <c r="N37" s="17">
        <f t="shared" si="0"/>
        <v>545</v>
      </c>
      <c r="O37" s="17">
        <f t="shared" si="0"/>
        <v>496</v>
      </c>
    </row>
    <row r="38" spans="1:15" x14ac:dyDescent="0.25">
      <c r="A38" s="15">
        <v>3120</v>
      </c>
      <c r="B38" s="15" t="s">
        <v>90</v>
      </c>
      <c r="C38" s="15" t="s">
        <v>119</v>
      </c>
      <c r="D38" s="15" t="s">
        <v>140</v>
      </c>
      <c r="E38" s="15">
        <v>1440</v>
      </c>
      <c r="F38" s="15">
        <v>780</v>
      </c>
      <c r="G38" s="17">
        <v>211</v>
      </c>
      <c r="H38" s="17">
        <v>630</v>
      </c>
      <c r="I38" s="17">
        <v>499</v>
      </c>
      <c r="J38" s="17">
        <v>939</v>
      </c>
      <c r="L38" s="17">
        <f t="shared" si="0"/>
        <v>243</v>
      </c>
      <c r="M38" s="17">
        <f t="shared" si="0"/>
        <v>725</v>
      </c>
      <c r="N38" s="17">
        <f t="shared" si="0"/>
        <v>574</v>
      </c>
      <c r="O38" s="17">
        <f t="shared" si="0"/>
        <v>1080</v>
      </c>
    </row>
    <row r="39" spans="1:15" x14ac:dyDescent="0.25">
      <c r="A39" s="15">
        <v>3121</v>
      </c>
      <c r="B39" s="15" t="s">
        <v>90</v>
      </c>
      <c r="C39" s="15" t="s">
        <v>119</v>
      </c>
      <c r="D39" s="15" t="s">
        <v>141</v>
      </c>
      <c r="E39" s="15">
        <v>1440</v>
      </c>
      <c r="F39" s="15">
        <v>980</v>
      </c>
      <c r="G39" s="17">
        <v>264</v>
      </c>
      <c r="H39" s="17">
        <v>778</v>
      </c>
      <c r="I39" s="17">
        <v>616</v>
      </c>
      <c r="J39" s="17">
        <v>1159</v>
      </c>
      <c r="L39" s="17">
        <f t="shared" si="0"/>
        <v>304</v>
      </c>
      <c r="M39" s="17">
        <f t="shared" si="0"/>
        <v>895</v>
      </c>
      <c r="N39" s="17">
        <f t="shared" si="0"/>
        <v>708</v>
      </c>
      <c r="O39" s="17">
        <f t="shared" si="0"/>
        <v>1333</v>
      </c>
    </row>
    <row r="40" spans="1:15" x14ac:dyDescent="0.25">
      <c r="A40" s="15">
        <v>3122</v>
      </c>
      <c r="B40" s="15" t="s">
        <v>90</v>
      </c>
      <c r="C40" s="15" t="s">
        <v>119</v>
      </c>
      <c r="D40" s="15" t="s">
        <v>142</v>
      </c>
      <c r="E40" s="15">
        <v>1800</v>
      </c>
      <c r="F40" s="15">
        <v>780</v>
      </c>
      <c r="G40" s="17">
        <v>264</v>
      </c>
      <c r="H40" s="17">
        <v>520</v>
      </c>
      <c r="I40" s="17">
        <v>612</v>
      </c>
      <c r="J40" s="17">
        <v>1151</v>
      </c>
      <c r="L40" s="17">
        <f t="shared" si="0"/>
        <v>304</v>
      </c>
      <c r="M40" s="17">
        <f t="shared" si="0"/>
        <v>598</v>
      </c>
      <c r="N40" s="17">
        <f t="shared" si="0"/>
        <v>704</v>
      </c>
      <c r="O40" s="17">
        <f t="shared" si="0"/>
        <v>1324</v>
      </c>
    </row>
    <row r="41" spans="1:15" x14ac:dyDescent="0.25">
      <c r="A41" s="15">
        <v>3123</v>
      </c>
      <c r="B41" s="15" t="s">
        <v>90</v>
      </c>
      <c r="C41" s="15" t="s">
        <v>119</v>
      </c>
      <c r="D41" s="15" t="s">
        <v>143</v>
      </c>
      <c r="E41" s="15">
        <v>1800</v>
      </c>
      <c r="F41" s="15">
        <v>980</v>
      </c>
      <c r="G41" s="17">
        <v>329</v>
      </c>
      <c r="H41" s="17">
        <v>648</v>
      </c>
      <c r="I41" s="17">
        <v>753</v>
      </c>
      <c r="J41" s="17">
        <v>1417</v>
      </c>
      <c r="L41" s="17">
        <f t="shared" si="0"/>
        <v>378</v>
      </c>
      <c r="M41" s="17">
        <f t="shared" si="0"/>
        <v>745</v>
      </c>
      <c r="N41" s="17">
        <f t="shared" si="0"/>
        <v>866</v>
      </c>
      <c r="O41" s="17">
        <f t="shared" si="0"/>
        <v>1630</v>
      </c>
    </row>
    <row r="42" spans="1:15" x14ac:dyDescent="0.25">
      <c r="A42" s="15">
        <v>3124</v>
      </c>
      <c r="B42" s="15" t="s">
        <v>90</v>
      </c>
      <c r="C42" s="15" t="s">
        <v>119</v>
      </c>
      <c r="D42" s="15" t="s">
        <v>144</v>
      </c>
      <c r="E42" s="15">
        <v>580</v>
      </c>
      <c r="F42" s="15">
        <v>580</v>
      </c>
      <c r="G42" s="17">
        <v>67</v>
      </c>
      <c r="H42" s="17">
        <v>228</v>
      </c>
      <c r="I42" s="17">
        <v>183</v>
      </c>
      <c r="J42" s="17">
        <v>191</v>
      </c>
      <c r="L42" s="17">
        <f t="shared" si="0"/>
        <v>77</v>
      </c>
      <c r="M42" s="17">
        <f t="shared" si="0"/>
        <v>262</v>
      </c>
      <c r="N42" s="17">
        <f t="shared" si="0"/>
        <v>210</v>
      </c>
      <c r="O42" s="17">
        <f t="shared" si="0"/>
        <v>220</v>
      </c>
    </row>
    <row r="43" spans="1:15" x14ac:dyDescent="0.25">
      <c r="A43" s="15" t="s">
        <v>145</v>
      </c>
      <c r="B43" s="15" t="s">
        <v>90</v>
      </c>
      <c r="C43" s="15" t="s">
        <v>119</v>
      </c>
      <c r="D43" s="15" t="s">
        <v>146</v>
      </c>
      <c r="E43" s="15">
        <v>660</v>
      </c>
      <c r="F43" s="15">
        <v>360</v>
      </c>
      <c r="G43" s="17">
        <v>162</v>
      </c>
      <c r="H43" s="17">
        <v>319</v>
      </c>
      <c r="I43" s="17">
        <v>165</v>
      </c>
      <c r="J43" s="17">
        <v>310</v>
      </c>
      <c r="L43" s="17">
        <f t="shared" si="0"/>
        <v>186</v>
      </c>
      <c r="M43" s="17">
        <f t="shared" si="0"/>
        <v>367</v>
      </c>
      <c r="N43" s="17">
        <f t="shared" si="0"/>
        <v>190</v>
      </c>
      <c r="O43" s="17">
        <f t="shared" si="0"/>
        <v>357</v>
      </c>
    </row>
    <row r="44" spans="1:15" x14ac:dyDescent="0.25">
      <c r="A44" s="15">
        <v>3200</v>
      </c>
      <c r="B44" s="15" t="s">
        <v>90</v>
      </c>
      <c r="C44" s="15" t="s">
        <v>147</v>
      </c>
      <c r="D44" s="15" t="s">
        <v>148</v>
      </c>
      <c r="E44" s="15">
        <v>360</v>
      </c>
      <c r="F44" s="15">
        <v>360</v>
      </c>
      <c r="G44" s="17">
        <v>34</v>
      </c>
      <c r="H44" s="17">
        <v>114</v>
      </c>
      <c r="I44" s="17">
        <v>89</v>
      </c>
      <c r="J44" s="17">
        <v>177</v>
      </c>
      <c r="L44" s="17">
        <f t="shared" si="0"/>
        <v>39</v>
      </c>
      <c r="M44" s="17">
        <f t="shared" si="0"/>
        <v>131</v>
      </c>
      <c r="N44" s="17">
        <f t="shared" si="0"/>
        <v>102</v>
      </c>
      <c r="O44" s="17">
        <f t="shared" si="0"/>
        <v>204</v>
      </c>
    </row>
    <row r="45" spans="1:15" x14ac:dyDescent="0.25">
      <c r="A45" s="15">
        <v>3201</v>
      </c>
      <c r="B45" s="15" t="s">
        <v>90</v>
      </c>
      <c r="C45" s="15" t="s">
        <v>147</v>
      </c>
      <c r="D45" s="15" t="s">
        <v>149</v>
      </c>
      <c r="E45" s="15">
        <v>360</v>
      </c>
      <c r="F45" s="15">
        <v>720</v>
      </c>
      <c r="G45" s="17">
        <v>52</v>
      </c>
      <c r="H45" s="17">
        <v>181</v>
      </c>
      <c r="I45" s="17">
        <v>143</v>
      </c>
      <c r="J45" s="17">
        <v>212</v>
      </c>
      <c r="L45" s="17">
        <f t="shared" si="0"/>
        <v>60</v>
      </c>
      <c r="M45" s="17">
        <f t="shared" si="0"/>
        <v>208</v>
      </c>
      <c r="N45" s="17">
        <f t="shared" si="0"/>
        <v>164</v>
      </c>
      <c r="O45" s="17">
        <f t="shared" si="0"/>
        <v>244</v>
      </c>
    </row>
    <row r="46" spans="1:15" x14ac:dyDescent="0.25">
      <c r="A46" s="15">
        <v>3202</v>
      </c>
      <c r="B46" s="15" t="s">
        <v>90</v>
      </c>
      <c r="C46" s="15" t="s">
        <v>147</v>
      </c>
      <c r="D46" s="15" t="s">
        <v>150</v>
      </c>
      <c r="E46" s="15">
        <v>360</v>
      </c>
      <c r="F46" s="15">
        <v>1080</v>
      </c>
      <c r="G46" s="17">
        <v>76</v>
      </c>
      <c r="H46" s="17">
        <v>267</v>
      </c>
      <c r="I46" s="17">
        <v>222</v>
      </c>
      <c r="J46" s="17">
        <v>240</v>
      </c>
      <c r="L46" s="17">
        <f t="shared" si="0"/>
        <v>87</v>
      </c>
      <c r="M46" s="17">
        <f t="shared" si="0"/>
        <v>307</v>
      </c>
      <c r="N46" s="17">
        <f t="shared" si="0"/>
        <v>255</v>
      </c>
      <c r="O46" s="17">
        <f t="shared" si="0"/>
        <v>276</v>
      </c>
    </row>
    <row r="47" spans="1:15" x14ac:dyDescent="0.25">
      <c r="A47" s="15">
        <v>3203</v>
      </c>
      <c r="B47" s="15" t="s">
        <v>90</v>
      </c>
      <c r="C47" s="15" t="s">
        <v>147</v>
      </c>
      <c r="D47" s="15" t="s">
        <v>151</v>
      </c>
      <c r="E47" s="15">
        <v>360</v>
      </c>
      <c r="F47" s="15">
        <v>1440</v>
      </c>
      <c r="G47" s="17">
        <v>100</v>
      </c>
      <c r="H47" s="17">
        <v>336</v>
      </c>
      <c r="I47" s="17">
        <v>281</v>
      </c>
      <c r="J47" s="17">
        <v>529</v>
      </c>
      <c r="L47" s="17">
        <f t="shared" si="0"/>
        <v>115</v>
      </c>
      <c r="M47" s="17">
        <f t="shared" si="0"/>
        <v>386</v>
      </c>
      <c r="N47" s="17">
        <f t="shared" si="0"/>
        <v>323</v>
      </c>
      <c r="O47" s="17">
        <f t="shared" si="0"/>
        <v>608</v>
      </c>
    </row>
    <row r="48" spans="1:15" x14ac:dyDescent="0.25">
      <c r="A48" s="15">
        <v>3204</v>
      </c>
      <c r="B48" s="15" t="s">
        <v>90</v>
      </c>
      <c r="C48" s="15" t="s">
        <v>147</v>
      </c>
      <c r="D48" s="15" t="s">
        <v>152</v>
      </c>
      <c r="E48" s="15">
        <v>360</v>
      </c>
      <c r="F48" s="15">
        <v>1800</v>
      </c>
      <c r="G48" s="17">
        <v>125</v>
      </c>
      <c r="H48" s="17">
        <v>246</v>
      </c>
      <c r="I48" s="17">
        <v>343</v>
      </c>
      <c r="J48" s="17">
        <v>645</v>
      </c>
      <c r="L48" s="17">
        <f t="shared" si="0"/>
        <v>144</v>
      </c>
      <c r="M48" s="17">
        <f t="shared" si="0"/>
        <v>283</v>
      </c>
      <c r="N48" s="17">
        <f t="shared" si="0"/>
        <v>394</v>
      </c>
      <c r="O48" s="17">
        <f t="shared" si="0"/>
        <v>742</v>
      </c>
    </row>
    <row r="49" spans="1:15" x14ac:dyDescent="0.25">
      <c r="A49" s="15">
        <v>3205</v>
      </c>
      <c r="B49" s="15" t="s">
        <v>90</v>
      </c>
      <c r="C49" s="15" t="s">
        <v>147</v>
      </c>
      <c r="D49" s="15" t="s">
        <v>153</v>
      </c>
      <c r="E49" s="15">
        <v>580</v>
      </c>
      <c r="F49" s="15">
        <v>360</v>
      </c>
      <c r="G49" s="17">
        <v>43</v>
      </c>
      <c r="H49" s="17">
        <v>161</v>
      </c>
      <c r="I49" s="17">
        <v>130</v>
      </c>
      <c r="J49" s="17">
        <v>185</v>
      </c>
      <c r="L49" s="17">
        <f t="shared" si="0"/>
        <v>49</v>
      </c>
      <c r="M49" s="17">
        <f t="shared" si="0"/>
        <v>185</v>
      </c>
      <c r="N49" s="17">
        <f t="shared" si="0"/>
        <v>150</v>
      </c>
      <c r="O49" s="17">
        <f t="shared" si="0"/>
        <v>213</v>
      </c>
    </row>
    <row r="50" spans="1:15" x14ac:dyDescent="0.25">
      <c r="A50" s="15">
        <v>3206</v>
      </c>
      <c r="B50" s="15" t="s">
        <v>90</v>
      </c>
      <c r="C50" s="15" t="s">
        <v>147</v>
      </c>
      <c r="D50" s="15" t="s">
        <v>154</v>
      </c>
      <c r="E50" s="15">
        <v>580</v>
      </c>
      <c r="F50" s="15">
        <v>720</v>
      </c>
      <c r="G50" s="17">
        <v>82</v>
      </c>
      <c r="H50" s="17">
        <v>262</v>
      </c>
      <c r="I50" s="17">
        <v>216</v>
      </c>
      <c r="J50" s="17">
        <v>245</v>
      </c>
      <c r="L50" s="17">
        <f t="shared" si="0"/>
        <v>94</v>
      </c>
      <c r="M50" s="17">
        <f t="shared" si="0"/>
        <v>301</v>
      </c>
      <c r="N50" s="17">
        <f t="shared" si="0"/>
        <v>248</v>
      </c>
      <c r="O50" s="17">
        <f t="shared" si="0"/>
        <v>282</v>
      </c>
    </row>
    <row r="51" spans="1:15" x14ac:dyDescent="0.25">
      <c r="A51" s="15">
        <v>3207</v>
      </c>
      <c r="B51" s="15" t="s">
        <v>90</v>
      </c>
      <c r="C51" s="15" t="s">
        <v>147</v>
      </c>
      <c r="D51" s="15" t="s">
        <v>155</v>
      </c>
      <c r="E51" s="15">
        <v>580</v>
      </c>
      <c r="F51" s="15">
        <v>1080</v>
      </c>
      <c r="G51" s="17">
        <v>119</v>
      </c>
      <c r="H51" s="17">
        <v>377</v>
      </c>
      <c r="I51" s="17">
        <v>300</v>
      </c>
      <c r="J51" s="17">
        <v>307</v>
      </c>
      <c r="L51" s="17">
        <f t="shared" si="0"/>
        <v>137</v>
      </c>
      <c r="M51" s="17">
        <f t="shared" si="0"/>
        <v>434</v>
      </c>
      <c r="N51" s="17">
        <f t="shared" si="0"/>
        <v>345</v>
      </c>
      <c r="O51" s="17">
        <f t="shared" si="0"/>
        <v>353</v>
      </c>
    </row>
    <row r="52" spans="1:15" x14ac:dyDescent="0.25">
      <c r="A52" s="15">
        <v>3208</v>
      </c>
      <c r="B52" s="15" t="s">
        <v>90</v>
      </c>
      <c r="C52" s="15" t="s">
        <v>147</v>
      </c>
      <c r="D52" s="15" t="s">
        <v>156</v>
      </c>
      <c r="E52" s="15">
        <v>580</v>
      </c>
      <c r="F52" s="15">
        <v>1440</v>
      </c>
      <c r="G52" s="17">
        <v>158</v>
      </c>
      <c r="H52" s="17">
        <v>484</v>
      </c>
      <c r="I52" s="17">
        <v>400</v>
      </c>
      <c r="J52" s="17">
        <v>752</v>
      </c>
      <c r="L52" s="17">
        <f t="shared" si="0"/>
        <v>182</v>
      </c>
      <c r="M52" s="17">
        <f t="shared" si="0"/>
        <v>557</v>
      </c>
      <c r="N52" s="17">
        <f t="shared" si="0"/>
        <v>460</v>
      </c>
      <c r="O52" s="17">
        <f t="shared" si="0"/>
        <v>865</v>
      </c>
    </row>
    <row r="53" spans="1:15" x14ac:dyDescent="0.25">
      <c r="A53" s="15">
        <v>3209</v>
      </c>
      <c r="B53" s="15" t="s">
        <v>90</v>
      </c>
      <c r="C53" s="15" t="s">
        <v>147</v>
      </c>
      <c r="D53" s="15" t="s">
        <v>157</v>
      </c>
      <c r="E53" s="15">
        <v>580</v>
      </c>
      <c r="F53" s="15">
        <v>1800</v>
      </c>
      <c r="G53" s="17">
        <v>197</v>
      </c>
      <c r="H53" s="17">
        <v>388</v>
      </c>
      <c r="I53" s="17">
        <v>467</v>
      </c>
      <c r="J53" s="17">
        <v>879</v>
      </c>
      <c r="L53" s="17">
        <f t="shared" si="0"/>
        <v>227</v>
      </c>
      <c r="M53" s="17">
        <f t="shared" si="0"/>
        <v>446</v>
      </c>
      <c r="N53" s="17">
        <f t="shared" si="0"/>
        <v>537</v>
      </c>
      <c r="O53" s="17">
        <f t="shared" si="0"/>
        <v>1011</v>
      </c>
    </row>
    <row r="54" spans="1:15" x14ac:dyDescent="0.25">
      <c r="A54" s="15">
        <v>3210</v>
      </c>
      <c r="B54" s="15" t="s">
        <v>90</v>
      </c>
      <c r="C54" s="15" t="s">
        <v>147</v>
      </c>
      <c r="D54" s="15" t="s">
        <v>158</v>
      </c>
      <c r="E54" s="15">
        <v>180</v>
      </c>
      <c r="F54" s="15">
        <v>780</v>
      </c>
      <c r="G54" s="17">
        <v>56</v>
      </c>
      <c r="H54" s="17">
        <v>185</v>
      </c>
      <c r="I54" s="17">
        <v>144</v>
      </c>
      <c r="J54" s="17">
        <v>212</v>
      </c>
      <c r="L54" s="17">
        <f t="shared" si="0"/>
        <v>64</v>
      </c>
      <c r="M54" s="17">
        <f t="shared" si="0"/>
        <v>213</v>
      </c>
      <c r="N54" s="17">
        <f t="shared" si="0"/>
        <v>166</v>
      </c>
      <c r="O54" s="17">
        <f t="shared" si="0"/>
        <v>244</v>
      </c>
    </row>
    <row r="55" spans="1:15" x14ac:dyDescent="0.25">
      <c r="A55" s="15">
        <v>3211</v>
      </c>
      <c r="B55" s="15" t="s">
        <v>90</v>
      </c>
      <c r="C55" s="15" t="s">
        <v>147</v>
      </c>
      <c r="D55" s="15" t="s">
        <v>159</v>
      </c>
      <c r="E55" s="15">
        <v>180</v>
      </c>
      <c r="F55" s="15">
        <v>980</v>
      </c>
      <c r="G55" s="17">
        <v>70</v>
      </c>
      <c r="H55" s="17">
        <v>223</v>
      </c>
      <c r="I55" s="17">
        <v>174</v>
      </c>
      <c r="J55" s="17">
        <v>229</v>
      </c>
      <c r="L55" s="17">
        <f t="shared" si="0"/>
        <v>81</v>
      </c>
      <c r="M55" s="17">
        <f t="shared" si="0"/>
        <v>256</v>
      </c>
      <c r="N55" s="17">
        <f t="shared" si="0"/>
        <v>200</v>
      </c>
      <c r="O55" s="17">
        <f t="shared" si="0"/>
        <v>263</v>
      </c>
    </row>
    <row r="56" spans="1:15" x14ac:dyDescent="0.25">
      <c r="A56" s="15">
        <v>3212</v>
      </c>
      <c r="B56" s="15" t="s">
        <v>90</v>
      </c>
      <c r="C56" s="15" t="s">
        <v>147</v>
      </c>
      <c r="D56" s="15" t="s">
        <v>160</v>
      </c>
      <c r="E56" s="15">
        <v>360</v>
      </c>
      <c r="F56" s="15">
        <v>780</v>
      </c>
      <c r="G56" s="17">
        <v>56</v>
      </c>
      <c r="H56" s="17">
        <v>185</v>
      </c>
      <c r="I56" s="17">
        <v>144</v>
      </c>
      <c r="J56" s="17">
        <v>190</v>
      </c>
      <c r="L56" s="17">
        <f t="shared" si="0"/>
        <v>64</v>
      </c>
      <c r="M56" s="17">
        <f t="shared" si="0"/>
        <v>213</v>
      </c>
      <c r="N56" s="17">
        <f t="shared" si="0"/>
        <v>166</v>
      </c>
      <c r="O56" s="17">
        <f t="shared" si="0"/>
        <v>219</v>
      </c>
    </row>
    <row r="57" spans="1:15" x14ac:dyDescent="0.25">
      <c r="A57" s="15">
        <v>3213</v>
      </c>
      <c r="B57" s="15" t="s">
        <v>90</v>
      </c>
      <c r="C57" s="15" t="s">
        <v>147</v>
      </c>
      <c r="D57" s="15" t="s">
        <v>161</v>
      </c>
      <c r="E57" s="15">
        <v>360</v>
      </c>
      <c r="F57" s="15">
        <v>980</v>
      </c>
      <c r="G57" s="17">
        <v>70</v>
      </c>
      <c r="H57" s="17">
        <v>223</v>
      </c>
      <c r="I57" s="17">
        <v>174</v>
      </c>
      <c r="J57" s="17">
        <v>209</v>
      </c>
      <c r="L57" s="17">
        <f t="shared" si="0"/>
        <v>81</v>
      </c>
      <c r="M57" s="17">
        <f t="shared" si="0"/>
        <v>256</v>
      </c>
      <c r="N57" s="17">
        <f t="shared" si="0"/>
        <v>200</v>
      </c>
      <c r="O57" s="17">
        <f t="shared" si="0"/>
        <v>240</v>
      </c>
    </row>
    <row r="58" spans="1:15" x14ac:dyDescent="0.25">
      <c r="A58" s="15">
        <v>3214</v>
      </c>
      <c r="B58" s="15" t="s">
        <v>90</v>
      </c>
      <c r="C58" s="15" t="s">
        <v>147</v>
      </c>
      <c r="D58" s="15" t="s">
        <v>162</v>
      </c>
      <c r="E58" s="15">
        <v>720</v>
      </c>
      <c r="F58" s="15">
        <v>780</v>
      </c>
      <c r="G58" s="17">
        <v>107</v>
      </c>
      <c r="H58" s="17">
        <v>355</v>
      </c>
      <c r="I58" s="17">
        <v>277</v>
      </c>
      <c r="J58" s="17">
        <v>268</v>
      </c>
      <c r="L58" s="17">
        <f t="shared" si="0"/>
        <v>123</v>
      </c>
      <c r="M58" s="17">
        <f t="shared" si="0"/>
        <v>408</v>
      </c>
      <c r="N58" s="17">
        <f t="shared" si="0"/>
        <v>319</v>
      </c>
      <c r="O58" s="17">
        <f t="shared" si="0"/>
        <v>308</v>
      </c>
    </row>
    <row r="59" spans="1:15" x14ac:dyDescent="0.25">
      <c r="A59" s="15">
        <v>3215</v>
      </c>
      <c r="B59" s="15" t="s">
        <v>90</v>
      </c>
      <c r="C59" s="15" t="s">
        <v>147</v>
      </c>
      <c r="D59" s="15" t="s">
        <v>163</v>
      </c>
      <c r="E59" s="15">
        <v>720</v>
      </c>
      <c r="F59" s="15">
        <v>980</v>
      </c>
      <c r="G59" s="17">
        <v>134</v>
      </c>
      <c r="H59" s="17">
        <v>406</v>
      </c>
      <c r="I59" s="17">
        <v>320</v>
      </c>
      <c r="J59" s="17">
        <v>329</v>
      </c>
      <c r="L59" s="17">
        <f t="shared" si="0"/>
        <v>154</v>
      </c>
      <c r="M59" s="17">
        <f t="shared" si="0"/>
        <v>467</v>
      </c>
      <c r="N59" s="17">
        <f t="shared" si="0"/>
        <v>368</v>
      </c>
      <c r="O59" s="17">
        <f t="shared" si="0"/>
        <v>378</v>
      </c>
    </row>
    <row r="60" spans="1:15" x14ac:dyDescent="0.25">
      <c r="A60" s="15">
        <v>3216</v>
      </c>
      <c r="B60" s="15" t="s">
        <v>90</v>
      </c>
      <c r="C60" s="15" t="s">
        <v>147</v>
      </c>
      <c r="D60" s="15" t="s">
        <v>164</v>
      </c>
      <c r="E60" s="15">
        <v>1080</v>
      </c>
      <c r="F60" s="15">
        <v>780</v>
      </c>
      <c r="G60" s="17">
        <v>161</v>
      </c>
      <c r="H60" s="17">
        <v>517</v>
      </c>
      <c r="I60" s="17">
        <v>409</v>
      </c>
      <c r="J60" s="17">
        <v>385</v>
      </c>
      <c r="L60" s="17">
        <f t="shared" si="0"/>
        <v>185</v>
      </c>
      <c r="M60" s="17">
        <f t="shared" si="0"/>
        <v>595</v>
      </c>
      <c r="N60" s="17">
        <f t="shared" si="0"/>
        <v>470</v>
      </c>
      <c r="O60" s="17">
        <f t="shared" si="0"/>
        <v>443</v>
      </c>
    </row>
    <row r="61" spans="1:15" x14ac:dyDescent="0.25">
      <c r="A61" s="15">
        <v>3217</v>
      </c>
      <c r="B61" s="15" t="s">
        <v>90</v>
      </c>
      <c r="C61" s="15" t="s">
        <v>147</v>
      </c>
      <c r="D61" s="15" t="s">
        <v>165</v>
      </c>
      <c r="E61" s="15">
        <v>1080</v>
      </c>
      <c r="F61" s="15">
        <v>980</v>
      </c>
      <c r="G61" s="17">
        <v>200</v>
      </c>
      <c r="H61" s="17">
        <v>626</v>
      </c>
      <c r="I61" s="17">
        <v>474</v>
      </c>
      <c r="J61" s="17">
        <v>431</v>
      </c>
      <c r="L61" s="17">
        <f t="shared" si="0"/>
        <v>230</v>
      </c>
      <c r="M61" s="17">
        <f t="shared" si="0"/>
        <v>720</v>
      </c>
      <c r="N61" s="17">
        <f t="shared" si="0"/>
        <v>545</v>
      </c>
      <c r="O61" s="17">
        <f t="shared" si="0"/>
        <v>496</v>
      </c>
    </row>
    <row r="62" spans="1:15" x14ac:dyDescent="0.25">
      <c r="A62" s="15">
        <v>3218</v>
      </c>
      <c r="B62" s="15" t="s">
        <v>90</v>
      </c>
      <c r="C62" s="15" t="s">
        <v>147</v>
      </c>
      <c r="D62" s="15" t="s">
        <v>166</v>
      </c>
      <c r="E62" s="15">
        <v>1440</v>
      </c>
      <c r="F62" s="15">
        <v>780</v>
      </c>
      <c r="G62" s="17">
        <v>211</v>
      </c>
      <c r="H62" s="17">
        <v>630</v>
      </c>
      <c r="I62" s="17">
        <v>499</v>
      </c>
      <c r="J62" s="17">
        <v>939</v>
      </c>
      <c r="L62" s="17">
        <f t="shared" si="0"/>
        <v>243</v>
      </c>
      <c r="M62" s="17">
        <f t="shared" si="0"/>
        <v>725</v>
      </c>
      <c r="N62" s="17">
        <f t="shared" si="0"/>
        <v>574</v>
      </c>
      <c r="O62" s="17">
        <f t="shared" si="0"/>
        <v>1080</v>
      </c>
    </row>
    <row r="63" spans="1:15" x14ac:dyDescent="0.25">
      <c r="A63" s="15">
        <v>3219</v>
      </c>
      <c r="B63" s="15" t="s">
        <v>90</v>
      </c>
      <c r="C63" s="15" t="s">
        <v>147</v>
      </c>
      <c r="D63" s="15" t="s">
        <v>167</v>
      </c>
      <c r="E63" s="15">
        <v>1440</v>
      </c>
      <c r="F63" s="15">
        <v>980</v>
      </c>
      <c r="G63" s="17">
        <v>264</v>
      </c>
      <c r="H63" s="17">
        <v>778</v>
      </c>
      <c r="I63" s="17">
        <v>616</v>
      </c>
      <c r="J63" s="17">
        <v>1159</v>
      </c>
      <c r="L63" s="17">
        <f t="shared" si="0"/>
        <v>304</v>
      </c>
      <c r="M63" s="17">
        <f t="shared" si="0"/>
        <v>895</v>
      </c>
      <c r="N63" s="17">
        <f t="shared" si="0"/>
        <v>708</v>
      </c>
      <c r="O63" s="17">
        <f t="shared" si="0"/>
        <v>1333</v>
      </c>
    </row>
    <row r="64" spans="1:15" x14ac:dyDescent="0.25">
      <c r="A64" s="15">
        <v>3220</v>
      </c>
      <c r="B64" s="15" t="s">
        <v>90</v>
      </c>
      <c r="C64" s="15" t="s">
        <v>147</v>
      </c>
      <c r="D64" s="15" t="s">
        <v>168</v>
      </c>
      <c r="E64" s="15">
        <v>1800</v>
      </c>
      <c r="F64" s="15">
        <v>780</v>
      </c>
      <c r="G64" s="17">
        <v>264</v>
      </c>
      <c r="H64" s="17">
        <v>520</v>
      </c>
      <c r="I64" s="17">
        <v>612</v>
      </c>
      <c r="J64" s="17">
        <v>1151</v>
      </c>
      <c r="L64" s="17">
        <f t="shared" si="0"/>
        <v>304</v>
      </c>
      <c r="M64" s="17">
        <f t="shared" si="0"/>
        <v>598</v>
      </c>
      <c r="N64" s="17">
        <f t="shared" si="0"/>
        <v>704</v>
      </c>
      <c r="O64" s="17">
        <f t="shared" si="0"/>
        <v>1324</v>
      </c>
    </row>
    <row r="65" spans="1:15" x14ac:dyDescent="0.25">
      <c r="A65" s="15">
        <v>3221</v>
      </c>
      <c r="B65" s="15" t="s">
        <v>90</v>
      </c>
      <c r="C65" s="15" t="s">
        <v>147</v>
      </c>
      <c r="D65" s="15" t="s">
        <v>169</v>
      </c>
      <c r="E65" s="15">
        <v>1800</v>
      </c>
      <c r="F65" s="15">
        <v>980</v>
      </c>
      <c r="G65" s="17">
        <v>329</v>
      </c>
      <c r="H65" s="17">
        <v>648</v>
      </c>
      <c r="I65" s="17">
        <v>753</v>
      </c>
      <c r="J65" s="17">
        <v>1417</v>
      </c>
      <c r="L65" s="17">
        <f t="shared" si="0"/>
        <v>378</v>
      </c>
      <c r="M65" s="17">
        <f t="shared" si="0"/>
        <v>745</v>
      </c>
      <c r="N65" s="17">
        <f t="shared" si="0"/>
        <v>866</v>
      </c>
      <c r="O65" s="17">
        <f t="shared" ref="O65:O128" si="1">IF(J65="","",ROUND(J65*1.15,0))</f>
        <v>1630</v>
      </c>
    </row>
    <row r="66" spans="1:15" x14ac:dyDescent="0.25">
      <c r="A66" s="15">
        <v>3300</v>
      </c>
      <c r="B66" s="15" t="s">
        <v>90</v>
      </c>
      <c r="C66" s="15" t="s">
        <v>170</v>
      </c>
      <c r="D66" s="15" t="s">
        <v>171</v>
      </c>
      <c r="E66" s="15">
        <v>360</v>
      </c>
      <c r="F66" s="15">
        <v>180</v>
      </c>
      <c r="G66" s="17">
        <v>34</v>
      </c>
      <c r="H66" s="17">
        <v>114</v>
      </c>
      <c r="I66" s="17">
        <v>89</v>
      </c>
      <c r="J66" s="17">
        <v>201</v>
      </c>
      <c r="L66" s="17">
        <f t="shared" ref="L66:O129" si="2">IF(G66="","",ROUND(G66*1.15,0))</f>
        <v>39</v>
      </c>
      <c r="M66" s="17">
        <f t="shared" si="2"/>
        <v>131</v>
      </c>
      <c r="N66" s="17">
        <f t="shared" si="2"/>
        <v>102</v>
      </c>
      <c r="O66" s="17">
        <f t="shared" si="1"/>
        <v>231</v>
      </c>
    </row>
    <row r="67" spans="1:15" x14ac:dyDescent="0.25">
      <c r="A67" s="15">
        <v>3301</v>
      </c>
      <c r="B67" s="15" t="s">
        <v>90</v>
      </c>
      <c r="C67" s="15" t="s">
        <v>170</v>
      </c>
      <c r="D67" s="15" t="s">
        <v>172</v>
      </c>
      <c r="E67" s="15">
        <v>420</v>
      </c>
      <c r="F67" s="15">
        <v>180</v>
      </c>
      <c r="G67" s="17">
        <v>34</v>
      </c>
      <c r="H67" s="17">
        <v>121</v>
      </c>
      <c r="I67" s="17">
        <v>92</v>
      </c>
      <c r="J67" s="17">
        <v>202</v>
      </c>
      <c r="L67" s="17">
        <f t="shared" si="2"/>
        <v>39</v>
      </c>
      <c r="M67" s="17">
        <f t="shared" si="2"/>
        <v>139</v>
      </c>
      <c r="N67" s="17">
        <f t="shared" si="2"/>
        <v>106</v>
      </c>
      <c r="O67" s="17">
        <f t="shared" si="1"/>
        <v>232</v>
      </c>
    </row>
    <row r="68" spans="1:15" x14ac:dyDescent="0.25">
      <c r="A68" s="15">
        <v>3302</v>
      </c>
      <c r="B68" s="15" t="s">
        <v>90</v>
      </c>
      <c r="C68" s="15" t="s">
        <v>170</v>
      </c>
      <c r="D68" s="15" t="s">
        <v>173</v>
      </c>
      <c r="E68" s="15">
        <v>580</v>
      </c>
      <c r="F68" s="15">
        <v>180</v>
      </c>
      <c r="G68" s="17">
        <v>43</v>
      </c>
      <c r="H68" s="17">
        <v>161</v>
      </c>
      <c r="I68" s="17">
        <v>130</v>
      </c>
      <c r="J68" s="17">
        <v>208</v>
      </c>
      <c r="L68" s="17">
        <f t="shared" si="2"/>
        <v>49</v>
      </c>
      <c r="M68" s="17">
        <f t="shared" si="2"/>
        <v>185</v>
      </c>
      <c r="N68" s="17">
        <f t="shared" si="2"/>
        <v>150</v>
      </c>
      <c r="O68" s="17">
        <f t="shared" si="1"/>
        <v>239</v>
      </c>
    </row>
    <row r="69" spans="1:15" x14ac:dyDescent="0.25">
      <c r="A69" s="15">
        <v>3303</v>
      </c>
      <c r="B69" s="15" t="s">
        <v>90</v>
      </c>
      <c r="C69" s="15" t="s">
        <v>170</v>
      </c>
      <c r="D69" s="15" t="s">
        <v>174</v>
      </c>
      <c r="E69" s="15">
        <v>780</v>
      </c>
      <c r="F69" s="15">
        <v>180</v>
      </c>
      <c r="G69" s="17">
        <v>56</v>
      </c>
      <c r="H69" s="17">
        <v>185</v>
      </c>
      <c r="I69" s="17">
        <v>144</v>
      </c>
      <c r="J69" s="17">
        <v>212</v>
      </c>
      <c r="L69" s="17">
        <f t="shared" si="2"/>
        <v>64</v>
      </c>
      <c r="M69" s="17">
        <f t="shared" si="2"/>
        <v>213</v>
      </c>
      <c r="N69" s="17">
        <f t="shared" si="2"/>
        <v>166</v>
      </c>
      <c r="O69" s="17">
        <f t="shared" si="1"/>
        <v>244</v>
      </c>
    </row>
    <row r="70" spans="1:15" x14ac:dyDescent="0.25">
      <c r="A70" s="15">
        <v>3304</v>
      </c>
      <c r="B70" s="15" t="s">
        <v>90</v>
      </c>
      <c r="C70" s="15" t="s">
        <v>170</v>
      </c>
      <c r="D70" s="15" t="s">
        <v>175</v>
      </c>
      <c r="E70" s="15">
        <v>980</v>
      </c>
      <c r="F70" s="15">
        <v>180</v>
      </c>
      <c r="G70" s="17">
        <v>70</v>
      </c>
      <c r="H70" s="17">
        <v>223</v>
      </c>
      <c r="I70" s="17">
        <v>174</v>
      </c>
      <c r="J70" s="17">
        <v>229</v>
      </c>
      <c r="L70" s="17">
        <f t="shared" si="2"/>
        <v>81</v>
      </c>
      <c r="M70" s="17">
        <f t="shared" si="2"/>
        <v>256</v>
      </c>
      <c r="N70" s="17">
        <f t="shared" si="2"/>
        <v>200</v>
      </c>
      <c r="O70" s="17">
        <f t="shared" si="1"/>
        <v>263</v>
      </c>
    </row>
    <row r="71" spans="1:15" x14ac:dyDescent="0.25">
      <c r="A71" s="15">
        <v>3305</v>
      </c>
      <c r="B71" s="15" t="s">
        <v>90</v>
      </c>
      <c r="C71" s="15" t="s">
        <v>170</v>
      </c>
      <c r="D71" s="15" t="s">
        <v>176</v>
      </c>
      <c r="E71" s="15">
        <v>360</v>
      </c>
      <c r="F71" s="15">
        <v>360</v>
      </c>
      <c r="G71" s="17">
        <v>34</v>
      </c>
      <c r="H71" s="17">
        <v>114</v>
      </c>
      <c r="I71" s="17">
        <v>89</v>
      </c>
      <c r="J71" s="17">
        <v>177</v>
      </c>
      <c r="L71" s="17">
        <f t="shared" si="2"/>
        <v>39</v>
      </c>
      <c r="M71" s="17">
        <f t="shared" si="2"/>
        <v>131</v>
      </c>
      <c r="N71" s="17">
        <f t="shared" si="2"/>
        <v>102</v>
      </c>
      <c r="O71" s="17">
        <f t="shared" si="1"/>
        <v>204</v>
      </c>
    </row>
    <row r="72" spans="1:15" x14ac:dyDescent="0.25">
      <c r="A72" s="15">
        <v>3306</v>
      </c>
      <c r="B72" s="15" t="s">
        <v>90</v>
      </c>
      <c r="C72" s="15" t="s">
        <v>170</v>
      </c>
      <c r="D72" s="15" t="s">
        <v>177</v>
      </c>
      <c r="E72" s="15">
        <v>420</v>
      </c>
      <c r="F72" s="15">
        <v>360</v>
      </c>
      <c r="G72" s="17">
        <v>34</v>
      </c>
      <c r="H72" s="17">
        <v>121</v>
      </c>
      <c r="I72" s="17">
        <v>92</v>
      </c>
      <c r="J72" s="17">
        <v>178</v>
      </c>
      <c r="L72" s="17">
        <f t="shared" si="2"/>
        <v>39</v>
      </c>
      <c r="M72" s="17">
        <f t="shared" si="2"/>
        <v>139</v>
      </c>
      <c r="N72" s="17">
        <f t="shared" si="2"/>
        <v>106</v>
      </c>
      <c r="O72" s="17">
        <f t="shared" si="1"/>
        <v>205</v>
      </c>
    </row>
    <row r="73" spans="1:15" x14ac:dyDescent="0.25">
      <c r="A73" s="15">
        <v>3307</v>
      </c>
      <c r="B73" s="15" t="s">
        <v>90</v>
      </c>
      <c r="C73" s="15" t="s">
        <v>170</v>
      </c>
      <c r="D73" s="15" t="s">
        <v>178</v>
      </c>
      <c r="E73" s="15">
        <v>580</v>
      </c>
      <c r="F73" s="15">
        <v>360</v>
      </c>
      <c r="G73" s="17">
        <v>43</v>
      </c>
      <c r="H73" s="17">
        <v>161</v>
      </c>
      <c r="I73" s="17">
        <v>130</v>
      </c>
      <c r="J73" s="17">
        <v>185</v>
      </c>
      <c r="L73" s="17">
        <f t="shared" si="2"/>
        <v>49</v>
      </c>
      <c r="M73" s="17">
        <f t="shared" si="2"/>
        <v>185</v>
      </c>
      <c r="N73" s="17">
        <f t="shared" si="2"/>
        <v>150</v>
      </c>
      <c r="O73" s="17">
        <f t="shared" si="1"/>
        <v>213</v>
      </c>
    </row>
    <row r="74" spans="1:15" x14ac:dyDescent="0.25">
      <c r="A74" s="15">
        <v>3308</v>
      </c>
      <c r="B74" s="15" t="s">
        <v>90</v>
      </c>
      <c r="C74" s="15" t="s">
        <v>170</v>
      </c>
      <c r="D74" s="15" t="s">
        <v>179</v>
      </c>
      <c r="E74" s="15">
        <v>780</v>
      </c>
      <c r="F74" s="15">
        <v>360</v>
      </c>
      <c r="G74" s="17">
        <v>56</v>
      </c>
      <c r="H74" s="17">
        <v>185</v>
      </c>
      <c r="I74" s="17">
        <v>144</v>
      </c>
      <c r="J74" s="17">
        <v>190</v>
      </c>
      <c r="L74" s="17">
        <f t="shared" si="2"/>
        <v>64</v>
      </c>
      <c r="M74" s="17">
        <f t="shared" si="2"/>
        <v>213</v>
      </c>
      <c r="N74" s="17">
        <f t="shared" si="2"/>
        <v>166</v>
      </c>
      <c r="O74" s="17">
        <f t="shared" si="1"/>
        <v>219</v>
      </c>
    </row>
    <row r="75" spans="1:15" x14ac:dyDescent="0.25">
      <c r="A75" s="15">
        <v>3309</v>
      </c>
      <c r="B75" s="15" t="s">
        <v>90</v>
      </c>
      <c r="C75" s="15" t="s">
        <v>170</v>
      </c>
      <c r="D75" s="15" t="s">
        <v>180</v>
      </c>
      <c r="E75" s="15">
        <v>980</v>
      </c>
      <c r="F75" s="15">
        <v>360</v>
      </c>
      <c r="G75" s="17">
        <v>70</v>
      </c>
      <c r="H75" s="17">
        <v>223</v>
      </c>
      <c r="I75" s="17">
        <v>174</v>
      </c>
      <c r="J75" s="17">
        <v>209</v>
      </c>
      <c r="L75" s="17">
        <f t="shared" si="2"/>
        <v>81</v>
      </c>
      <c r="M75" s="17">
        <f t="shared" si="2"/>
        <v>256</v>
      </c>
      <c r="N75" s="17">
        <f t="shared" si="2"/>
        <v>200</v>
      </c>
      <c r="O75" s="17">
        <f t="shared" si="1"/>
        <v>240</v>
      </c>
    </row>
    <row r="76" spans="1:15" x14ac:dyDescent="0.25">
      <c r="A76" s="15">
        <v>3310</v>
      </c>
      <c r="B76" s="15" t="s">
        <v>90</v>
      </c>
      <c r="C76" s="15" t="s">
        <v>170</v>
      </c>
      <c r="D76" s="15" t="s">
        <v>181</v>
      </c>
      <c r="E76" s="15">
        <v>360</v>
      </c>
      <c r="F76" s="15">
        <v>720</v>
      </c>
      <c r="G76" s="17">
        <v>52</v>
      </c>
      <c r="H76" s="17">
        <v>181</v>
      </c>
      <c r="I76" s="17">
        <v>143</v>
      </c>
      <c r="J76" s="17">
        <v>212</v>
      </c>
      <c r="L76" s="17">
        <f t="shared" si="2"/>
        <v>60</v>
      </c>
      <c r="M76" s="17">
        <f t="shared" si="2"/>
        <v>208</v>
      </c>
      <c r="N76" s="17">
        <f t="shared" si="2"/>
        <v>164</v>
      </c>
      <c r="O76" s="17">
        <f t="shared" si="1"/>
        <v>244</v>
      </c>
    </row>
    <row r="77" spans="1:15" x14ac:dyDescent="0.25">
      <c r="A77" s="15">
        <v>3311</v>
      </c>
      <c r="B77" s="15" t="s">
        <v>90</v>
      </c>
      <c r="C77" s="15" t="s">
        <v>170</v>
      </c>
      <c r="D77" s="15" t="s">
        <v>182</v>
      </c>
      <c r="E77" s="15">
        <v>420</v>
      </c>
      <c r="F77" s="15">
        <v>720</v>
      </c>
      <c r="G77" s="17">
        <v>60</v>
      </c>
      <c r="H77" s="17">
        <v>212</v>
      </c>
      <c r="I77" s="17">
        <v>166</v>
      </c>
      <c r="J77" s="17">
        <v>212</v>
      </c>
      <c r="L77" s="17">
        <f t="shared" si="2"/>
        <v>69</v>
      </c>
      <c r="M77" s="17">
        <f t="shared" si="2"/>
        <v>244</v>
      </c>
      <c r="N77" s="17">
        <f t="shared" si="2"/>
        <v>191</v>
      </c>
      <c r="O77" s="17">
        <f t="shared" si="1"/>
        <v>244</v>
      </c>
    </row>
    <row r="78" spans="1:15" x14ac:dyDescent="0.25">
      <c r="A78" s="15">
        <v>3312</v>
      </c>
      <c r="B78" s="15" t="s">
        <v>90</v>
      </c>
      <c r="C78" s="15" t="s">
        <v>170</v>
      </c>
      <c r="D78" s="15" t="s">
        <v>183</v>
      </c>
      <c r="E78" s="15">
        <v>580</v>
      </c>
      <c r="F78" s="15">
        <v>720</v>
      </c>
      <c r="G78" s="17">
        <v>82</v>
      </c>
      <c r="H78" s="17">
        <v>262</v>
      </c>
      <c r="I78" s="17">
        <v>216</v>
      </c>
      <c r="J78" s="17">
        <v>245</v>
      </c>
      <c r="L78" s="17">
        <f t="shared" si="2"/>
        <v>94</v>
      </c>
      <c r="M78" s="17">
        <f t="shared" si="2"/>
        <v>301</v>
      </c>
      <c r="N78" s="17">
        <f t="shared" si="2"/>
        <v>248</v>
      </c>
      <c r="O78" s="17">
        <f t="shared" si="1"/>
        <v>282</v>
      </c>
    </row>
    <row r="79" spans="1:15" x14ac:dyDescent="0.25">
      <c r="A79" s="15">
        <v>3313</v>
      </c>
      <c r="B79" s="15" t="s">
        <v>90</v>
      </c>
      <c r="C79" s="15" t="s">
        <v>170</v>
      </c>
      <c r="D79" s="15" t="s">
        <v>184</v>
      </c>
      <c r="E79" s="15">
        <v>780</v>
      </c>
      <c r="F79" s="15">
        <v>720</v>
      </c>
      <c r="G79" s="17">
        <v>107</v>
      </c>
      <c r="H79" s="17">
        <v>355</v>
      </c>
      <c r="I79" s="17">
        <v>277</v>
      </c>
      <c r="J79" s="17">
        <v>268</v>
      </c>
      <c r="L79" s="17">
        <f t="shared" si="2"/>
        <v>123</v>
      </c>
      <c r="M79" s="17">
        <f t="shared" si="2"/>
        <v>408</v>
      </c>
      <c r="N79" s="17">
        <f t="shared" si="2"/>
        <v>319</v>
      </c>
      <c r="O79" s="17">
        <f t="shared" si="1"/>
        <v>308</v>
      </c>
    </row>
    <row r="80" spans="1:15" x14ac:dyDescent="0.25">
      <c r="A80" s="15">
        <v>3314</v>
      </c>
      <c r="B80" s="15" t="s">
        <v>90</v>
      </c>
      <c r="C80" s="15" t="s">
        <v>170</v>
      </c>
      <c r="D80" s="15" t="s">
        <v>185</v>
      </c>
      <c r="E80" s="15">
        <v>980</v>
      </c>
      <c r="F80" s="15">
        <v>720</v>
      </c>
      <c r="G80" s="17">
        <v>134</v>
      </c>
      <c r="H80" s="17">
        <v>406</v>
      </c>
      <c r="I80" s="17">
        <v>320</v>
      </c>
      <c r="J80" s="17">
        <v>329</v>
      </c>
      <c r="L80" s="17">
        <f t="shared" si="2"/>
        <v>154</v>
      </c>
      <c r="M80" s="17">
        <f t="shared" si="2"/>
        <v>467</v>
      </c>
      <c r="N80" s="17">
        <f t="shared" si="2"/>
        <v>368</v>
      </c>
      <c r="O80" s="17">
        <f t="shared" si="1"/>
        <v>378</v>
      </c>
    </row>
    <row r="81" spans="1:15" x14ac:dyDescent="0.25">
      <c r="A81" s="15">
        <v>3315</v>
      </c>
      <c r="B81" s="15" t="s">
        <v>90</v>
      </c>
      <c r="C81" s="15" t="s">
        <v>170</v>
      </c>
      <c r="D81" s="15" t="s">
        <v>186</v>
      </c>
      <c r="E81" s="15">
        <v>360</v>
      </c>
      <c r="F81" s="15">
        <v>1080</v>
      </c>
      <c r="G81" s="17">
        <v>88</v>
      </c>
      <c r="H81" s="17">
        <v>267</v>
      </c>
      <c r="I81" s="17">
        <v>222</v>
      </c>
      <c r="J81" s="17">
        <v>240</v>
      </c>
      <c r="L81" s="17">
        <f t="shared" si="2"/>
        <v>101</v>
      </c>
      <c r="M81" s="17">
        <f t="shared" si="2"/>
        <v>307</v>
      </c>
      <c r="N81" s="17">
        <f t="shared" si="2"/>
        <v>255</v>
      </c>
      <c r="O81" s="17">
        <f t="shared" si="1"/>
        <v>276</v>
      </c>
    </row>
    <row r="82" spans="1:15" x14ac:dyDescent="0.25">
      <c r="A82" s="15">
        <v>3316</v>
      </c>
      <c r="B82" s="15" t="s">
        <v>90</v>
      </c>
      <c r="C82" s="15" t="s">
        <v>170</v>
      </c>
      <c r="D82" s="15" t="s">
        <v>187</v>
      </c>
      <c r="E82" s="15">
        <v>420</v>
      </c>
      <c r="F82" s="15">
        <v>1080</v>
      </c>
      <c r="G82" s="17">
        <v>88</v>
      </c>
      <c r="H82" s="17">
        <v>304</v>
      </c>
      <c r="I82" s="17">
        <v>241</v>
      </c>
      <c r="J82" s="17">
        <v>259</v>
      </c>
      <c r="L82" s="17">
        <f t="shared" si="2"/>
        <v>101</v>
      </c>
      <c r="M82" s="17">
        <f t="shared" si="2"/>
        <v>350</v>
      </c>
      <c r="N82" s="17">
        <f t="shared" si="2"/>
        <v>277</v>
      </c>
      <c r="O82" s="17">
        <f t="shared" si="1"/>
        <v>298</v>
      </c>
    </row>
    <row r="83" spans="1:15" x14ac:dyDescent="0.25">
      <c r="A83" s="15">
        <v>3317</v>
      </c>
      <c r="B83" s="15" t="s">
        <v>90</v>
      </c>
      <c r="C83" s="15" t="s">
        <v>170</v>
      </c>
      <c r="D83" s="15" t="s">
        <v>188</v>
      </c>
      <c r="E83" s="15">
        <v>580</v>
      </c>
      <c r="F83" s="15">
        <v>1080</v>
      </c>
      <c r="G83" s="17">
        <v>119</v>
      </c>
      <c r="H83" s="17">
        <v>377</v>
      </c>
      <c r="I83" s="17">
        <v>300</v>
      </c>
      <c r="J83" s="17">
        <v>307</v>
      </c>
      <c r="L83" s="17">
        <f t="shared" si="2"/>
        <v>137</v>
      </c>
      <c r="M83" s="17">
        <f t="shared" si="2"/>
        <v>434</v>
      </c>
      <c r="N83" s="17">
        <f t="shared" si="2"/>
        <v>345</v>
      </c>
      <c r="O83" s="17">
        <f t="shared" si="1"/>
        <v>353</v>
      </c>
    </row>
    <row r="84" spans="1:15" x14ac:dyDescent="0.25">
      <c r="A84" s="15">
        <v>3318</v>
      </c>
      <c r="B84" s="15" t="s">
        <v>90</v>
      </c>
      <c r="C84" s="15" t="s">
        <v>170</v>
      </c>
      <c r="D84" s="15" t="s">
        <v>189</v>
      </c>
      <c r="E84" s="15">
        <v>780</v>
      </c>
      <c r="F84" s="15">
        <v>1080</v>
      </c>
      <c r="G84" s="17">
        <v>161</v>
      </c>
      <c r="H84" s="17">
        <v>517</v>
      </c>
      <c r="I84" s="17">
        <v>409</v>
      </c>
      <c r="J84" s="17">
        <v>385</v>
      </c>
      <c r="L84" s="17">
        <f t="shared" si="2"/>
        <v>185</v>
      </c>
      <c r="M84" s="17">
        <f t="shared" si="2"/>
        <v>595</v>
      </c>
      <c r="N84" s="17">
        <f t="shared" si="2"/>
        <v>470</v>
      </c>
      <c r="O84" s="17">
        <f t="shared" si="1"/>
        <v>443</v>
      </c>
    </row>
    <row r="85" spans="1:15" x14ac:dyDescent="0.25">
      <c r="A85" s="15">
        <v>3319</v>
      </c>
      <c r="B85" s="15" t="s">
        <v>90</v>
      </c>
      <c r="C85" s="15" t="s">
        <v>170</v>
      </c>
      <c r="D85" s="15" t="s">
        <v>190</v>
      </c>
      <c r="E85" s="15">
        <v>980</v>
      </c>
      <c r="F85" s="15">
        <v>1080</v>
      </c>
      <c r="G85" s="17">
        <v>200</v>
      </c>
      <c r="H85" s="17">
        <v>626</v>
      </c>
      <c r="I85" s="17">
        <v>474</v>
      </c>
      <c r="J85" s="17">
        <v>431</v>
      </c>
      <c r="L85" s="17">
        <f t="shared" si="2"/>
        <v>230</v>
      </c>
      <c r="M85" s="17">
        <f t="shared" si="2"/>
        <v>720</v>
      </c>
      <c r="N85" s="17">
        <f t="shared" si="2"/>
        <v>545</v>
      </c>
      <c r="O85" s="17">
        <f t="shared" si="1"/>
        <v>496</v>
      </c>
    </row>
    <row r="86" spans="1:15" x14ac:dyDescent="0.25">
      <c r="A86" s="15">
        <v>3320</v>
      </c>
      <c r="B86" s="15" t="s">
        <v>90</v>
      </c>
      <c r="C86" s="15" t="s">
        <v>170</v>
      </c>
      <c r="D86" s="15" t="s">
        <v>191</v>
      </c>
      <c r="E86" s="15">
        <v>360</v>
      </c>
      <c r="F86" s="15">
        <v>1440</v>
      </c>
      <c r="G86" s="17">
        <v>100</v>
      </c>
      <c r="H86" s="17">
        <v>336</v>
      </c>
      <c r="I86" s="17">
        <v>281</v>
      </c>
      <c r="J86" s="17">
        <v>529</v>
      </c>
      <c r="L86" s="17">
        <f t="shared" si="2"/>
        <v>115</v>
      </c>
      <c r="M86" s="17">
        <f t="shared" si="2"/>
        <v>386</v>
      </c>
      <c r="N86" s="17">
        <f t="shared" si="2"/>
        <v>323</v>
      </c>
      <c r="O86" s="17">
        <f t="shared" si="1"/>
        <v>608</v>
      </c>
    </row>
    <row r="87" spans="1:15" x14ac:dyDescent="0.25">
      <c r="A87" s="15">
        <v>3321</v>
      </c>
      <c r="B87" s="15" t="s">
        <v>90</v>
      </c>
      <c r="C87" s="15" t="s">
        <v>170</v>
      </c>
      <c r="D87" s="15" t="s">
        <v>192</v>
      </c>
      <c r="E87" s="15">
        <v>420</v>
      </c>
      <c r="F87" s="15">
        <v>1440</v>
      </c>
      <c r="G87" s="17">
        <v>115</v>
      </c>
      <c r="H87" s="17">
        <v>365</v>
      </c>
      <c r="I87" s="17">
        <v>291</v>
      </c>
      <c r="J87" s="17">
        <v>547</v>
      </c>
      <c r="L87" s="17">
        <f t="shared" si="2"/>
        <v>132</v>
      </c>
      <c r="M87" s="17">
        <f t="shared" si="2"/>
        <v>420</v>
      </c>
      <c r="N87" s="17">
        <f t="shared" si="2"/>
        <v>335</v>
      </c>
      <c r="O87" s="17">
        <f t="shared" si="1"/>
        <v>629</v>
      </c>
    </row>
    <row r="88" spans="1:15" x14ac:dyDescent="0.25">
      <c r="A88" s="15">
        <v>3322</v>
      </c>
      <c r="B88" s="15" t="s">
        <v>90</v>
      </c>
      <c r="C88" s="15" t="s">
        <v>170</v>
      </c>
      <c r="D88" s="15" t="s">
        <v>193</v>
      </c>
      <c r="E88" s="15">
        <v>580</v>
      </c>
      <c r="F88" s="15">
        <v>1440</v>
      </c>
      <c r="G88" s="17">
        <v>158</v>
      </c>
      <c r="H88" s="17">
        <v>484</v>
      </c>
      <c r="I88" s="17">
        <v>400</v>
      </c>
      <c r="J88" s="17">
        <v>752</v>
      </c>
      <c r="L88" s="17">
        <f t="shared" si="2"/>
        <v>182</v>
      </c>
      <c r="M88" s="17">
        <f t="shared" si="2"/>
        <v>557</v>
      </c>
      <c r="N88" s="17">
        <f t="shared" si="2"/>
        <v>460</v>
      </c>
      <c r="O88" s="17">
        <f t="shared" si="1"/>
        <v>865</v>
      </c>
    </row>
    <row r="89" spans="1:15" x14ac:dyDescent="0.25">
      <c r="A89" s="15">
        <v>3323</v>
      </c>
      <c r="B89" s="15" t="s">
        <v>90</v>
      </c>
      <c r="C89" s="15" t="s">
        <v>170</v>
      </c>
      <c r="D89" s="15" t="s">
        <v>194</v>
      </c>
      <c r="E89" s="15">
        <v>780</v>
      </c>
      <c r="F89" s="15">
        <v>1440</v>
      </c>
      <c r="G89" s="17">
        <v>211</v>
      </c>
      <c r="H89" s="17">
        <v>630</v>
      </c>
      <c r="I89" s="17">
        <v>499</v>
      </c>
      <c r="J89" s="17">
        <v>939</v>
      </c>
      <c r="L89" s="17">
        <f t="shared" si="2"/>
        <v>243</v>
      </c>
      <c r="M89" s="17">
        <f t="shared" si="2"/>
        <v>725</v>
      </c>
      <c r="N89" s="17">
        <f t="shared" si="2"/>
        <v>574</v>
      </c>
      <c r="O89" s="17">
        <f t="shared" si="1"/>
        <v>1080</v>
      </c>
    </row>
    <row r="90" spans="1:15" x14ac:dyDescent="0.25">
      <c r="A90" s="15">
        <v>3324</v>
      </c>
      <c r="B90" s="15" t="s">
        <v>90</v>
      </c>
      <c r="C90" s="15" t="s">
        <v>170</v>
      </c>
      <c r="D90" s="15" t="s">
        <v>195</v>
      </c>
      <c r="E90" s="15">
        <v>980</v>
      </c>
      <c r="F90" s="15">
        <v>1440</v>
      </c>
      <c r="G90" s="17">
        <v>264</v>
      </c>
      <c r="H90" s="17">
        <v>778</v>
      </c>
      <c r="I90" s="17">
        <v>616</v>
      </c>
      <c r="J90" s="17">
        <v>1159</v>
      </c>
      <c r="L90" s="17">
        <f t="shared" si="2"/>
        <v>304</v>
      </c>
      <c r="M90" s="17">
        <f t="shared" si="2"/>
        <v>895</v>
      </c>
      <c r="N90" s="17">
        <f t="shared" si="2"/>
        <v>708</v>
      </c>
      <c r="O90" s="17">
        <f t="shared" si="1"/>
        <v>1333</v>
      </c>
    </row>
    <row r="91" spans="1:15" x14ac:dyDescent="0.25">
      <c r="A91" s="15">
        <v>3325</v>
      </c>
      <c r="B91" s="15" t="s">
        <v>90</v>
      </c>
      <c r="C91" s="15" t="s">
        <v>170</v>
      </c>
      <c r="D91" s="15" t="s">
        <v>196</v>
      </c>
      <c r="E91" s="15">
        <v>360</v>
      </c>
      <c r="F91" s="15">
        <v>1800</v>
      </c>
      <c r="G91" s="17">
        <v>125</v>
      </c>
      <c r="H91" s="17">
        <v>246</v>
      </c>
      <c r="I91" s="17">
        <v>343</v>
      </c>
      <c r="J91" s="17">
        <v>645</v>
      </c>
      <c r="L91" s="17">
        <f t="shared" si="2"/>
        <v>144</v>
      </c>
      <c r="M91" s="17">
        <f t="shared" si="2"/>
        <v>283</v>
      </c>
      <c r="N91" s="17">
        <f t="shared" si="2"/>
        <v>394</v>
      </c>
      <c r="O91" s="17">
        <f t="shared" si="1"/>
        <v>742</v>
      </c>
    </row>
    <row r="92" spans="1:15" x14ac:dyDescent="0.25">
      <c r="A92" s="15">
        <v>3326</v>
      </c>
      <c r="B92" s="15" t="s">
        <v>90</v>
      </c>
      <c r="C92" s="15" t="s">
        <v>170</v>
      </c>
      <c r="D92" s="15" t="s">
        <v>197</v>
      </c>
      <c r="E92" s="15">
        <v>420</v>
      </c>
      <c r="F92" s="15">
        <v>1800</v>
      </c>
      <c r="G92" s="17">
        <v>143</v>
      </c>
      <c r="H92" s="17">
        <v>281</v>
      </c>
      <c r="I92" s="17">
        <v>350</v>
      </c>
      <c r="J92" s="17">
        <v>658</v>
      </c>
      <c r="L92" s="17">
        <f t="shared" si="2"/>
        <v>164</v>
      </c>
      <c r="M92" s="17">
        <f t="shared" si="2"/>
        <v>323</v>
      </c>
      <c r="N92" s="17">
        <f t="shared" si="2"/>
        <v>403</v>
      </c>
      <c r="O92" s="17">
        <f t="shared" si="1"/>
        <v>757</v>
      </c>
    </row>
    <row r="93" spans="1:15" x14ac:dyDescent="0.25">
      <c r="A93" s="15">
        <v>3327</v>
      </c>
      <c r="B93" s="15" t="s">
        <v>90</v>
      </c>
      <c r="C93" s="15" t="s">
        <v>170</v>
      </c>
      <c r="D93" s="15" t="s">
        <v>198</v>
      </c>
      <c r="E93" s="15">
        <v>580</v>
      </c>
      <c r="F93" s="15">
        <v>1800</v>
      </c>
      <c r="G93" s="17">
        <v>197</v>
      </c>
      <c r="H93" s="17">
        <v>388</v>
      </c>
      <c r="I93" s="17">
        <v>467</v>
      </c>
      <c r="J93" s="17">
        <v>879</v>
      </c>
      <c r="L93" s="17">
        <f t="shared" si="2"/>
        <v>227</v>
      </c>
      <c r="M93" s="17">
        <f t="shared" si="2"/>
        <v>446</v>
      </c>
      <c r="N93" s="17">
        <f t="shared" si="2"/>
        <v>537</v>
      </c>
      <c r="O93" s="17">
        <f t="shared" si="1"/>
        <v>1011</v>
      </c>
    </row>
    <row r="94" spans="1:15" x14ac:dyDescent="0.25">
      <c r="A94" s="15">
        <v>3328</v>
      </c>
      <c r="B94" s="15" t="s">
        <v>90</v>
      </c>
      <c r="C94" s="15" t="s">
        <v>170</v>
      </c>
      <c r="D94" s="15" t="s">
        <v>199</v>
      </c>
      <c r="E94" s="15">
        <v>780</v>
      </c>
      <c r="F94" s="15">
        <v>1800</v>
      </c>
      <c r="G94" s="17">
        <v>264</v>
      </c>
      <c r="H94" s="17">
        <v>520</v>
      </c>
      <c r="I94" s="17">
        <v>612</v>
      </c>
      <c r="J94" s="17">
        <v>1151</v>
      </c>
      <c r="L94" s="17">
        <f t="shared" si="2"/>
        <v>304</v>
      </c>
      <c r="M94" s="17">
        <f t="shared" si="2"/>
        <v>598</v>
      </c>
      <c r="N94" s="17">
        <f t="shared" si="2"/>
        <v>704</v>
      </c>
      <c r="O94" s="17">
        <f t="shared" si="1"/>
        <v>1324</v>
      </c>
    </row>
    <row r="95" spans="1:15" x14ac:dyDescent="0.25">
      <c r="A95" s="15">
        <v>3329</v>
      </c>
      <c r="B95" s="15" t="s">
        <v>90</v>
      </c>
      <c r="C95" s="15" t="s">
        <v>170</v>
      </c>
      <c r="D95" s="15" t="s">
        <v>200</v>
      </c>
      <c r="E95" s="15">
        <v>980</v>
      </c>
      <c r="F95" s="15">
        <v>1800</v>
      </c>
      <c r="G95" s="17">
        <v>329</v>
      </c>
      <c r="H95" s="17">
        <v>648</v>
      </c>
      <c r="I95" s="17">
        <v>753</v>
      </c>
      <c r="J95" s="17">
        <v>1417</v>
      </c>
      <c r="L95" s="17">
        <f t="shared" si="2"/>
        <v>378</v>
      </c>
      <c r="M95" s="17">
        <f t="shared" si="2"/>
        <v>745</v>
      </c>
      <c r="N95" s="17">
        <f t="shared" si="2"/>
        <v>866</v>
      </c>
      <c r="O95" s="17">
        <f t="shared" si="1"/>
        <v>1630</v>
      </c>
    </row>
    <row r="96" spans="1:15" x14ac:dyDescent="0.25">
      <c r="A96" s="15">
        <v>3500</v>
      </c>
      <c r="B96" s="15" t="s">
        <v>90</v>
      </c>
      <c r="C96" s="15" t="s">
        <v>201</v>
      </c>
      <c r="D96" s="15" t="s">
        <v>202</v>
      </c>
      <c r="E96" s="15">
        <v>360</v>
      </c>
      <c r="F96" s="15">
        <v>180</v>
      </c>
      <c r="G96" s="17">
        <v>34</v>
      </c>
      <c r="H96" s="17">
        <v>114</v>
      </c>
      <c r="I96" s="17">
        <v>89</v>
      </c>
      <c r="J96" s="17">
        <v>201</v>
      </c>
      <c r="L96" s="17">
        <f t="shared" si="2"/>
        <v>39</v>
      </c>
      <c r="M96" s="17">
        <f t="shared" si="2"/>
        <v>131</v>
      </c>
      <c r="N96" s="17">
        <f t="shared" si="2"/>
        <v>102</v>
      </c>
      <c r="O96" s="17">
        <f t="shared" si="1"/>
        <v>231</v>
      </c>
    </row>
    <row r="97" spans="1:15" x14ac:dyDescent="0.25">
      <c r="A97" s="15">
        <v>3501</v>
      </c>
      <c r="B97" s="15" t="s">
        <v>90</v>
      </c>
      <c r="C97" s="15" t="s">
        <v>201</v>
      </c>
      <c r="D97" s="15" t="s">
        <v>203</v>
      </c>
      <c r="E97" s="15">
        <v>360</v>
      </c>
      <c r="F97" s="15">
        <v>360</v>
      </c>
      <c r="G97" s="17">
        <v>34</v>
      </c>
      <c r="H97" s="17">
        <v>114</v>
      </c>
      <c r="I97" s="17">
        <v>89</v>
      </c>
      <c r="J97" s="17">
        <v>177</v>
      </c>
      <c r="L97" s="17">
        <f t="shared" si="2"/>
        <v>39</v>
      </c>
      <c r="M97" s="17">
        <f t="shared" si="2"/>
        <v>131</v>
      </c>
      <c r="N97" s="17">
        <f t="shared" si="2"/>
        <v>102</v>
      </c>
      <c r="O97" s="17">
        <f t="shared" si="1"/>
        <v>204</v>
      </c>
    </row>
    <row r="98" spans="1:15" x14ac:dyDescent="0.25">
      <c r="A98" s="15">
        <v>3502</v>
      </c>
      <c r="B98" s="15" t="s">
        <v>90</v>
      </c>
      <c r="C98" s="15" t="s">
        <v>201</v>
      </c>
      <c r="D98" s="15" t="s">
        <v>204</v>
      </c>
      <c r="E98" s="15">
        <v>360</v>
      </c>
      <c r="F98" s="15">
        <v>720</v>
      </c>
      <c r="G98" s="17">
        <v>52</v>
      </c>
      <c r="H98" s="17">
        <v>181</v>
      </c>
      <c r="I98" s="17">
        <v>143</v>
      </c>
      <c r="J98" s="17">
        <v>212</v>
      </c>
      <c r="L98" s="17">
        <f t="shared" si="2"/>
        <v>60</v>
      </c>
      <c r="M98" s="17">
        <f t="shared" si="2"/>
        <v>208</v>
      </c>
      <c r="N98" s="17">
        <f t="shared" si="2"/>
        <v>164</v>
      </c>
      <c r="O98" s="17">
        <f t="shared" si="1"/>
        <v>244</v>
      </c>
    </row>
    <row r="99" spans="1:15" x14ac:dyDescent="0.25">
      <c r="A99" s="15">
        <v>3503</v>
      </c>
      <c r="B99" s="15" t="s">
        <v>90</v>
      </c>
      <c r="C99" s="15" t="s">
        <v>201</v>
      </c>
      <c r="D99" s="15" t="s">
        <v>205</v>
      </c>
      <c r="E99" s="15">
        <v>360</v>
      </c>
      <c r="F99" s="15">
        <v>1080</v>
      </c>
      <c r="G99" s="17">
        <v>76</v>
      </c>
      <c r="H99" s="17">
        <v>267</v>
      </c>
      <c r="I99" s="17">
        <v>222</v>
      </c>
      <c r="J99" s="17">
        <v>240</v>
      </c>
      <c r="L99" s="17">
        <f t="shared" si="2"/>
        <v>87</v>
      </c>
      <c r="M99" s="17">
        <f t="shared" si="2"/>
        <v>307</v>
      </c>
      <c r="N99" s="17">
        <f t="shared" si="2"/>
        <v>255</v>
      </c>
      <c r="O99" s="17">
        <f t="shared" si="1"/>
        <v>276</v>
      </c>
    </row>
    <row r="100" spans="1:15" x14ac:dyDescent="0.25">
      <c r="A100" s="15">
        <v>3504</v>
      </c>
      <c r="B100" s="15" t="s">
        <v>90</v>
      </c>
      <c r="C100" s="15" t="s">
        <v>201</v>
      </c>
      <c r="D100" s="15" t="s">
        <v>206</v>
      </c>
      <c r="E100" s="15">
        <v>360</v>
      </c>
      <c r="F100" s="15">
        <v>1440</v>
      </c>
      <c r="G100" s="17">
        <v>100</v>
      </c>
      <c r="H100" s="17">
        <v>336</v>
      </c>
      <c r="I100" s="17">
        <v>281</v>
      </c>
      <c r="J100" s="17">
        <v>529</v>
      </c>
      <c r="L100" s="17">
        <f t="shared" si="2"/>
        <v>115</v>
      </c>
      <c r="M100" s="17">
        <f t="shared" si="2"/>
        <v>386</v>
      </c>
      <c r="N100" s="17">
        <f t="shared" si="2"/>
        <v>323</v>
      </c>
      <c r="O100" s="17">
        <f t="shared" si="1"/>
        <v>608</v>
      </c>
    </row>
    <row r="101" spans="1:15" x14ac:dyDescent="0.25">
      <c r="A101" s="15">
        <v>3505</v>
      </c>
      <c r="B101" s="15" t="s">
        <v>90</v>
      </c>
      <c r="C101" s="15" t="s">
        <v>201</v>
      </c>
      <c r="D101" s="15" t="s">
        <v>207</v>
      </c>
      <c r="E101" s="15">
        <v>360</v>
      </c>
      <c r="F101" s="15">
        <v>1800</v>
      </c>
      <c r="G101" s="17">
        <v>125</v>
      </c>
      <c r="H101" s="17">
        <v>246</v>
      </c>
      <c r="I101" s="17">
        <v>343</v>
      </c>
      <c r="J101" s="17">
        <v>645</v>
      </c>
      <c r="L101" s="17">
        <f t="shared" si="2"/>
        <v>144</v>
      </c>
      <c r="M101" s="17">
        <f t="shared" si="2"/>
        <v>283</v>
      </c>
      <c r="N101" s="17">
        <f t="shared" si="2"/>
        <v>394</v>
      </c>
      <c r="O101" s="17">
        <f t="shared" si="1"/>
        <v>742</v>
      </c>
    </row>
    <row r="102" spans="1:15" x14ac:dyDescent="0.25">
      <c r="A102" s="15">
        <v>3506</v>
      </c>
      <c r="B102" s="15" t="s">
        <v>90</v>
      </c>
      <c r="C102" s="15" t="s">
        <v>201</v>
      </c>
      <c r="D102" s="15" t="s">
        <v>208</v>
      </c>
      <c r="E102" s="15">
        <v>580</v>
      </c>
      <c r="F102" s="15">
        <v>180</v>
      </c>
      <c r="G102" s="17">
        <v>43</v>
      </c>
      <c r="H102" s="17">
        <v>161</v>
      </c>
      <c r="I102" s="17">
        <v>130</v>
      </c>
      <c r="J102" s="17">
        <v>208</v>
      </c>
      <c r="L102" s="17">
        <f t="shared" si="2"/>
        <v>49</v>
      </c>
      <c r="M102" s="17">
        <f t="shared" si="2"/>
        <v>185</v>
      </c>
      <c r="N102" s="17">
        <f t="shared" si="2"/>
        <v>150</v>
      </c>
      <c r="O102" s="17">
        <f t="shared" si="1"/>
        <v>239</v>
      </c>
    </row>
    <row r="103" spans="1:15" x14ac:dyDescent="0.25">
      <c r="A103" s="15">
        <v>3507</v>
      </c>
      <c r="B103" s="15" t="s">
        <v>90</v>
      </c>
      <c r="C103" s="15" t="s">
        <v>201</v>
      </c>
      <c r="D103" s="15" t="s">
        <v>209</v>
      </c>
      <c r="E103" s="15">
        <v>580</v>
      </c>
      <c r="F103" s="15">
        <v>360</v>
      </c>
      <c r="G103" s="17">
        <v>43</v>
      </c>
      <c r="H103" s="17">
        <v>161</v>
      </c>
      <c r="I103" s="17">
        <v>130</v>
      </c>
      <c r="J103" s="17">
        <v>185</v>
      </c>
      <c r="L103" s="17">
        <f t="shared" si="2"/>
        <v>49</v>
      </c>
      <c r="M103" s="17">
        <f t="shared" si="2"/>
        <v>185</v>
      </c>
      <c r="N103" s="17">
        <f t="shared" si="2"/>
        <v>150</v>
      </c>
      <c r="O103" s="17">
        <f t="shared" si="1"/>
        <v>213</v>
      </c>
    </row>
    <row r="104" spans="1:15" x14ac:dyDescent="0.25">
      <c r="A104" s="15">
        <v>3508</v>
      </c>
      <c r="B104" s="15" t="s">
        <v>90</v>
      </c>
      <c r="C104" s="15" t="s">
        <v>201</v>
      </c>
      <c r="D104" s="15" t="s">
        <v>210</v>
      </c>
      <c r="E104" s="15">
        <v>580</v>
      </c>
      <c r="F104" s="15">
        <v>720</v>
      </c>
      <c r="G104" s="17">
        <v>82</v>
      </c>
      <c r="H104" s="17">
        <v>262</v>
      </c>
      <c r="I104" s="17">
        <v>216</v>
      </c>
      <c r="J104" s="17">
        <v>245</v>
      </c>
      <c r="L104" s="17">
        <f t="shared" si="2"/>
        <v>94</v>
      </c>
      <c r="M104" s="17">
        <f t="shared" si="2"/>
        <v>301</v>
      </c>
      <c r="N104" s="17">
        <f t="shared" si="2"/>
        <v>248</v>
      </c>
      <c r="O104" s="17">
        <f t="shared" si="1"/>
        <v>282</v>
      </c>
    </row>
    <row r="105" spans="1:15" x14ac:dyDescent="0.25">
      <c r="A105" s="15">
        <v>3509</v>
      </c>
      <c r="B105" s="15" t="s">
        <v>90</v>
      </c>
      <c r="C105" s="15" t="s">
        <v>201</v>
      </c>
      <c r="D105" s="15" t="s">
        <v>211</v>
      </c>
      <c r="E105" s="15">
        <v>580</v>
      </c>
      <c r="F105" s="15">
        <v>1080</v>
      </c>
      <c r="G105" s="17">
        <v>119</v>
      </c>
      <c r="H105" s="17">
        <v>377</v>
      </c>
      <c r="I105" s="17">
        <v>300</v>
      </c>
      <c r="J105" s="17">
        <v>307</v>
      </c>
      <c r="L105" s="17">
        <f t="shared" si="2"/>
        <v>137</v>
      </c>
      <c r="M105" s="17">
        <f t="shared" si="2"/>
        <v>434</v>
      </c>
      <c r="N105" s="17">
        <f t="shared" si="2"/>
        <v>345</v>
      </c>
      <c r="O105" s="17">
        <f t="shared" si="1"/>
        <v>353</v>
      </c>
    </row>
    <row r="106" spans="1:15" x14ac:dyDescent="0.25">
      <c r="A106" s="15">
        <v>3510</v>
      </c>
      <c r="B106" s="15" t="s">
        <v>90</v>
      </c>
      <c r="C106" s="15" t="s">
        <v>201</v>
      </c>
      <c r="D106" s="15" t="s">
        <v>212</v>
      </c>
      <c r="E106" s="15">
        <v>580</v>
      </c>
      <c r="F106" s="15">
        <v>1440</v>
      </c>
      <c r="G106" s="17">
        <v>158</v>
      </c>
      <c r="H106" s="17">
        <v>484</v>
      </c>
      <c r="I106" s="17">
        <v>400</v>
      </c>
      <c r="J106" s="17">
        <v>752</v>
      </c>
      <c r="L106" s="17">
        <f t="shared" si="2"/>
        <v>182</v>
      </c>
      <c r="M106" s="17">
        <f t="shared" si="2"/>
        <v>557</v>
      </c>
      <c r="N106" s="17">
        <f t="shared" si="2"/>
        <v>460</v>
      </c>
      <c r="O106" s="17">
        <f t="shared" si="1"/>
        <v>865</v>
      </c>
    </row>
    <row r="107" spans="1:15" x14ac:dyDescent="0.25">
      <c r="A107" s="15">
        <v>3511</v>
      </c>
      <c r="B107" s="15" t="s">
        <v>90</v>
      </c>
      <c r="C107" s="15" t="s">
        <v>201</v>
      </c>
      <c r="D107" s="15" t="s">
        <v>213</v>
      </c>
      <c r="E107" s="15">
        <v>580</v>
      </c>
      <c r="F107" s="15">
        <v>1800</v>
      </c>
      <c r="G107" s="17">
        <v>197</v>
      </c>
      <c r="H107" s="17">
        <v>388</v>
      </c>
      <c r="I107" s="17">
        <v>467</v>
      </c>
      <c r="J107" s="17">
        <v>879</v>
      </c>
      <c r="L107" s="17">
        <f t="shared" si="2"/>
        <v>227</v>
      </c>
      <c r="M107" s="17">
        <f t="shared" si="2"/>
        <v>446</v>
      </c>
      <c r="N107" s="17">
        <f t="shared" si="2"/>
        <v>537</v>
      </c>
      <c r="O107" s="17">
        <f t="shared" si="1"/>
        <v>1011</v>
      </c>
    </row>
    <row r="108" spans="1:15" x14ac:dyDescent="0.25">
      <c r="A108" s="15">
        <v>3512</v>
      </c>
      <c r="B108" s="15" t="s">
        <v>90</v>
      </c>
      <c r="C108" s="15" t="s">
        <v>201</v>
      </c>
      <c r="D108" s="15" t="s">
        <v>214</v>
      </c>
      <c r="E108" s="15">
        <v>180</v>
      </c>
      <c r="F108" s="15">
        <v>780</v>
      </c>
      <c r="G108" s="17">
        <v>56</v>
      </c>
      <c r="H108" s="17">
        <v>185</v>
      </c>
      <c r="I108" s="17">
        <v>144</v>
      </c>
      <c r="J108" s="17">
        <v>212</v>
      </c>
      <c r="L108" s="17">
        <f t="shared" si="2"/>
        <v>64</v>
      </c>
      <c r="M108" s="17">
        <f t="shared" si="2"/>
        <v>213</v>
      </c>
      <c r="N108" s="17">
        <f t="shared" si="2"/>
        <v>166</v>
      </c>
      <c r="O108" s="17">
        <f t="shared" si="1"/>
        <v>244</v>
      </c>
    </row>
    <row r="109" spans="1:15" x14ac:dyDescent="0.25">
      <c r="A109" s="15">
        <v>3513</v>
      </c>
      <c r="B109" s="15" t="s">
        <v>90</v>
      </c>
      <c r="C109" s="15" t="s">
        <v>201</v>
      </c>
      <c r="D109" s="15" t="s">
        <v>215</v>
      </c>
      <c r="E109" s="15">
        <v>180</v>
      </c>
      <c r="F109" s="15">
        <v>980</v>
      </c>
      <c r="G109" s="17">
        <v>70</v>
      </c>
      <c r="H109" s="17">
        <v>223</v>
      </c>
      <c r="I109" s="17">
        <v>174</v>
      </c>
      <c r="J109" s="17">
        <v>229</v>
      </c>
      <c r="L109" s="17">
        <f t="shared" si="2"/>
        <v>81</v>
      </c>
      <c r="M109" s="17">
        <f t="shared" si="2"/>
        <v>256</v>
      </c>
      <c r="N109" s="17">
        <f t="shared" si="2"/>
        <v>200</v>
      </c>
      <c r="O109" s="17">
        <f t="shared" si="1"/>
        <v>263</v>
      </c>
    </row>
    <row r="110" spans="1:15" x14ac:dyDescent="0.25">
      <c r="A110" s="15">
        <v>3514</v>
      </c>
      <c r="B110" s="15" t="s">
        <v>90</v>
      </c>
      <c r="C110" s="15" t="s">
        <v>201</v>
      </c>
      <c r="D110" s="15" t="s">
        <v>216</v>
      </c>
      <c r="E110" s="15">
        <v>360</v>
      </c>
      <c r="F110" s="15">
        <v>780</v>
      </c>
      <c r="G110" s="17">
        <v>56</v>
      </c>
      <c r="H110" s="17">
        <v>185</v>
      </c>
      <c r="I110" s="17">
        <v>144</v>
      </c>
      <c r="J110" s="17">
        <v>190</v>
      </c>
      <c r="L110" s="17">
        <f t="shared" si="2"/>
        <v>64</v>
      </c>
      <c r="M110" s="17">
        <f t="shared" si="2"/>
        <v>213</v>
      </c>
      <c r="N110" s="17">
        <f t="shared" si="2"/>
        <v>166</v>
      </c>
      <c r="O110" s="17">
        <f t="shared" si="1"/>
        <v>219</v>
      </c>
    </row>
    <row r="111" spans="1:15" x14ac:dyDescent="0.25">
      <c r="A111" s="15">
        <v>3515</v>
      </c>
      <c r="B111" s="15" t="s">
        <v>90</v>
      </c>
      <c r="C111" s="15" t="s">
        <v>201</v>
      </c>
      <c r="D111" s="15" t="s">
        <v>217</v>
      </c>
      <c r="E111" s="15">
        <v>360</v>
      </c>
      <c r="F111" s="15">
        <v>980</v>
      </c>
      <c r="G111" s="17">
        <v>70</v>
      </c>
      <c r="H111" s="17">
        <v>223</v>
      </c>
      <c r="I111" s="17">
        <v>174</v>
      </c>
      <c r="J111" s="17">
        <v>209</v>
      </c>
      <c r="L111" s="17">
        <f t="shared" si="2"/>
        <v>81</v>
      </c>
      <c r="M111" s="17">
        <f t="shared" si="2"/>
        <v>256</v>
      </c>
      <c r="N111" s="17">
        <f t="shared" si="2"/>
        <v>200</v>
      </c>
      <c r="O111" s="17">
        <f t="shared" si="1"/>
        <v>240</v>
      </c>
    </row>
    <row r="112" spans="1:15" x14ac:dyDescent="0.25">
      <c r="A112" s="15">
        <v>3516</v>
      </c>
      <c r="B112" s="15" t="s">
        <v>90</v>
      </c>
      <c r="C112" s="15" t="s">
        <v>201</v>
      </c>
      <c r="D112" s="15" t="s">
        <v>218</v>
      </c>
      <c r="E112" s="15">
        <v>720</v>
      </c>
      <c r="F112" s="15">
        <v>780</v>
      </c>
      <c r="G112" s="17">
        <v>107</v>
      </c>
      <c r="H112" s="17">
        <v>355</v>
      </c>
      <c r="I112" s="17">
        <v>277</v>
      </c>
      <c r="J112" s="17">
        <v>268</v>
      </c>
      <c r="L112" s="17">
        <f t="shared" si="2"/>
        <v>123</v>
      </c>
      <c r="M112" s="17">
        <f t="shared" si="2"/>
        <v>408</v>
      </c>
      <c r="N112" s="17">
        <f t="shared" si="2"/>
        <v>319</v>
      </c>
      <c r="O112" s="17">
        <f t="shared" si="1"/>
        <v>308</v>
      </c>
    </row>
    <row r="113" spans="1:15" x14ac:dyDescent="0.25">
      <c r="A113" s="15">
        <v>3517</v>
      </c>
      <c r="B113" s="15" t="s">
        <v>90</v>
      </c>
      <c r="C113" s="15" t="s">
        <v>201</v>
      </c>
      <c r="D113" s="15" t="s">
        <v>219</v>
      </c>
      <c r="E113" s="15">
        <v>720</v>
      </c>
      <c r="F113" s="15">
        <v>980</v>
      </c>
      <c r="G113" s="17">
        <v>134</v>
      </c>
      <c r="H113" s="17">
        <v>406</v>
      </c>
      <c r="I113" s="17">
        <v>320</v>
      </c>
      <c r="J113" s="17">
        <v>329</v>
      </c>
      <c r="L113" s="17">
        <f t="shared" si="2"/>
        <v>154</v>
      </c>
      <c r="M113" s="17">
        <f t="shared" si="2"/>
        <v>467</v>
      </c>
      <c r="N113" s="17">
        <f t="shared" si="2"/>
        <v>368</v>
      </c>
      <c r="O113" s="17">
        <f t="shared" si="1"/>
        <v>378</v>
      </c>
    </row>
    <row r="114" spans="1:15" x14ac:dyDescent="0.25">
      <c r="A114" s="15">
        <v>3518</v>
      </c>
      <c r="B114" s="15" t="s">
        <v>90</v>
      </c>
      <c r="C114" s="15" t="s">
        <v>201</v>
      </c>
      <c r="D114" s="15" t="s">
        <v>220</v>
      </c>
      <c r="E114" s="15">
        <v>1080</v>
      </c>
      <c r="F114" s="15">
        <v>780</v>
      </c>
      <c r="G114" s="17">
        <v>161</v>
      </c>
      <c r="H114" s="17">
        <v>517</v>
      </c>
      <c r="I114" s="17">
        <v>409</v>
      </c>
      <c r="J114" s="17">
        <v>385</v>
      </c>
      <c r="L114" s="17">
        <f t="shared" si="2"/>
        <v>185</v>
      </c>
      <c r="M114" s="17">
        <f t="shared" si="2"/>
        <v>595</v>
      </c>
      <c r="N114" s="17">
        <f t="shared" si="2"/>
        <v>470</v>
      </c>
      <c r="O114" s="17">
        <f t="shared" si="1"/>
        <v>443</v>
      </c>
    </row>
    <row r="115" spans="1:15" x14ac:dyDescent="0.25">
      <c r="A115" s="15">
        <v>3519</v>
      </c>
      <c r="B115" s="15" t="s">
        <v>90</v>
      </c>
      <c r="C115" s="15" t="s">
        <v>201</v>
      </c>
      <c r="D115" s="15" t="s">
        <v>221</v>
      </c>
      <c r="E115" s="15">
        <v>1080</v>
      </c>
      <c r="F115" s="15">
        <v>980</v>
      </c>
      <c r="G115" s="17">
        <v>200</v>
      </c>
      <c r="H115" s="17">
        <v>626</v>
      </c>
      <c r="I115" s="17">
        <v>474</v>
      </c>
      <c r="J115" s="17">
        <v>431</v>
      </c>
      <c r="L115" s="17">
        <f t="shared" si="2"/>
        <v>230</v>
      </c>
      <c r="M115" s="17">
        <f t="shared" si="2"/>
        <v>720</v>
      </c>
      <c r="N115" s="17">
        <f t="shared" si="2"/>
        <v>545</v>
      </c>
      <c r="O115" s="17">
        <f t="shared" si="1"/>
        <v>496</v>
      </c>
    </row>
    <row r="116" spans="1:15" x14ac:dyDescent="0.25">
      <c r="A116" s="15">
        <v>3520</v>
      </c>
      <c r="B116" s="15" t="s">
        <v>90</v>
      </c>
      <c r="C116" s="15" t="s">
        <v>201</v>
      </c>
      <c r="D116" s="15" t="s">
        <v>222</v>
      </c>
      <c r="E116" s="15">
        <v>1440</v>
      </c>
      <c r="F116" s="15">
        <v>780</v>
      </c>
      <c r="G116" s="17">
        <v>211</v>
      </c>
      <c r="H116" s="17">
        <v>630</v>
      </c>
      <c r="I116" s="17">
        <v>499</v>
      </c>
      <c r="J116" s="17">
        <v>939</v>
      </c>
      <c r="L116" s="17">
        <f t="shared" si="2"/>
        <v>243</v>
      </c>
      <c r="M116" s="17">
        <f t="shared" si="2"/>
        <v>725</v>
      </c>
      <c r="N116" s="17">
        <f t="shared" si="2"/>
        <v>574</v>
      </c>
      <c r="O116" s="17">
        <f t="shared" si="1"/>
        <v>1080</v>
      </c>
    </row>
    <row r="117" spans="1:15" x14ac:dyDescent="0.25">
      <c r="A117" s="15">
        <v>3521</v>
      </c>
      <c r="B117" s="15" t="s">
        <v>90</v>
      </c>
      <c r="C117" s="15" t="s">
        <v>201</v>
      </c>
      <c r="D117" s="15" t="s">
        <v>223</v>
      </c>
      <c r="E117" s="15">
        <v>1440</v>
      </c>
      <c r="F117" s="15">
        <v>980</v>
      </c>
      <c r="G117" s="17">
        <v>264</v>
      </c>
      <c r="H117" s="17">
        <v>778</v>
      </c>
      <c r="I117" s="17">
        <v>616</v>
      </c>
      <c r="J117" s="17">
        <v>1159</v>
      </c>
      <c r="L117" s="17">
        <f t="shared" si="2"/>
        <v>304</v>
      </c>
      <c r="M117" s="17">
        <f t="shared" si="2"/>
        <v>895</v>
      </c>
      <c r="N117" s="17">
        <f t="shared" si="2"/>
        <v>708</v>
      </c>
      <c r="O117" s="17">
        <f t="shared" si="1"/>
        <v>1333</v>
      </c>
    </row>
    <row r="118" spans="1:15" x14ac:dyDescent="0.25">
      <c r="A118" s="15">
        <v>3522</v>
      </c>
      <c r="B118" s="15" t="s">
        <v>90</v>
      </c>
      <c r="C118" s="15" t="s">
        <v>201</v>
      </c>
      <c r="D118" s="15" t="s">
        <v>224</v>
      </c>
      <c r="E118" s="15">
        <v>1800</v>
      </c>
      <c r="F118" s="15">
        <v>780</v>
      </c>
      <c r="G118" s="17">
        <v>264</v>
      </c>
      <c r="H118" s="17">
        <v>520</v>
      </c>
      <c r="I118" s="17">
        <v>612</v>
      </c>
      <c r="J118" s="17">
        <v>1151</v>
      </c>
      <c r="L118" s="17">
        <f t="shared" si="2"/>
        <v>304</v>
      </c>
      <c r="M118" s="17">
        <f t="shared" si="2"/>
        <v>598</v>
      </c>
      <c r="N118" s="17">
        <f t="shared" si="2"/>
        <v>704</v>
      </c>
      <c r="O118" s="17">
        <f t="shared" si="1"/>
        <v>1324</v>
      </c>
    </row>
    <row r="119" spans="1:15" x14ac:dyDescent="0.25">
      <c r="A119" s="15">
        <v>3523</v>
      </c>
      <c r="B119" s="15" t="s">
        <v>90</v>
      </c>
      <c r="C119" s="15" t="s">
        <v>201</v>
      </c>
      <c r="D119" s="15" t="s">
        <v>225</v>
      </c>
      <c r="E119" s="15">
        <v>1800</v>
      </c>
      <c r="F119" s="15">
        <v>980</v>
      </c>
      <c r="G119" s="17">
        <v>329</v>
      </c>
      <c r="H119" s="17">
        <v>648</v>
      </c>
      <c r="I119" s="17">
        <v>753</v>
      </c>
      <c r="J119" s="17">
        <v>1417</v>
      </c>
      <c r="L119" s="17">
        <f t="shared" si="2"/>
        <v>378</v>
      </c>
      <c r="M119" s="17">
        <f t="shared" si="2"/>
        <v>745</v>
      </c>
      <c r="N119" s="17">
        <f t="shared" si="2"/>
        <v>866</v>
      </c>
      <c r="O119" s="17">
        <f t="shared" si="1"/>
        <v>1630</v>
      </c>
    </row>
    <row r="120" spans="1:15" x14ac:dyDescent="0.25">
      <c r="A120" s="15">
        <v>3524</v>
      </c>
      <c r="B120" s="15" t="s">
        <v>90</v>
      </c>
      <c r="C120" s="15" t="s">
        <v>201</v>
      </c>
      <c r="D120" s="15" t="s">
        <v>226</v>
      </c>
      <c r="E120" s="15">
        <v>580</v>
      </c>
      <c r="F120" s="15">
        <v>580</v>
      </c>
      <c r="G120" s="17">
        <v>67</v>
      </c>
      <c r="H120" s="17">
        <v>228</v>
      </c>
      <c r="I120" s="17">
        <v>183</v>
      </c>
      <c r="J120" s="17">
        <v>191</v>
      </c>
      <c r="L120" s="17">
        <f t="shared" si="2"/>
        <v>77</v>
      </c>
      <c r="M120" s="17">
        <f t="shared" si="2"/>
        <v>262</v>
      </c>
      <c r="N120" s="17">
        <f t="shared" si="2"/>
        <v>210</v>
      </c>
      <c r="O120" s="17">
        <f t="shared" si="1"/>
        <v>220</v>
      </c>
    </row>
    <row r="121" spans="1:15" x14ac:dyDescent="0.25">
      <c r="A121" s="15">
        <v>3600</v>
      </c>
      <c r="B121" s="15" t="s">
        <v>90</v>
      </c>
      <c r="C121" s="15" t="s">
        <v>227</v>
      </c>
      <c r="D121" s="15" t="s">
        <v>228</v>
      </c>
      <c r="E121" s="15">
        <v>360</v>
      </c>
      <c r="F121" s="15">
        <v>360</v>
      </c>
      <c r="G121" s="17">
        <v>34</v>
      </c>
      <c r="H121" s="17">
        <v>114</v>
      </c>
      <c r="I121" s="17">
        <v>89</v>
      </c>
      <c r="J121" s="17">
        <v>177</v>
      </c>
      <c r="L121" s="17">
        <f t="shared" si="2"/>
        <v>39</v>
      </c>
      <c r="M121" s="17">
        <f t="shared" si="2"/>
        <v>131</v>
      </c>
      <c r="N121" s="17">
        <f t="shared" si="2"/>
        <v>102</v>
      </c>
      <c r="O121" s="17">
        <f t="shared" si="1"/>
        <v>204</v>
      </c>
    </row>
    <row r="122" spans="1:15" x14ac:dyDescent="0.25">
      <c r="A122" s="15">
        <v>3601</v>
      </c>
      <c r="B122" s="15" t="s">
        <v>90</v>
      </c>
      <c r="C122" s="15" t="s">
        <v>227</v>
      </c>
      <c r="D122" s="15" t="s">
        <v>229</v>
      </c>
      <c r="E122" s="15">
        <v>360</v>
      </c>
      <c r="F122" s="15">
        <v>720</v>
      </c>
      <c r="G122" s="17">
        <v>52</v>
      </c>
      <c r="H122" s="17">
        <v>181</v>
      </c>
      <c r="I122" s="17">
        <v>143</v>
      </c>
      <c r="J122" s="17">
        <v>212</v>
      </c>
      <c r="L122" s="17">
        <f t="shared" si="2"/>
        <v>60</v>
      </c>
      <c r="M122" s="17">
        <f t="shared" si="2"/>
        <v>208</v>
      </c>
      <c r="N122" s="17">
        <f t="shared" si="2"/>
        <v>164</v>
      </c>
      <c r="O122" s="17">
        <f t="shared" si="1"/>
        <v>244</v>
      </c>
    </row>
    <row r="123" spans="1:15" x14ac:dyDescent="0.25">
      <c r="A123" s="15">
        <v>3602</v>
      </c>
      <c r="B123" s="15" t="s">
        <v>90</v>
      </c>
      <c r="C123" s="15" t="s">
        <v>227</v>
      </c>
      <c r="D123" s="15" t="s">
        <v>230</v>
      </c>
      <c r="E123" s="15">
        <v>360</v>
      </c>
      <c r="F123" s="15">
        <v>1080</v>
      </c>
      <c r="G123" s="17">
        <v>76</v>
      </c>
      <c r="H123" s="17">
        <v>267</v>
      </c>
      <c r="I123" s="17">
        <v>222</v>
      </c>
      <c r="J123" s="17">
        <v>240</v>
      </c>
      <c r="L123" s="17">
        <f t="shared" si="2"/>
        <v>87</v>
      </c>
      <c r="M123" s="17">
        <f t="shared" si="2"/>
        <v>307</v>
      </c>
      <c r="N123" s="17">
        <f t="shared" si="2"/>
        <v>255</v>
      </c>
      <c r="O123" s="17">
        <f t="shared" si="1"/>
        <v>276</v>
      </c>
    </row>
    <row r="124" spans="1:15" x14ac:dyDescent="0.25">
      <c r="A124" s="15">
        <v>3603</v>
      </c>
      <c r="B124" s="15" t="s">
        <v>90</v>
      </c>
      <c r="C124" s="15" t="s">
        <v>227</v>
      </c>
      <c r="D124" s="15" t="s">
        <v>231</v>
      </c>
      <c r="E124" s="15">
        <v>360</v>
      </c>
      <c r="F124" s="15">
        <v>1440</v>
      </c>
      <c r="G124" s="17">
        <v>100</v>
      </c>
      <c r="H124" s="17">
        <v>336</v>
      </c>
      <c r="I124" s="17">
        <v>281</v>
      </c>
      <c r="J124" s="17">
        <v>529</v>
      </c>
      <c r="L124" s="17">
        <f t="shared" si="2"/>
        <v>115</v>
      </c>
      <c r="M124" s="17">
        <f t="shared" si="2"/>
        <v>386</v>
      </c>
      <c r="N124" s="17">
        <f t="shared" si="2"/>
        <v>323</v>
      </c>
      <c r="O124" s="17">
        <f t="shared" si="1"/>
        <v>608</v>
      </c>
    </row>
    <row r="125" spans="1:15" x14ac:dyDescent="0.25">
      <c r="A125" s="15">
        <v>3604</v>
      </c>
      <c r="B125" s="15" t="s">
        <v>90</v>
      </c>
      <c r="C125" s="15" t="s">
        <v>227</v>
      </c>
      <c r="D125" s="15" t="s">
        <v>232</v>
      </c>
      <c r="E125" s="15">
        <v>360</v>
      </c>
      <c r="F125" s="15">
        <v>1800</v>
      </c>
      <c r="G125" s="17">
        <v>125</v>
      </c>
      <c r="H125" s="17">
        <v>246</v>
      </c>
      <c r="I125" s="17">
        <v>343</v>
      </c>
      <c r="J125" s="17">
        <v>645</v>
      </c>
      <c r="L125" s="17">
        <f t="shared" si="2"/>
        <v>144</v>
      </c>
      <c r="M125" s="17">
        <f t="shared" si="2"/>
        <v>283</v>
      </c>
      <c r="N125" s="17">
        <f t="shared" si="2"/>
        <v>394</v>
      </c>
      <c r="O125" s="17">
        <f t="shared" si="1"/>
        <v>742</v>
      </c>
    </row>
    <row r="126" spans="1:15" x14ac:dyDescent="0.25">
      <c r="A126" s="15">
        <v>3605</v>
      </c>
      <c r="B126" s="15" t="s">
        <v>90</v>
      </c>
      <c r="C126" s="15" t="s">
        <v>227</v>
      </c>
      <c r="D126" s="15" t="s">
        <v>233</v>
      </c>
      <c r="E126" s="15">
        <v>580</v>
      </c>
      <c r="F126" s="15">
        <v>360</v>
      </c>
      <c r="G126" s="17">
        <v>43</v>
      </c>
      <c r="H126" s="17">
        <v>161</v>
      </c>
      <c r="I126" s="17">
        <v>130</v>
      </c>
      <c r="J126" s="17">
        <v>185</v>
      </c>
      <c r="L126" s="17">
        <f t="shared" si="2"/>
        <v>49</v>
      </c>
      <c r="M126" s="17">
        <f t="shared" si="2"/>
        <v>185</v>
      </c>
      <c r="N126" s="17">
        <f t="shared" si="2"/>
        <v>150</v>
      </c>
      <c r="O126" s="17">
        <f t="shared" si="1"/>
        <v>213</v>
      </c>
    </row>
    <row r="127" spans="1:15" x14ac:dyDescent="0.25">
      <c r="A127" s="15">
        <v>3606</v>
      </c>
      <c r="B127" s="15" t="s">
        <v>90</v>
      </c>
      <c r="C127" s="15" t="s">
        <v>227</v>
      </c>
      <c r="D127" s="15" t="s">
        <v>234</v>
      </c>
      <c r="E127" s="15">
        <v>580</v>
      </c>
      <c r="F127" s="15">
        <v>720</v>
      </c>
      <c r="G127" s="17">
        <v>82</v>
      </c>
      <c r="H127" s="17">
        <v>262</v>
      </c>
      <c r="I127" s="17">
        <v>216</v>
      </c>
      <c r="J127" s="17">
        <v>245</v>
      </c>
      <c r="L127" s="17">
        <f t="shared" si="2"/>
        <v>94</v>
      </c>
      <c r="M127" s="17">
        <f t="shared" si="2"/>
        <v>301</v>
      </c>
      <c r="N127" s="17">
        <f t="shared" si="2"/>
        <v>248</v>
      </c>
      <c r="O127" s="17">
        <f t="shared" si="1"/>
        <v>282</v>
      </c>
    </row>
    <row r="128" spans="1:15" x14ac:dyDescent="0.25">
      <c r="A128" s="15">
        <v>3607</v>
      </c>
      <c r="B128" s="15" t="s">
        <v>90</v>
      </c>
      <c r="C128" s="15" t="s">
        <v>227</v>
      </c>
      <c r="D128" s="15" t="s">
        <v>235</v>
      </c>
      <c r="E128" s="15">
        <v>580</v>
      </c>
      <c r="F128" s="15">
        <v>1080</v>
      </c>
      <c r="G128" s="17">
        <v>119</v>
      </c>
      <c r="H128" s="17">
        <v>377</v>
      </c>
      <c r="I128" s="17">
        <v>300</v>
      </c>
      <c r="J128" s="17">
        <v>307</v>
      </c>
      <c r="L128" s="17">
        <f t="shared" si="2"/>
        <v>137</v>
      </c>
      <c r="M128" s="17">
        <f t="shared" si="2"/>
        <v>434</v>
      </c>
      <c r="N128" s="17">
        <f t="shared" si="2"/>
        <v>345</v>
      </c>
      <c r="O128" s="17">
        <f t="shared" si="1"/>
        <v>353</v>
      </c>
    </row>
    <row r="129" spans="1:15" x14ac:dyDescent="0.25">
      <c r="A129" s="15">
        <v>3608</v>
      </c>
      <c r="B129" s="15" t="s">
        <v>90</v>
      </c>
      <c r="C129" s="15" t="s">
        <v>227</v>
      </c>
      <c r="D129" s="15" t="s">
        <v>236</v>
      </c>
      <c r="E129" s="15">
        <v>580</v>
      </c>
      <c r="F129" s="15">
        <v>1440</v>
      </c>
      <c r="G129" s="17">
        <v>158</v>
      </c>
      <c r="H129" s="17">
        <v>484</v>
      </c>
      <c r="I129" s="17">
        <v>400</v>
      </c>
      <c r="J129" s="17">
        <v>752</v>
      </c>
      <c r="L129" s="17">
        <f t="shared" si="2"/>
        <v>182</v>
      </c>
      <c r="M129" s="17">
        <f t="shared" si="2"/>
        <v>557</v>
      </c>
      <c r="N129" s="17">
        <f t="shared" si="2"/>
        <v>460</v>
      </c>
      <c r="O129" s="17">
        <f t="shared" si="2"/>
        <v>865</v>
      </c>
    </row>
    <row r="130" spans="1:15" x14ac:dyDescent="0.25">
      <c r="A130" s="15">
        <v>3609</v>
      </c>
      <c r="B130" s="15" t="s">
        <v>90</v>
      </c>
      <c r="C130" s="15" t="s">
        <v>227</v>
      </c>
      <c r="D130" s="15" t="s">
        <v>237</v>
      </c>
      <c r="E130" s="15">
        <v>580</v>
      </c>
      <c r="F130" s="15">
        <v>1800</v>
      </c>
      <c r="G130" s="17">
        <v>197</v>
      </c>
      <c r="H130" s="17">
        <v>388</v>
      </c>
      <c r="I130" s="17">
        <v>467</v>
      </c>
      <c r="J130" s="17">
        <v>879</v>
      </c>
      <c r="L130" s="17">
        <f t="shared" ref="L130:O193" si="3">IF(G130="","",ROUND(G130*1.15,0))</f>
        <v>227</v>
      </c>
      <c r="M130" s="17">
        <f t="shared" si="3"/>
        <v>446</v>
      </c>
      <c r="N130" s="17">
        <f t="shared" si="3"/>
        <v>537</v>
      </c>
      <c r="O130" s="17">
        <f t="shared" si="3"/>
        <v>1011</v>
      </c>
    </row>
    <row r="131" spans="1:15" x14ac:dyDescent="0.25">
      <c r="A131" s="15">
        <v>3610</v>
      </c>
      <c r="B131" s="15" t="s">
        <v>90</v>
      </c>
      <c r="C131" s="15" t="s">
        <v>227</v>
      </c>
      <c r="D131" s="15" t="s">
        <v>238</v>
      </c>
      <c r="E131" s="15">
        <v>720</v>
      </c>
      <c r="F131" s="15">
        <v>780</v>
      </c>
      <c r="G131" s="17">
        <v>107</v>
      </c>
      <c r="H131" s="17">
        <v>355</v>
      </c>
      <c r="I131" s="17">
        <v>277</v>
      </c>
      <c r="J131" s="17">
        <v>268</v>
      </c>
      <c r="L131" s="17">
        <f t="shared" si="3"/>
        <v>123</v>
      </c>
      <c r="M131" s="17">
        <f t="shared" si="3"/>
        <v>408</v>
      </c>
      <c r="N131" s="17">
        <f t="shared" si="3"/>
        <v>319</v>
      </c>
      <c r="O131" s="17">
        <f t="shared" si="3"/>
        <v>308</v>
      </c>
    </row>
    <row r="132" spans="1:15" x14ac:dyDescent="0.25">
      <c r="A132" s="15">
        <v>3611</v>
      </c>
      <c r="B132" s="15" t="s">
        <v>90</v>
      </c>
      <c r="C132" s="15" t="s">
        <v>227</v>
      </c>
      <c r="D132" s="15" t="s">
        <v>239</v>
      </c>
      <c r="E132" s="15">
        <v>720</v>
      </c>
      <c r="F132" s="15">
        <v>980</v>
      </c>
      <c r="G132" s="17">
        <v>134</v>
      </c>
      <c r="H132" s="17">
        <v>406</v>
      </c>
      <c r="I132" s="17">
        <v>320</v>
      </c>
      <c r="J132" s="17">
        <v>329</v>
      </c>
      <c r="L132" s="17">
        <f t="shared" si="3"/>
        <v>154</v>
      </c>
      <c r="M132" s="17">
        <f t="shared" si="3"/>
        <v>467</v>
      </c>
      <c r="N132" s="17">
        <f t="shared" si="3"/>
        <v>368</v>
      </c>
      <c r="O132" s="17">
        <f t="shared" si="3"/>
        <v>378</v>
      </c>
    </row>
    <row r="133" spans="1:15" x14ac:dyDescent="0.25">
      <c r="A133" s="15">
        <v>3612</v>
      </c>
      <c r="B133" s="15" t="s">
        <v>90</v>
      </c>
      <c r="C133" s="15" t="s">
        <v>227</v>
      </c>
      <c r="D133" s="15" t="s">
        <v>240</v>
      </c>
      <c r="E133" s="15">
        <v>1080</v>
      </c>
      <c r="F133" s="15">
        <v>780</v>
      </c>
      <c r="G133" s="17">
        <v>161</v>
      </c>
      <c r="H133" s="17">
        <v>517</v>
      </c>
      <c r="I133" s="17">
        <v>409</v>
      </c>
      <c r="J133" s="17">
        <v>385</v>
      </c>
      <c r="L133" s="17">
        <f t="shared" si="3"/>
        <v>185</v>
      </c>
      <c r="M133" s="17">
        <f t="shared" si="3"/>
        <v>595</v>
      </c>
      <c r="N133" s="17">
        <f t="shared" si="3"/>
        <v>470</v>
      </c>
      <c r="O133" s="17">
        <f t="shared" si="3"/>
        <v>443</v>
      </c>
    </row>
    <row r="134" spans="1:15" x14ac:dyDescent="0.25">
      <c r="A134" s="15">
        <v>3613</v>
      </c>
      <c r="B134" s="15" t="s">
        <v>90</v>
      </c>
      <c r="C134" s="15" t="s">
        <v>227</v>
      </c>
      <c r="D134" s="15" t="s">
        <v>241</v>
      </c>
      <c r="E134" s="15">
        <v>1080</v>
      </c>
      <c r="F134" s="15">
        <v>980</v>
      </c>
      <c r="G134" s="17">
        <v>200</v>
      </c>
      <c r="H134" s="17">
        <v>626</v>
      </c>
      <c r="I134" s="17">
        <v>474</v>
      </c>
      <c r="J134" s="17">
        <v>431</v>
      </c>
      <c r="L134" s="17">
        <f t="shared" si="3"/>
        <v>230</v>
      </c>
      <c r="M134" s="17">
        <f t="shared" si="3"/>
        <v>720</v>
      </c>
      <c r="N134" s="17">
        <f t="shared" si="3"/>
        <v>545</v>
      </c>
      <c r="O134" s="17">
        <f t="shared" si="3"/>
        <v>496</v>
      </c>
    </row>
    <row r="135" spans="1:15" x14ac:dyDescent="0.25">
      <c r="A135" s="15">
        <v>3614</v>
      </c>
      <c r="B135" s="15" t="s">
        <v>90</v>
      </c>
      <c r="C135" s="15" t="s">
        <v>227</v>
      </c>
      <c r="D135" s="15" t="s">
        <v>242</v>
      </c>
      <c r="E135" s="15">
        <v>1440</v>
      </c>
      <c r="F135" s="15">
        <v>780</v>
      </c>
      <c r="G135" s="17">
        <v>211</v>
      </c>
      <c r="H135" s="17">
        <v>630</v>
      </c>
      <c r="I135" s="17">
        <v>499</v>
      </c>
      <c r="J135" s="17">
        <v>939</v>
      </c>
      <c r="L135" s="17">
        <f t="shared" si="3"/>
        <v>243</v>
      </c>
      <c r="M135" s="17">
        <f t="shared" si="3"/>
        <v>725</v>
      </c>
      <c r="N135" s="17">
        <f t="shared" si="3"/>
        <v>574</v>
      </c>
      <c r="O135" s="17">
        <f t="shared" si="3"/>
        <v>1080</v>
      </c>
    </row>
    <row r="136" spans="1:15" x14ac:dyDescent="0.25">
      <c r="A136" s="15">
        <v>3615</v>
      </c>
      <c r="B136" s="15" t="s">
        <v>90</v>
      </c>
      <c r="C136" s="15" t="s">
        <v>227</v>
      </c>
      <c r="D136" s="15" t="s">
        <v>243</v>
      </c>
      <c r="E136" s="15">
        <v>1440</v>
      </c>
      <c r="F136" s="15">
        <v>980</v>
      </c>
      <c r="G136" s="17">
        <v>264</v>
      </c>
      <c r="H136" s="17">
        <v>778</v>
      </c>
      <c r="I136" s="17">
        <v>616</v>
      </c>
      <c r="J136" s="17">
        <v>1159</v>
      </c>
      <c r="L136" s="17">
        <f t="shared" si="3"/>
        <v>304</v>
      </c>
      <c r="M136" s="17">
        <f t="shared" si="3"/>
        <v>895</v>
      </c>
      <c r="N136" s="17">
        <f t="shared" si="3"/>
        <v>708</v>
      </c>
      <c r="O136" s="17">
        <f t="shared" si="3"/>
        <v>1333</v>
      </c>
    </row>
    <row r="137" spans="1:15" x14ac:dyDescent="0.25">
      <c r="A137" s="15">
        <v>3616</v>
      </c>
      <c r="B137" s="15" t="s">
        <v>90</v>
      </c>
      <c r="C137" s="15" t="s">
        <v>227</v>
      </c>
      <c r="D137" s="15" t="s">
        <v>244</v>
      </c>
      <c r="E137" s="15">
        <v>1800</v>
      </c>
      <c r="F137" s="15">
        <v>780</v>
      </c>
      <c r="G137" s="17">
        <v>264</v>
      </c>
      <c r="H137" s="17">
        <v>520</v>
      </c>
      <c r="I137" s="17">
        <v>612</v>
      </c>
      <c r="J137" s="17">
        <v>1151</v>
      </c>
      <c r="L137" s="17">
        <f t="shared" si="3"/>
        <v>304</v>
      </c>
      <c r="M137" s="17">
        <f t="shared" si="3"/>
        <v>598</v>
      </c>
      <c r="N137" s="17">
        <f t="shared" si="3"/>
        <v>704</v>
      </c>
      <c r="O137" s="17">
        <f t="shared" si="3"/>
        <v>1324</v>
      </c>
    </row>
    <row r="138" spans="1:15" x14ac:dyDescent="0.25">
      <c r="A138" s="15">
        <v>3617</v>
      </c>
      <c r="B138" s="15" t="s">
        <v>90</v>
      </c>
      <c r="C138" s="15" t="s">
        <v>227</v>
      </c>
      <c r="D138" s="15" t="s">
        <v>245</v>
      </c>
      <c r="E138" s="15">
        <v>1800</v>
      </c>
      <c r="F138" s="15">
        <v>980</v>
      </c>
      <c r="G138" s="17">
        <v>329</v>
      </c>
      <c r="H138" s="17">
        <v>648</v>
      </c>
      <c r="I138" s="17">
        <v>753</v>
      </c>
      <c r="J138" s="17">
        <v>1417</v>
      </c>
      <c r="L138" s="17">
        <f t="shared" si="3"/>
        <v>378</v>
      </c>
      <c r="M138" s="17">
        <f t="shared" si="3"/>
        <v>745</v>
      </c>
      <c r="N138" s="17">
        <f t="shared" si="3"/>
        <v>866</v>
      </c>
      <c r="O138" s="17">
        <f t="shared" si="3"/>
        <v>1630</v>
      </c>
    </row>
    <row r="139" spans="1:15" x14ac:dyDescent="0.25">
      <c r="A139" s="15">
        <v>3620</v>
      </c>
      <c r="B139" s="15" t="s">
        <v>90</v>
      </c>
      <c r="C139" s="15" t="s">
        <v>246</v>
      </c>
      <c r="D139" s="15" t="s">
        <v>247</v>
      </c>
      <c r="E139" s="15">
        <v>360</v>
      </c>
      <c r="F139" s="15">
        <v>360</v>
      </c>
      <c r="G139" s="17">
        <v>34</v>
      </c>
      <c r="H139" s="17">
        <v>67</v>
      </c>
      <c r="I139" s="17">
        <v>89</v>
      </c>
      <c r="J139" s="17">
        <v>177</v>
      </c>
      <c r="L139" s="17">
        <f t="shared" si="3"/>
        <v>39</v>
      </c>
      <c r="M139" s="17">
        <f t="shared" si="3"/>
        <v>77</v>
      </c>
      <c r="N139" s="17">
        <f t="shared" si="3"/>
        <v>102</v>
      </c>
      <c r="O139" s="17">
        <f t="shared" si="3"/>
        <v>204</v>
      </c>
    </row>
    <row r="140" spans="1:15" x14ac:dyDescent="0.25">
      <c r="A140" s="15">
        <v>3621</v>
      </c>
      <c r="B140" s="15" t="s">
        <v>90</v>
      </c>
      <c r="C140" s="15" t="s">
        <v>246</v>
      </c>
      <c r="D140" s="15" t="s">
        <v>248</v>
      </c>
      <c r="E140" s="15">
        <v>360</v>
      </c>
      <c r="F140" s="15">
        <v>720</v>
      </c>
      <c r="G140" s="17">
        <v>52</v>
      </c>
      <c r="H140" s="17">
        <v>102</v>
      </c>
      <c r="I140" s="17">
        <v>143</v>
      </c>
      <c r="J140" s="17">
        <v>212</v>
      </c>
      <c r="L140" s="17">
        <f t="shared" si="3"/>
        <v>60</v>
      </c>
      <c r="M140" s="17">
        <f t="shared" si="3"/>
        <v>117</v>
      </c>
      <c r="N140" s="17">
        <f t="shared" si="3"/>
        <v>164</v>
      </c>
      <c r="O140" s="17">
        <f t="shared" si="3"/>
        <v>244</v>
      </c>
    </row>
    <row r="141" spans="1:15" x14ac:dyDescent="0.25">
      <c r="A141" s="15">
        <v>3622</v>
      </c>
      <c r="B141" s="15" t="s">
        <v>90</v>
      </c>
      <c r="C141" s="15" t="s">
        <v>246</v>
      </c>
      <c r="D141" s="15" t="s">
        <v>249</v>
      </c>
      <c r="E141" s="15">
        <v>360</v>
      </c>
      <c r="F141" s="15">
        <v>1080</v>
      </c>
      <c r="G141" s="17">
        <v>76</v>
      </c>
      <c r="H141" s="17">
        <v>150</v>
      </c>
      <c r="I141" s="17">
        <v>222</v>
      </c>
      <c r="J141" s="17">
        <v>240</v>
      </c>
      <c r="L141" s="17">
        <f t="shared" si="3"/>
        <v>87</v>
      </c>
      <c r="M141" s="17">
        <f t="shared" si="3"/>
        <v>173</v>
      </c>
      <c r="N141" s="17">
        <f t="shared" si="3"/>
        <v>255</v>
      </c>
      <c r="O141" s="17">
        <f t="shared" si="3"/>
        <v>276</v>
      </c>
    </row>
    <row r="142" spans="1:15" x14ac:dyDescent="0.25">
      <c r="A142" s="15">
        <v>3623</v>
      </c>
      <c r="B142" s="15" t="s">
        <v>90</v>
      </c>
      <c r="C142" s="15" t="s">
        <v>246</v>
      </c>
      <c r="D142" s="15" t="s">
        <v>250</v>
      </c>
      <c r="E142" s="15">
        <v>360</v>
      </c>
      <c r="F142" s="15">
        <v>1440</v>
      </c>
      <c r="G142" s="17">
        <v>100</v>
      </c>
      <c r="H142" s="17">
        <v>197</v>
      </c>
      <c r="I142" s="17">
        <v>281</v>
      </c>
      <c r="J142" s="17">
        <v>529</v>
      </c>
      <c r="L142" s="17">
        <f t="shared" si="3"/>
        <v>115</v>
      </c>
      <c r="M142" s="17">
        <f t="shared" si="3"/>
        <v>227</v>
      </c>
      <c r="N142" s="17">
        <f t="shared" si="3"/>
        <v>323</v>
      </c>
      <c r="O142" s="17">
        <f t="shared" si="3"/>
        <v>608</v>
      </c>
    </row>
    <row r="143" spans="1:15" x14ac:dyDescent="0.25">
      <c r="A143" s="15">
        <v>3624</v>
      </c>
      <c r="B143" s="15" t="s">
        <v>90</v>
      </c>
      <c r="C143" s="15" t="s">
        <v>246</v>
      </c>
      <c r="D143" s="15" t="s">
        <v>251</v>
      </c>
      <c r="E143" s="15">
        <v>360</v>
      </c>
      <c r="F143" s="15">
        <v>1800</v>
      </c>
      <c r="G143" s="17">
        <v>125</v>
      </c>
      <c r="H143" s="17">
        <v>246</v>
      </c>
      <c r="I143" s="17">
        <v>343</v>
      </c>
      <c r="J143" s="17">
        <v>645</v>
      </c>
      <c r="L143" s="17">
        <f t="shared" si="3"/>
        <v>144</v>
      </c>
      <c r="M143" s="17">
        <f t="shared" si="3"/>
        <v>283</v>
      </c>
      <c r="N143" s="17">
        <f t="shared" si="3"/>
        <v>394</v>
      </c>
      <c r="O143" s="17">
        <f t="shared" si="3"/>
        <v>742</v>
      </c>
    </row>
    <row r="144" spans="1:15" x14ac:dyDescent="0.25">
      <c r="A144" s="15">
        <v>3625</v>
      </c>
      <c r="B144" s="15" t="s">
        <v>90</v>
      </c>
      <c r="C144" s="15" t="s">
        <v>246</v>
      </c>
      <c r="D144" s="15" t="s">
        <v>252</v>
      </c>
      <c r="E144" s="15">
        <v>580</v>
      </c>
      <c r="F144" s="15">
        <v>360</v>
      </c>
      <c r="G144" s="17">
        <v>43</v>
      </c>
      <c r="H144" s="17">
        <v>85</v>
      </c>
      <c r="I144" s="17">
        <v>130</v>
      </c>
      <c r="J144" s="17">
        <v>185</v>
      </c>
      <c r="L144" s="17">
        <f t="shared" si="3"/>
        <v>49</v>
      </c>
      <c r="M144" s="17">
        <f t="shared" si="3"/>
        <v>98</v>
      </c>
      <c r="N144" s="17">
        <f t="shared" si="3"/>
        <v>150</v>
      </c>
      <c r="O144" s="17">
        <f t="shared" si="3"/>
        <v>213</v>
      </c>
    </row>
    <row r="145" spans="1:15" x14ac:dyDescent="0.25">
      <c r="A145" s="15">
        <v>3626</v>
      </c>
      <c r="B145" s="15" t="s">
        <v>90</v>
      </c>
      <c r="C145" s="15" t="s">
        <v>246</v>
      </c>
      <c r="D145" s="15" t="s">
        <v>253</v>
      </c>
      <c r="E145" s="15">
        <v>580</v>
      </c>
      <c r="F145" s="15">
        <v>720</v>
      </c>
      <c r="G145" s="17">
        <v>82</v>
      </c>
      <c r="H145" s="17">
        <v>161</v>
      </c>
      <c r="I145" s="17">
        <v>216</v>
      </c>
      <c r="J145" s="17">
        <v>245</v>
      </c>
      <c r="L145" s="17">
        <f t="shared" si="3"/>
        <v>94</v>
      </c>
      <c r="M145" s="17">
        <f t="shared" si="3"/>
        <v>185</v>
      </c>
      <c r="N145" s="17">
        <f t="shared" si="3"/>
        <v>248</v>
      </c>
      <c r="O145" s="17">
        <f t="shared" si="3"/>
        <v>282</v>
      </c>
    </row>
    <row r="146" spans="1:15" x14ac:dyDescent="0.25">
      <c r="A146" s="15">
        <v>3627</v>
      </c>
      <c r="B146" s="15" t="s">
        <v>90</v>
      </c>
      <c r="C146" s="15" t="s">
        <v>246</v>
      </c>
      <c r="D146" s="15" t="s">
        <v>254</v>
      </c>
      <c r="E146" s="15">
        <v>580</v>
      </c>
      <c r="F146" s="15">
        <v>1080</v>
      </c>
      <c r="G146" s="17">
        <v>119</v>
      </c>
      <c r="H146" s="17">
        <v>234</v>
      </c>
      <c r="I146" s="17">
        <v>300</v>
      </c>
      <c r="J146" s="17">
        <v>307</v>
      </c>
      <c r="L146" s="17">
        <f t="shared" si="3"/>
        <v>137</v>
      </c>
      <c r="M146" s="17">
        <f t="shared" si="3"/>
        <v>269</v>
      </c>
      <c r="N146" s="17">
        <f t="shared" si="3"/>
        <v>345</v>
      </c>
      <c r="O146" s="17">
        <f t="shared" si="3"/>
        <v>353</v>
      </c>
    </row>
    <row r="147" spans="1:15" x14ac:dyDescent="0.25">
      <c r="A147" s="15">
        <v>3628</v>
      </c>
      <c r="B147" s="15" t="s">
        <v>90</v>
      </c>
      <c r="C147" s="15" t="s">
        <v>246</v>
      </c>
      <c r="D147" s="15" t="s">
        <v>255</v>
      </c>
      <c r="E147" s="15">
        <v>580</v>
      </c>
      <c r="F147" s="15">
        <v>1440</v>
      </c>
      <c r="G147" s="17">
        <v>158</v>
      </c>
      <c r="H147" s="17">
        <v>311</v>
      </c>
      <c r="I147" s="17">
        <v>400</v>
      </c>
      <c r="J147" s="17">
        <v>752</v>
      </c>
      <c r="L147" s="17">
        <f t="shared" si="3"/>
        <v>182</v>
      </c>
      <c r="M147" s="17">
        <f t="shared" si="3"/>
        <v>358</v>
      </c>
      <c r="N147" s="17">
        <f t="shared" si="3"/>
        <v>460</v>
      </c>
      <c r="O147" s="17">
        <f t="shared" si="3"/>
        <v>865</v>
      </c>
    </row>
    <row r="148" spans="1:15" x14ac:dyDescent="0.25">
      <c r="A148" s="15">
        <v>3629</v>
      </c>
      <c r="B148" s="15" t="s">
        <v>90</v>
      </c>
      <c r="C148" s="15" t="s">
        <v>246</v>
      </c>
      <c r="D148" s="15" t="s">
        <v>256</v>
      </c>
      <c r="E148" s="15">
        <v>580</v>
      </c>
      <c r="F148" s="15">
        <v>1800</v>
      </c>
      <c r="G148" s="17">
        <v>197</v>
      </c>
      <c r="H148" s="17">
        <v>388</v>
      </c>
      <c r="I148" s="17">
        <v>467</v>
      </c>
      <c r="J148" s="17">
        <v>879</v>
      </c>
      <c r="L148" s="17">
        <f t="shared" si="3"/>
        <v>227</v>
      </c>
      <c r="M148" s="17">
        <f t="shared" si="3"/>
        <v>446</v>
      </c>
      <c r="N148" s="17">
        <f t="shared" si="3"/>
        <v>537</v>
      </c>
      <c r="O148" s="17">
        <f t="shared" si="3"/>
        <v>1011</v>
      </c>
    </row>
    <row r="149" spans="1:15" x14ac:dyDescent="0.25">
      <c r="A149" s="15">
        <v>3700</v>
      </c>
      <c r="B149" s="15" t="s">
        <v>90</v>
      </c>
      <c r="C149" s="15" t="s">
        <v>257</v>
      </c>
      <c r="D149" s="15" t="s">
        <v>258</v>
      </c>
      <c r="E149" s="15">
        <v>360</v>
      </c>
      <c r="F149" s="15">
        <v>360</v>
      </c>
      <c r="G149" s="17">
        <v>34</v>
      </c>
      <c r="H149" s="17">
        <v>114</v>
      </c>
      <c r="I149" s="17">
        <v>89</v>
      </c>
      <c r="J149" s="17">
        <v>177</v>
      </c>
      <c r="L149" s="17">
        <f t="shared" si="3"/>
        <v>39</v>
      </c>
      <c r="M149" s="17">
        <f t="shared" si="3"/>
        <v>131</v>
      </c>
      <c r="N149" s="17">
        <f t="shared" si="3"/>
        <v>102</v>
      </c>
      <c r="O149" s="17">
        <f t="shared" si="3"/>
        <v>204</v>
      </c>
    </row>
    <row r="150" spans="1:15" x14ac:dyDescent="0.25">
      <c r="A150" s="15">
        <v>3701</v>
      </c>
      <c r="B150" s="15" t="s">
        <v>90</v>
      </c>
      <c r="C150" s="15" t="s">
        <v>257</v>
      </c>
      <c r="D150" s="15" t="s">
        <v>259</v>
      </c>
      <c r="E150" s="15">
        <v>420</v>
      </c>
      <c r="F150" s="15">
        <v>360</v>
      </c>
      <c r="G150" s="17">
        <v>34</v>
      </c>
      <c r="H150" s="17">
        <v>121</v>
      </c>
      <c r="I150" s="17">
        <v>92</v>
      </c>
      <c r="J150" s="17">
        <v>178</v>
      </c>
      <c r="L150" s="17">
        <f t="shared" si="3"/>
        <v>39</v>
      </c>
      <c r="M150" s="17">
        <f t="shared" si="3"/>
        <v>139</v>
      </c>
      <c r="N150" s="17">
        <f t="shared" si="3"/>
        <v>106</v>
      </c>
      <c r="O150" s="17">
        <f t="shared" si="3"/>
        <v>205</v>
      </c>
    </row>
    <row r="151" spans="1:15" x14ac:dyDescent="0.25">
      <c r="A151" s="15">
        <v>3702</v>
      </c>
      <c r="B151" s="15" t="s">
        <v>90</v>
      </c>
      <c r="C151" s="15" t="s">
        <v>257</v>
      </c>
      <c r="D151" s="15" t="s">
        <v>260</v>
      </c>
      <c r="E151" s="15">
        <v>580</v>
      </c>
      <c r="F151" s="15">
        <v>360</v>
      </c>
      <c r="G151" s="17">
        <v>43</v>
      </c>
      <c r="H151" s="17">
        <v>161</v>
      </c>
      <c r="I151" s="17">
        <v>130</v>
      </c>
      <c r="J151" s="17">
        <v>185</v>
      </c>
      <c r="L151" s="17">
        <f t="shared" si="3"/>
        <v>49</v>
      </c>
      <c r="M151" s="17">
        <f t="shared" si="3"/>
        <v>185</v>
      </c>
      <c r="N151" s="17">
        <f t="shared" si="3"/>
        <v>150</v>
      </c>
      <c r="O151" s="17">
        <f t="shared" si="3"/>
        <v>213</v>
      </c>
    </row>
    <row r="152" spans="1:15" x14ac:dyDescent="0.25">
      <c r="A152" s="15">
        <v>3703</v>
      </c>
      <c r="B152" s="15" t="s">
        <v>90</v>
      </c>
      <c r="C152" s="15" t="s">
        <v>257</v>
      </c>
      <c r="D152" s="15" t="s">
        <v>261</v>
      </c>
      <c r="E152" s="15">
        <v>780</v>
      </c>
      <c r="F152" s="15">
        <v>360</v>
      </c>
      <c r="G152" s="17">
        <v>56</v>
      </c>
      <c r="H152" s="17">
        <v>185</v>
      </c>
      <c r="I152" s="17">
        <v>144</v>
      </c>
      <c r="J152" s="17">
        <v>190</v>
      </c>
      <c r="L152" s="17">
        <f t="shared" si="3"/>
        <v>64</v>
      </c>
      <c r="M152" s="17">
        <f t="shared" si="3"/>
        <v>213</v>
      </c>
      <c r="N152" s="17">
        <f t="shared" si="3"/>
        <v>166</v>
      </c>
      <c r="O152" s="17">
        <f t="shared" si="3"/>
        <v>219</v>
      </c>
    </row>
    <row r="153" spans="1:15" x14ac:dyDescent="0.25">
      <c r="A153" s="15">
        <v>3704</v>
      </c>
      <c r="B153" s="15" t="s">
        <v>90</v>
      </c>
      <c r="C153" s="15" t="s">
        <v>257</v>
      </c>
      <c r="D153" s="15" t="s">
        <v>262</v>
      </c>
      <c r="E153" s="15">
        <v>980</v>
      </c>
      <c r="F153" s="15">
        <v>360</v>
      </c>
      <c r="G153" s="17">
        <v>70</v>
      </c>
      <c r="H153" s="17">
        <v>223</v>
      </c>
      <c r="I153" s="17">
        <v>174</v>
      </c>
      <c r="J153" s="17">
        <v>209</v>
      </c>
      <c r="L153" s="17">
        <f t="shared" si="3"/>
        <v>81</v>
      </c>
      <c r="M153" s="17">
        <f t="shared" si="3"/>
        <v>256</v>
      </c>
      <c r="N153" s="17">
        <f t="shared" si="3"/>
        <v>200</v>
      </c>
      <c r="O153" s="17">
        <f t="shared" si="3"/>
        <v>240</v>
      </c>
    </row>
    <row r="154" spans="1:15" x14ac:dyDescent="0.25">
      <c r="A154" s="15">
        <v>3705</v>
      </c>
      <c r="B154" s="15" t="s">
        <v>90</v>
      </c>
      <c r="C154" s="15" t="s">
        <v>257</v>
      </c>
      <c r="D154" s="15" t="s">
        <v>263</v>
      </c>
      <c r="E154" s="15">
        <v>360</v>
      </c>
      <c r="F154" s="15">
        <v>580</v>
      </c>
      <c r="G154" s="17">
        <v>43</v>
      </c>
      <c r="H154" s="17">
        <v>161</v>
      </c>
      <c r="I154" s="17">
        <v>130</v>
      </c>
      <c r="J154" s="17">
        <v>185</v>
      </c>
      <c r="L154" s="17">
        <f t="shared" si="3"/>
        <v>49</v>
      </c>
      <c r="M154" s="17">
        <f t="shared" si="3"/>
        <v>185</v>
      </c>
      <c r="N154" s="17">
        <f t="shared" si="3"/>
        <v>150</v>
      </c>
      <c r="O154" s="17">
        <f t="shared" si="3"/>
        <v>213</v>
      </c>
    </row>
    <row r="155" spans="1:15" x14ac:dyDescent="0.25">
      <c r="A155" s="15">
        <v>3706</v>
      </c>
      <c r="B155" s="15" t="s">
        <v>90</v>
      </c>
      <c r="C155" s="15" t="s">
        <v>257</v>
      </c>
      <c r="D155" s="15" t="s">
        <v>264</v>
      </c>
      <c r="E155" s="15">
        <v>420</v>
      </c>
      <c r="F155" s="15">
        <v>580</v>
      </c>
      <c r="G155" s="17">
        <v>49</v>
      </c>
      <c r="H155" s="17">
        <v>181</v>
      </c>
      <c r="I155" s="17">
        <v>147</v>
      </c>
      <c r="J155" s="17">
        <v>186</v>
      </c>
      <c r="L155" s="17">
        <f t="shared" si="3"/>
        <v>56</v>
      </c>
      <c r="M155" s="17">
        <f t="shared" si="3"/>
        <v>208</v>
      </c>
      <c r="N155" s="17">
        <f t="shared" si="3"/>
        <v>169</v>
      </c>
      <c r="O155" s="17">
        <f t="shared" si="3"/>
        <v>214</v>
      </c>
    </row>
    <row r="156" spans="1:15" x14ac:dyDescent="0.25">
      <c r="A156" s="15">
        <v>3707</v>
      </c>
      <c r="B156" s="15" t="s">
        <v>90</v>
      </c>
      <c r="C156" s="15" t="s">
        <v>257</v>
      </c>
      <c r="D156" s="15" t="s">
        <v>265</v>
      </c>
      <c r="E156" s="15">
        <v>580</v>
      </c>
      <c r="F156" s="15">
        <v>580</v>
      </c>
      <c r="G156" s="17">
        <v>67</v>
      </c>
      <c r="H156" s="17">
        <v>228</v>
      </c>
      <c r="I156" s="17">
        <v>183</v>
      </c>
      <c r="J156" s="17">
        <v>191</v>
      </c>
      <c r="L156" s="17">
        <f t="shared" si="3"/>
        <v>77</v>
      </c>
      <c r="M156" s="17">
        <f t="shared" si="3"/>
        <v>262</v>
      </c>
      <c r="N156" s="17">
        <f t="shared" si="3"/>
        <v>210</v>
      </c>
      <c r="O156" s="17">
        <f t="shared" si="3"/>
        <v>220</v>
      </c>
    </row>
    <row r="157" spans="1:15" x14ac:dyDescent="0.25">
      <c r="A157" s="15">
        <v>3708</v>
      </c>
      <c r="B157" s="15" t="s">
        <v>90</v>
      </c>
      <c r="C157" s="15" t="s">
        <v>257</v>
      </c>
      <c r="D157" s="15" t="s">
        <v>266</v>
      </c>
      <c r="E157" s="15">
        <v>780</v>
      </c>
      <c r="F157" s="15">
        <v>580</v>
      </c>
      <c r="G157" s="17">
        <v>87</v>
      </c>
      <c r="H157" s="17">
        <v>275</v>
      </c>
      <c r="I157" s="17">
        <v>225</v>
      </c>
      <c r="J157" s="17">
        <v>237</v>
      </c>
      <c r="L157" s="17">
        <f t="shared" si="3"/>
        <v>100</v>
      </c>
      <c r="M157" s="17">
        <f t="shared" si="3"/>
        <v>316</v>
      </c>
      <c r="N157" s="17">
        <f t="shared" si="3"/>
        <v>259</v>
      </c>
      <c r="O157" s="17">
        <f t="shared" si="3"/>
        <v>273</v>
      </c>
    </row>
    <row r="158" spans="1:15" x14ac:dyDescent="0.25">
      <c r="A158" s="15">
        <v>3709</v>
      </c>
      <c r="B158" s="15" t="s">
        <v>90</v>
      </c>
      <c r="C158" s="15" t="s">
        <v>257</v>
      </c>
      <c r="D158" s="15" t="s">
        <v>267</v>
      </c>
      <c r="E158" s="15">
        <v>980</v>
      </c>
      <c r="F158" s="15">
        <v>580</v>
      </c>
      <c r="G158" s="17">
        <v>110</v>
      </c>
      <c r="H158" s="17">
        <v>355</v>
      </c>
      <c r="I158" s="17">
        <v>286</v>
      </c>
      <c r="J158" s="17">
        <v>276</v>
      </c>
      <c r="L158" s="17">
        <f t="shared" si="3"/>
        <v>127</v>
      </c>
      <c r="M158" s="17">
        <f t="shared" si="3"/>
        <v>408</v>
      </c>
      <c r="N158" s="17">
        <f t="shared" si="3"/>
        <v>329</v>
      </c>
      <c r="O158" s="17">
        <f t="shared" si="3"/>
        <v>317</v>
      </c>
    </row>
    <row r="159" spans="1:15" x14ac:dyDescent="0.25">
      <c r="A159" s="15">
        <v>3710</v>
      </c>
      <c r="B159" s="15" t="s">
        <v>90</v>
      </c>
      <c r="C159" s="15" t="s">
        <v>257</v>
      </c>
      <c r="D159" s="15" t="s">
        <v>268</v>
      </c>
      <c r="E159" s="15">
        <v>780</v>
      </c>
      <c r="F159" s="15">
        <v>780</v>
      </c>
      <c r="G159" s="17">
        <v>110</v>
      </c>
      <c r="H159" s="17">
        <v>302</v>
      </c>
      <c r="I159" s="17">
        <v>272</v>
      </c>
      <c r="J159" s="17">
        <v>295</v>
      </c>
      <c r="L159" s="17">
        <f t="shared" si="3"/>
        <v>127</v>
      </c>
      <c r="M159" s="17">
        <f t="shared" si="3"/>
        <v>347</v>
      </c>
      <c r="N159" s="17">
        <f t="shared" si="3"/>
        <v>313</v>
      </c>
      <c r="O159" s="17">
        <f t="shared" si="3"/>
        <v>339</v>
      </c>
    </row>
    <row r="160" spans="1:15" x14ac:dyDescent="0.25">
      <c r="A160" s="15">
        <v>3711</v>
      </c>
      <c r="B160" s="15" t="s">
        <v>90</v>
      </c>
      <c r="C160" s="15" t="s">
        <v>257</v>
      </c>
      <c r="D160" s="15" t="s">
        <v>269</v>
      </c>
      <c r="E160" s="15">
        <v>980</v>
      </c>
      <c r="F160" s="15">
        <v>780</v>
      </c>
      <c r="G160" s="17">
        <v>138</v>
      </c>
      <c r="H160" s="17">
        <v>272</v>
      </c>
      <c r="I160" s="17"/>
      <c r="J160" s="17"/>
      <c r="L160" s="17">
        <f t="shared" si="3"/>
        <v>159</v>
      </c>
      <c r="M160" s="17">
        <f t="shared" si="3"/>
        <v>313</v>
      </c>
      <c r="N160" s="17" t="str">
        <f t="shared" si="3"/>
        <v/>
      </c>
      <c r="O160" s="17" t="str">
        <f t="shared" si="3"/>
        <v/>
      </c>
    </row>
    <row r="161" spans="1:15" x14ac:dyDescent="0.25">
      <c r="A161" s="15">
        <v>3712</v>
      </c>
      <c r="B161" s="15" t="s">
        <v>90</v>
      </c>
      <c r="C161" s="15" t="s">
        <v>257</v>
      </c>
      <c r="D161" s="15" t="s">
        <v>270</v>
      </c>
      <c r="E161" s="15">
        <v>980</v>
      </c>
      <c r="F161" s="15">
        <v>980</v>
      </c>
      <c r="G161" s="17">
        <v>166</v>
      </c>
      <c r="H161" s="17">
        <v>327</v>
      </c>
      <c r="I161" s="17"/>
      <c r="J161" s="17"/>
      <c r="L161" s="17">
        <f t="shared" si="3"/>
        <v>191</v>
      </c>
      <c r="M161" s="17">
        <f t="shared" si="3"/>
        <v>376</v>
      </c>
      <c r="N161" s="17" t="str">
        <f t="shared" si="3"/>
        <v/>
      </c>
      <c r="O161" s="17" t="str">
        <f t="shared" si="3"/>
        <v/>
      </c>
    </row>
    <row r="162" spans="1:15" x14ac:dyDescent="0.25">
      <c r="A162" s="15">
        <v>3750</v>
      </c>
      <c r="B162" s="15" t="s">
        <v>90</v>
      </c>
      <c r="C162" s="15" t="s">
        <v>271</v>
      </c>
      <c r="D162" s="15" t="s">
        <v>272</v>
      </c>
      <c r="E162" s="15">
        <v>360</v>
      </c>
      <c r="F162" s="15">
        <v>360</v>
      </c>
      <c r="G162" s="17">
        <v>34</v>
      </c>
      <c r="H162" s="17">
        <v>114</v>
      </c>
      <c r="I162" s="17">
        <v>89</v>
      </c>
      <c r="J162" s="17">
        <v>177</v>
      </c>
      <c r="L162" s="17">
        <f t="shared" si="3"/>
        <v>39</v>
      </c>
      <c r="M162" s="17">
        <f t="shared" si="3"/>
        <v>131</v>
      </c>
      <c r="N162" s="17">
        <f t="shared" si="3"/>
        <v>102</v>
      </c>
      <c r="O162" s="17">
        <f t="shared" si="3"/>
        <v>204</v>
      </c>
    </row>
    <row r="163" spans="1:15" x14ac:dyDescent="0.25">
      <c r="A163" s="15">
        <v>3751</v>
      </c>
      <c r="B163" s="15" t="s">
        <v>90</v>
      </c>
      <c r="C163" s="15" t="s">
        <v>271</v>
      </c>
      <c r="D163" s="15" t="s">
        <v>273</v>
      </c>
      <c r="E163" s="15">
        <v>420</v>
      </c>
      <c r="F163" s="15">
        <v>360</v>
      </c>
      <c r="G163" s="17">
        <v>34</v>
      </c>
      <c r="H163" s="17">
        <v>121</v>
      </c>
      <c r="I163" s="17">
        <v>92</v>
      </c>
      <c r="J163" s="17">
        <v>178</v>
      </c>
      <c r="L163" s="17">
        <f t="shared" si="3"/>
        <v>39</v>
      </c>
      <c r="M163" s="17">
        <f t="shared" si="3"/>
        <v>139</v>
      </c>
      <c r="N163" s="17">
        <f t="shared" si="3"/>
        <v>106</v>
      </c>
      <c r="O163" s="17">
        <f t="shared" si="3"/>
        <v>205</v>
      </c>
    </row>
    <row r="164" spans="1:15" x14ac:dyDescent="0.25">
      <c r="A164" s="15">
        <v>3752</v>
      </c>
      <c r="B164" s="15" t="s">
        <v>90</v>
      </c>
      <c r="C164" s="15" t="s">
        <v>271</v>
      </c>
      <c r="D164" s="15" t="s">
        <v>274</v>
      </c>
      <c r="E164" s="15">
        <v>580</v>
      </c>
      <c r="F164" s="15">
        <v>360</v>
      </c>
      <c r="G164" s="17">
        <v>43</v>
      </c>
      <c r="H164" s="17">
        <v>161</v>
      </c>
      <c r="I164" s="17">
        <v>130</v>
      </c>
      <c r="J164" s="17">
        <v>185</v>
      </c>
      <c r="L164" s="17">
        <f t="shared" si="3"/>
        <v>49</v>
      </c>
      <c r="M164" s="17">
        <f t="shared" si="3"/>
        <v>185</v>
      </c>
      <c r="N164" s="17">
        <f t="shared" si="3"/>
        <v>150</v>
      </c>
      <c r="O164" s="17">
        <f t="shared" si="3"/>
        <v>213</v>
      </c>
    </row>
    <row r="165" spans="1:15" x14ac:dyDescent="0.25">
      <c r="A165" s="15">
        <v>3753</v>
      </c>
      <c r="B165" s="15" t="s">
        <v>90</v>
      </c>
      <c r="C165" s="15" t="s">
        <v>271</v>
      </c>
      <c r="D165" s="15" t="s">
        <v>275</v>
      </c>
      <c r="E165" s="15">
        <v>780</v>
      </c>
      <c r="F165" s="15">
        <v>360</v>
      </c>
      <c r="G165" s="17">
        <v>56</v>
      </c>
      <c r="H165" s="17">
        <v>185</v>
      </c>
      <c r="I165" s="17">
        <v>144</v>
      </c>
      <c r="J165" s="17">
        <v>190</v>
      </c>
      <c r="L165" s="17">
        <f t="shared" si="3"/>
        <v>64</v>
      </c>
      <c r="M165" s="17">
        <f t="shared" si="3"/>
        <v>213</v>
      </c>
      <c r="N165" s="17">
        <f t="shared" si="3"/>
        <v>166</v>
      </c>
      <c r="O165" s="17">
        <f t="shared" si="3"/>
        <v>219</v>
      </c>
    </row>
    <row r="166" spans="1:15" x14ac:dyDescent="0.25">
      <c r="A166" s="15">
        <v>3754</v>
      </c>
      <c r="B166" s="15" t="s">
        <v>90</v>
      </c>
      <c r="C166" s="15" t="s">
        <v>271</v>
      </c>
      <c r="D166" s="15" t="s">
        <v>276</v>
      </c>
      <c r="E166" s="15">
        <v>980</v>
      </c>
      <c r="F166" s="15">
        <v>360</v>
      </c>
      <c r="G166" s="17">
        <v>70</v>
      </c>
      <c r="H166" s="17">
        <v>223</v>
      </c>
      <c r="I166" s="17">
        <v>174</v>
      </c>
      <c r="J166" s="17">
        <v>209</v>
      </c>
      <c r="L166" s="17">
        <f t="shared" si="3"/>
        <v>81</v>
      </c>
      <c r="M166" s="17">
        <f t="shared" si="3"/>
        <v>256</v>
      </c>
      <c r="N166" s="17">
        <f t="shared" si="3"/>
        <v>200</v>
      </c>
      <c r="O166" s="17">
        <f t="shared" si="3"/>
        <v>240</v>
      </c>
    </row>
    <row r="167" spans="1:15" x14ac:dyDescent="0.25">
      <c r="A167" s="15">
        <v>3755</v>
      </c>
      <c r="B167" s="15" t="s">
        <v>90</v>
      </c>
      <c r="C167" s="15" t="s">
        <v>271</v>
      </c>
      <c r="D167" s="15" t="s">
        <v>277</v>
      </c>
      <c r="E167" s="15">
        <v>360</v>
      </c>
      <c r="F167" s="15">
        <v>580</v>
      </c>
      <c r="G167" s="17">
        <v>43</v>
      </c>
      <c r="H167" s="17">
        <v>161</v>
      </c>
      <c r="I167" s="17">
        <v>130</v>
      </c>
      <c r="J167" s="17">
        <v>185</v>
      </c>
      <c r="L167" s="17">
        <f t="shared" si="3"/>
        <v>49</v>
      </c>
      <c r="M167" s="17">
        <f t="shared" si="3"/>
        <v>185</v>
      </c>
      <c r="N167" s="17">
        <f t="shared" si="3"/>
        <v>150</v>
      </c>
      <c r="O167" s="17">
        <f t="shared" si="3"/>
        <v>213</v>
      </c>
    </row>
    <row r="168" spans="1:15" x14ac:dyDescent="0.25">
      <c r="A168" s="15">
        <v>3756</v>
      </c>
      <c r="B168" s="15" t="s">
        <v>90</v>
      </c>
      <c r="C168" s="15" t="s">
        <v>271</v>
      </c>
      <c r="D168" s="15" t="s">
        <v>278</v>
      </c>
      <c r="E168" s="15">
        <v>420</v>
      </c>
      <c r="F168" s="15">
        <v>580</v>
      </c>
      <c r="G168" s="17">
        <v>49</v>
      </c>
      <c r="H168" s="17">
        <v>181</v>
      </c>
      <c r="I168" s="17">
        <v>147</v>
      </c>
      <c r="J168" s="17">
        <v>186</v>
      </c>
      <c r="L168" s="17">
        <f t="shared" si="3"/>
        <v>56</v>
      </c>
      <c r="M168" s="17">
        <f t="shared" si="3"/>
        <v>208</v>
      </c>
      <c r="N168" s="17">
        <f t="shared" si="3"/>
        <v>169</v>
      </c>
      <c r="O168" s="17">
        <f t="shared" si="3"/>
        <v>214</v>
      </c>
    </row>
    <row r="169" spans="1:15" x14ac:dyDescent="0.25">
      <c r="A169" s="15">
        <v>3757</v>
      </c>
      <c r="B169" s="15" t="s">
        <v>90</v>
      </c>
      <c r="C169" s="15" t="s">
        <v>271</v>
      </c>
      <c r="D169" s="15" t="s">
        <v>279</v>
      </c>
      <c r="E169" s="15">
        <v>580</v>
      </c>
      <c r="F169" s="15">
        <v>580</v>
      </c>
      <c r="G169" s="17">
        <v>67</v>
      </c>
      <c r="H169" s="17">
        <v>228</v>
      </c>
      <c r="I169" s="17">
        <v>183</v>
      </c>
      <c r="J169" s="17">
        <v>191</v>
      </c>
      <c r="L169" s="17">
        <f t="shared" si="3"/>
        <v>77</v>
      </c>
      <c r="M169" s="17">
        <f t="shared" si="3"/>
        <v>262</v>
      </c>
      <c r="N169" s="17">
        <f t="shared" si="3"/>
        <v>210</v>
      </c>
      <c r="O169" s="17">
        <f t="shared" si="3"/>
        <v>220</v>
      </c>
    </row>
    <row r="170" spans="1:15" x14ac:dyDescent="0.25">
      <c r="A170" s="15">
        <v>3758</v>
      </c>
      <c r="B170" s="15" t="s">
        <v>90</v>
      </c>
      <c r="C170" s="15" t="s">
        <v>271</v>
      </c>
      <c r="D170" s="15" t="s">
        <v>280</v>
      </c>
      <c r="E170" s="15">
        <v>780</v>
      </c>
      <c r="F170" s="15">
        <v>580</v>
      </c>
      <c r="G170" s="17">
        <v>87</v>
      </c>
      <c r="H170" s="17">
        <v>275</v>
      </c>
      <c r="I170" s="17">
        <v>225</v>
      </c>
      <c r="J170" s="17">
        <v>237</v>
      </c>
      <c r="L170" s="17">
        <f t="shared" si="3"/>
        <v>100</v>
      </c>
      <c r="M170" s="17">
        <f t="shared" si="3"/>
        <v>316</v>
      </c>
      <c r="N170" s="17">
        <f t="shared" si="3"/>
        <v>259</v>
      </c>
      <c r="O170" s="17">
        <f t="shared" si="3"/>
        <v>273</v>
      </c>
    </row>
    <row r="171" spans="1:15" x14ac:dyDescent="0.25">
      <c r="A171" s="15">
        <v>3759</v>
      </c>
      <c r="B171" s="15" t="s">
        <v>90</v>
      </c>
      <c r="C171" s="15" t="s">
        <v>271</v>
      </c>
      <c r="D171" s="15" t="s">
        <v>281</v>
      </c>
      <c r="E171" s="15">
        <v>980</v>
      </c>
      <c r="F171" s="15">
        <v>580</v>
      </c>
      <c r="G171" s="17">
        <v>110</v>
      </c>
      <c r="H171" s="17">
        <v>355</v>
      </c>
      <c r="I171" s="17">
        <v>286</v>
      </c>
      <c r="J171" s="17">
        <v>276</v>
      </c>
      <c r="L171" s="17">
        <f t="shared" si="3"/>
        <v>127</v>
      </c>
      <c r="M171" s="17">
        <f t="shared" si="3"/>
        <v>408</v>
      </c>
      <c r="N171" s="17">
        <f t="shared" si="3"/>
        <v>329</v>
      </c>
      <c r="O171" s="17">
        <f t="shared" si="3"/>
        <v>317</v>
      </c>
    </row>
    <row r="172" spans="1:15" x14ac:dyDescent="0.25">
      <c r="A172" s="15">
        <v>3760</v>
      </c>
      <c r="B172" s="15" t="s">
        <v>90</v>
      </c>
      <c r="C172" s="15" t="s">
        <v>271</v>
      </c>
      <c r="D172" s="15" t="s">
        <v>282</v>
      </c>
      <c r="E172" s="15">
        <v>780</v>
      </c>
      <c r="F172" s="15">
        <v>780</v>
      </c>
      <c r="G172" s="17">
        <v>126</v>
      </c>
      <c r="H172" s="17">
        <v>302</v>
      </c>
      <c r="I172" s="17">
        <v>272</v>
      </c>
      <c r="J172" s="17">
        <v>295</v>
      </c>
      <c r="L172" s="17">
        <f t="shared" si="3"/>
        <v>145</v>
      </c>
      <c r="M172" s="17">
        <f t="shared" si="3"/>
        <v>347</v>
      </c>
      <c r="N172" s="17">
        <f t="shared" si="3"/>
        <v>313</v>
      </c>
      <c r="O172" s="17">
        <f t="shared" si="3"/>
        <v>339</v>
      </c>
    </row>
    <row r="173" spans="1:15" x14ac:dyDescent="0.25">
      <c r="A173" s="15">
        <v>3761</v>
      </c>
      <c r="B173" s="15" t="s">
        <v>90</v>
      </c>
      <c r="C173" s="15" t="s">
        <v>271</v>
      </c>
      <c r="D173" s="15" t="s">
        <v>283</v>
      </c>
      <c r="E173" s="15">
        <v>980</v>
      </c>
      <c r="F173" s="15">
        <v>780</v>
      </c>
      <c r="G173" s="17">
        <v>139</v>
      </c>
      <c r="H173" s="17">
        <v>416</v>
      </c>
      <c r="I173" s="17"/>
      <c r="J173" s="17"/>
      <c r="L173" s="17">
        <f t="shared" si="3"/>
        <v>160</v>
      </c>
      <c r="M173" s="17">
        <f t="shared" si="3"/>
        <v>478</v>
      </c>
      <c r="N173" s="17" t="str">
        <f t="shared" si="3"/>
        <v/>
      </c>
      <c r="O173" s="17" t="str">
        <f t="shared" si="3"/>
        <v/>
      </c>
    </row>
    <row r="174" spans="1:15" x14ac:dyDescent="0.25">
      <c r="A174" s="15">
        <v>3762</v>
      </c>
      <c r="B174" s="15" t="s">
        <v>90</v>
      </c>
      <c r="C174" s="15" t="s">
        <v>271</v>
      </c>
      <c r="D174" s="15" t="s">
        <v>284</v>
      </c>
      <c r="E174" s="15">
        <v>980</v>
      </c>
      <c r="F174" s="15">
        <v>980</v>
      </c>
      <c r="G174" s="17">
        <v>180</v>
      </c>
      <c r="H174" s="17">
        <v>354</v>
      </c>
      <c r="I174" s="17"/>
      <c r="J174" s="17"/>
      <c r="L174" s="17">
        <f t="shared" si="3"/>
        <v>207</v>
      </c>
      <c r="M174" s="17">
        <f t="shared" si="3"/>
        <v>407</v>
      </c>
      <c r="N174" s="17" t="str">
        <f t="shared" si="3"/>
        <v/>
      </c>
      <c r="O174" s="17" t="str">
        <f t="shared" si="3"/>
        <v/>
      </c>
    </row>
    <row r="175" spans="1:15" x14ac:dyDescent="0.25">
      <c r="A175" s="15">
        <v>3800</v>
      </c>
      <c r="B175" s="15" t="s">
        <v>90</v>
      </c>
      <c r="C175" s="15" t="s">
        <v>285</v>
      </c>
      <c r="D175" s="15" t="s">
        <v>286</v>
      </c>
      <c r="E175" s="15">
        <v>360</v>
      </c>
      <c r="F175" s="15">
        <v>360</v>
      </c>
      <c r="G175" s="17">
        <v>34</v>
      </c>
      <c r="H175" s="17">
        <v>114</v>
      </c>
      <c r="I175" s="17">
        <v>89</v>
      </c>
      <c r="J175" s="17">
        <v>177</v>
      </c>
      <c r="L175" s="17">
        <f t="shared" si="3"/>
        <v>39</v>
      </c>
      <c r="M175" s="17">
        <f t="shared" si="3"/>
        <v>131</v>
      </c>
      <c r="N175" s="17">
        <f t="shared" si="3"/>
        <v>102</v>
      </c>
      <c r="O175" s="17">
        <f t="shared" si="3"/>
        <v>204</v>
      </c>
    </row>
    <row r="176" spans="1:15" x14ac:dyDescent="0.25">
      <c r="A176" s="15">
        <v>3801</v>
      </c>
      <c r="B176" s="15" t="s">
        <v>90</v>
      </c>
      <c r="C176" s="15" t="s">
        <v>285</v>
      </c>
      <c r="D176" s="15" t="s">
        <v>287</v>
      </c>
      <c r="E176" s="15">
        <v>420</v>
      </c>
      <c r="F176" s="15">
        <v>360</v>
      </c>
      <c r="G176" s="17">
        <v>34</v>
      </c>
      <c r="H176" s="17">
        <v>121</v>
      </c>
      <c r="I176" s="17">
        <v>92</v>
      </c>
      <c r="J176" s="17">
        <v>178</v>
      </c>
      <c r="L176" s="17">
        <f t="shared" si="3"/>
        <v>39</v>
      </c>
      <c r="M176" s="17">
        <f t="shared" si="3"/>
        <v>139</v>
      </c>
      <c r="N176" s="17">
        <f t="shared" si="3"/>
        <v>106</v>
      </c>
      <c r="O176" s="17">
        <f t="shared" si="3"/>
        <v>205</v>
      </c>
    </row>
    <row r="177" spans="1:15" x14ac:dyDescent="0.25">
      <c r="A177" s="15">
        <v>3802</v>
      </c>
      <c r="B177" s="15" t="s">
        <v>90</v>
      </c>
      <c r="C177" s="15" t="s">
        <v>285</v>
      </c>
      <c r="D177" s="15" t="s">
        <v>288</v>
      </c>
      <c r="E177" s="15">
        <v>580</v>
      </c>
      <c r="F177" s="15">
        <v>360</v>
      </c>
      <c r="G177" s="17">
        <v>43</v>
      </c>
      <c r="H177" s="17">
        <v>161</v>
      </c>
      <c r="I177" s="17">
        <v>130</v>
      </c>
      <c r="J177" s="17">
        <v>185</v>
      </c>
      <c r="L177" s="17">
        <f t="shared" si="3"/>
        <v>49</v>
      </c>
      <c r="M177" s="17">
        <f t="shared" si="3"/>
        <v>185</v>
      </c>
      <c r="N177" s="17">
        <f t="shared" si="3"/>
        <v>150</v>
      </c>
      <c r="O177" s="17">
        <f t="shared" si="3"/>
        <v>213</v>
      </c>
    </row>
    <row r="178" spans="1:15" x14ac:dyDescent="0.25">
      <c r="A178" s="15">
        <v>3803</v>
      </c>
      <c r="B178" s="15" t="s">
        <v>90</v>
      </c>
      <c r="C178" s="15" t="s">
        <v>285</v>
      </c>
      <c r="D178" s="15" t="s">
        <v>289</v>
      </c>
      <c r="E178" s="15">
        <v>780</v>
      </c>
      <c r="F178" s="15">
        <v>360</v>
      </c>
      <c r="G178" s="17">
        <v>56</v>
      </c>
      <c r="H178" s="17">
        <v>185</v>
      </c>
      <c r="I178" s="17">
        <v>144</v>
      </c>
      <c r="J178" s="17">
        <v>190</v>
      </c>
      <c r="L178" s="17">
        <f t="shared" si="3"/>
        <v>64</v>
      </c>
      <c r="M178" s="17">
        <f t="shared" si="3"/>
        <v>213</v>
      </c>
      <c r="N178" s="17">
        <f t="shared" si="3"/>
        <v>166</v>
      </c>
      <c r="O178" s="17">
        <f t="shared" si="3"/>
        <v>219</v>
      </c>
    </row>
    <row r="179" spans="1:15" x14ac:dyDescent="0.25">
      <c r="A179" s="15">
        <v>3804</v>
      </c>
      <c r="B179" s="15" t="s">
        <v>90</v>
      </c>
      <c r="C179" s="15" t="s">
        <v>285</v>
      </c>
      <c r="D179" s="15" t="s">
        <v>290</v>
      </c>
      <c r="E179" s="15">
        <v>980</v>
      </c>
      <c r="F179" s="15">
        <v>360</v>
      </c>
      <c r="G179" s="17">
        <v>70</v>
      </c>
      <c r="H179" s="17">
        <v>223</v>
      </c>
      <c r="I179" s="17">
        <v>174</v>
      </c>
      <c r="J179" s="17">
        <v>209</v>
      </c>
      <c r="L179" s="17">
        <f t="shared" si="3"/>
        <v>81</v>
      </c>
      <c r="M179" s="17">
        <f t="shared" si="3"/>
        <v>256</v>
      </c>
      <c r="N179" s="17">
        <f t="shared" si="3"/>
        <v>200</v>
      </c>
      <c r="O179" s="17">
        <f t="shared" si="3"/>
        <v>240</v>
      </c>
    </row>
    <row r="180" spans="1:15" x14ac:dyDescent="0.25">
      <c r="A180" s="15">
        <v>3805</v>
      </c>
      <c r="B180" s="15" t="s">
        <v>90</v>
      </c>
      <c r="C180" s="15" t="s">
        <v>285</v>
      </c>
      <c r="D180" s="15" t="s">
        <v>291</v>
      </c>
      <c r="E180" s="15">
        <v>360</v>
      </c>
      <c r="F180" s="15">
        <v>580</v>
      </c>
      <c r="G180" s="17">
        <v>43</v>
      </c>
      <c r="H180" s="17">
        <v>161</v>
      </c>
      <c r="I180" s="17">
        <v>130</v>
      </c>
      <c r="J180" s="17">
        <v>185</v>
      </c>
      <c r="L180" s="17">
        <f t="shared" si="3"/>
        <v>49</v>
      </c>
      <c r="M180" s="17">
        <f t="shared" si="3"/>
        <v>185</v>
      </c>
      <c r="N180" s="17">
        <f t="shared" si="3"/>
        <v>150</v>
      </c>
      <c r="O180" s="17">
        <f t="shared" si="3"/>
        <v>213</v>
      </c>
    </row>
    <row r="181" spans="1:15" x14ac:dyDescent="0.25">
      <c r="A181" s="15">
        <v>3806</v>
      </c>
      <c r="B181" s="15" t="s">
        <v>90</v>
      </c>
      <c r="C181" s="15" t="s">
        <v>285</v>
      </c>
      <c r="D181" s="15" t="s">
        <v>292</v>
      </c>
      <c r="E181" s="15">
        <v>420</v>
      </c>
      <c r="F181" s="15">
        <v>580</v>
      </c>
      <c r="G181" s="17">
        <v>49</v>
      </c>
      <c r="H181" s="17">
        <v>181</v>
      </c>
      <c r="I181" s="17">
        <v>147</v>
      </c>
      <c r="J181" s="17">
        <v>186</v>
      </c>
      <c r="L181" s="17">
        <f t="shared" si="3"/>
        <v>56</v>
      </c>
      <c r="M181" s="17">
        <f t="shared" si="3"/>
        <v>208</v>
      </c>
      <c r="N181" s="17">
        <f t="shared" si="3"/>
        <v>169</v>
      </c>
      <c r="O181" s="17">
        <f t="shared" si="3"/>
        <v>214</v>
      </c>
    </row>
    <row r="182" spans="1:15" x14ac:dyDescent="0.25">
      <c r="A182" s="15">
        <v>3807</v>
      </c>
      <c r="B182" s="15" t="s">
        <v>90</v>
      </c>
      <c r="C182" s="15" t="s">
        <v>285</v>
      </c>
      <c r="D182" s="15" t="s">
        <v>293</v>
      </c>
      <c r="E182" s="15">
        <v>580</v>
      </c>
      <c r="F182" s="15">
        <v>580</v>
      </c>
      <c r="G182" s="17">
        <v>67</v>
      </c>
      <c r="H182" s="17">
        <v>228</v>
      </c>
      <c r="I182" s="17">
        <v>183</v>
      </c>
      <c r="J182" s="17">
        <v>191</v>
      </c>
      <c r="L182" s="17">
        <f t="shared" si="3"/>
        <v>77</v>
      </c>
      <c r="M182" s="17">
        <f t="shared" si="3"/>
        <v>262</v>
      </c>
      <c r="N182" s="17">
        <f t="shared" si="3"/>
        <v>210</v>
      </c>
      <c r="O182" s="17">
        <f t="shared" si="3"/>
        <v>220</v>
      </c>
    </row>
    <row r="183" spans="1:15" x14ac:dyDescent="0.25">
      <c r="A183" s="15">
        <v>3808</v>
      </c>
      <c r="B183" s="15" t="s">
        <v>90</v>
      </c>
      <c r="C183" s="15" t="s">
        <v>285</v>
      </c>
      <c r="D183" s="15" t="s">
        <v>294</v>
      </c>
      <c r="E183" s="15">
        <v>780</v>
      </c>
      <c r="F183" s="15">
        <v>580</v>
      </c>
      <c r="G183" s="17">
        <v>87</v>
      </c>
      <c r="H183" s="17">
        <v>275</v>
      </c>
      <c r="I183" s="17">
        <v>225</v>
      </c>
      <c r="J183" s="17">
        <v>237</v>
      </c>
      <c r="L183" s="17">
        <f t="shared" si="3"/>
        <v>100</v>
      </c>
      <c r="M183" s="17">
        <f t="shared" si="3"/>
        <v>316</v>
      </c>
      <c r="N183" s="17">
        <f t="shared" si="3"/>
        <v>259</v>
      </c>
      <c r="O183" s="17">
        <f t="shared" si="3"/>
        <v>273</v>
      </c>
    </row>
    <row r="184" spans="1:15" x14ac:dyDescent="0.25">
      <c r="A184" s="15">
        <v>3809</v>
      </c>
      <c r="B184" s="15" t="s">
        <v>90</v>
      </c>
      <c r="C184" s="15" t="s">
        <v>285</v>
      </c>
      <c r="D184" s="15" t="s">
        <v>295</v>
      </c>
      <c r="E184" s="15">
        <v>980</v>
      </c>
      <c r="F184" s="15">
        <v>580</v>
      </c>
      <c r="G184" s="17">
        <v>110</v>
      </c>
      <c r="H184" s="17">
        <v>355</v>
      </c>
      <c r="I184" s="17">
        <v>286</v>
      </c>
      <c r="J184" s="17">
        <v>276</v>
      </c>
      <c r="L184" s="17">
        <f t="shared" si="3"/>
        <v>127</v>
      </c>
      <c r="M184" s="17">
        <f t="shared" si="3"/>
        <v>408</v>
      </c>
      <c r="N184" s="17">
        <f t="shared" si="3"/>
        <v>329</v>
      </c>
      <c r="O184" s="17">
        <f t="shared" si="3"/>
        <v>317</v>
      </c>
    </row>
    <row r="185" spans="1:15" x14ac:dyDescent="0.25">
      <c r="A185" s="15">
        <v>3810</v>
      </c>
      <c r="B185" s="15" t="s">
        <v>90</v>
      </c>
      <c r="C185" s="15" t="s">
        <v>285</v>
      </c>
      <c r="D185" s="15" t="s">
        <v>296</v>
      </c>
      <c r="E185" s="15">
        <v>420</v>
      </c>
      <c r="F185" s="15">
        <v>780</v>
      </c>
      <c r="G185" s="17">
        <v>65</v>
      </c>
      <c r="H185" s="17">
        <v>128</v>
      </c>
      <c r="I185" s="17"/>
      <c r="J185" s="17"/>
      <c r="L185" s="17">
        <f t="shared" si="3"/>
        <v>75</v>
      </c>
      <c r="M185" s="17">
        <f t="shared" si="3"/>
        <v>147</v>
      </c>
      <c r="N185" s="17" t="str">
        <f t="shared" si="3"/>
        <v/>
      </c>
      <c r="O185" s="17" t="str">
        <f t="shared" si="3"/>
        <v/>
      </c>
    </row>
    <row r="186" spans="1:15" x14ac:dyDescent="0.25">
      <c r="A186" s="15">
        <v>3811</v>
      </c>
      <c r="B186" s="15" t="s">
        <v>90</v>
      </c>
      <c r="C186" s="15" t="s">
        <v>285</v>
      </c>
      <c r="D186" s="15" t="s">
        <v>297</v>
      </c>
      <c r="E186" s="15">
        <v>420</v>
      </c>
      <c r="F186" s="15">
        <v>980</v>
      </c>
      <c r="G186" s="17">
        <v>79</v>
      </c>
      <c r="H186" s="17">
        <v>155</v>
      </c>
      <c r="I186" s="17"/>
      <c r="J186" s="17"/>
      <c r="L186" s="17">
        <f t="shared" si="3"/>
        <v>91</v>
      </c>
      <c r="M186" s="17">
        <f t="shared" si="3"/>
        <v>178</v>
      </c>
      <c r="N186" s="17" t="str">
        <f t="shared" si="3"/>
        <v/>
      </c>
      <c r="O186" s="17" t="str">
        <f t="shared" si="3"/>
        <v/>
      </c>
    </row>
    <row r="187" spans="1:15" x14ac:dyDescent="0.25">
      <c r="A187" s="15">
        <v>3812</v>
      </c>
      <c r="B187" s="15" t="s">
        <v>90</v>
      </c>
      <c r="C187" s="15" t="s">
        <v>285</v>
      </c>
      <c r="D187" s="15" t="s">
        <v>298</v>
      </c>
      <c r="E187" s="15">
        <v>780</v>
      </c>
      <c r="F187" s="15">
        <v>780</v>
      </c>
      <c r="G187" s="17">
        <v>126</v>
      </c>
      <c r="H187" s="17">
        <v>302</v>
      </c>
      <c r="I187" s="17">
        <v>272</v>
      </c>
      <c r="J187" s="17">
        <v>295</v>
      </c>
      <c r="L187" s="17">
        <f t="shared" si="3"/>
        <v>145</v>
      </c>
      <c r="M187" s="17">
        <f t="shared" si="3"/>
        <v>347</v>
      </c>
      <c r="N187" s="17">
        <f t="shared" si="3"/>
        <v>313</v>
      </c>
      <c r="O187" s="17">
        <f t="shared" si="3"/>
        <v>339</v>
      </c>
    </row>
    <row r="188" spans="1:15" x14ac:dyDescent="0.25">
      <c r="A188" s="15">
        <v>3813</v>
      </c>
      <c r="B188" s="15" t="s">
        <v>90</v>
      </c>
      <c r="C188" s="15" t="s">
        <v>285</v>
      </c>
      <c r="D188" s="15" t="s">
        <v>299</v>
      </c>
      <c r="E188" s="15">
        <v>780</v>
      </c>
      <c r="F188" s="15">
        <v>980</v>
      </c>
      <c r="G188" s="17">
        <v>139</v>
      </c>
      <c r="H188" s="17">
        <v>416</v>
      </c>
      <c r="I188" s="17"/>
      <c r="J188" s="17"/>
      <c r="L188" s="17">
        <f t="shared" si="3"/>
        <v>160</v>
      </c>
      <c r="M188" s="17">
        <f t="shared" si="3"/>
        <v>478</v>
      </c>
      <c r="N188" s="17" t="str">
        <f t="shared" si="3"/>
        <v/>
      </c>
      <c r="O188" s="17" t="str">
        <f t="shared" si="3"/>
        <v/>
      </c>
    </row>
    <row r="189" spans="1:15" x14ac:dyDescent="0.25">
      <c r="A189" s="15">
        <v>3814</v>
      </c>
      <c r="B189" s="15" t="s">
        <v>90</v>
      </c>
      <c r="C189" s="15" t="s">
        <v>285</v>
      </c>
      <c r="D189" s="15" t="s">
        <v>300</v>
      </c>
      <c r="E189" s="15">
        <v>980</v>
      </c>
      <c r="F189" s="15">
        <v>780</v>
      </c>
      <c r="G189" s="17">
        <v>139</v>
      </c>
      <c r="H189" s="17">
        <v>416</v>
      </c>
      <c r="I189" s="17"/>
      <c r="J189" s="17"/>
      <c r="L189" s="17">
        <f t="shared" si="3"/>
        <v>160</v>
      </c>
      <c r="M189" s="17">
        <f t="shared" si="3"/>
        <v>478</v>
      </c>
      <c r="N189" s="17" t="str">
        <f t="shared" si="3"/>
        <v/>
      </c>
      <c r="O189" s="17" t="str">
        <f t="shared" si="3"/>
        <v/>
      </c>
    </row>
    <row r="190" spans="1:15" x14ac:dyDescent="0.25">
      <c r="A190" s="15">
        <v>3815</v>
      </c>
      <c r="B190" s="15" t="s">
        <v>90</v>
      </c>
      <c r="C190" s="15" t="s">
        <v>285</v>
      </c>
      <c r="D190" s="15" t="s">
        <v>301</v>
      </c>
      <c r="E190" s="15">
        <v>980</v>
      </c>
      <c r="F190" s="15">
        <v>980</v>
      </c>
      <c r="G190" s="17">
        <v>180</v>
      </c>
      <c r="H190" s="17">
        <v>354</v>
      </c>
      <c r="I190" s="17"/>
      <c r="J190" s="17"/>
      <c r="L190" s="17">
        <f t="shared" si="3"/>
        <v>207</v>
      </c>
      <c r="M190" s="17">
        <f t="shared" si="3"/>
        <v>407</v>
      </c>
      <c r="N190" s="17" t="str">
        <f t="shared" si="3"/>
        <v/>
      </c>
      <c r="O190" s="17" t="str">
        <f t="shared" si="3"/>
        <v/>
      </c>
    </row>
    <row r="191" spans="1:15" x14ac:dyDescent="0.25">
      <c r="A191" s="15">
        <v>5000</v>
      </c>
      <c r="B191" s="15" t="s">
        <v>90</v>
      </c>
      <c r="C191" s="15" t="s">
        <v>10</v>
      </c>
      <c r="D191" s="15" t="s">
        <v>302</v>
      </c>
      <c r="E191" s="15">
        <v>420</v>
      </c>
      <c r="F191" s="15">
        <v>180</v>
      </c>
      <c r="G191" s="17">
        <v>169</v>
      </c>
      <c r="H191" s="17">
        <v>255</v>
      </c>
      <c r="I191" s="17">
        <v>237</v>
      </c>
      <c r="J191" s="17">
        <v>446</v>
      </c>
      <c r="L191" s="17">
        <f t="shared" si="3"/>
        <v>194</v>
      </c>
      <c r="M191" s="17">
        <f t="shared" si="3"/>
        <v>293</v>
      </c>
      <c r="N191" s="17">
        <f t="shared" si="3"/>
        <v>273</v>
      </c>
      <c r="O191" s="17">
        <f t="shared" si="3"/>
        <v>513</v>
      </c>
    </row>
    <row r="192" spans="1:15" x14ac:dyDescent="0.25">
      <c r="A192" s="15">
        <v>5001</v>
      </c>
      <c r="B192" s="15" t="s">
        <v>90</v>
      </c>
      <c r="C192" s="15" t="s">
        <v>10</v>
      </c>
      <c r="D192" s="15" t="s">
        <v>303</v>
      </c>
      <c r="E192" s="15">
        <v>420</v>
      </c>
      <c r="F192" s="15">
        <v>360</v>
      </c>
      <c r="G192" s="17">
        <v>169</v>
      </c>
      <c r="H192" s="17">
        <v>255</v>
      </c>
      <c r="I192" s="17">
        <v>237</v>
      </c>
      <c r="J192" s="17">
        <v>446</v>
      </c>
      <c r="L192" s="17">
        <f t="shared" si="3"/>
        <v>194</v>
      </c>
      <c r="M192" s="17">
        <f t="shared" si="3"/>
        <v>293</v>
      </c>
      <c r="N192" s="17">
        <f t="shared" si="3"/>
        <v>273</v>
      </c>
      <c r="O192" s="17">
        <f t="shared" si="3"/>
        <v>513</v>
      </c>
    </row>
    <row r="193" spans="1:15" x14ac:dyDescent="0.25">
      <c r="A193" s="15">
        <v>5002</v>
      </c>
      <c r="B193" s="15" t="s">
        <v>90</v>
      </c>
      <c r="C193" s="15" t="s">
        <v>10</v>
      </c>
      <c r="D193" s="15" t="s">
        <v>304</v>
      </c>
      <c r="E193" s="15">
        <v>580</v>
      </c>
      <c r="F193" s="15">
        <v>180</v>
      </c>
      <c r="G193" s="17">
        <v>184</v>
      </c>
      <c r="H193" s="17">
        <v>283</v>
      </c>
      <c r="I193" s="17">
        <v>259</v>
      </c>
      <c r="J193" s="17">
        <v>487</v>
      </c>
      <c r="L193" s="17">
        <f t="shared" si="3"/>
        <v>212</v>
      </c>
      <c r="M193" s="17">
        <f t="shared" si="3"/>
        <v>325</v>
      </c>
      <c r="N193" s="17">
        <f t="shared" si="3"/>
        <v>298</v>
      </c>
      <c r="O193" s="17">
        <f t="shared" ref="O193:O256" si="4">IF(J193="","",ROUND(J193*1.15,0))</f>
        <v>560</v>
      </c>
    </row>
    <row r="194" spans="1:15" x14ac:dyDescent="0.25">
      <c r="A194" s="15">
        <v>5003</v>
      </c>
      <c r="B194" s="15" t="s">
        <v>90</v>
      </c>
      <c r="C194" s="15" t="s">
        <v>10</v>
      </c>
      <c r="D194" s="15" t="s">
        <v>305</v>
      </c>
      <c r="E194" s="15">
        <v>580</v>
      </c>
      <c r="F194" s="15">
        <v>360</v>
      </c>
      <c r="G194" s="17">
        <v>184</v>
      </c>
      <c r="H194" s="17">
        <v>283</v>
      </c>
      <c r="I194" s="17">
        <v>259</v>
      </c>
      <c r="J194" s="17">
        <v>487</v>
      </c>
      <c r="L194" s="17">
        <f t="shared" ref="L194:O261" si="5">IF(G194="","",ROUND(G194*1.15,0))</f>
        <v>212</v>
      </c>
      <c r="M194" s="17">
        <f t="shared" si="5"/>
        <v>325</v>
      </c>
      <c r="N194" s="17">
        <f t="shared" si="5"/>
        <v>298</v>
      </c>
      <c r="O194" s="17">
        <f t="shared" si="4"/>
        <v>560</v>
      </c>
    </row>
    <row r="195" spans="1:15" x14ac:dyDescent="0.25">
      <c r="A195" s="15">
        <v>5004</v>
      </c>
      <c r="B195" s="15" t="s">
        <v>90</v>
      </c>
      <c r="C195" s="15" t="s">
        <v>10</v>
      </c>
      <c r="D195" s="15" t="s">
        <v>306</v>
      </c>
      <c r="E195" s="15">
        <v>780</v>
      </c>
      <c r="F195" s="15">
        <v>180</v>
      </c>
      <c r="G195" s="17">
        <v>198</v>
      </c>
      <c r="H195" s="17">
        <v>310</v>
      </c>
      <c r="I195" s="17">
        <v>280</v>
      </c>
      <c r="J195" s="17">
        <v>527</v>
      </c>
      <c r="L195" s="17">
        <f t="shared" si="5"/>
        <v>228</v>
      </c>
      <c r="M195" s="17">
        <f t="shared" si="5"/>
        <v>357</v>
      </c>
      <c r="N195" s="17">
        <f t="shared" si="5"/>
        <v>322</v>
      </c>
      <c r="O195" s="17">
        <f t="shared" si="4"/>
        <v>606</v>
      </c>
    </row>
    <row r="196" spans="1:15" x14ac:dyDescent="0.25">
      <c r="A196" s="15">
        <v>5005</v>
      </c>
      <c r="B196" s="15" t="s">
        <v>90</v>
      </c>
      <c r="C196" s="15" t="s">
        <v>10</v>
      </c>
      <c r="D196" s="15" t="s">
        <v>307</v>
      </c>
      <c r="E196" s="15">
        <v>780</v>
      </c>
      <c r="F196" s="15">
        <v>360</v>
      </c>
      <c r="G196" s="17">
        <v>198</v>
      </c>
      <c r="H196" s="17">
        <v>310</v>
      </c>
      <c r="I196" s="17">
        <v>280</v>
      </c>
      <c r="J196" s="17">
        <v>527</v>
      </c>
      <c r="L196" s="17">
        <f t="shared" si="5"/>
        <v>228</v>
      </c>
      <c r="M196" s="17">
        <f t="shared" si="5"/>
        <v>357</v>
      </c>
      <c r="N196" s="17">
        <f t="shared" si="5"/>
        <v>322</v>
      </c>
      <c r="O196" s="17">
        <f t="shared" si="4"/>
        <v>606</v>
      </c>
    </row>
    <row r="197" spans="1:15" x14ac:dyDescent="0.25">
      <c r="A197" s="15">
        <v>5006</v>
      </c>
      <c r="B197" s="15" t="s">
        <v>90</v>
      </c>
      <c r="C197" s="15" t="s">
        <v>10</v>
      </c>
      <c r="D197" s="15" t="s">
        <v>308</v>
      </c>
      <c r="E197" s="15">
        <v>980</v>
      </c>
      <c r="F197" s="15">
        <v>180</v>
      </c>
      <c r="G197" s="17">
        <v>250</v>
      </c>
      <c r="H197" s="17">
        <v>369</v>
      </c>
      <c r="I197" s="17">
        <v>345</v>
      </c>
      <c r="J197" s="17">
        <v>649</v>
      </c>
      <c r="L197" s="17">
        <f t="shared" si="5"/>
        <v>288</v>
      </c>
      <c r="M197" s="17">
        <f t="shared" si="5"/>
        <v>424</v>
      </c>
      <c r="N197" s="17">
        <f t="shared" si="5"/>
        <v>397</v>
      </c>
      <c r="O197" s="17">
        <f t="shared" si="4"/>
        <v>746</v>
      </c>
    </row>
    <row r="198" spans="1:15" x14ac:dyDescent="0.25">
      <c r="A198" s="15">
        <v>5007</v>
      </c>
      <c r="B198" s="15" t="s">
        <v>90</v>
      </c>
      <c r="C198" s="15" t="s">
        <v>10</v>
      </c>
      <c r="D198" s="15" t="s">
        <v>309</v>
      </c>
      <c r="E198" s="15">
        <v>980</v>
      </c>
      <c r="F198" s="15">
        <v>360</v>
      </c>
      <c r="G198" s="17">
        <v>250</v>
      </c>
      <c r="H198" s="17">
        <v>369</v>
      </c>
      <c r="I198" s="17">
        <v>345</v>
      </c>
      <c r="J198" s="17">
        <v>649</v>
      </c>
      <c r="L198" s="17">
        <f t="shared" si="5"/>
        <v>288</v>
      </c>
      <c r="M198" s="17">
        <f t="shared" si="5"/>
        <v>424</v>
      </c>
      <c r="N198" s="17">
        <f t="shared" si="5"/>
        <v>397</v>
      </c>
      <c r="O198" s="17">
        <f t="shared" si="4"/>
        <v>746</v>
      </c>
    </row>
    <row r="199" spans="1:15" x14ac:dyDescent="0.25">
      <c r="A199" s="15">
        <v>5009</v>
      </c>
      <c r="B199" s="15" t="s">
        <v>90</v>
      </c>
      <c r="C199" s="15" t="s">
        <v>10</v>
      </c>
      <c r="D199" s="15" t="s">
        <v>310</v>
      </c>
      <c r="E199" s="15">
        <v>360</v>
      </c>
      <c r="F199" s="15">
        <v>180</v>
      </c>
      <c r="G199" s="17">
        <v>169</v>
      </c>
      <c r="H199" s="17">
        <v>333</v>
      </c>
      <c r="I199" s="17">
        <v>345</v>
      </c>
      <c r="J199" s="17">
        <v>649</v>
      </c>
      <c r="L199" s="17">
        <f t="shared" si="5"/>
        <v>194</v>
      </c>
      <c r="M199" s="17">
        <f t="shared" si="5"/>
        <v>383</v>
      </c>
      <c r="N199" s="17">
        <f t="shared" si="5"/>
        <v>397</v>
      </c>
      <c r="O199" s="17">
        <f t="shared" si="4"/>
        <v>746</v>
      </c>
    </row>
    <row r="200" spans="1:15" x14ac:dyDescent="0.25">
      <c r="A200" s="15">
        <v>5008</v>
      </c>
      <c r="B200" s="15" t="s">
        <v>90</v>
      </c>
      <c r="C200" s="15" t="s">
        <v>10</v>
      </c>
      <c r="D200" s="15" t="s">
        <v>311</v>
      </c>
      <c r="E200" s="15">
        <v>360</v>
      </c>
      <c r="F200" s="15">
        <v>360</v>
      </c>
      <c r="G200" s="17">
        <v>169</v>
      </c>
      <c r="H200" s="17">
        <v>333</v>
      </c>
      <c r="I200" s="17">
        <v>345</v>
      </c>
      <c r="J200" s="17">
        <v>649</v>
      </c>
      <c r="L200" s="17">
        <f t="shared" si="5"/>
        <v>194</v>
      </c>
      <c r="M200" s="17">
        <f t="shared" si="5"/>
        <v>383</v>
      </c>
      <c r="N200" s="17">
        <f t="shared" si="5"/>
        <v>397</v>
      </c>
      <c r="O200" s="17">
        <f t="shared" si="4"/>
        <v>746</v>
      </c>
    </row>
    <row r="201" spans="1:15" x14ac:dyDescent="0.25">
      <c r="A201" s="15" t="s">
        <v>312</v>
      </c>
      <c r="B201" s="15" t="s">
        <v>90</v>
      </c>
      <c r="C201" s="15" t="s">
        <v>10</v>
      </c>
      <c r="D201" s="15" t="s">
        <v>313</v>
      </c>
      <c r="E201" s="15">
        <v>980</v>
      </c>
      <c r="F201" s="15">
        <v>420</v>
      </c>
      <c r="G201" s="17">
        <v>255</v>
      </c>
      <c r="H201" s="17">
        <v>502</v>
      </c>
      <c r="I201" s="17">
        <v>345</v>
      </c>
      <c r="J201" s="17">
        <v>649</v>
      </c>
      <c r="L201" s="17">
        <f t="shared" si="5"/>
        <v>293</v>
      </c>
      <c r="M201" s="17">
        <f t="shared" si="5"/>
        <v>577</v>
      </c>
      <c r="N201" s="17">
        <f t="shared" si="5"/>
        <v>397</v>
      </c>
      <c r="O201" s="17">
        <f t="shared" si="4"/>
        <v>746</v>
      </c>
    </row>
    <row r="202" spans="1:15" x14ac:dyDescent="0.25">
      <c r="A202" s="15">
        <v>5100</v>
      </c>
      <c r="B202" s="15" t="s">
        <v>90</v>
      </c>
      <c r="C202" s="15" t="s">
        <v>314</v>
      </c>
      <c r="D202" s="15" t="s">
        <v>315</v>
      </c>
      <c r="E202" s="15">
        <v>420</v>
      </c>
      <c r="F202" s="15">
        <v>360</v>
      </c>
      <c r="G202" s="17">
        <v>136</v>
      </c>
      <c r="H202" s="17">
        <v>205</v>
      </c>
      <c r="I202" s="17">
        <v>182</v>
      </c>
      <c r="J202" s="17">
        <v>479</v>
      </c>
      <c r="L202" s="17">
        <f t="shared" si="5"/>
        <v>156</v>
      </c>
      <c r="M202" s="17">
        <f t="shared" si="5"/>
        <v>236</v>
      </c>
      <c r="N202" s="17">
        <f t="shared" si="5"/>
        <v>209</v>
      </c>
      <c r="O202" s="17">
        <f t="shared" si="4"/>
        <v>551</v>
      </c>
    </row>
    <row r="203" spans="1:15" x14ac:dyDescent="0.25">
      <c r="A203" s="15">
        <v>5101</v>
      </c>
      <c r="B203" s="15" t="s">
        <v>90</v>
      </c>
      <c r="C203" s="15" t="s">
        <v>314</v>
      </c>
      <c r="D203" s="15" t="s">
        <v>316</v>
      </c>
      <c r="E203" s="15">
        <v>420</v>
      </c>
      <c r="F203" s="15">
        <v>720</v>
      </c>
      <c r="G203" s="17">
        <v>159</v>
      </c>
      <c r="H203" s="17">
        <v>270</v>
      </c>
      <c r="I203" s="17">
        <v>230</v>
      </c>
      <c r="J203" s="17">
        <v>544</v>
      </c>
      <c r="L203" s="17">
        <f t="shared" si="5"/>
        <v>183</v>
      </c>
      <c r="M203" s="17">
        <f t="shared" si="5"/>
        <v>311</v>
      </c>
      <c r="N203" s="17">
        <f t="shared" si="5"/>
        <v>265</v>
      </c>
      <c r="O203" s="17">
        <f t="shared" si="4"/>
        <v>626</v>
      </c>
    </row>
    <row r="204" spans="1:15" x14ac:dyDescent="0.25">
      <c r="A204" s="15">
        <v>5102</v>
      </c>
      <c r="B204" s="15" t="s">
        <v>90</v>
      </c>
      <c r="C204" s="15" t="s">
        <v>314</v>
      </c>
      <c r="D204" s="15" t="s">
        <v>317</v>
      </c>
      <c r="E204" s="15">
        <v>420</v>
      </c>
      <c r="F204" s="15">
        <v>1080</v>
      </c>
      <c r="G204" s="17">
        <v>235</v>
      </c>
      <c r="H204" s="17">
        <v>373</v>
      </c>
      <c r="I204" s="17">
        <v>339</v>
      </c>
      <c r="J204" s="17">
        <v>643</v>
      </c>
      <c r="L204" s="17">
        <f t="shared" si="5"/>
        <v>270</v>
      </c>
      <c r="M204" s="17">
        <f t="shared" si="5"/>
        <v>429</v>
      </c>
      <c r="N204" s="17">
        <f t="shared" si="5"/>
        <v>390</v>
      </c>
      <c r="O204" s="17">
        <f t="shared" si="4"/>
        <v>739</v>
      </c>
    </row>
    <row r="205" spans="1:15" x14ac:dyDescent="0.25">
      <c r="A205" s="15">
        <v>5103</v>
      </c>
      <c r="B205" s="15" t="s">
        <v>90</v>
      </c>
      <c r="C205" s="15" t="s">
        <v>314</v>
      </c>
      <c r="D205" s="15" t="s">
        <v>318</v>
      </c>
      <c r="E205" s="15">
        <v>420</v>
      </c>
      <c r="F205" s="15">
        <v>1440</v>
      </c>
      <c r="G205" s="17">
        <v>257</v>
      </c>
      <c r="H205" s="17">
        <v>472</v>
      </c>
      <c r="I205" s="17">
        <v>402</v>
      </c>
      <c r="J205" s="17">
        <v>712</v>
      </c>
      <c r="L205" s="17">
        <f t="shared" si="5"/>
        <v>296</v>
      </c>
      <c r="M205" s="17">
        <f t="shared" si="5"/>
        <v>543</v>
      </c>
      <c r="N205" s="17">
        <f t="shared" si="5"/>
        <v>462</v>
      </c>
      <c r="O205" s="17">
        <f t="shared" si="4"/>
        <v>819</v>
      </c>
    </row>
    <row r="206" spans="1:15" x14ac:dyDescent="0.25">
      <c r="A206" s="15">
        <v>5104</v>
      </c>
      <c r="B206" s="15" t="s">
        <v>90</v>
      </c>
      <c r="C206" s="15" t="s">
        <v>314</v>
      </c>
      <c r="D206" s="15" t="s">
        <v>319</v>
      </c>
      <c r="E206" s="15">
        <v>420</v>
      </c>
      <c r="F206" s="15">
        <v>1800</v>
      </c>
      <c r="G206" s="17">
        <v>340</v>
      </c>
      <c r="H206" s="17">
        <v>669</v>
      </c>
      <c r="I206" s="17">
        <v>494</v>
      </c>
      <c r="J206" s="17">
        <v>834</v>
      </c>
      <c r="L206" s="17">
        <f t="shared" si="5"/>
        <v>391</v>
      </c>
      <c r="M206" s="17">
        <f t="shared" si="5"/>
        <v>769</v>
      </c>
      <c r="N206" s="17">
        <f t="shared" si="5"/>
        <v>568</v>
      </c>
      <c r="O206" s="17">
        <f t="shared" si="4"/>
        <v>959</v>
      </c>
    </row>
    <row r="207" spans="1:15" x14ac:dyDescent="0.25">
      <c r="A207" s="15">
        <v>5105</v>
      </c>
      <c r="B207" s="15" t="s">
        <v>90</v>
      </c>
      <c r="C207" s="15" t="s">
        <v>314</v>
      </c>
      <c r="D207" s="15" t="s">
        <v>320</v>
      </c>
      <c r="E207" s="15">
        <v>580</v>
      </c>
      <c r="F207" s="15">
        <v>360</v>
      </c>
      <c r="G207" s="17">
        <v>153</v>
      </c>
      <c r="H207" s="17">
        <v>228</v>
      </c>
      <c r="I207" s="17">
        <v>208</v>
      </c>
      <c r="J207" s="17">
        <v>509</v>
      </c>
      <c r="L207" s="17">
        <f t="shared" si="5"/>
        <v>176</v>
      </c>
      <c r="M207" s="17">
        <f t="shared" si="5"/>
        <v>262</v>
      </c>
      <c r="N207" s="17">
        <f t="shared" si="5"/>
        <v>239</v>
      </c>
      <c r="O207" s="17">
        <f t="shared" si="4"/>
        <v>585</v>
      </c>
    </row>
    <row r="208" spans="1:15" x14ac:dyDescent="0.25">
      <c r="A208" s="15">
        <v>5106</v>
      </c>
      <c r="B208" s="15" t="s">
        <v>90</v>
      </c>
      <c r="C208" s="15" t="s">
        <v>314</v>
      </c>
      <c r="D208" s="15" t="s">
        <v>321</v>
      </c>
      <c r="E208" s="15">
        <v>580</v>
      </c>
      <c r="F208" s="15">
        <v>720</v>
      </c>
      <c r="G208" s="17">
        <v>210</v>
      </c>
      <c r="H208" s="17">
        <v>332</v>
      </c>
      <c r="I208" s="17">
        <v>306</v>
      </c>
      <c r="J208" s="17">
        <v>585</v>
      </c>
      <c r="L208" s="17">
        <f t="shared" si="5"/>
        <v>242</v>
      </c>
      <c r="M208" s="17">
        <f t="shared" si="5"/>
        <v>382</v>
      </c>
      <c r="N208" s="17">
        <f t="shared" si="5"/>
        <v>352</v>
      </c>
      <c r="O208" s="17">
        <f t="shared" si="4"/>
        <v>673</v>
      </c>
    </row>
    <row r="209" spans="1:15" x14ac:dyDescent="0.25">
      <c r="A209" s="15">
        <v>5107</v>
      </c>
      <c r="B209" s="15" t="s">
        <v>90</v>
      </c>
      <c r="C209" s="15" t="s">
        <v>314</v>
      </c>
      <c r="D209" s="15" t="s">
        <v>322</v>
      </c>
      <c r="E209" s="15">
        <v>580</v>
      </c>
      <c r="F209" s="15">
        <v>1080</v>
      </c>
      <c r="G209" s="17">
        <v>278</v>
      </c>
      <c r="H209" s="17">
        <v>459</v>
      </c>
      <c r="I209" s="17">
        <v>415</v>
      </c>
      <c r="J209" s="17">
        <v>709</v>
      </c>
      <c r="L209" s="17">
        <f t="shared" si="5"/>
        <v>320</v>
      </c>
      <c r="M209" s="17">
        <f t="shared" si="5"/>
        <v>528</v>
      </c>
      <c r="N209" s="17">
        <f t="shared" si="5"/>
        <v>477</v>
      </c>
      <c r="O209" s="17">
        <f t="shared" si="4"/>
        <v>815</v>
      </c>
    </row>
    <row r="210" spans="1:15" x14ac:dyDescent="0.25">
      <c r="A210" s="15">
        <v>5108</v>
      </c>
      <c r="B210" s="15" t="s">
        <v>90</v>
      </c>
      <c r="C210" s="15" t="s">
        <v>314</v>
      </c>
      <c r="D210" s="15" t="s">
        <v>323</v>
      </c>
      <c r="E210" s="15">
        <v>580</v>
      </c>
      <c r="F210" s="15">
        <v>1440</v>
      </c>
      <c r="G210" s="17">
        <v>337</v>
      </c>
      <c r="H210" s="17">
        <v>560</v>
      </c>
      <c r="I210" s="17">
        <v>503</v>
      </c>
      <c r="J210" s="17">
        <v>946</v>
      </c>
      <c r="L210" s="17">
        <f t="shared" si="5"/>
        <v>388</v>
      </c>
      <c r="M210" s="17">
        <f t="shared" si="5"/>
        <v>644</v>
      </c>
      <c r="N210" s="17">
        <f t="shared" si="5"/>
        <v>578</v>
      </c>
      <c r="O210" s="17">
        <f t="shared" si="4"/>
        <v>1088</v>
      </c>
    </row>
    <row r="211" spans="1:15" x14ac:dyDescent="0.25">
      <c r="A211" s="15">
        <v>5109</v>
      </c>
      <c r="B211" s="15" t="s">
        <v>90</v>
      </c>
      <c r="C211" s="15" t="s">
        <v>314</v>
      </c>
      <c r="D211" s="15" t="s">
        <v>324</v>
      </c>
      <c r="E211" s="15">
        <v>580</v>
      </c>
      <c r="F211" s="15">
        <v>1800</v>
      </c>
      <c r="G211" s="17">
        <v>417</v>
      </c>
      <c r="H211" s="17">
        <v>821</v>
      </c>
      <c r="I211" s="17">
        <v>619</v>
      </c>
      <c r="J211" s="17">
        <v>1164</v>
      </c>
      <c r="L211" s="17">
        <f t="shared" si="5"/>
        <v>480</v>
      </c>
      <c r="M211" s="17">
        <f t="shared" si="5"/>
        <v>944</v>
      </c>
      <c r="N211" s="17">
        <f t="shared" si="5"/>
        <v>712</v>
      </c>
      <c r="O211" s="17">
        <f t="shared" si="4"/>
        <v>1339</v>
      </c>
    </row>
    <row r="212" spans="1:15" x14ac:dyDescent="0.25">
      <c r="A212" s="15">
        <v>5110</v>
      </c>
      <c r="B212" s="15" t="s">
        <v>90</v>
      </c>
      <c r="C212" s="15" t="s">
        <v>314</v>
      </c>
      <c r="D212" s="15" t="s">
        <v>325</v>
      </c>
      <c r="E212" s="15">
        <v>360</v>
      </c>
      <c r="F212" s="15">
        <v>360</v>
      </c>
      <c r="G212" s="17">
        <v>136</v>
      </c>
      <c r="H212" s="17">
        <v>268</v>
      </c>
      <c r="I212" s="17">
        <v>237</v>
      </c>
      <c r="J212" s="17">
        <v>446</v>
      </c>
      <c r="L212" s="17">
        <f t="shared" si="5"/>
        <v>156</v>
      </c>
      <c r="M212" s="17">
        <f t="shared" si="5"/>
        <v>308</v>
      </c>
      <c r="N212" s="17">
        <f t="shared" si="5"/>
        <v>273</v>
      </c>
      <c r="O212" s="17">
        <f t="shared" si="4"/>
        <v>513</v>
      </c>
    </row>
    <row r="213" spans="1:15" x14ac:dyDescent="0.25">
      <c r="A213" s="15">
        <v>5111</v>
      </c>
      <c r="B213" s="15" t="s">
        <v>90</v>
      </c>
      <c r="C213" s="15" t="s">
        <v>314</v>
      </c>
      <c r="D213" s="15" t="s">
        <v>326</v>
      </c>
      <c r="E213" s="15">
        <v>780</v>
      </c>
      <c r="F213" s="15">
        <v>360</v>
      </c>
      <c r="G213" s="17"/>
      <c r="H213" s="17"/>
      <c r="I213" s="17">
        <v>259</v>
      </c>
      <c r="J213" s="17">
        <v>487</v>
      </c>
      <c r="L213" s="17" t="str">
        <f t="shared" si="5"/>
        <v/>
      </c>
      <c r="M213" s="17" t="str">
        <f t="shared" si="5"/>
        <v/>
      </c>
      <c r="N213" s="17">
        <f t="shared" si="5"/>
        <v>298</v>
      </c>
      <c r="O213" s="17">
        <f t="shared" si="4"/>
        <v>560</v>
      </c>
    </row>
    <row r="214" spans="1:15" x14ac:dyDescent="0.25">
      <c r="A214" s="15">
        <v>5200</v>
      </c>
      <c r="B214" s="15" t="s">
        <v>90</v>
      </c>
      <c r="C214" s="15" t="s">
        <v>327</v>
      </c>
      <c r="D214" s="15" t="s">
        <v>328</v>
      </c>
      <c r="E214" s="15">
        <v>780</v>
      </c>
      <c r="F214" s="15">
        <v>360</v>
      </c>
      <c r="G214" s="17">
        <v>255</v>
      </c>
      <c r="H214" s="17">
        <v>367</v>
      </c>
      <c r="I214" s="17">
        <v>334</v>
      </c>
      <c r="J214" s="17">
        <v>867</v>
      </c>
      <c r="L214" s="17">
        <f t="shared" si="5"/>
        <v>293</v>
      </c>
      <c r="M214" s="17">
        <f t="shared" si="5"/>
        <v>422</v>
      </c>
      <c r="N214" s="17">
        <f t="shared" si="5"/>
        <v>384</v>
      </c>
      <c r="O214" s="17">
        <f t="shared" si="4"/>
        <v>997</v>
      </c>
    </row>
    <row r="215" spans="1:15" x14ac:dyDescent="0.25">
      <c r="A215" s="15">
        <v>5210</v>
      </c>
      <c r="B215" s="15" t="s">
        <v>90</v>
      </c>
      <c r="C215" s="15" t="s">
        <v>327</v>
      </c>
      <c r="D215" s="15" t="s">
        <v>329</v>
      </c>
      <c r="E215" s="15">
        <v>780</v>
      </c>
      <c r="F215" s="15">
        <v>660</v>
      </c>
      <c r="G215" s="17">
        <v>314</v>
      </c>
      <c r="H215" s="17">
        <v>618</v>
      </c>
      <c r="I215" s="17">
        <v>423</v>
      </c>
      <c r="J215" s="17">
        <v>796</v>
      </c>
      <c r="L215" s="17">
        <f t="shared" si="5"/>
        <v>361</v>
      </c>
      <c r="M215" s="17">
        <f t="shared" si="5"/>
        <v>711</v>
      </c>
      <c r="N215" s="17">
        <f t="shared" si="5"/>
        <v>486</v>
      </c>
      <c r="O215" s="17">
        <f t="shared" si="4"/>
        <v>915</v>
      </c>
    </row>
    <row r="216" spans="1:15" x14ac:dyDescent="0.25">
      <c r="A216" s="15">
        <v>5201</v>
      </c>
      <c r="B216" s="15" t="s">
        <v>90</v>
      </c>
      <c r="C216" s="15" t="s">
        <v>327</v>
      </c>
      <c r="D216" s="15" t="s">
        <v>330</v>
      </c>
      <c r="E216" s="15">
        <v>780</v>
      </c>
      <c r="F216" s="15">
        <v>720</v>
      </c>
      <c r="G216" s="17">
        <v>314</v>
      </c>
      <c r="H216" s="17">
        <v>484</v>
      </c>
      <c r="I216" s="17">
        <v>423</v>
      </c>
      <c r="J216" s="17">
        <v>902</v>
      </c>
      <c r="L216" s="17">
        <f t="shared" si="5"/>
        <v>361</v>
      </c>
      <c r="M216" s="17">
        <f t="shared" si="5"/>
        <v>557</v>
      </c>
      <c r="N216" s="17">
        <f t="shared" si="5"/>
        <v>486</v>
      </c>
      <c r="O216" s="17">
        <f t="shared" si="4"/>
        <v>1037</v>
      </c>
    </row>
    <row r="217" spans="1:15" x14ac:dyDescent="0.25">
      <c r="A217" s="15">
        <v>5202</v>
      </c>
      <c r="B217" s="15" t="s">
        <v>90</v>
      </c>
      <c r="C217" s="15" t="s">
        <v>327</v>
      </c>
      <c r="D217" s="15" t="s">
        <v>331</v>
      </c>
      <c r="E217" s="15">
        <v>780</v>
      </c>
      <c r="F217" s="15">
        <v>1080</v>
      </c>
      <c r="G217" s="17">
        <v>464</v>
      </c>
      <c r="H217" s="17">
        <v>716</v>
      </c>
      <c r="I217" s="17">
        <v>624</v>
      </c>
      <c r="J217" s="17">
        <v>1139</v>
      </c>
      <c r="L217" s="17">
        <f t="shared" si="5"/>
        <v>534</v>
      </c>
      <c r="M217" s="17">
        <f t="shared" si="5"/>
        <v>823</v>
      </c>
      <c r="N217" s="17">
        <f t="shared" si="5"/>
        <v>718</v>
      </c>
      <c r="O217" s="17">
        <f t="shared" si="4"/>
        <v>1310</v>
      </c>
    </row>
    <row r="218" spans="1:15" x14ac:dyDescent="0.25">
      <c r="A218" s="15">
        <v>5203</v>
      </c>
      <c r="B218" s="15" t="s">
        <v>90</v>
      </c>
      <c r="C218" s="15" t="s">
        <v>327</v>
      </c>
      <c r="D218" s="15" t="s">
        <v>332</v>
      </c>
      <c r="E218" s="15">
        <v>780</v>
      </c>
      <c r="F218" s="15">
        <v>1440</v>
      </c>
      <c r="G218" s="17">
        <v>542</v>
      </c>
      <c r="H218" s="17">
        <v>863</v>
      </c>
      <c r="I218" s="17">
        <v>746</v>
      </c>
      <c r="J218" s="17">
        <v>1265</v>
      </c>
      <c r="L218" s="17">
        <f t="shared" si="5"/>
        <v>623</v>
      </c>
      <c r="M218" s="17">
        <f t="shared" si="5"/>
        <v>992</v>
      </c>
      <c r="N218" s="17">
        <f t="shared" si="5"/>
        <v>858</v>
      </c>
      <c r="O218" s="17">
        <f t="shared" si="4"/>
        <v>1455</v>
      </c>
    </row>
    <row r="219" spans="1:15" x14ac:dyDescent="0.25">
      <c r="A219" s="15">
        <v>5204</v>
      </c>
      <c r="B219" s="15" t="s">
        <v>90</v>
      </c>
      <c r="C219" s="15" t="s">
        <v>327</v>
      </c>
      <c r="D219" s="15" t="s">
        <v>333</v>
      </c>
      <c r="E219" s="15">
        <v>780</v>
      </c>
      <c r="F219" s="15">
        <v>1800</v>
      </c>
      <c r="G219" s="17">
        <v>668</v>
      </c>
      <c r="H219" s="17">
        <v>1315</v>
      </c>
      <c r="I219" s="17">
        <v>917</v>
      </c>
      <c r="J219" s="17">
        <v>1496</v>
      </c>
      <c r="L219" s="17">
        <f t="shared" si="5"/>
        <v>768</v>
      </c>
      <c r="M219" s="17">
        <f t="shared" si="5"/>
        <v>1512</v>
      </c>
      <c r="N219" s="17">
        <f t="shared" si="5"/>
        <v>1055</v>
      </c>
      <c r="O219" s="17">
        <f t="shared" si="4"/>
        <v>1720</v>
      </c>
    </row>
    <row r="220" spans="1:15" x14ac:dyDescent="0.25">
      <c r="A220" s="15">
        <v>5205</v>
      </c>
      <c r="B220" s="15" t="s">
        <v>90</v>
      </c>
      <c r="C220" s="15" t="s">
        <v>327</v>
      </c>
      <c r="D220" s="15" t="s">
        <v>334</v>
      </c>
      <c r="E220" s="15">
        <v>980</v>
      </c>
      <c r="F220" s="15">
        <v>360</v>
      </c>
      <c r="G220" s="17">
        <v>269</v>
      </c>
      <c r="H220" s="17">
        <v>406</v>
      </c>
      <c r="I220" s="17">
        <v>363</v>
      </c>
      <c r="J220" s="17">
        <v>888</v>
      </c>
      <c r="L220" s="17">
        <f t="shared" si="5"/>
        <v>309</v>
      </c>
      <c r="M220" s="17">
        <f t="shared" si="5"/>
        <v>467</v>
      </c>
      <c r="N220" s="17">
        <f t="shared" si="5"/>
        <v>417</v>
      </c>
      <c r="O220" s="17">
        <f t="shared" si="4"/>
        <v>1021</v>
      </c>
    </row>
    <row r="221" spans="1:15" x14ac:dyDescent="0.25">
      <c r="A221" s="15">
        <v>5206</v>
      </c>
      <c r="B221" s="15" t="s">
        <v>90</v>
      </c>
      <c r="C221" s="15" t="s">
        <v>327</v>
      </c>
      <c r="D221" s="15" t="s">
        <v>335</v>
      </c>
      <c r="E221" s="15">
        <v>980</v>
      </c>
      <c r="F221" s="15">
        <v>720</v>
      </c>
      <c r="G221" s="17">
        <v>375</v>
      </c>
      <c r="H221" s="17">
        <v>587</v>
      </c>
      <c r="I221" s="17">
        <v>517</v>
      </c>
      <c r="J221" s="17">
        <v>944</v>
      </c>
      <c r="L221" s="17">
        <f t="shared" si="5"/>
        <v>431</v>
      </c>
      <c r="M221" s="17">
        <f t="shared" si="5"/>
        <v>675</v>
      </c>
      <c r="N221" s="17">
        <f t="shared" si="5"/>
        <v>595</v>
      </c>
      <c r="O221" s="17">
        <f t="shared" si="4"/>
        <v>1086</v>
      </c>
    </row>
    <row r="222" spans="1:15" x14ac:dyDescent="0.25">
      <c r="A222" s="15">
        <v>5207</v>
      </c>
      <c r="B222" s="15" t="s">
        <v>90</v>
      </c>
      <c r="C222" s="15" t="s">
        <v>327</v>
      </c>
      <c r="D222" s="15" t="s">
        <v>336</v>
      </c>
      <c r="E222" s="15">
        <v>980</v>
      </c>
      <c r="F222" s="15">
        <v>1080</v>
      </c>
      <c r="G222" s="17">
        <v>523</v>
      </c>
      <c r="H222" s="17">
        <v>817</v>
      </c>
      <c r="I222" s="17">
        <v>717</v>
      </c>
      <c r="J222" s="17">
        <v>1349</v>
      </c>
      <c r="L222" s="17">
        <f t="shared" si="5"/>
        <v>601</v>
      </c>
      <c r="M222" s="17">
        <f t="shared" si="5"/>
        <v>940</v>
      </c>
      <c r="N222" s="17">
        <f t="shared" si="5"/>
        <v>825</v>
      </c>
      <c r="O222" s="17">
        <f t="shared" si="4"/>
        <v>1551</v>
      </c>
    </row>
    <row r="223" spans="1:15" x14ac:dyDescent="0.25">
      <c r="A223" s="15">
        <v>5208</v>
      </c>
      <c r="B223" s="15" t="s">
        <v>90</v>
      </c>
      <c r="C223" s="15" t="s">
        <v>327</v>
      </c>
      <c r="D223" s="15" t="s">
        <v>337</v>
      </c>
      <c r="E223" s="15">
        <v>980</v>
      </c>
      <c r="F223" s="15">
        <v>1440</v>
      </c>
      <c r="G223" s="17">
        <v>625</v>
      </c>
      <c r="H223" s="17">
        <v>998</v>
      </c>
      <c r="I223" s="17">
        <v>869</v>
      </c>
      <c r="J223" s="17">
        <v>1635</v>
      </c>
      <c r="L223" s="17">
        <f t="shared" si="5"/>
        <v>719</v>
      </c>
      <c r="M223" s="17">
        <f t="shared" si="5"/>
        <v>1148</v>
      </c>
      <c r="N223" s="17">
        <f t="shared" si="5"/>
        <v>999</v>
      </c>
      <c r="O223" s="17">
        <f t="shared" si="4"/>
        <v>1880</v>
      </c>
    </row>
    <row r="224" spans="1:15" x14ac:dyDescent="0.25">
      <c r="A224" s="15">
        <v>5209</v>
      </c>
      <c r="B224" s="15" t="s">
        <v>90</v>
      </c>
      <c r="C224" s="15" t="s">
        <v>327</v>
      </c>
      <c r="D224" s="15" t="s">
        <v>338</v>
      </c>
      <c r="E224" s="15">
        <v>980</v>
      </c>
      <c r="F224" s="15">
        <v>1800</v>
      </c>
      <c r="G224" s="17">
        <v>769</v>
      </c>
      <c r="H224" s="17">
        <v>1514</v>
      </c>
      <c r="I224" s="17">
        <v>1072</v>
      </c>
      <c r="J224" s="17">
        <v>2017</v>
      </c>
      <c r="L224" s="17">
        <f t="shared" si="5"/>
        <v>884</v>
      </c>
      <c r="M224" s="17">
        <f t="shared" si="5"/>
        <v>1741</v>
      </c>
      <c r="N224" s="17">
        <f t="shared" si="5"/>
        <v>1233</v>
      </c>
      <c r="O224" s="17">
        <f t="shared" si="4"/>
        <v>2320</v>
      </c>
    </row>
    <row r="225" spans="1:15" x14ac:dyDescent="0.25">
      <c r="A225" s="15">
        <v>5300</v>
      </c>
      <c r="B225" s="15" t="s">
        <v>90</v>
      </c>
      <c r="C225" s="15" t="s">
        <v>12</v>
      </c>
      <c r="D225" s="15" t="s">
        <v>339</v>
      </c>
      <c r="E225" s="15">
        <v>420</v>
      </c>
      <c r="F225" s="15">
        <v>180</v>
      </c>
      <c r="G225" s="17">
        <v>285</v>
      </c>
      <c r="H225" s="17">
        <v>345</v>
      </c>
      <c r="I225" s="17">
        <v>329</v>
      </c>
      <c r="J225" s="17">
        <v>619</v>
      </c>
      <c r="L225" s="17">
        <f t="shared" si="5"/>
        <v>328</v>
      </c>
      <c r="M225" s="17">
        <f t="shared" si="5"/>
        <v>397</v>
      </c>
      <c r="N225" s="17">
        <f t="shared" si="5"/>
        <v>378</v>
      </c>
      <c r="O225" s="17">
        <f t="shared" si="4"/>
        <v>712</v>
      </c>
    </row>
    <row r="226" spans="1:15" x14ac:dyDescent="0.25">
      <c r="A226" s="15">
        <v>5301</v>
      </c>
      <c r="B226" s="15" t="s">
        <v>90</v>
      </c>
      <c r="C226" s="15" t="s">
        <v>12</v>
      </c>
      <c r="D226" s="15" t="s">
        <v>340</v>
      </c>
      <c r="E226" s="15">
        <v>420</v>
      </c>
      <c r="F226" s="15">
        <v>360</v>
      </c>
      <c r="G226" s="17">
        <v>352</v>
      </c>
      <c r="H226" s="17">
        <v>439</v>
      </c>
      <c r="I226" s="17">
        <v>420</v>
      </c>
      <c r="J226" s="17">
        <v>429</v>
      </c>
      <c r="L226" s="17">
        <f t="shared" si="5"/>
        <v>405</v>
      </c>
      <c r="M226" s="17">
        <f t="shared" si="5"/>
        <v>505</v>
      </c>
      <c r="N226" s="17">
        <f t="shared" si="5"/>
        <v>483</v>
      </c>
      <c r="O226" s="17">
        <f t="shared" si="4"/>
        <v>493</v>
      </c>
    </row>
    <row r="227" spans="1:15" x14ac:dyDescent="0.25">
      <c r="A227" s="15">
        <v>5302</v>
      </c>
      <c r="B227" s="15" t="s">
        <v>90</v>
      </c>
      <c r="C227" s="15" t="s">
        <v>12</v>
      </c>
      <c r="D227" s="15" t="s">
        <v>341</v>
      </c>
      <c r="E227" s="15">
        <v>580</v>
      </c>
      <c r="F227" s="15">
        <v>180</v>
      </c>
      <c r="G227" s="17">
        <v>298</v>
      </c>
      <c r="H227" s="17">
        <v>368</v>
      </c>
      <c r="I227" s="17">
        <v>351</v>
      </c>
      <c r="J227" s="17">
        <v>358</v>
      </c>
      <c r="L227" s="17">
        <f t="shared" si="5"/>
        <v>343</v>
      </c>
      <c r="M227" s="17">
        <f t="shared" si="5"/>
        <v>423</v>
      </c>
      <c r="N227" s="17">
        <f t="shared" si="5"/>
        <v>404</v>
      </c>
      <c r="O227" s="17">
        <f t="shared" si="4"/>
        <v>412</v>
      </c>
    </row>
    <row r="228" spans="1:15" x14ac:dyDescent="0.25">
      <c r="A228" s="15">
        <v>5303</v>
      </c>
      <c r="B228" s="15" t="s">
        <v>90</v>
      </c>
      <c r="C228" s="15" t="s">
        <v>12</v>
      </c>
      <c r="D228" s="15" t="s">
        <v>342</v>
      </c>
      <c r="E228" s="15">
        <v>580</v>
      </c>
      <c r="F228" s="15">
        <v>360</v>
      </c>
      <c r="G228" s="17">
        <v>353</v>
      </c>
      <c r="H228" s="17">
        <v>470</v>
      </c>
      <c r="I228" s="17">
        <v>445</v>
      </c>
      <c r="J228" s="17">
        <v>460</v>
      </c>
      <c r="L228" s="17">
        <f t="shared" si="5"/>
        <v>406</v>
      </c>
      <c r="M228" s="17">
        <f t="shared" si="5"/>
        <v>541</v>
      </c>
      <c r="N228" s="17">
        <f t="shared" si="5"/>
        <v>512</v>
      </c>
      <c r="O228" s="17">
        <f t="shared" si="4"/>
        <v>529</v>
      </c>
    </row>
    <row r="229" spans="1:15" x14ac:dyDescent="0.25">
      <c r="A229" s="15">
        <v>5304</v>
      </c>
      <c r="B229" s="15" t="s">
        <v>90</v>
      </c>
      <c r="C229" s="15" t="s">
        <v>12</v>
      </c>
      <c r="D229" s="15" t="s">
        <v>343</v>
      </c>
      <c r="E229" s="15">
        <v>780</v>
      </c>
      <c r="F229" s="15">
        <v>180</v>
      </c>
      <c r="G229" s="17">
        <v>309</v>
      </c>
      <c r="H229" s="17">
        <v>391</v>
      </c>
      <c r="I229" s="17">
        <v>372</v>
      </c>
      <c r="J229" s="17">
        <v>381</v>
      </c>
      <c r="L229" s="17">
        <f t="shared" si="5"/>
        <v>355</v>
      </c>
      <c r="M229" s="17">
        <f t="shared" si="5"/>
        <v>450</v>
      </c>
      <c r="N229" s="17">
        <f t="shared" si="5"/>
        <v>428</v>
      </c>
      <c r="O229" s="17">
        <f t="shared" si="4"/>
        <v>438</v>
      </c>
    </row>
    <row r="230" spans="1:15" x14ac:dyDescent="0.25">
      <c r="A230" s="15">
        <v>5305</v>
      </c>
      <c r="B230" s="15" t="s">
        <v>90</v>
      </c>
      <c r="C230" s="15" t="s">
        <v>12</v>
      </c>
      <c r="D230" s="15" t="s">
        <v>344</v>
      </c>
      <c r="E230" s="15">
        <v>780</v>
      </c>
      <c r="F230" s="15">
        <v>360</v>
      </c>
      <c r="G230" s="17">
        <v>356</v>
      </c>
      <c r="H230" s="17">
        <v>501</v>
      </c>
      <c r="I230" s="17">
        <v>471</v>
      </c>
      <c r="J230" s="17">
        <v>491</v>
      </c>
      <c r="L230" s="17">
        <f t="shared" si="5"/>
        <v>409</v>
      </c>
      <c r="M230" s="17">
        <f t="shared" si="5"/>
        <v>576</v>
      </c>
      <c r="N230" s="17">
        <f t="shared" si="5"/>
        <v>542</v>
      </c>
      <c r="O230" s="17">
        <f t="shared" si="4"/>
        <v>565</v>
      </c>
    </row>
    <row r="231" spans="1:15" x14ac:dyDescent="0.25">
      <c r="A231" s="15">
        <v>5306</v>
      </c>
      <c r="B231" s="15" t="s">
        <v>90</v>
      </c>
      <c r="C231" s="15" t="s">
        <v>12</v>
      </c>
      <c r="D231" s="15" t="s">
        <v>345</v>
      </c>
      <c r="E231" s="15">
        <v>980</v>
      </c>
      <c r="F231" s="15">
        <v>180</v>
      </c>
      <c r="G231" s="17">
        <v>348</v>
      </c>
      <c r="H231" s="17">
        <v>474</v>
      </c>
      <c r="I231" s="17">
        <v>417</v>
      </c>
      <c r="J231" s="17">
        <v>464</v>
      </c>
      <c r="L231" s="17">
        <f t="shared" si="5"/>
        <v>400</v>
      </c>
      <c r="M231" s="17">
        <f t="shared" si="5"/>
        <v>545</v>
      </c>
      <c r="N231" s="17">
        <f t="shared" si="5"/>
        <v>480</v>
      </c>
      <c r="O231" s="17">
        <f t="shared" si="4"/>
        <v>534</v>
      </c>
    </row>
    <row r="232" spans="1:15" x14ac:dyDescent="0.25">
      <c r="A232" s="15">
        <v>5307</v>
      </c>
      <c r="B232" s="15" t="s">
        <v>90</v>
      </c>
      <c r="C232" s="15" t="s">
        <v>12</v>
      </c>
      <c r="D232" s="15" t="s">
        <v>346</v>
      </c>
      <c r="E232" s="15">
        <v>980</v>
      </c>
      <c r="F232" s="15">
        <v>360</v>
      </c>
      <c r="G232" s="17">
        <v>429</v>
      </c>
      <c r="H232" s="17">
        <v>610</v>
      </c>
      <c r="I232" s="17">
        <v>553</v>
      </c>
      <c r="J232" s="17">
        <v>600</v>
      </c>
      <c r="L232" s="17">
        <f t="shared" si="5"/>
        <v>493</v>
      </c>
      <c r="M232" s="17">
        <f t="shared" si="5"/>
        <v>702</v>
      </c>
      <c r="N232" s="17">
        <f t="shared" si="5"/>
        <v>636</v>
      </c>
      <c r="O232" s="17">
        <f t="shared" si="4"/>
        <v>690</v>
      </c>
    </row>
    <row r="233" spans="1:15" x14ac:dyDescent="0.25">
      <c r="A233" s="15" t="s">
        <v>347</v>
      </c>
      <c r="B233" s="15" t="s">
        <v>90</v>
      </c>
      <c r="C233" s="15" t="s">
        <v>348</v>
      </c>
      <c r="D233" s="15" t="s">
        <v>349</v>
      </c>
      <c r="E233" s="15">
        <v>780</v>
      </c>
      <c r="F233" s="15">
        <v>180</v>
      </c>
      <c r="G233" s="17">
        <v>309</v>
      </c>
      <c r="H233" s="17">
        <v>608</v>
      </c>
      <c r="I233" s="17">
        <v>372</v>
      </c>
      <c r="J233" s="17"/>
      <c r="L233" s="17">
        <f t="shared" si="5"/>
        <v>355</v>
      </c>
      <c r="M233" s="17">
        <f t="shared" si="5"/>
        <v>699</v>
      </c>
      <c r="N233" s="17">
        <f t="shared" si="5"/>
        <v>428</v>
      </c>
      <c r="O233" s="17" t="str">
        <f t="shared" si="4"/>
        <v/>
      </c>
    </row>
    <row r="234" spans="1:15" x14ac:dyDescent="0.25">
      <c r="A234" s="15" t="s">
        <v>350</v>
      </c>
      <c r="B234" s="15" t="s">
        <v>90</v>
      </c>
      <c r="C234" s="15" t="s">
        <v>12</v>
      </c>
      <c r="D234" s="15" t="s">
        <v>351</v>
      </c>
      <c r="E234" s="15">
        <v>420</v>
      </c>
      <c r="F234" s="15">
        <v>134</v>
      </c>
      <c r="G234" s="17">
        <v>285</v>
      </c>
      <c r="H234" s="17">
        <v>561</v>
      </c>
      <c r="I234" s="17"/>
      <c r="J234" s="17"/>
      <c r="K234" s="19" t="s">
        <v>352</v>
      </c>
      <c r="L234" s="17">
        <f t="shared" si="5"/>
        <v>328</v>
      </c>
      <c r="M234" s="17">
        <f t="shared" si="5"/>
        <v>645</v>
      </c>
      <c r="N234" s="17" t="str">
        <f t="shared" si="5"/>
        <v/>
      </c>
      <c r="O234" s="17" t="str">
        <f t="shared" si="4"/>
        <v/>
      </c>
    </row>
    <row r="235" spans="1:15" x14ac:dyDescent="0.25">
      <c r="A235" s="15" t="s">
        <v>353</v>
      </c>
      <c r="B235" s="15" t="s">
        <v>90</v>
      </c>
      <c r="C235" s="15" t="s">
        <v>12</v>
      </c>
      <c r="D235" s="15" t="s">
        <v>354</v>
      </c>
      <c r="E235" s="15">
        <v>420</v>
      </c>
      <c r="F235" s="15">
        <v>220</v>
      </c>
      <c r="G235" s="17">
        <v>285</v>
      </c>
      <c r="H235" s="17">
        <v>561</v>
      </c>
      <c r="I235" s="17"/>
      <c r="J235" s="17"/>
      <c r="K235" s="19" t="s">
        <v>352</v>
      </c>
      <c r="L235" s="17">
        <f t="shared" si="5"/>
        <v>328</v>
      </c>
      <c r="M235" s="17">
        <f t="shared" si="5"/>
        <v>645</v>
      </c>
      <c r="N235" s="17" t="str">
        <f t="shared" si="5"/>
        <v/>
      </c>
      <c r="O235" s="17" t="str">
        <f t="shared" si="4"/>
        <v/>
      </c>
    </row>
    <row r="236" spans="1:15" x14ac:dyDescent="0.25">
      <c r="A236" s="15" t="s">
        <v>355</v>
      </c>
      <c r="B236" s="15" t="s">
        <v>90</v>
      </c>
      <c r="C236" s="15" t="s">
        <v>12</v>
      </c>
      <c r="D236" s="15" t="s">
        <v>356</v>
      </c>
      <c r="E236" s="15">
        <v>412</v>
      </c>
      <c r="F236" s="15">
        <v>121</v>
      </c>
      <c r="G236" s="17">
        <v>285</v>
      </c>
      <c r="H236" s="17">
        <v>561</v>
      </c>
      <c r="I236" s="17"/>
      <c r="J236" s="17"/>
      <c r="K236" s="19" t="s">
        <v>352</v>
      </c>
      <c r="L236" s="17">
        <f t="shared" si="5"/>
        <v>328</v>
      </c>
      <c r="M236" s="17">
        <f t="shared" si="5"/>
        <v>645</v>
      </c>
      <c r="N236" s="17" t="str">
        <f t="shared" si="5"/>
        <v/>
      </c>
      <c r="O236" s="17" t="str">
        <f t="shared" si="4"/>
        <v/>
      </c>
    </row>
    <row r="237" spans="1:15" x14ac:dyDescent="0.25">
      <c r="A237" s="15" t="s">
        <v>357</v>
      </c>
      <c r="B237" s="15" t="s">
        <v>90</v>
      </c>
      <c r="C237" s="15" t="s">
        <v>12</v>
      </c>
      <c r="D237" s="15" t="s">
        <v>358</v>
      </c>
      <c r="E237" s="15">
        <v>412</v>
      </c>
      <c r="F237" s="15">
        <v>400</v>
      </c>
      <c r="G237" s="17">
        <v>352</v>
      </c>
      <c r="H237" s="17">
        <v>693</v>
      </c>
      <c r="I237" s="17"/>
      <c r="J237" s="17"/>
      <c r="K237" s="19" t="s">
        <v>352</v>
      </c>
      <c r="L237" s="17">
        <f t="shared" si="5"/>
        <v>405</v>
      </c>
      <c r="M237" s="17">
        <f t="shared" si="5"/>
        <v>797</v>
      </c>
      <c r="N237" s="17" t="str">
        <f t="shared" si="5"/>
        <v/>
      </c>
      <c r="O237" s="17" t="str">
        <f t="shared" si="4"/>
        <v/>
      </c>
    </row>
    <row r="238" spans="1:15" x14ac:dyDescent="0.25">
      <c r="A238" s="15" t="s">
        <v>359</v>
      </c>
      <c r="B238" s="15" t="s">
        <v>90</v>
      </c>
      <c r="C238" s="15" t="s">
        <v>12</v>
      </c>
      <c r="D238" s="15" t="s">
        <v>360</v>
      </c>
      <c r="E238" s="15">
        <v>420</v>
      </c>
      <c r="F238" s="15">
        <v>145</v>
      </c>
      <c r="G238" s="17">
        <v>285</v>
      </c>
      <c r="H238" s="17">
        <v>561</v>
      </c>
      <c r="I238" s="17"/>
      <c r="J238" s="17"/>
      <c r="K238" s="19" t="s">
        <v>352</v>
      </c>
      <c r="L238" s="17">
        <f t="shared" si="5"/>
        <v>328</v>
      </c>
      <c r="M238" s="17">
        <f t="shared" si="5"/>
        <v>645</v>
      </c>
      <c r="N238" s="17" t="str">
        <f t="shared" si="5"/>
        <v/>
      </c>
      <c r="O238" s="17" t="str">
        <f t="shared" si="4"/>
        <v/>
      </c>
    </row>
    <row r="239" spans="1:15" x14ac:dyDescent="0.25">
      <c r="A239" s="15" t="s">
        <v>361</v>
      </c>
      <c r="B239" s="15" t="s">
        <v>90</v>
      </c>
      <c r="C239" s="15" t="s">
        <v>12</v>
      </c>
      <c r="D239" s="15" t="s">
        <v>362</v>
      </c>
      <c r="E239" s="15">
        <v>420</v>
      </c>
      <c r="F239" s="15">
        <v>293</v>
      </c>
      <c r="G239" s="17">
        <v>352</v>
      </c>
      <c r="H239" s="17">
        <v>693</v>
      </c>
      <c r="I239" s="17"/>
      <c r="J239" s="17"/>
      <c r="K239" s="19" t="s">
        <v>352</v>
      </c>
      <c r="L239" s="17">
        <f t="shared" si="5"/>
        <v>405</v>
      </c>
      <c r="M239" s="17">
        <f t="shared" si="5"/>
        <v>797</v>
      </c>
      <c r="N239" s="17" t="str">
        <f t="shared" si="5"/>
        <v/>
      </c>
      <c r="O239" s="17" t="str">
        <f t="shared" si="4"/>
        <v/>
      </c>
    </row>
    <row r="240" spans="1:15" x14ac:dyDescent="0.25">
      <c r="A240" s="15" t="s">
        <v>363</v>
      </c>
      <c r="B240" s="15" t="s">
        <v>90</v>
      </c>
      <c r="C240" s="15" t="s">
        <v>12</v>
      </c>
      <c r="D240" s="15" t="s">
        <v>364</v>
      </c>
      <c r="E240" s="15">
        <v>420</v>
      </c>
      <c r="F240" s="15">
        <v>67</v>
      </c>
      <c r="G240" s="17">
        <v>285</v>
      </c>
      <c r="H240" s="17">
        <v>561</v>
      </c>
      <c r="I240" s="17"/>
      <c r="J240" s="17"/>
      <c r="K240" s="19" t="s">
        <v>352</v>
      </c>
      <c r="L240" s="17">
        <f t="shared" si="5"/>
        <v>328</v>
      </c>
      <c r="M240" s="17">
        <f t="shared" si="5"/>
        <v>645</v>
      </c>
      <c r="N240" s="17" t="str">
        <f t="shared" si="5"/>
        <v/>
      </c>
      <c r="O240" s="17" t="str">
        <f t="shared" si="4"/>
        <v/>
      </c>
    </row>
    <row r="241" spans="1:15" x14ac:dyDescent="0.25">
      <c r="A241" s="15" t="s">
        <v>365</v>
      </c>
      <c r="B241" s="15" t="s">
        <v>90</v>
      </c>
      <c r="C241" s="15" t="s">
        <v>12</v>
      </c>
      <c r="D241" s="15" t="s">
        <v>366</v>
      </c>
      <c r="E241" s="15">
        <v>420</v>
      </c>
      <c r="F241" s="15">
        <v>142</v>
      </c>
      <c r="G241" s="17">
        <v>285</v>
      </c>
      <c r="H241" s="17">
        <v>561</v>
      </c>
      <c r="I241" s="17"/>
      <c r="J241" s="17"/>
      <c r="K241" s="19" t="s">
        <v>352</v>
      </c>
      <c r="L241" s="17">
        <f t="shared" si="5"/>
        <v>328</v>
      </c>
      <c r="M241" s="17">
        <f t="shared" si="5"/>
        <v>645</v>
      </c>
      <c r="N241" s="17" t="str">
        <f t="shared" si="5"/>
        <v/>
      </c>
      <c r="O241" s="17" t="str">
        <f t="shared" si="4"/>
        <v/>
      </c>
    </row>
    <row r="242" spans="1:15" x14ac:dyDescent="0.25">
      <c r="A242" s="15" t="s">
        <v>367</v>
      </c>
      <c r="B242" s="15" t="s">
        <v>90</v>
      </c>
      <c r="C242" s="15" t="s">
        <v>12</v>
      </c>
      <c r="D242" s="15" t="s">
        <v>368</v>
      </c>
      <c r="E242" s="15">
        <v>420</v>
      </c>
      <c r="F242" s="15">
        <v>280</v>
      </c>
      <c r="G242" s="17">
        <v>285</v>
      </c>
      <c r="H242" s="17">
        <v>561</v>
      </c>
      <c r="I242" s="17"/>
      <c r="J242" s="17"/>
      <c r="K242" s="19" t="s">
        <v>352</v>
      </c>
      <c r="L242" s="17">
        <f t="shared" si="5"/>
        <v>328</v>
      </c>
      <c r="M242" s="17">
        <f t="shared" si="5"/>
        <v>645</v>
      </c>
      <c r="N242" s="17" t="str">
        <f t="shared" si="5"/>
        <v/>
      </c>
      <c r="O242" s="17" t="str">
        <f t="shared" si="4"/>
        <v/>
      </c>
    </row>
    <row r="243" spans="1:15" x14ac:dyDescent="0.25">
      <c r="A243" s="15" t="s">
        <v>369</v>
      </c>
      <c r="B243" s="15" t="s">
        <v>90</v>
      </c>
      <c r="C243" s="15" t="s">
        <v>12</v>
      </c>
      <c r="D243" s="15" t="s">
        <v>370</v>
      </c>
      <c r="E243" s="15">
        <v>420</v>
      </c>
      <c r="F243" s="15">
        <v>141</v>
      </c>
      <c r="G243" s="17">
        <v>285</v>
      </c>
      <c r="H243" s="17">
        <v>561</v>
      </c>
      <c r="I243" s="17"/>
      <c r="J243" s="17"/>
      <c r="K243" s="19" t="s">
        <v>352</v>
      </c>
      <c r="L243" s="17">
        <f t="shared" si="5"/>
        <v>328</v>
      </c>
      <c r="M243" s="17">
        <f t="shared" si="5"/>
        <v>645</v>
      </c>
      <c r="N243" s="17" t="str">
        <f t="shared" si="5"/>
        <v/>
      </c>
      <c r="O243" s="17" t="str">
        <f t="shared" si="4"/>
        <v/>
      </c>
    </row>
    <row r="244" spans="1:15" x14ac:dyDescent="0.25">
      <c r="A244" s="15">
        <v>5400</v>
      </c>
      <c r="B244" s="15" t="s">
        <v>90</v>
      </c>
      <c r="C244" s="15" t="s">
        <v>371</v>
      </c>
      <c r="D244" s="15" t="s">
        <v>372</v>
      </c>
      <c r="E244" s="15">
        <v>420</v>
      </c>
      <c r="F244" s="15">
        <v>180</v>
      </c>
      <c r="G244" s="17">
        <v>285</v>
      </c>
      <c r="H244" s="17">
        <v>345</v>
      </c>
      <c r="I244" s="17">
        <v>329</v>
      </c>
      <c r="J244" s="17">
        <v>335</v>
      </c>
      <c r="L244" s="17">
        <f t="shared" si="5"/>
        <v>328</v>
      </c>
      <c r="M244" s="17">
        <f t="shared" si="5"/>
        <v>397</v>
      </c>
      <c r="N244" s="17">
        <f t="shared" si="5"/>
        <v>378</v>
      </c>
      <c r="O244" s="17">
        <f t="shared" si="4"/>
        <v>385</v>
      </c>
    </row>
    <row r="245" spans="1:15" x14ac:dyDescent="0.25">
      <c r="A245" s="15">
        <v>5401</v>
      </c>
      <c r="B245" s="15" t="s">
        <v>90</v>
      </c>
      <c r="C245" s="15" t="s">
        <v>371</v>
      </c>
      <c r="D245" s="15" t="s">
        <v>373</v>
      </c>
      <c r="E245" s="15">
        <v>420</v>
      </c>
      <c r="F245" s="15">
        <v>360</v>
      </c>
      <c r="G245" s="17">
        <v>352</v>
      </c>
      <c r="H245" s="17">
        <v>439</v>
      </c>
      <c r="I245" s="17">
        <v>420</v>
      </c>
      <c r="J245" s="17">
        <v>429</v>
      </c>
      <c r="L245" s="17">
        <f t="shared" si="5"/>
        <v>405</v>
      </c>
      <c r="M245" s="17">
        <f t="shared" si="5"/>
        <v>505</v>
      </c>
      <c r="N245" s="17">
        <f t="shared" si="5"/>
        <v>483</v>
      </c>
      <c r="O245" s="17">
        <f t="shared" si="4"/>
        <v>493</v>
      </c>
    </row>
    <row r="246" spans="1:15" x14ac:dyDescent="0.25">
      <c r="A246" s="15">
        <v>5402</v>
      </c>
      <c r="B246" s="15" t="s">
        <v>90</v>
      </c>
      <c r="C246" s="15" t="s">
        <v>371</v>
      </c>
      <c r="D246" s="15" t="s">
        <v>374</v>
      </c>
      <c r="E246" s="15">
        <v>580</v>
      </c>
      <c r="F246" s="15">
        <v>180</v>
      </c>
      <c r="G246" s="17">
        <v>298</v>
      </c>
      <c r="H246" s="17">
        <v>368</v>
      </c>
      <c r="I246" s="17">
        <v>351</v>
      </c>
      <c r="J246" s="17">
        <v>358</v>
      </c>
      <c r="L246" s="17">
        <f t="shared" si="5"/>
        <v>343</v>
      </c>
      <c r="M246" s="17">
        <f t="shared" si="5"/>
        <v>423</v>
      </c>
      <c r="N246" s="17">
        <f t="shared" si="5"/>
        <v>404</v>
      </c>
      <c r="O246" s="17">
        <f t="shared" si="4"/>
        <v>412</v>
      </c>
    </row>
    <row r="247" spans="1:15" x14ac:dyDescent="0.25">
      <c r="A247" s="15">
        <v>5403</v>
      </c>
      <c r="B247" s="15" t="s">
        <v>90</v>
      </c>
      <c r="C247" s="15" t="s">
        <v>371</v>
      </c>
      <c r="D247" s="15" t="s">
        <v>375</v>
      </c>
      <c r="E247" s="15">
        <v>580</v>
      </c>
      <c r="F247" s="15">
        <v>360</v>
      </c>
      <c r="G247" s="17">
        <v>353</v>
      </c>
      <c r="H247" s="17">
        <v>470</v>
      </c>
      <c r="I247" s="17">
        <v>445</v>
      </c>
      <c r="J247" s="17">
        <v>460</v>
      </c>
      <c r="L247" s="17">
        <f t="shared" si="5"/>
        <v>406</v>
      </c>
      <c r="M247" s="17">
        <f t="shared" si="5"/>
        <v>541</v>
      </c>
      <c r="N247" s="17">
        <f t="shared" si="5"/>
        <v>512</v>
      </c>
      <c r="O247" s="17">
        <f t="shared" si="4"/>
        <v>529</v>
      </c>
    </row>
    <row r="248" spans="1:15" x14ac:dyDescent="0.25">
      <c r="A248" s="15">
        <v>5404</v>
      </c>
      <c r="B248" s="15" t="s">
        <v>90</v>
      </c>
      <c r="C248" s="15" t="s">
        <v>371</v>
      </c>
      <c r="D248" s="15" t="s">
        <v>376</v>
      </c>
      <c r="E248" s="15">
        <v>780</v>
      </c>
      <c r="F248" s="15">
        <v>180</v>
      </c>
      <c r="G248" s="17">
        <v>309</v>
      </c>
      <c r="H248" s="17">
        <v>391</v>
      </c>
      <c r="I248" s="17">
        <v>372</v>
      </c>
      <c r="J248" s="17">
        <v>381</v>
      </c>
      <c r="L248" s="17">
        <f t="shared" si="5"/>
        <v>355</v>
      </c>
      <c r="M248" s="17">
        <f t="shared" si="5"/>
        <v>450</v>
      </c>
      <c r="N248" s="17">
        <f t="shared" si="5"/>
        <v>428</v>
      </c>
      <c r="O248" s="17">
        <f t="shared" si="4"/>
        <v>438</v>
      </c>
    </row>
    <row r="249" spans="1:15" x14ac:dyDescent="0.25">
      <c r="A249" s="15">
        <v>5405</v>
      </c>
      <c r="B249" s="15" t="s">
        <v>90</v>
      </c>
      <c r="C249" s="15" t="s">
        <v>371</v>
      </c>
      <c r="D249" s="15" t="s">
        <v>377</v>
      </c>
      <c r="E249" s="15">
        <v>780</v>
      </c>
      <c r="F249" s="15">
        <v>360</v>
      </c>
      <c r="G249" s="17">
        <v>356</v>
      </c>
      <c r="H249" s="17">
        <v>501</v>
      </c>
      <c r="I249" s="17">
        <v>471</v>
      </c>
      <c r="J249" s="17">
        <v>491</v>
      </c>
      <c r="L249" s="17">
        <f t="shared" si="5"/>
        <v>409</v>
      </c>
      <c r="M249" s="17">
        <f t="shared" si="5"/>
        <v>576</v>
      </c>
      <c r="N249" s="17">
        <f t="shared" si="5"/>
        <v>542</v>
      </c>
      <c r="O249" s="17">
        <f t="shared" si="4"/>
        <v>565</v>
      </c>
    </row>
    <row r="250" spans="1:15" x14ac:dyDescent="0.25">
      <c r="A250" s="15">
        <v>5406</v>
      </c>
      <c r="B250" s="15" t="s">
        <v>90</v>
      </c>
      <c r="C250" s="15" t="s">
        <v>371</v>
      </c>
      <c r="D250" s="15" t="s">
        <v>378</v>
      </c>
      <c r="E250" s="15">
        <v>980</v>
      </c>
      <c r="F250" s="15">
        <v>180</v>
      </c>
      <c r="G250" s="17">
        <v>348</v>
      </c>
      <c r="H250" s="17">
        <v>474</v>
      </c>
      <c r="I250" s="17">
        <v>417</v>
      </c>
      <c r="J250" s="17">
        <v>464</v>
      </c>
      <c r="L250" s="17">
        <f t="shared" si="5"/>
        <v>400</v>
      </c>
      <c r="M250" s="17">
        <f t="shared" si="5"/>
        <v>545</v>
      </c>
      <c r="N250" s="17">
        <f t="shared" si="5"/>
        <v>480</v>
      </c>
      <c r="O250" s="17">
        <f t="shared" si="4"/>
        <v>534</v>
      </c>
    </row>
    <row r="251" spans="1:15" x14ac:dyDescent="0.25">
      <c r="A251" s="15">
        <v>5407</v>
      </c>
      <c r="B251" s="15" t="s">
        <v>90</v>
      </c>
      <c r="C251" s="15" t="s">
        <v>371</v>
      </c>
      <c r="D251" s="15" t="s">
        <v>379</v>
      </c>
      <c r="E251" s="15">
        <v>980</v>
      </c>
      <c r="F251" s="15">
        <v>360</v>
      </c>
      <c r="G251" s="17">
        <v>429</v>
      </c>
      <c r="H251" s="17">
        <v>610</v>
      </c>
      <c r="I251" s="17">
        <v>553</v>
      </c>
      <c r="J251" s="17">
        <v>600</v>
      </c>
      <c r="L251" s="17">
        <f t="shared" si="5"/>
        <v>493</v>
      </c>
      <c r="M251" s="17">
        <f t="shared" si="5"/>
        <v>702</v>
      </c>
      <c r="N251" s="17">
        <f t="shared" si="5"/>
        <v>636</v>
      </c>
      <c r="O251" s="17">
        <f t="shared" si="4"/>
        <v>690</v>
      </c>
    </row>
    <row r="252" spans="1:15" x14ac:dyDescent="0.25">
      <c r="A252" s="15">
        <v>5500</v>
      </c>
      <c r="B252" s="15" t="s">
        <v>90</v>
      </c>
      <c r="C252" s="15" t="s">
        <v>380</v>
      </c>
      <c r="D252" s="15" t="s">
        <v>381</v>
      </c>
      <c r="E252" s="15">
        <v>420</v>
      </c>
      <c r="F252" s="15">
        <v>180</v>
      </c>
      <c r="G252" s="17">
        <v>285</v>
      </c>
      <c r="H252" s="17">
        <v>345</v>
      </c>
      <c r="I252" s="17">
        <v>329</v>
      </c>
      <c r="J252" s="17">
        <v>335</v>
      </c>
      <c r="L252" s="17">
        <f t="shared" si="5"/>
        <v>328</v>
      </c>
      <c r="M252" s="17">
        <f t="shared" si="5"/>
        <v>397</v>
      </c>
      <c r="N252" s="17">
        <f t="shared" si="5"/>
        <v>378</v>
      </c>
      <c r="O252" s="17">
        <f t="shared" si="4"/>
        <v>385</v>
      </c>
    </row>
    <row r="253" spans="1:15" x14ac:dyDescent="0.25">
      <c r="A253" s="15">
        <v>5501</v>
      </c>
      <c r="B253" s="15" t="s">
        <v>90</v>
      </c>
      <c r="C253" s="15" t="s">
        <v>380</v>
      </c>
      <c r="D253" s="15" t="s">
        <v>382</v>
      </c>
      <c r="E253" s="15">
        <v>420</v>
      </c>
      <c r="F253" s="15">
        <v>360</v>
      </c>
      <c r="G253" s="17">
        <v>352</v>
      </c>
      <c r="H253" s="17">
        <v>439</v>
      </c>
      <c r="I253" s="17">
        <v>420</v>
      </c>
      <c r="J253" s="17">
        <v>429</v>
      </c>
      <c r="L253" s="17">
        <f t="shared" si="5"/>
        <v>405</v>
      </c>
      <c r="M253" s="17">
        <f t="shared" si="5"/>
        <v>505</v>
      </c>
      <c r="N253" s="17">
        <f t="shared" si="5"/>
        <v>483</v>
      </c>
      <c r="O253" s="17">
        <f t="shared" si="4"/>
        <v>493</v>
      </c>
    </row>
    <row r="254" spans="1:15" x14ac:dyDescent="0.25">
      <c r="A254" s="15">
        <v>5502</v>
      </c>
      <c r="B254" s="15" t="s">
        <v>90</v>
      </c>
      <c r="C254" s="15" t="s">
        <v>380</v>
      </c>
      <c r="D254" s="15" t="s">
        <v>383</v>
      </c>
      <c r="E254" s="15">
        <v>580</v>
      </c>
      <c r="F254" s="15">
        <v>180</v>
      </c>
      <c r="G254" s="17">
        <v>298</v>
      </c>
      <c r="H254" s="17">
        <v>368</v>
      </c>
      <c r="I254" s="17">
        <v>351</v>
      </c>
      <c r="J254" s="17">
        <v>358</v>
      </c>
      <c r="L254" s="17">
        <f t="shared" si="5"/>
        <v>343</v>
      </c>
      <c r="M254" s="17">
        <f t="shared" si="5"/>
        <v>423</v>
      </c>
      <c r="N254" s="17">
        <f t="shared" si="5"/>
        <v>404</v>
      </c>
      <c r="O254" s="17">
        <f t="shared" si="4"/>
        <v>412</v>
      </c>
    </row>
    <row r="255" spans="1:15" x14ac:dyDescent="0.25">
      <c r="A255" s="15">
        <v>5503</v>
      </c>
      <c r="B255" s="15" t="s">
        <v>90</v>
      </c>
      <c r="C255" s="15" t="s">
        <v>380</v>
      </c>
      <c r="D255" s="15" t="s">
        <v>384</v>
      </c>
      <c r="E255" s="15">
        <v>580</v>
      </c>
      <c r="F255" s="15">
        <v>360</v>
      </c>
      <c r="G255" s="17">
        <v>353</v>
      </c>
      <c r="H255" s="17">
        <v>470</v>
      </c>
      <c r="I255" s="17">
        <v>445</v>
      </c>
      <c r="J255" s="17">
        <v>460</v>
      </c>
      <c r="L255" s="17">
        <f t="shared" si="5"/>
        <v>406</v>
      </c>
      <c r="M255" s="17">
        <f t="shared" si="5"/>
        <v>541</v>
      </c>
      <c r="N255" s="17">
        <f t="shared" si="5"/>
        <v>512</v>
      </c>
      <c r="O255" s="17">
        <f t="shared" si="4"/>
        <v>529</v>
      </c>
    </row>
    <row r="256" spans="1:15" x14ac:dyDescent="0.25">
      <c r="A256" s="15">
        <v>5504</v>
      </c>
      <c r="B256" s="15" t="s">
        <v>90</v>
      </c>
      <c r="C256" s="15" t="s">
        <v>380</v>
      </c>
      <c r="D256" s="15" t="s">
        <v>385</v>
      </c>
      <c r="E256" s="15">
        <v>780</v>
      </c>
      <c r="F256" s="15">
        <v>180</v>
      </c>
      <c r="G256" s="17">
        <v>309</v>
      </c>
      <c r="H256" s="17">
        <v>391</v>
      </c>
      <c r="I256" s="17">
        <v>372</v>
      </c>
      <c r="J256" s="17">
        <v>381</v>
      </c>
      <c r="L256" s="17">
        <f t="shared" si="5"/>
        <v>355</v>
      </c>
      <c r="M256" s="17">
        <f t="shared" si="5"/>
        <v>450</v>
      </c>
      <c r="N256" s="17">
        <f t="shared" si="5"/>
        <v>428</v>
      </c>
      <c r="O256" s="17">
        <f t="shared" si="4"/>
        <v>438</v>
      </c>
    </row>
    <row r="257" spans="1:15" x14ac:dyDescent="0.25">
      <c r="A257" s="15">
        <v>5505</v>
      </c>
      <c r="B257" s="15" t="s">
        <v>90</v>
      </c>
      <c r="C257" s="15" t="s">
        <v>380</v>
      </c>
      <c r="D257" s="15" t="s">
        <v>386</v>
      </c>
      <c r="E257" s="15">
        <v>780</v>
      </c>
      <c r="F257" s="15">
        <v>360</v>
      </c>
      <c r="G257" s="17">
        <v>356</v>
      </c>
      <c r="H257" s="17">
        <v>501</v>
      </c>
      <c r="I257" s="17">
        <v>471</v>
      </c>
      <c r="J257" s="17">
        <v>491</v>
      </c>
      <c r="L257" s="17">
        <f t="shared" si="5"/>
        <v>409</v>
      </c>
      <c r="M257" s="17">
        <f t="shared" si="5"/>
        <v>576</v>
      </c>
      <c r="N257" s="17">
        <f t="shared" si="5"/>
        <v>542</v>
      </c>
      <c r="O257" s="17">
        <f t="shared" si="5"/>
        <v>565</v>
      </c>
    </row>
    <row r="258" spans="1:15" x14ac:dyDescent="0.25">
      <c r="A258" s="15">
        <v>5506</v>
      </c>
      <c r="B258" s="15" t="s">
        <v>90</v>
      </c>
      <c r="C258" s="15" t="s">
        <v>380</v>
      </c>
      <c r="D258" s="15" t="s">
        <v>387</v>
      </c>
      <c r="E258" s="15">
        <v>980</v>
      </c>
      <c r="F258" s="15">
        <v>180</v>
      </c>
      <c r="G258" s="17">
        <v>348</v>
      </c>
      <c r="H258" s="17">
        <v>474</v>
      </c>
      <c r="I258" s="17">
        <v>417</v>
      </c>
      <c r="J258" s="17">
        <v>464</v>
      </c>
      <c r="L258" s="17">
        <f t="shared" si="5"/>
        <v>400</v>
      </c>
      <c r="M258" s="17">
        <f t="shared" si="5"/>
        <v>545</v>
      </c>
      <c r="N258" s="17">
        <f t="shared" si="5"/>
        <v>480</v>
      </c>
      <c r="O258" s="17">
        <f t="shared" si="5"/>
        <v>534</v>
      </c>
    </row>
    <row r="259" spans="1:15" x14ac:dyDescent="0.25">
      <c r="A259" s="15">
        <v>5507</v>
      </c>
      <c r="B259" s="15" t="s">
        <v>90</v>
      </c>
      <c r="C259" s="15" t="s">
        <v>380</v>
      </c>
      <c r="D259" s="15" t="s">
        <v>388</v>
      </c>
      <c r="E259" s="15">
        <v>980</v>
      </c>
      <c r="F259" s="15">
        <v>360</v>
      </c>
      <c r="G259" s="17">
        <v>429</v>
      </c>
      <c r="H259" s="17">
        <v>610</v>
      </c>
      <c r="I259" s="17">
        <v>553</v>
      </c>
      <c r="J259" s="17">
        <v>600</v>
      </c>
      <c r="L259" s="17">
        <f t="shared" si="5"/>
        <v>493</v>
      </c>
      <c r="M259" s="17">
        <f t="shared" si="5"/>
        <v>702</v>
      </c>
      <c r="N259" s="17">
        <f t="shared" si="5"/>
        <v>636</v>
      </c>
      <c r="O259" s="17">
        <f t="shared" si="5"/>
        <v>690</v>
      </c>
    </row>
    <row r="260" spans="1:15" x14ac:dyDescent="0.25">
      <c r="G260" s="17"/>
      <c r="H260" s="17"/>
      <c r="I260" s="17"/>
      <c r="J260" s="17"/>
      <c r="L260" s="17" t="str">
        <f t="shared" si="5"/>
        <v/>
      </c>
      <c r="M260" s="17" t="str">
        <f t="shared" si="5"/>
        <v/>
      </c>
      <c r="N260" s="17" t="str">
        <f t="shared" si="5"/>
        <v/>
      </c>
      <c r="O260" s="17" t="str">
        <f t="shared" si="5"/>
        <v/>
      </c>
    </row>
    <row r="261" spans="1:15" x14ac:dyDescent="0.25">
      <c r="G261" s="17"/>
      <c r="H261" s="17"/>
      <c r="I261" s="17"/>
      <c r="J261" s="17"/>
      <c r="L261" s="17" t="str">
        <f t="shared" si="5"/>
        <v/>
      </c>
      <c r="M261" s="17" t="str">
        <f t="shared" si="5"/>
        <v/>
      </c>
      <c r="N261" s="17" t="str">
        <f t="shared" si="5"/>
        <v/>
      </c>
      <c r="O261" s="17" t="str">
        <f t="shared" si="5"/>
        <v/>
      </c>
    </row>
    <row r="262" spans="1:15" x14ac:dyDescent="0.25">
      <c r="A262" s="20" t="s">
        <v>74</v>
      </c>
      <c r="B262" s="20" t="s">
        <v>75</v>
      </c>
      <c r="C262" s="20" t="s">
        <v>76</v>
      </c>
      <c r="D262" s="20" t="s">
        <v>77</v>
      </c>
      <c r="E262" s="20"/>
      <c r="F262" s="20"/>
      <c r="G262" s="21" t="s">
        <v>389</v>
      </c>
      <c r="H262" s="21"/>
      <c r="I262" s="21"/>
      <c r="J262" s="21"/>
      <c r="K262" s="20"/>
      <c r="L262" s="21" t="s">
        <v>390</v>
      </c>
      <c r="M262" s="21"/>
      <c r="N262" s="21"/>
      <c r="O262" s="21"/>
    </row>
    <row r="263" spans="1:15" x14ac:dyDescent="0.25">
      <c r="A263" s="15">
        <v>1000</v>
      </c>
      <c r="B263" s="15" t="s">
        <v>391</v>
      </c>
      <c r="D263" s="15" t="s">
        <v>392</v>
      </c>
      <c r="G263" s="17">
        <v>6</v>
      </c>
      <c r="H263" s="17"/>
      <c r="I263" s="17"/>
      <c r="J263" s="17"/>
      <c r="L263" s="17">
        <f t="shared" ref="L263:L309" si="6">IF(G263="","",ROUND(G263*1.15,0))</f>
        <v>7</v>
      </c>
      <c r="M263" s="17"/>
      <c r="N263" s="17"/>
      <c r="O263" s="17"/>
    </row>
    <row r="264" spans="1:15" x14ac:dyDescent="0.25">
      <c r="A264" s="15">
        <v>1001</v>
      </c>
      <c r="B264" s="15" t="s">
        <v>391</v>
      </c>
      <c r="D264" s="15" t="s">
        <v>392</v>
      </c>
      <c r="G264" s="17">
        <v>6</v>
      </c>
      <c r="H264" s="17"/>
      <c r="I264" s="17"/>
      <c r="J264" s="17"/>
      <c r="L264" s="17">
        <f t="shared" si="6"/>
        <v>7</v>
      </c>
      <c r="M264" s="17"/>
      <c r="N264" s="17"/>
      <c r="O264" s="17"/>
    </row>
    <row r="265" spans="1:15" x14ac:dyDescent="0.25">
      <c r="A265" s="15">
        <v>1002</v>
      </c>
      <c r="B265" s="15" t="s">
        <v>391</v>
      </c>
      <c r="D265" s="15" t="s">
        <v>392</v>
      </c>
      <c r="G265" s="17">
        <v>6</v>
      </c>
      <c r="H265" s="17"/>
      <c r="I265" s="17"/>
      <c r="J265" s="17"/>
      <c r="L265" s="17">
        <f t="shared" si="6"/>
        <v>7</v>
      </c>
      <c r="M265" s="17"/>
      <c r="N265" s="17"/>
      <c r="O265" s="17"/>
    </row>
    <row r="266" spans="1:15" x14ac:dyDescent="0.25">
      <c r="A266" s="15">
        <v>1100</v>
      </c>
      <c r="B266" s="15" t="s">
        <v>391</v>
      </c>
      <c r="D266" s="15" t="s">
        <v>393</v>
      </c>
      <c r="G266" s="17">
        <v>6</v>
      </c>
      <c r="H266" s="17"/>
      <c r="I266" s="17"/>
      <c r="J266" s="17"/>
      <c r="L266" s="17">
        <f t="shared" si="6"/>
        <v>7</v>
      </c>
      <c r="M266" s="17"/>
      <c r="N266" s="17"/>
      <c r="O266" s="17"/>
    </row>
    <row r="267" spans="1:15" x14ac:dyDescent="0.25">
      <c r="A267" s="15">
        <v>1101</v>
      </c>
      <c r="B267" s="15" t="s">
        <v>391</v>
      </c>
      <c r="D267" s="15" t="s">
        <v>393</v>
      </c>
      <c r="G267" s="17">
        <v>6</v>
      </c>
      <c r="H267" s="17"/>
      <c r="I267" s="17"/>
      <c r="J267" s="17"/>
      <c r="L267" s="17">
        <f t="shared" si="6"/>
        <v>7</v>
      </c>
      <c r="M267" s="17"/>
      <c r="N267" s="17"/>
      <c r="O267" s="17"/>
    </row>
    <row r="268" spans="1:15" x14ac:dyDescent="0.25">
      <c r="A268" s="15">
        <v>1102</v>
      </c>
      <c r="B268" s="15" t="s">
        <v>391</v>
      </c>
      <c r="D268" s="15" t="s">
        <v>393</v>
      </c>
      <c r="G268" s="17">
        <v>6</v>
      </c>
      <c r="H268" s="17"/>
      <c r="I268" s="17"/>
      <c r="J268" s="17"/>
      <c r="L268" s="17">
        <f t="shared" si="6"/>
        <v>7</v>
      </c>
      <c r="M268" s="17"/>
      <c r="N268" s="17"/>
      <c r="O268" s="17"/>
    </row>
    <row r="269" spans="1:15" x14ac:dyDescent="0.25">
      <c r="A269" s="15">
        <v>2000</v>
      </c>
      <c r="B269" s="15" t="s">
        <v>391</v>
      </c>
      <c r="C269" s="15" t="s">
        <v>394</v>
      </c>
      <c r="D269" s="15" t="s">
        <v>395</v>
      </c>
      <c r="G269" s="17">
        <v>80</v>
      </c>
      <c r="H269" s="17"/>
      <c r="I269" s="17"/>
      <c r="J269" s="17"/>
      <c r="L269" s="17">
        <f t="shared" si="6"/>
        <v>92</v>
      </c>
      <c r="M269" s="17"/>
      <c r="N269" s="17"/>
      <c r="O269" s="17"/>
    </row>
    <row r="270" spans="1:15" x14ac:dyDescent="0.25">
      <c r="A270" s="15">
        <v>2001</v>
      </c>
      <c r="B270" s="15" t="s">
        <v>391</v>
      </c>
      <c r="C270" s="15" t="s">
        <v>394</v>
      </c>
      <c r="D270" s="15" t="s">
        <v>395</v>
      </c>
      <c r="G270" s="17">
        <v>40</v>
      </c>
      <c r="H270" s="17"/>
      <c r="I270" s="17"/>
      <c r="J270" s="17"/>
      <c r="L270" s="17">
        <f t="shared" si="6"/>
        <v>46</v>
      </c>
      <c r="M270" s="17"/>
      <c r="N270" s="17"/>
      <c r="O270" s="17"/>
    </row>
    <row r="271" spans="1:15" x14ac:dyDescent="0.25">
      <c r="A271" s="15">
        <v>2005</v>
      </c>
      <c r="B271" s="15" t="s">
        <v>391</v>
      </c>
      <c r="C271" s="15" t="s">
        <v>394</v>
      </c>
      <c r="D271" s="15" t="s">
        <v>396</v>
      </c>
      <c r="G271" s="17">
        <v>20</v>
      </c>
      <c r="H271" s="17"/>
      <c r="I271" s="17"/>
      <c r="J271" s="17"/>
      <c r="L271" s="17">
        <f t="shared" si="6"/>
        <v>23</v>
      </c>
      <c r="M271" s="17"/>
      <c r="N271" s="17"/>
      <c r="O271" s="17"/>
    </row>
    <row r="272" spans="1:15" x14ac:dyDescent="0.25">
      <c r="A272" s="15">
        <v>2010</v>
      </c>
      <c r="B272" s="15" t="s">
        <v>391</v>
      </c>
      <c r="C272" s="15" t="s">
        <v>394</v>
      </c>
      <c r="D272" s="15" t="s">
        <v>397</v>
      </c>
      <c r="G272" s="17">
        <v>20</v>
      </c>
      <c r="H272" s="17"/>
      <c r="I272" s="17"/>
      <c r="J272" s="17"/>
      <c r="L272" s="17">
        <f t="shared" si="6"/>
        <v>23</v>
      </c>
      <c r="M272" s="17"/>
      <c r="N272" s="17"/>
      <c r="O272" s="17"/>
    </row>
    <row r="273" spans="1:15" x14ac:dyDescent="0.25">
      <c r="A273" s="15">
        <v>2015</v>
      </c>
      <c r="B273" s="15" t="s">
        <v>391</v>
      </c>
      <c r="C273" s="15" t="s">
        <v>394</v>
      </c>
      <c r="D273" s="15" t="s">
        <v>398</v>
      </c>
      <c r="G273" s="17">
        <v>20</v>
      </c>
      <c r="H273" s="17"/>
      <c r="I273" s="17"/>
      <c r="J273" s="17"/>
      <c r="L273" s="17">
        <f t="shared" si="6"/>
        <v>23</v>
      </c>
      <c r="M273" s="17"/>
      <c r="N273" s="17"/>
      <c r="O273" s="17"/>
    </row>
    <row r="274" spans="1:15" x14ac:dyDescent="0.25">
      <c r="A274" s="15">
        <v>2020</v>
      </c>
      <c r="B274" s="15" t="s">
        <v>391</v>
      </c>
      <c r="C274" s="15" t="s">
        <v>394</v>
      </c>
      <c r="D274" s="15" t="s">
        <v>399</v>
      </c>
      <c r="G274" s="17">
        <v>22</v>
      </c>
      <c r="H274" s="17"/>
      <c r="I274" s="17"/>
      <c r="J274" s="17"/>
      <c r="L274" s="17">
        <f t="shared" si="6"/>
        <v>25</v>
      </c>
      <c r="M274" s="17"/>
      <c r="N274" s="17"/>
      <c r="O274" s="17"/>
    </row>
    <row r="275" spans="1:15" x14ac:dyDescent="0.25">
      <c r="A275" s="15">
        <v>2021</v>
      </c>
      <c r="B275" s="15" t="s">
        <v>391</v>
      </c>
      <c r="C275" s="15" t="s">
        <v>394</v>
      </c>
      <c r="D275" s="15" t="s">
        <v>400</v>
      </c>
      <c r="G275" s="17">
        <v>22</v>
      </c>
      <c r="H275" s="17"/>
      <c r="I275" s="17"/>
      <c r="J275" s="17"/>
      <c r="L275" s="17">
        <f t="shared" si="6"/>
        <v>25</v>
      </c>
      <c r="M275" s="17"/>
      <c r="N275" s="17"/>
      <c r="O275" s="17"/>
    </row>
    <row r="276" spans="1:15" x14ac:dyDescent="0.25">
      <c r="A276" s="15">
        <v>2025</v>
      </c>
      <c r="B276" s="15" t="s">
        <v>391</v>
      </c>
      <c r="C276" s="15" t="s">
        <v>394</v>
      </c>
      <c r="D276" s="15" t="s">
        <v>401</v>
      </c>
      <c r="G276" s="17">
        <v>25</v>
      </c>
      <c r="H276" s="17"/>
      <c r="I276" s="17"/>
      <c r="J276" s="17"/>
      <c r="L276" s="17">
        <f t="shared" si="6"/>
        <v>29</v>
      </c>
      <c r="M276" s="17"/>
      <c r="N276" s="17"/>
      <c r="O276" s="17"/>
    </row>
    <row r="277" spans="1:15" x14ac:dyDescent="0.25">
      <c r="A277" s="15">
        <v>2030</v>
      </c>
      <c r="B277" s="15" t="s">
        <v>391</v>
      </c>
      <c r="C277" s="15" t="s">
        <v>394</v>
      </c>
      <c r="D277" s="15" t="s">
        <v>402</v>
      </c>
      <c r="G277" s="17">
        <v>25</v>
      </c>
      <c r="H277" s="17"/>
      <c r="I277" s="17"/>
      <c r="J277" s="17"/>
      <c r="L277" s="17">
        <f t="shared" si="6"/>
        <v>29</v>
      </c>
      <c r="M277" s="17"/>
      <c r="N277" s="17"/>
      <c r="O277" s="17"/>
    </row>
    <row r="278" spans="1:15" x14ac:dyDescent="0.25">
      <c r="A278" s="15">
        <v>2035</v>
      </c>
      <c r="B278" s="15" t="s">
        <v>391</v>
      </c>
      <c r="C278" s="15" t="s">
        <v>394</v>
      </c>
      <c r="D278" s="15" t="s">
        <v>403</v>
      </c>
      <c r="G278" s="17">
        <v>27</v>
      </c>
      <c r="H278" s="17"/>
      <c r="I278" s="17"/>
      <c r="J278" s="17"/>
      <c r="L278" s="17">
        <f t="shared" si="6"/>
        <v>31</v>
      </c>
      <c r="M278" s="17"/>
      <c r="N278" s="17"/>
      <c r="O278" s="17"/>
    </row>
    <row r="279" spans="1:15" x14ac:dyDescent="0.25">
      <c r="A279" s="15">
        <v>2040</v>
      </c>
      <c r="B279" s="15" t="s">
        <v>391</v>
      </c>
      <c r="C279" s="15" t="s">
        <v>394</v>
      </c>
      <c r="D279" s="15" t="s">
        <v>404</v>
      </c>
      <c r="G279" s="17">
        <v>29</v>
      </c>
      <c r="H279" s="17"/>
      <c r="I279" s="17"/>
      <c r="J279" s="17"/>
      <c r="L279" s="17">
        <f t="shared" si="6"/>
        <v>33</v>
      </c>
      <c r="M279" s="17"/>
      <c r="N279" s="17"/>
      <c r="O279" s="17"/>
    </row>
    <row r="280" spans="1:15" x14ac:dyDescent="0.25">
      <c r="A280" s="15">
        <v>2045</v>
      </c>
      <c r="B280" s="15" t="s">
        <v>391</v>
      </c>
      <c r="C280" s="15" t="s">
        <v>394</v>
      </c>
      <c r="D280" s="15" t="s">
        <v>405</v>
      </c>
      <c r="G280" s="17">
        <v>35</v>
      </c>
      <c r="H280" s="17"/>
      <c r="I280" s="17"/>
      <c r="J280" s="17"/>
      <c r="L280" s="17">
        <f t="shared" si="6"/>
        <v>40</v>
      </c>
      <c r="M280" s="17"/>
      <c r="N280" s="17"/>
      <c r="O280" s="17"/>
    </row>
    <row r="281" spans="1:15" x14ac:dyDescent="0.25">
      <c r="A281" s="15">
        <v>2050</v>
      </c>
      <c r="B281" s="15" t="s">
        <v>391</v>
      </c>
      <c r="C281" s="15" t="s">
        <v>394</v>
      </c>
      <c r="D281" s="15" t="s">
        <v>406</v>
      </c>
      <c r="G281" s="17">
        <v>39</v>
      </c>
      <c r="H281" s="17"/>
      <c r="I281" s="17"/>
      <c r="J281" s="17"/>
      <c r="L281" s="17">
        <f t="shared" si="6"/>
        <v>45</v>
      </c>
      <c r="M281" s="17"/>
      <c r="N281" s="17"/>
      <c r="O281" s="17"/>
    </row>
    <row r="282" spans="1:15" x14ac:dyDescent="0.25">
      <c r="A282" s="15">
        <v>2300</v>
      </c>
      <c r="B282" s="15" t="s">
        <v>391</v>
      </c>
      <c r="C282" s="15" t="s">
        <v>394</v>
      </c>
      <c r="D282" s="15" t="s">
        <v>407</v>
      </c>
      <c r="G282" s="17">
        <v>100</v>
      </c>
      <c r="H282" s="17"/>
      <c r="I282" s="17"/>
      <c r="J282" s="17"/>
      <c r="L282" s="17">
        <f t="shared" si="6"/>
        <v>115</v>
      </c>
      <c r="M282" s="17"/>
      <c r="N282" s="17"/>
      <c r="O282" s="17"/>
    </row>
    <row r="283" spans="1:15" x14ac:dyDescent="0.25">
      <c r="A283" s="15">
        <v>8140</v>
      </c>
      <c r="B283" s="15" t="s">
        <v>391</v>
      </c>
      <c r="C283" s="15" t="s">
        <v>408</v>
      </c>
      <c r="D283" s="15" t="s">
        <v>409</v>
      </c>
      <c r="G283" s="17">
        <v>180</v>
      </c>
      <c r="H283" s="17"/>
      <c r="I283" s="17"/>
      <c r="J283" s="17"/>
      <c r="L283" s="17">
        <f t="shared" si="6"/>
        <v>207</v>
      </c>
      <c r="M283" s="17"/>
      <c r="N283" s="17"/>
      <c r="O283" s="17"/>
    </row>
    <row r="284" spans="1:15" x14ac:dyDescent="0.25">
      <c r="A284" s="15">
        <v>8300</v>
      </c>
      <c r="B284" s="15" t="s">
        <v>391</v>
      </c>
      <c r="C284" s="15" t="s">
        <v>410</v>
      </c>
      <c r="D284" s="15" t="s">
        <v>411</v>
      </c>
      <c r="G284" s="17">
        <v>25</v>
      </c>
      <c r="H284" s="17"/>
      <c r="I284" s="17"/>
      <c r="J284" s="17"/>
      <c r="L284" s="17">
        <f t="shared" si="6"/>
        <v>29</v>
      </c>
      <c r="M284" s="17"/>
      <c r="N284" s="17"/>
      <c r="O284" s="17"/>
    </row>
    <row r="285" spans="1:15" x14ac:dyDescent="0.25">
      <c r="A285" s="15">
        <v>8301</v>
      </c>
      <c r="B285" s="15" t="s">
        <v>391</v>
      </c>
      <c r="C285" s="15" t="s">
        <v>410</v>
      </c>
      <c r="D285" s="15" t="s">
        <v>412</v>
      </c>
      <c r="G285" s="17">
        <v>29</v>
      </c>
      <c r="H285" s="17"/>
      <c r="I285" s="17"/>
      <c r="J285" s="17"/>
      <c r="L285" s="17">
        <f t="shared" si="6"/>
        <v>33</v>
      </c>
      <c r="M285" s="17"/>
      <c r="N285" s="17"/>
      <c r="O285" s="17"/>
    </row>
    <row r="286" spans="1:15" x14ac:dyDescent="0.25">
      <c r="A286" s="15">
        <v>8302</v>
      </c>
      <c r="B286" s="15" t="s">
        <v>391</v>
      </c>
      <c r="C286" s="15" t="s">
        <v>410</v>
      </c>
      <c r="D286" s="15" t="s">
        <v>413</v>
      </c>
      <c r="G286" s="17">
        <v>17</v>
      </c>
      <c r="H286" s="17"/>
      <c r="I286" s="17"/>
      <c r="J286" s="17"/>
      <c r="L286" s="17">
        <f t="shared" si="6"/>
        <v>20</v>
      </c>
      <c r="M286" s="17"/>
      <c r="N286" s="17"/>
      <c r="O286" s="17"/>
    </row>
    <row r="287" spans="1:15" x14ac:dyDescent="0.25">
      <c r="A287" s="15">
        <v>8303</v>
      </c>
      <c r="B287" s="15" t="s">
        <v>391</v>
      </c>
      <c r="C287" s="15" t="s">
        <v>410</v>
      </c>
      <c r="D287" s="15" t="s">
        <v>414</v>
      </c>
      <c r="G287" s="17">
        <v>10</v>
      </c>
      <c r="H287" s="17"/>
      <c r="I287" s="17"/>
      <c r="J287" s="17"/>
      <c r="L287" s="17">
        <f t="shared" si="6"/>
        <v>12</v>
      </c>
      <c r="M287" s="17"/>
      <c r="N287" s="17"/>
      <c r="O287" s="17"/>
    </row>
    <row r="288" spans="1:15" x14ac:dyDescent="0.25">
      <c r="A288" s="15">
        <v>8304</v>
      </c>
      <c r="B288" s="15" t="s">
        <v>391</v>
      </c>
      <c r="C288" s="15" t="s">
        <v>410</v>
      </c>
      <c r="D288" s="15" t="s">
        <v>415</v>
      </c>
      <c r="G288" s="17">
        <v>29</v>
      </c>
      <c r="H288" s="17"/>
      <c r="I288" s="17"/>
      <c r="J288" s="17"/>
      <c r="L288" s="17">
        <f t="shared" si="6"/>
        <v>33</v>
      </c>
      <c r="M288" s="17"/>
      <c r="N288" s="17"/>
      <c r="O288" s="17"/>
    </row>
    <row r="289" spans="1:15" x14ac:dyDescent="0.25">
      <c r="A289" s="15">
        <v>8305</v>
      </c>
      <c r="B289" s="15" t="s">
        <v>391</v>
      </c>
      <c r="C289" s="15" t="s">
        <v>410</v>
      </c>
      <c r="D289" s="15" t="s">
        <v>416</v>
      </c>
      <c r="G289" s="17">
        <v>41</v>
      </c>
      <c r="H289" s="17"/>
      <c r="I289" s="17"/>
      <c r="J289" s="17"/>
      <c r="L289" s="17">
        <f t="shared" si="6"/>
        <v>47</v>
      </c>
      <c r="M289" s="17"/>
      <c r="N289" s="17"/>
      <c r="O289" s="17"/>
    </row>
    <row r="290" spans="1:15" x14ac:dyDescent="0.25">
      <c r="A290" s="15">
        <v>8306</v>
      </c>
      <c r="B290" s="15" t="s">
        <v>391</v>
      </c>
      <c r="C290" s="15" t="s">
        <v>410</v>
      </c>
      <c r="D290" s="15" t="s">
        <v>417</v>
      </c>
      <c r="G290" s="17">
        <v>19</v>
      </c>
      <c r="H290" s="17"/>
      <c r="I290" s="17"/>
      <c r="J290" s="17"/>
      <c r="L290" s="17">
        <f t="shared" si="6"/>
        <v>22</v>
      </c>
      <c r="M290" s="17"/>
      <c r="N290" s="17"/>
      <c r="O290" s="17"/>
    </row>
    <row r="291" spans="1:15" x14ac:dyDescent="0.25">
      <c r="A291" s="15">
        <v>8307</v>
      </c>
      <c r="B291" s="15" t="s">
        <v>391</v>
      </c>
      <c r="C291" s="15" t="s">
        <v>410</v>
      </c>
      <c r="D291" s="15" t="s">
        <v>418</v>
      </c>
      <c r="G291" s="17">
        <v>12</v>
      </c>
      <c r="H291" s="17"/>
      <c r="I291" s="17"/>
      <c r="J291" s="17"/>
      <c r="L291" s="17">
        <f t="shared" si="6"/>
        <v>14</v>
      </c>
      <c r="M291" s="17"/>
      <c r="N291" s="17"/>
      <c r="O291" s="17"/>
    </row>
    <row r="292" spans="1:15" x14ac:dyDescent="0.25">
      <c r="A292" s="15">
        <v>8308</v>
      </c>
      <c r="B292" s="15" t="s">
        <v>391</v>
      </c>
      <c r="C292" s="15" t="s">
        <v>410</v>
      </c>
      <c r="D292" s="15" t="s">
        <v>419</v>
      </c>
      <c r="G292" s="17">
        <v>15</v>
      </c>
      <c r="H292" s="17"/>
      <c r="I292" s="17"/>
      <c r="J292" s="17"/>
      <c r="L292" s="17">
        <f t="shared" si="6"/>
        <v>17</v>
      </c>
      <c r="M292" s="17"/>
      <c r="N292" s="17"/>
      <c r="O292" s="17"/>
    </row>
    <row r="293" spans="1:15" x14ac:dyDescent="0.25">
      <c r="A293" s="15">
        <v>8309</v>
      </c>
      <c r="B293" s="15" t="s">
        <v>391</v>
      </c>
      <c r="C293" s="15" t="s">
        <v>410</v>
      </c>
      <c r="D293" s="15" t="s">
        <v>420</v>
      </c>
      <c r="G293" s="17">
        <v>18</v>
      </c>
      <c r="H293" s="17"/>
      <c r="I293" s="17"/>
      <c r="J293" s="17"/>
      <c r="L293" s="17">
        <f t="shared" si="6"/>
        <v>21</v>
      </c>
      <c r="M293" s="17"/>
      <c r="N293" s="17"/>
      <c r="O293" s="17"/>
    </row>
    <row r="294" spans="1:15" x14ac:dyDescent="0.25">
      <c r="A294" s="15">
        <v>8310</v>
      </c>
      <c r="B294" s="15" t="s">
        <v>391</v>
      </c>
      <c r="C294" s="15" t="s">
        <v>410</v>
      </c>
      <c r="D294" s="15" t="s">
        <v>421</v>
      </c>
      <c r="G294" s="17">
        <v>39</v>
      </c>
      <c r="H294" s="17"/>
      <c r="I294" s="17"/>
      <c r="J294" s="17"/>
      <c r="L294" s="17">
        <f t="shared" si="6"/>
        <v>45</v>
      </c>
      <c r="M294" s="17"/>
      <c r="N294" s="17"/>
      <c r="O294" s="17"/>
    </row>
    <row r="295" spans="1:15" x14ac:dyDescent="0.25">
      <c r="A295" s="15">
        <v>8311</v>
      </c>
      <c r="B295" s="15" t="s">
        <v>391</v>
      </c>
      <c r="C295" s="15" t="s">
        <v>410</v>
      </c>
      <c r="D295" s="15" t="s">
        <v>422</v>
      </c>
      <c r="G295" s="17">
        <v>44</v>
      </c>
      <c r="H295" s="17"/>
      <c r="I295" s="17"/>
      <c r="J295" s="17"/>
      <c r="L295" s="17">
        <f t="shared" si="6"/>
        <v>51</v>
      </c>
      <c r="M295" s="17"/>
      <c r="N295" s="17"/>
      <c r="O295" s="17"/>
    </row>
    <row r="296" spans="1:15" x14ac:dyDescent="0.25">
      <c r="A296" s="15">
        <v>8312</v>
      </c>
      <c r="B296" s="15" t="s">
        <v>391</v>
      </c>
      <c r="C296" s="15" t="s">
        <v>410</v>
      </c>
      <c r="D296" s="15" t="s">
        <v>423</v>
      </c>
      <c r="G296" s="17">
        <v>38</v>
      </c>
      <c r="H296" s="17"/>
      <c r="I296" s="17"/>
      <c r="J296" s="17"/>
      <c r="L296" s="17">
        <f t="shared" si="6"/>
        <v>44</v>
      </c>
      <c r="M296" s="17"/>
      <c r="N296" s="17"/>
      <c r="O296" s="17"/>
    </row>
    <row r="297" spans="1:15" x14ac:dyDescent="0.25">
      <c r="A297" s="15">
        <v>8313</v>
      </c>
      <c r="B297" s="15" t="s">
        <v>391</v>
      </c>
      <c r="C297" s="15" t="s">
        <v>410</v>
      </c>
      <c r="D297" s="15" t="s">
        <v>424</v>
      </c>
      <c r="G297" s="17">
        <v>19</v>
      </c>
      <c r="H297" s="17"/>
      <c r="I297" s="17"/>
      <c r="J297" s="17"/>
      <c r="L297" s="17">
        <f t="shared" si="6"/>
        <v>22</v>
      </c>
      <c r="M297" s="17"/>
      <c r="N297" s="17"/>
      <c r="O297" s="17"/>
    </row>
    <row r="298" spans="1:15" x14ac:dyDescent="0.25">
      <c r="A298" s="15">
        <v>8314</v>
      </c>
      <c r="B298" s="15" t="s">
        <v>391</v>
      </c>
      <c r="C298" s="15" t="s">
        <v>410</v>
      </c>
      <c r="D298" s="15" t="s">
        <v>425</v>
      </c>
      <c r="G298" s="17">
        <v>22</v>
      </c>
      <c r="H298" s="17"/>
      <c r="I298" s="17"/>
      <c r="J298" s="17"/>
      <c r="L298" s="17">
        <f t="shared" si="6"/>
        <v>25</v>
      </c>
      <c r="M298" s="17"/>
      <c r="N298" s="17"/>
      <c r="O298" s="17"/>
    </row>
    <row r="299" spans="1:15" x14ac:dyDescent="0.25">
      <c r="A299" s="15">
        <v>8315</v>
      </c>
      <c r="B299" s="15" t="s">
        <v>391</v>
      </c>
      <c r="C299" s="15" t="s">
        <v>410</v>
      </c>
      <c r="D299" s="15" t="s">
        <v>426</v>
      </c>
      <c r="G299" s="17">
        <v>29</v>
      </c>
      <c r="H299" s="17"/>
      <c r="I299" s="17"/>
      <c r="J299" s="17"/>
      <c r="L299" s="17">
        <f t="shared" si="6"/>
        <v>33</v>
      </c>
      <c r="M299" s="17"/>
      <c r="N299" s="17"/>
      <c r="O299" s="17"/>
    </row>
    <row r="300" spans="1:15" x14ac:dyDescent="0.25">
      <c r="A300" s="15">
        <v>8503</v>
      </c>
      <c r="B300" s="15" t="s">
        <v>391</v>
      </c>
      <c r="C300" s="15" t="s">
        <v>427</v>
      </c>
      <c r="D300" s="15" t="s">
        <v>427</v>
      </c>
      <c r="G300" s="17">
        <v>262</v>
      </c>
      <c r="H300" s="17"/>
      <c r="I300" s="17"/>
      <c r="J300" s="17"/>
      <c r="L300" s="17">
        <f t="shared" si="6"/>
        <v>301</v>
      </c>
      <c r="M300" s="17"/>
      <c r="N300" s="17"/>
      <c r="O300" s="17"/>
    </row>
    <row r="301" spans="1:15" x14ac:dyDescent="0.25">
      <c r="A301" s="15">
        <v>8504</v>
      </c>
      <c r="B301" s="15" t="s">
        <v>391</v>
      </c>
      <c r="C301" s="15" t="s">
        <v>427</v>
      </c>
      <c r="D301" s="15" t="s">
        <v>427</v>
      </c>
      <c r="G301" s="17">
        <v>263</v>
      </c>
      <c r="H301" s="17"/>
      <c r="I301" s="17"/>
      <c r="J301" s="17"/>
      <c r="L301" s="17">
        <f t="shared" si="6"/>
        <v>302</v>
      </c>
      <c r="M301" s="17"/>
      <c r="N301" s="17"/>
      <c r="O301" s="17"/>
    </row>
    <row r="302" spans="1:15" x14ac:dyDescent="0.25">
      <c r="A302" s="15">
        <v>8505</v>
      </c>
      <c r="B302" s="15" t="s">
        <v>391</v>
      </c>
      <c r="C302" s="15" t="s">
        <v>427</v>
      </c>
      <c r="D302" s="15" t="s">
        <v>427</v>
      </c>
      <c r="G302" s="17">
        <v>265</v>
      </c>
      <c r="H302" s="17"/>
      <c r="I302" s="17"/>
      <c r="J302" s="17"/>
      <c r="L302" s="17">
        <f t="shared" si="6"/>
        <v>305</v>
      </c>
      <c r="M302" s="17"/>
      <c r="N302" s="17"/>
      <c r="O302" s="17"/>
    </row>
    <row r="303" spans="1:15" x14ac:dyDescent="0.25">
      <c r="A303" s="15">
        <v>8506</v>
      </c>
      <c r="B303" s="15" t="s">
        <v>391</v>
      </c>
      <c r="C303" s="15" t="s">
        <v>427</v>
      </c>
      <c r="D303" s="15" t="s">
        <v>427</v>
      </c>
      <c r="G303" s="17">
        <v>319</v>
      </c>
      <c r="H303" s="17"/>
      <c r="I303" s="17"/>
      <c r="J303" s="17"/>
      <c r="L303" s="17">
        <f t="shared" si="6"/>
        <v>367</v>
      </c>
      <c r="M303" s="17"/>
      <c r="N303" s="17"/>
      <c r="O303" s="17"/>
    </row>
    <row r="304" spans="1:15" x14ac:dyDescent="0.25">
      <c r="A304" s="15">
        <v>8050</v>
      </c>
      <c r="B304" s="15" t="s">
        <v>391</v>
      </c>
      <c r="C304" s="15" t="s">
        <v>428</v>
      </c>
      <c r="D304" s="15" t="s">
        <v>429</v>
      </c>
      <c r="G304" s="17">
        <v>5</v>
      </c>
      <c r="H304" s="17"/>
      <c r="I304" s="17"/>
      <c r="J304" s="17"/>
      <c r="L304" s="17">
        <f t="shared" si="6"/>
        <v>6</v>
      </c>
      <c r="M304" s="17"/>
      <c r="N304" s="17"/>
      <c r="O304" s="17"/>
    </row>
    <row r="305" spans="1:15" x14ac:dyDescent="0.25">
      <c r="A305" s="15">
        <v>8051</v>
      </c>
      <c r="B305" s="15" t="s">
        <v>391</v>
      </c>
      <c r="C305" s="15" t="s">
        <v>428</v>
      </c>
      <c r="D305" s="15" t="s">
        <v>430</v>
      </c>
      <c r="G305" s="17">
        <v>5</v>
      </c>
      <c r="H305" s="17"/>
      <c r="I305" s="17"/>
      <c r="J305" s="17"/>
      <c r="L305" s="17">
        <f t="shared" si="6"/>
        <v>6</v>
      </c>
      <c r="M305" s="17"/>
      <c r="N305" s="17"/>
      <c r="O305" s="17"/>
    </row>
    <row r="306" spans="1:15" x14ac:dyDescent="0.25">
      <c r="A306" s="15">
        <v>8080</v>
      </c>
      <c r="B306" s="15" t="s">
        <v>391</v>
      </c>
      <c r="C306" s="15" t="s">
        <v>428</v>
      </c>
      <c r="D306" s="15" t="s">
        <v>431</v>
      </c>
      <c r="G306" s="17">
        <v>8</v>
      </c>
      <c r="H306" s="17"/>
      <c r="I306" s="17"/>
      <c r="J306" s="17"/>
      <c r="L306" s="17">
        <f t="shared" si="6"/>
        <v>9</v>
      </c>
      <c r="M306" s="17"/>
      <c r="N306" s="17"/>
      <c r="O306" s="17"/>
    </row>
    <row r="307" spans="1:15" x14ac:dyDescent="0.25">
      <c r="A307" s="15">
        <v>8081</v>
      </c>
      <c r="B307" s="15" t="s">
        <v>391</v>
      </c>
      <c r="C307" s="15" t="s">
        <v>428</v>
      </c>
      <c r="D307" s="15" t="s">
        <v>432</v>
      </c>
      <c r="G307" s="17">
        <v>6</v>
      </c>
      <c r="H307" s="17"/>
      <c r="I307" s="17"/>
      <c r="J307" s="17"/>
      <c r="L307" s="17">
        <f t="shared" si="6"/>
        <v>7</v>
      </c>
      <c r="M307" s="17"/>
      <c r="N307" s="17"/>
      <c r="O307" s="17"/>
    </row>
    <row r="308" spans="1:15" x14ac:dyDescent="0.25">
      <c r="A308" s="15">
        <v>8152</v>
      </c>
      <c r="B308" s="15" t="s">
        <v>391</v>
      </c>
      <c r="C308" s="15" t="s">
        <v>428</v>
      </c>
      <c r="D308" s="15" t="s">
        <v>433</v>
      </c>
      <c r="G308" s="17">
        <v>70</v>
      </c>
      <c r="H308" s="17"/>
      <c r="I308" s="17"/>
      <c r="J308" s="17"/>
      <c r="L308" s="17">
        <f t="shared" si="6"/>
        <v>81</v>
      </c>
      <c r="M308" s="17"/>
      <c r="N308" s="17"/>
      <c r="O308" s="17"/>
    </row>
    <row r="309" spans="1:15" x14ac:dyDescent="0.25">
      <c r="A309" s="15">
        <v>8411</v>
      </c>
      <c r="B309" s="15" t="s">
        <v>391</v>
      </c>
      <c r="C309" s="15" t="s">
        <v>434</v>
      </c>
      <c r="D309" s="15" t="s">
        <v>435</v>
      </c>
      <c r="G309" s="17">
        <v>500</v>
      </c>
      <c r="H309" s="17"/>
      <c r="I309" s="17"/>
      <c r="J309" s="17"/>
      <c r="L309" s="17">
        <f t="shared" si="6"/>
        <v>575</v>
      </c>
      <c r="M309" s="17"/>
      <c r="N309" s="17"/>
      <c r="O309" s="1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6083-C2FE-4937-B478-D7E179531D1C}">
  <sheetPr codeName="Tabelle10"/>
  <dimension ref="A1:J36"/>
  <sheetViews>
    <sheetView zoomScaleNormal="100" workbookViewId="0">
      <selection activeCell="J11" sqref="J11"/>
    </sheetView>
  </sheetViews>
  <sheetFormatPr baseColWidth="10" defaultRowHeight="15" x14ac:dyDescent="0.25"/>
  <cols>
    <col min="1" max="5" width="11.42578125" style="15"/>
    <col min="6" max="6" width="4.5703125" style="15" customWidth="1"/>
    <col min="7" max="16384" width="11.42578125" style="15"/>
  </cols>
  <sheetData>
    <row r="1" spans="1:10" ht="15.75" thickBot="1" x14ac:dyDescent="0.3">
      <c r="A1" s="109" t="s">
        <v>10</v>
      </c>
      <c r="B1" s="110"/>
      <c r="C1" s="110"/>
      <c r="D1" s="110"/>
      <c r="E1" s="111"/>
    </row>
    <row r="2" spans="1:10" ht="15.75" thickBot="1" x14ac:dyDescent="0.3">
      <c r="A2" s="22" t="s">
        <v>436</v>
      </c>
      <c r="B2" s="23">
        <v>420</v>
      </c>
      <c r="C2" s="23">
        <v>580</v>
      </c>
      <c r="D2" s="23">
        <v>780</v>
      </c>
      <c r="E2" s="24">
        <v>980</v>
      </c>
      <c r="I2" s="15" t="s">
        <v>453</v>
      </c>
    </row>
    <row r="3" spans="1:10" x14ac:dyDescent="0.25">
      <c r="A3" s="25">
        <v>360</v>
      </c>
      <c r="B3" s="15" t="s">
        <v>436</v>
      </c>
      <c r="C3" s="15" t="s">
        <v>436</v>
      </c>
      <c r="D3" s="15" t="s">
        <v>436</v>
      </c>
      <c r="E3" s="26" t="s">
        <v>436</v>
      </c>
      <c r="I3" s="15">
        <v>360</v>
      </c>
    </row>
    <row r="4" spans="1:10" ht="15.75" thickBot="1" x14ac:dyDescent="0.3">
      <c r="A4" s="27">
        <v>180</v>
      </c>
      <c r="B4" s="28" t="s">
        <v>436</v>
      </c>
      <c r="C4" s="28" t="s">
        <v>436</v>
      </c>
      <c r="D4" s="28" t="s">
        <v>436</v>
      </c>
      <c r="E4" s="29" t="s">
        <v>436</v>
      </c>
      <c r="I4" s="15">
        <v>580</v>
      </c>
    </row>
    <row r="5" spans="1:10" ht="15.75" thickBot="1" x14ac:dyDescent="0.3"/>
    <row r="6" spans="1:10" ht="15.75" thickBot="1" x14ac:dyDescent="0.3">
      <c r="A6" s="109" t="s">
        <v>12</v>
      </c>
      <c r="B6" s="110"/>
      <c r="C6" s="110"/>
      <c r="D6" s="110"/>
      <c r="E6" s="111"/>
      <c r="H6" s="15" t="s">
        <v>453</v>
      </c>
      <c r="I6" s="15" t="s">
        <v>454</v>
      </c>
      <c r="J6" s="15" t="s">
        <v>455</v>
      </c>
    </row>
    <row r="7" spans="1:10" ht="15.75" thickBot="1" x14ac:dyDescent="0.3">
      <c r="A7" s="22" t="s">
        <v>437</v>
      </c>
      <c r="B7" s="23">
        <v>420</v>
      </c>
      <c r="C7" s="23">
        <v>580</v>
      </c>
      <c r="D7" s="23">
        <v>780</v>
      </c>
      <c r="E7" s="24">
        <v>980</v>
      </c>
      <c r="H7" s="15">
        <v>360</v>
      </c>
      <c r="I7" s="15">
        <v>180</v>
      </c>
      <c r="J7" s="15">
        <v>420</v>
      </c>
    </row>
    <row r="8" spans="1:10" x14ac:dyDescent="0.25">
      <c r="A8" s="25">
        <v>360</v>
      </c>
      <c r="B8" s="15" t="s">
        <v>437</v>
      </c>
      <c r="C8" s="15" t="s">
        <v>437</v>
      </c>
      <c r="D8" s="15" t="s">
        <v>437</v>
      </c>
      <c r="E8" s="26" t="s">
        <v>437</v>
      </c>
      <c r="H8" s="15">
        <v>580</v>
      </c>
      <c r="I8" s="15">
        <v>360</v>
      </c>
      <c r="J8" s="15">
        <v>580</v>
      </c>
    </row>
    <row r="9" spans="1:10" ht="15.75" thickBot="1" x14ac:dyDescent="0.3">
      <c r="A9" s="27">
        <v>180</v>
      </c>
      <c r="B9" s="28" t="s">
        <v>437</v>
      </c>
      <c r="C9" s="28" t="s">
        <v>437</v>
      </c>
      <c r="D9" s="28" t="s">
        <v>437</v>
      </c>
      <c r="E9" s="29" t="s">
        <v>437</v>
      </c>
      <c r="I9" s="15">
        <v>720</v>
      </c>
      <c r="J9" s="15">
        <v>780</v>
      </c>
    </row>
    <row r="10" spans="1:10" x14ac:dyDescent="0.25">
      <c r="I10" s="15">
        <v>1080</v>
      </c>
      <c r="J10" s="15">
        <v>980</v>
      </c>
    </row>
    <row r="11" spans="1:10" ht="15.75" thickBot="1" x14ac:dyDescent="0.3">
      <c r="I11" s="15">
        <v>1440</v>
      </c>
    </row>
    <row r="12" spans="1:10" ht="15.75" thickBot="1" x14ac:dyDescent="0.3">
      <c r="A12" s="109" t="s">
        <v>438</v>
      </c>
      <c r="B12" s="110"/>
      <c r="C12" s="111"/>
      <c r="D12" s="18"/>
      <c r="E12" s="18"/>
      <c r="I12" s="15">
        <v>1880</v>
      </c>
    </row>
    <row r="13" spans="1:10" x14ac:dyDescent="0.25">
      <c r="A13" s="30" t="s">
        <v>439</v>
      </c>
      <c r="B13" s="31">
        <v>420</v>
      </c>
      <c r="C13" s="32">
        <v>580</v>
      </c>
      <c r="D13" s="18"/>
      <c r="E13" s="18"/>
    </row>
    <row r="14" spans="1:10" x14ac:dyDescent="0.25">
      <c r="A14" s="33">
        <v>360</v>
      </c>
      <c r="B14" s="34" t="s">
        <v>440</v>
      </c>
      <c r="C14" s="26" t="s">
        <v>440</v>
      </c>
    </row>
    <row r="15" spans="1:10" x14ac:dyDescent="0.25">
      <c r="A15" s="25">
        <v>720</v>
      </c>
      <c r="B15" s="34" t="s">
        <v>440</v>
      </c>
      <c r="C15" s="26" t="s">
        <v>440</v>
      </c>
    </row>
    <row r="16" spans="1:10" x14ac:dyDescent="0.25">
      <c r="A16" s="25">
        <v>1080</v>
      </c>
      <c r="B16" s="34" t="s">
        <v>440</v>
      </c>
      <c r="C16" s="26" t="s">
        <v>440</v>
      </c>
    </row>
    <row r="17" spans="1:5" x14ac:dyDescent="0.25">
      <c r="A17" s="25">
        <v>1440</v>
      </c>
      <c r="B17" s="34" t="s">
        <v>440</v>
      </c>
      <c r="C17" s="26" t="s">
        <v>440</v>
      </c>
    </row>
    <row r="18" spans="1:5" ht="15.75" thickBot="1" x14ac:dyDescent="0.3">
      <c r="A18" s="27">
        <v>1800</v>
      </c>
      <c r="B18" s="35" t="s">
        <v>440</v>
      </c>
      <c r="C18" s="29" t="s">
        <v>440</v>
      </c>
    </row>
    <row r="20" spans="1:5" ht="15.75" thickBot="1" x14ac:dyDescent="0.3"/>
    <row r="21" spans="1:5" ht="15.75" thickBot="1" x14ac:dyDescent="0.3">
      <c r="A21" s="109" t="s">
        <v>441</v>
      </c>
      <c r="B21" s="110"/>
      <c r="C21" s="111"/>
      <c r="D21" s="18"/>
      <c r="E21" s="18"/>
    </row>
    <row r="22" spans="1:5" x14ac:dyDescent="0.25">
      <c r="A22" s="30" t="s">
        <v>442</v>
      </c>
      <c r="B22" s="31">
        <v>420</v>
      </c>
      <c r="C22" s="32">
        <v>580</v>
      </c>
      <c r="D22" s="18"/>
      <c r="E22" s="18"/>
    </row>
    <row r="23" spans="1:5" x14ac:dyDescent="0.25">
      <c r="A23" s="33">
        <v>360</v>
      </c>
      <c r="B23" s="34" t="s">
        <v>440</v>
      </c>
      <c r="C23" s="26" t="s">
        <v>440</v>
      </c>
    </row>
    <row r="24" spans="1:5" x14ac:dyDescent="0.25">
      <c r="A24" s="25">
        <v>720</v>
      </c>
      <c r="B24" s="34" t="s">
        <v>440</v>
      </c>
      <c r="C24" s="26" t="s">
        <v>440</v>
      </c>
    </row>
    <row r="25" spans="1:5" x14ac:dyDescent="0.25">
      <c r="A25" s="25">
        <v>1080</v>
      </c>
      <c r="B25" s="34" t="s">
        <v>440</v>
      </c>
      <c r="C25" s="26" t="s">
        <v>440</v>
      </c>
    </row>
    <row r="26" spans="1:5" x14ac:dyDescent="0.25">
      <c r="A26" s="25">
        <v>1440</v>
      </c>
      <c r="B26" s="34" t="s">
        <v>440</v>
      </c>
      <c r="C26" s="26" t="s">
        <v>440</v>
      </c>
    </row>
    <row r="27" spans="1:5" ht="15.75" thickBot="1" x14ac:dyDescent="0.3">
      <c r="A27" s="27">
        <v>1800</v>
      </c>
      <c r="B27" s="35" t="s">
        <v>440</v>
      </c>
      <c r="C27" s="29" t="s">
        <v>440</v>
      </c>
    </row>
    <row r="28" spans="1:5" ht="15.75" thickBot="1" x14ac:dyDescent="0.3">
      <c r="A28" s="109" t="s">
        <v>327</v>
      </c>
      <c r="B28" s="110"/>
      <c r="C28" s="111"/>
    </row>
    <row r="29" spans="1:5" ht="15.75" thickBot="1" x14ac:dyDescent="0.3"/>
    <row r="30" spans="1:5" ht="15.75" thickBot="1" x14ac:dyDescent="0.3">
      <c r="A30" s="22" t="s">
        <v>443</v>
      </c>
      <c r="B30" s="23">
        <v>780</v>
      </c>
      <c r="C30" s="24">
        <v>980</v>
      </c>
    </row>
    <row r="31" spans="1:5" x14ac:dyDescent="0.25">
      <c r="A31" s="36">
        <v>360</v>
      </c>
      <c r="B31" s="15" t="s">
        <v>443</v>
      </c>
      <c r="C31" s="26" t="s">
        <v>443</v>
      </c>
    </row>
    <row r="32" spans="1:5" x14ac:dyDescent="0.25">
      <c r="A32" s="25">
        <v>660</v>
      </c>
      <c r="B32" s="15" t="s">
        <v>443</v>
      </c>
      <c r="C32" s="26" t="s">
        <v>443</v>
      </c>
    </row>
    <row r="33" spans="1:3" x14ac:dyDescent="0.25">
      <c r="A33" s="25">
        <v>720</v>
      </c>
      <c r="B33" s="15" t="s">
        <v>443</v>
      </c>
      <c r="C33" s="26" t="s">
        <v>443</v>
      </c>
    </row>
    <row r="34" spans="1:3" x14ac:dyDescent="0.25">
      <c r="A34" s="25">
        <v>1080</v>
      </c>
      <c r="B34" s="15" t="s">
        <v>443</v>
      </c>
      <c r="C34" s="26" t="s">
        <v>443</v>
      </c>
    </row>
    <row r="35" spans="1:3" x14ac:dyDescent="0.25">
      <c r="A35" s="25">
        <v>1440</v>
      </c>
      <c r="B35" s="15" t="s">
        <v>443</v>
      </c>
      <c r="C35" s="26" t="s">
        <v>443</v>
      </c>
    </row>
    <row r="36" spans="1:3" ht="15.75" thickBot="1" x14ac:dyDescent="0.3">
      <c r="A36" s="27">
        <v>1800</v>
      </c>
      <c r="B36" s="28" t="s">
        <v>443</v>
      </c>
      <c r="C36" s="29"/>
    </row>
  </sheetData>
  <mergeCells count="5">
    <mergeCell ref="A1:E1"/>
    <mergeCell ref="A6:E6"/>
    <mergeCell ref="A12:C12"/>
    <mergeCell ref="A21:C21"/>
    <mergeCell ref="A28:C28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D297-BCF5-4095-999C-FE3BA0217829}">
  <dimension ref="A1:J41"/>
  <sheetViews>
    <sheetView workbookViewId="0">
      <pane ySplit="11" topLeftCell="A12" activePane="bottomLeft" state="frozen"/>
      <selection pane="bottomLeft" activeCell="D20" sqref="D20"/>
    </sheetView>
  </sheetViews>
  <sheetFormatPr baseColWidth="10" defaultRowHeight="15" x14ac:dyDescent="0.25"/>
  <cols>
    <col min="1" max="1" width="34.28515625" customWidth="1"/>
    <col min="2" max="9" width="16.140625" customWidth="1"/>
  </cols>
  <sheetData>
    <row r="1" spans="1:10" ht="35.1" customHeight="1" x14ac:dyDescent="0.3">
      <c r="A1" s="112" t="s">
        <v>457</v>
      </c>
      <c r="B1" s="112"/>
      <c r="C1" s="112"/>
      <c r="D1" s="112"/>
      <c r="E1" s="112"/>
      <c r="F1" s="112"/>
      <c r="G1" s="112"/>
      <c r="H1" s="112"/>
      <c r="I1" s="112"/>
      <c r="J1" s="112"/>
    </row>
    <row r="3" spans="1:10" ht="15.75" x14ac:dyDescent="0.25">
      <c r="A3" s="113" t="s">
        <v>458</v>
      </c>
      <c r="B3" s="114"/>
      <c r="C3" s="114"/>
      <c r="D3" s="114"/>
      <c r="E3" s="114"/>
      <c r="F3" s="114"/>
      <c r="G3" s="114"/>
      <c r="H3" s="114"/>
      <c r="I3" s="114"/>
      <c r="J3" s="114"/>
    </row>
    <row r="4" spans="1:10" ht="19.5" thickBot="1" x14ac:dyDescent="0.35">
      <c r="A4" s="43" t="s">
        <v>456</v>
      </c>
      <c r="B4" s="81">
        <v>1</v>
      </c>
      <c r="C4" s="79" t="s">
        <v>459</v>
      </c>
    </row>
    <row r="5" spans="1:10" ht="19.5" thickBot="1" x14ac:dyDescent="0.35">
      <c r="A5" s="43" t="s">
        <v>105</v>
      </c>
      <c r="B5" s="82">
        <v>1.1499999999999999</v>
      </c>
      <c r="C5" s="79" t="s">
        <v>460</v>
      </c>
    </row>
    <row r="7" spans="1:10" ht="15.75" x14ac:dyDescent="0.25">
      <c r="A7" s="113" t="s">
        <v>461</v>
      </c>
      <c r="B7" s="114"/>
      <c r="C7" s="114"/>
      <c r="D7" s="114"/>
      <c r="E7" s="114"/>
      <c r="F7" s="114"/>
      <c r="G7" s="114"/>
      <c r="H7" s="114"/>
      <c r="I7" s="114"/>
      <c r="J7" s="114"/>
    </row>
    <row r="8" spans="1:10" x14ac:dyDescent="0.25">
      <c r="A8" s="83" t="s">
        <v>462</v>
      </c>
      <c r="B8" s="84" t="s">
        <v>463</v>
      </c>
      <c r="C8" s="85" t="s">
        <v>464</v>
      </c>
      <c r="D8" s="86" t="s">
        <v>465</v>
      </c>
    </row>
    <row r="10" spans="1:10" ht="15.75" x14ac:dyDescent="0.25">
      <c r="A10" s="113" t="s">
        <v>466</v>
      </c>
      <c r="B10" s="114"/>
      <c r="C10" s="114"/>
      <c r="D10" s="114"/>
      <c r="E10" s="114"/>
      <c r="F10" s="114"/>
      <c r="G10" s="114"/>
      <c r="H10" s="114"/>
      <c r="I10" s="114"/>
      <c r="J10" s="114"/>
    </row>
    <row r="11" spans="1:10" ht="35.1" customHeight="1" x14ac:dyDescent="0.25">
      <c r="A11" s="88" t="s">
        <v>76</v>
      </c>
      <c r="B11" s="88" t="s">
        <v>467</v>
      </c>
      <c r="C11" s="88" t="s">
        <v>468</v>
      </c>
      <c r="D11" s="88" t="s">
        <v>469</v>
      </c>
      <c r="E11" s="88" t="s">
        <v>470</v>
      </c>
      <c r="F11" s="88" t="s">
        <v>471</v>
      </c>
      <c r="G11" s="88" t="s">
        <v>472</v>
      </c>
      <c r="H11" s="88" t="s">
        <v>473</v>
      </c>
      <c r="I11" s="88" t="s">
        <v>474</v>
      </c>
    </row>
    <row r="12" spans="1:10" x14ac:dyDescent="0.25">
      <c r="A12" s="80" t="s">
        <v>91</v>
      </c>
      <c r="B12" s="89">
        <v>0.75</v>
      </c>
      <c r="C12" s="90">
        <f>$B$4*B12</f>
        <v>0.75</v>
      </c>
      <c r="D12" s="89">
        <v>0.66</v>
      </c>
      <c r="E12" s="90">
        <f>$B$4*D12</f>
        <v>0.66</v>
      </c>
      <c r="F12" s="89">
        <v>0.91</v>
      </c>
      <c r="G12" s="90">
        <f>$B$4*F12</f>
        <v>0.91</v>
      </c>
      <c r="H12" s="89">
        <v>0.76</v>
      </c>
      <c r="I12" s="90">
        <f>$B$4*H12</f>
        <v>0.76</v>
      </c>
    </row>
    <row r="13" spans="1:10" x14ac:dyDescent="0.25">
      <c r="A13" s="94" t="s">
        <v>119</v>
      </c>
      <c r="B13" s="95">
        <v>0.75</v>
      </c>
      <c r="C13" s="96">
        <f t="shared" ref="C13:C33" si="0">$B$4*B13</f>
        <v>0.75</v>
      </c>
      <c r="D13" s="95">
        <v>0.69</v>
      </c>
      <c r="E13" s="96">
        <f t="shared" ref="E13:E33" si="1">$B$4*D13</f>
        <v>0.69</v>
      </c>
      <c r="F13" s="95">
        <v>0.99</v>
      </c>
      <c r="G13" s="96">
        <f t="shared" ref="G13:G33" si="2">$B$4*F13</f>
        <v>0.99</v>
      </c>
      <c r="H13" s="95">
        <v>0.8</v>
      </c>
      <c r="I13" s="96">
        <f t="shared" ref="I13:I33" si="3">$B$4*H13</f>
        <v>0.8</v>
      </c>
    </row>
    <row r="14" spans="1:10" x14ac:dyDescent="0.25">
      <c r="A14" s="97" t="s">
        <v>147</v>
      </c>
      <c r="B14" s="95">
        <v>0.75</v>
      </c>
      <c r="C14" s="98">
        <f t="shared" si="0"/>
        <v>0.75</v>
      </c>
      <c r="D14" s="95">
        <v>0.69</v>
      </c>
      <c r="E14" s="98">
        <f t="shared" si="1"/>
        <v>0.69</v>
      </c>
      <c r="F14" s="95">
        <v>0.99</v>
      </c>
      <c r="G14" s="98">
        <f t="shared" si="2"/>
        <v>0.99</v>
      </c>
      <c r="H14" s="95">
        <v>0.8</v>
      </c>
      <c r="I14" s="98">
        <f t="shared" si="3"/>
        <v>0.8</v>
      </c>
    </row>
    <row r="15" spans="1:10" x14ac:dyDescent="0.25">
      <c r="A15" s="94" t="s">
        <v>170</v>
      </c>
      <c r="B15" s="95">
        <v>0.75</v>
      </c>
      <c r="C15" s="96">
        <f t="shared" si="0"/>
        <v>0.75</v>
      </c>
      <c r="D15" s="95">
        <v>0.71</v>
      </c>
      <c r="E15" s="96">
        <f t="shared" si="1"/>
        <v>0.71</v>
      </c>
      <c r="F15" s="95">
        <v>1</v>
      </c>
      <c r="G15" s="96">
        <f t="shared" si="2"/>
        <v>1</v>
      </c>
      <c r="H15" s="95">
        <v>0.8</v>
      </c>
      <c r="I15" s="96">
        <f t="shared" si="3"/>
        <v>0.8</v>
      </c>
    </row>
    <row r="16" spans="1:10" x14ac:dyDescent="0.25">
      <c r="A16" s="97" t="s">
        <v>201</v>
      </c>
      <c r="B16" s="95">
        <v>0.75</v>
      </c>
      <c r="C16" s="98">
        <f t="shared" si="0"/>
        <v>0.75</v>
      </c>
      <c r="D16" s="95">
        <v>0.69</v>
      </c>
      <c r="E16" s="98">
        <f t="shared" si="1"/>
        <v>0.69</v>
      </c>
      <c r="F16" s="95">
        <v>0.99</v>
      </c>
      <c r="G16" s="98">
        <f t="shared" si="2"/>
        <v>0.99</v>
      </c>
      <c r="H16" s="95">
        <v>0.8</v>
      </c>
      <c r="I16" s="98">
        <f t="shared" si="3"/>
        <v>0.8</v>
      </c>
    </row>
    <row r="17" spans="1:9" x14ac:dyDescent="0.25">
      <c r="A17" s="94" t="s">
        <v>227</v>
      </c>
      <c r="B17" s="95">
        <v>0.75</v>
      </c>
      <c r="C17" s="96">
        <f t="shared" si="0"/>
        <v>0.75</v>
      </c>
      <c r="D17" s="95">
        <v>0.69</v>
      </c>
      <c r="E17" s="96">
        <f t="shared" si="1"/>
        <v>0.69</v>
      </c>
      <c r="F17" s="95">
        <v>0.99</v>
      </c>
      <c r="G17" s="96">
        <f t="shared" si="2"/>
        <v>0.99</v>
      </c>
      <c r="H17" s="95">
        <v>0.8</v>
      </c>
      <c r="I17" s="96">
        <f t="shared" si="3"/>
        <v>0.8</v>
      </c>
    </row>
    <row r="18" spans="1:9" x14ac:dyDescent="0.25">
      <c r="A18" s="97" t="s">
        <v>246</v>
      </c>
      <c r="B18" s="95">
        <v>0.75</v>
      </c>
      <c r="C18" s="98">
        <f t="shared" si="0"/>
        <v>0.75</v>
      </c>
      <c r="D18" s="95">
        <v>0.69</v>
      </c>
      <c r="E18" s="98">
        <f t="shared" si="1"/>
        <v>0.69</v>
      </c>
      <c r="F18" s="95">
        <v>0.99</v>
      </c>
      <c r="G18" s="98">
        <f t="shared" si="2"/>
        <v>0.99</v>
      </c>
      <c r="H18" s="95">
        <v>0.8</v>
      </c>
      <c r="I18" s="98">
        <f t="shared" si="3"/>
        <v>0.8</v>
      </c>
    </row>
    <row r="19" spans="1:9" x14ac:dyDescent="0.25">
      <c r="A19" s="94" t="s">
        <v>257</v>
      </c>
      <c r="B19" s="95">
        <v>0.75</v>
      </c>
      <c r="C19" s="96">
        <f t="shared" si="0"/>
        <v>0.75</v>
      </c>
      <c r="D19" s="95">
        <v>0.66</v>
      </c>
      <c r="E19" s="96">
        <f t="shared" si="1"/>
        <v>0.66</v>
      </c>
      <c r="F19" s="95">
        <v>0.91</v>
      </c>
      <c r="G19" s="96">
        <f t="shared" si="2"/>
        <v>0.91</v>
      </c>
      <c r="H19" s="95">
        <v>0.76</v>
      </c>
      <c r="I19" s="96">
        <f t="shared" si="3"/>
        <v>0.76</v>
      </c>
    </row>
    <row r="20" spans="1:9" x14ac:dyDescent="0.25">
      <c r="A20" s="97" t="s">
        <v>271</v>
      </c>
      <c r="B20" s="95">
        <v>0.75</v>
      </c>
      <c r="C20" s="98">
        <f t="shared" si="0"/>
        <v>0.75</v>
      </c>
      <c r="D20" s="95">
        <v>0.66</v>
      </c>
      <c r="E20" s="98">
        <f t="shared" si="1"/>
        <v>0.66</v>
      </c>
      <c r="F20" s="95">
        <v>0.91</v>
      </c>
      <c r="G20" s="98">
        <f t="shared" si="2"/>
        <v>0.91</v>
      </c>
      <c r="H20" s="95">
        <v>0.76</v>
      </c>
      <c r="I20" s="98">
        <f t="shared" si="3"/>
        <v>0.76</v>
      </c>
    </row>
    <row r="21" spans="1:9" x14ac:dyDescent="0.25">
      <c r="A21" s="94" t="s">
        <v>285</v>
      </c>
      <c r="B21" s="95">
        <v>0.75</v>
      </c>
      <c r="C21" s="96">
        <f t="shared" si="0"/>
        <v>0.75</v>
      </c>
      <c r="D21" s="95">
        <v>0.68</v>
      </c>
      <c r="E21" s="96">
        <f t="shared" si="1"/>
        <v>0.68</v>
      </c>
      <c r="F21" s="95">
        <v>0.86</v>
      </c>
      <c r="G21" s="96">
        <f t="shared" si="2"/>
        <v>0.86</v>
      </c>
      <c r="H21" s="95">
        <v>0.78</v>
      </c>
      <c r="I21" s="96">
        <f t="shared" si="3"/>
        <v>0.78</v>
      </c>
    </row>
    <row r="22" spans="1:9" x14ac:dyDescent="0.25">
      <c r="A22" s="97" t="s">
        <v>10</v>
      </c>
      <c r="B22" s="95">
        <v>0.88</v>
      </c>
      <c r="C22" s="98">
        <f t="shared" si="0"/>
        <v>0.88</v>
      </c>
      <c r="D22" s="95">
        <v>0.69</v>
      </c>
      <c r="E22" s="98">
        <f t="shared" si="1"/>
        <v>0.69</v>
      </c>
      <c r="F22" s="95">
        <v>0.81</v>
      </c>
      <c r="G22" s="98">
        <f t="shared" si="2"/>
        <v>0.81</v>
      </c>
      <c r="H22" s="95">
        <v>0.73</v>
      </c>
      <c r="I22" s="98">
        <f t="shared" si="3"/>
        <v>0.73</v>
      </c>
    </row>
    <row r="23" spans="1:9" x14ac:dyDescent="0.25">
      <c r="A23" s="94" t="s">
        <v>314</v>
      </c>
      <c r="B23" s="95">
        <v>0.88</v>
      </c>
      <c r="C23" s="96">
        <f t="shared" si="0"/>
        <v>0.88</v>
      </c>
      <c r="D23" s="95">
        <v>0.69</v>
      </c>
      <c r="E23" s="96">
        <f t="shared" si="1"/>
        <v>0.69</v>
      </c>
      <c r="F23" s="95">
        <v>0.89</v>
      </c>
      <c r="G23" s="96">
        <f t="shared" si="2"/>
        <v>0.89</v>
      </c>
      <c r="H23" s="95">
        <v>0.73</v>
      </c>
      <c r="I23" s="96">
        <f t="shared" si="3"/>
        <v>0.73</v>
      </c>
    </row>
    <row r="24" spans="1:9" x14ac:dyDescent="0.25">
      <c r="A24" s="97" t="s">
        <v>327</v>
      </c>
      <c r="B24" s="95">
        <v>0.88</v>
      </c>
      <c r="C24" s="98">
        <f t="shared" si="0"/>
        <v>0.88</v>
      </c>
      <c r="D24" s="95">
        <v>0.72</v>
      </c>
      <c r="E24" s="98">
        <f t="shared" si="1"/>
        <v>0.72</v>
      </c>
      <c r="F24" s="95">
        <v>0.9</v>
      </c>
      <c r="G24" s="98">
        <f t="shared" si="2"/>
        <v>0.9</v>
      </c>
      <c r="H24" s="95">
        <v>0.74</v>
      </c>
      <c r="I24" s="98">
        <f t="shared" si="3"/>
        <v>0.74</v>
      </c>
    </row>
    <row r="25" spans="1:9" x14ac:dyDescent="0.25">
      <c r="A25" s="94" t="s">
        <v>12</v>
      </c>
      <c r="B25" s="95">
        <v>0.9</v>
      </c>
      <c r="C25" s="96">
        <f t="shared" si="0"/>
        <v>0.9</v>
      </c>
      <c r="D25" s="95">
        <v>0.72</v>
      </c>
      <c r="E25" s="96">
        <f t="shared" si="1"/>
        <v>0.72</v>
      </c>
      <c r="F25" s="95">
        <v>0.77</v>
      </c>
      <c r="G25" s="96">
        <f t="shared" si="2"/>
        <v>0.77</v>
      </c>
      <c r="H25" s="95">
        <v>0.75</v>
      </c>
      <c r="I25" s="96">
        <f t="shared" si="3"/>
        <v>0.75</v>
      </c>
    </row>
    <row r="26" spans="1:9" x14ac:dyDescent="0.25">
      <c r="A26" s="97" t="s">
        <v>371</v>
      </c>
      <c r="B26" s="95">
        <v>0.9</v>
      </c>
      <c r="C26" s="98">
        <f t="shared" si="0"/>
        <v>0.9</v>
      </c>
      <c r="D26" s="95">
        <v>0.72</v>
      </c>
      <c r="E26" s="98">
        <f t="shared" si="1"/>
        <v>0.72</v>
      </c>
      <c r="F26" s="95">
        <v>0.77</v>
      </c>
      <c r="G26" s="98">
        <f t="shared" si="2"/>
        <v>0.77</v>
      </c>
      <c r="H26" s="95">
        <v>0.75</v>
      </c>
      <c r="I26" s="98">
        <f t="shared" si="3"/>
        <v>0.75</v>
      </c>
    </row>
    <row r="27" spans="1:9" x14ac:dyDescent="0.25">
      <c r="A27" s="94" t="s">
        <v>380</v>
      </c>
      <c r="B27" s="95">
        <v>0.9</v>
      </c>
      <c r="C27" s="96">
        <f t="shared" si="0"/>
        <v>0.9</v>
      </c>
      <c r="D27" s="95">
        <v>0.72</v>
      </c>
      <c r="E27" s="96">
        <f t="shared" si="1"/>
        <v>0.72</v>
      </c>
      <c r="F27" s="95">
        <v>0.77</v>
      </c>
      <c r="G27" s="96">
        <f t="shared" si="2"/>
        <v>0.77</v>
      </c>
      <c r="H27" s="95">
        <v>0.75</v>
      </c>
      <c r="I27" s="96">
        <f t="shared" si="3"/>
        <v>0.75</v>
      </c>
    </row>
    <row r="28" spans="1:9" x14ac:dyDescent="0.25">
      <c r="A28" s="97" t="s">
        <v>394</v>
      </c>
      <c r="B28" s="95">
        <v>0.75</v>
      </c>
      <c r="C28" s="98">
        <f t="shared" si="0"/>
        <v>0.75</v>
      </c>
      <c r="D28" s="95">
        <v>0.71</v>
      </c>
      <c r="E28" s="98">
        <f t="shared" si="1"/>
        <v>0.71</v>
      </c>
      <c r="F28" s="95">
        <v>1</v>
      </c>
      <c r="G28" s="98">
        <f t="shared" si="2"/>
        <v>1</v>
      </c>
      <c r="H28" s="95">
        <v>0.8</v>
      </c>
      <c r="I28" s="98">
        <f t="shared" si="3"/>
        <v>0.8</v>
      </c>
    </row>
    <row r="29" spans="1:9" x14ac:dyDescent="0.25">
      <c r="A29" s="94" t="s">
        <v>408</v>
      </c>
      <c r="B29" s="95">
        <v>0.8</v>
      </c>
      <c r="C29" s="96">
        <f t="shared" si="0"/>
        <v>0.8</v>
      </c>
      <c r="D29" s="95">
        <v>0.71</v>
      </c>
      <c r="E29" s="96">
        <f t="shared" si="1"/>
        <v>0.71</v>
      </c>
      <c r="F29" s="95">
        <v>1</v>
      </c>
      <c r="G29" s="96">
        <f t="shared" si="2"/>
        <v>1</v>
      </c>
      <c r="H29" s="95">
        <v>0.8</v>
      </c>
      <c r="I29" s="96">
        <f t="shared" si="3"/>
        <v>0.8</v>
      </c>
    </row>
    <row r="30" spans="1:9" x14ac:dyDescent="0.25">
      <c r="A30" s="97" t="s">
        <v>410</v>
      </c>
      <c r="B30" s="95">
        <v>0.8</v>
      </c>
      <c r="C30" s="98">
        <f t="shared" si="0"/>
        <v>0.8</v>
      </c>
      <c r="D30" s="95">
        <v>0.71</v>
      </c>
      <c r="E30" s="98">
        <f t="shared" si="1"/>
        <v>0.71</v>
      </c>
      <c r="F30" s="95">
        <v>1</v>
      </c>
      <c r="G30" s="98">
        <f t="shared" si="2"/>
        <v>1</v>
      </c>
      <c r="H30" s="95">
        <v>0.8</v>
      </c>
      <c r="I30" s="98">
        <f t="shared" si="3"/>
        <v>0.8</v>
      </c>
    </row>
    <row r="31" spans="1:9" x14ac:dyDescent="0.25">
      <c r="A31" s="94" t="s">
        <v>427</v>
      </c>
      <c r="B31" s="95">
        <v>0.8</v>
      </c>
      <c r="C31" s="96">
        <f t="shared" si="0"/>
        <v>0.8</v>
      </c>
      <c r="D31" s="95">
        <v>0.71</v>
      </c>
      <c r="E31" s="96">
        <f t="shared" si="1"/>
        <v>0.71</v>
      </c>
      <c r="F31" s="95">
        <v>1</v>
      </c>
      <c r="G31" s="96">
        <f t="shared" si="2"/>
        <v>1</v>
      </c>
      <c r="H31" s="95">
        <v>0.8</v>
      </c>
      <c r="I31" s="96">
        <f t="shared" si="3"/>
        <v>0.8</v>
      </c>
    </row>
    <row r="32" spans="1:9" x14ac:dyDescent="0.25">
      <c r="A32" s="97" t="s">
        <v>428</v>
      </c>
      <c r="B32" s="95">
        <v>0.8</v>
      </c>
      <c r="C32" s="98">
        <f t="shared" si="0"/>
        <v>0.8</v>
      </c>
      <c r="D32" s="95">
        <v>0.71</v>
      </c>
      <c r="E32" s="98">
        <f t="shared" si="1"/>
        <v>0.71</v>
      </c>
      <c r="F32" s="95">
        <v>1</v>
      </c>
      <c r="G32" s="98">
        <f t="shared" si="2"/>
        <v>1</v>
      </c>
      <c r="H32" s="95">
        <v>0.8</v>
      </c>
      <c r="I32" s="98">
        <f t="shared" si="3"/>
        <v>0.8</v>
      </c>
    </row>
    <row r="33" spans="1:9" x14ac:dyDescent="0.25">
      <c r="A33" s="91" t="s">
        <v>434</v>
      </c>
      <c r="B33" s="92">
        <v>0.8</v>
      </c>
      <c r="C33" s="93">
        <f t="shared" si="0"/>
        <v>0.8</v>
      </c>
      <c r="D33" s="92">
        <v>0.71</v>
      </c>
      <c r="E33" s="93">
        <f t="shared" si="1"/>
        <v>0.71</v>
      </c>
      <c r="F33" s="92">
        <v>1</v>
      </c>
      <c r="G33" s="93">
        <f t="shared" si="2"/>
        <v>1</v>
      </c>
      <c r="H33" s="92">
        <v>0.8</v>
      </c>
      <c r="I33" s="93">
        <f t="shared" si="3"/>
        <v>0.8</v>
      </c>
    </row>
    <row r="35" spans="1:9" x14ac:dyDescent="0.25">
      <c r="A35" s="37" t="s">
        <v>475</v>
      </c>
    </row>
    <row r="36" spans="1:9" x14ac:dyDescent="0.25">
      <c r="A36" s="79" t="s">
        <v>476</v>
      </c>
    </row>
    <row r="37" spans="1:9" x14ac:dyDescent="0.25">
      <c r="A37" s="79" t="s">
        <v>477</v>
      </c>
    </row>
    <row r="38" spans="1:9" x14ac:dyDescent="0.25">
      <c r="A38" s="79" t="s">
        <v>478</v>
      </c>
    </row>
    <row r="39" spans="1:9" x14ac:dyDescent="0.25">
      <c r="A39" s="79" t="s">
        <v>479</v>
      </c>
    </row>
    <row r="40" spans="1:9" x14ac:dyDescent="0.25">
      <c r="A40" s="79" t="s">
        <v>480</v>
      </c>
    </row>
    <row r="41" spans="1:9" x14ac:dyDescent="0.25">
      <c r="A41" s="79" t="s">
        <v>481</v>
      </c>
    </row>
  </sheetData>
  <mergeCells count="4">
    <mergeCell ref="A1:J1"/>
    <mergeCell ref="A3:J3"/>
    <mergeCell ref="A7:J7"/>
    <mergeCell ref="A10:J10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1A24-5AB9-4760-8AA4-AD6EE130348F}">
  <dimension ref="A1:R326"/>
  <sheetViews>
    <sheetView topLeftCell="A9" workbookViewId="0">
      <selection activeCell="D41" sqref="D41"/>
    </sheetView>
  </sheetViews>
  <sheetFormatPr baseColWidth="10" defaultRowHeight="15" outlineLevelCol="2" x14ac:dyDescent="0.25"/>
  <cols>
    <col min="1" max="1" width="12.42578125" customWidth="1"/>
    <col min="3" max="3" width="25.7109375" customWidth="1"/>
    <col min="4" max="4" width="36.140625" customWidth="1"/>
    <col min="5" max="5" width="12.42578125" customWidth="1"/>
    <col min="6" max="6" width="11.42578125" customWidth="1"/>
    <col min="7" max="14" width="13.28515625" customWidth="1"/>
    <col min="15" max="18" width="10.42578125" customWidth="1" outlineLevel="2"/>
  </cols>
  <sheetData>
    <row r="1" spans="1:18" ht="32.1" customHeight="1" x14ac:dyDescent="0.25">
      <c r="A1" s="163" t="s">
        <v>661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8" ht="21.95" customHeight="1" x14ac:dyDescent="0.25">
      <c r="A2" s="165" t="s">
        <v>503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</row>
    <row r="3" spans="1:18" ht="24" customHeight="1" x14ac:dyDescent="0.25">
      <c r="A3" s="168" t="s">
        <v>504</v>
      </c>
      <c r="B3" s="168"/>
      <c r="C3" s="168"/>
      <c r="D3" s="168"/>
      <c r="E3" s="168"/>
      <c r="F3" s="168"/>
      <c r="G3" s="169" t="s">
        <v>505</v>
      </c>
      <c r="H3" s="169"/>
      <c r="I3" s="169"/>
      <c r="J3" s="169"/>
      <c r="K3" s="170" t="s">
        <v>506</v>
      </c>
      <c r="L3" s="170"/>
      <c r="M3" s="170"/>
      <c r="N3" s="170"/>
    </row>
    <row r="4" spans="1:18" ht="21.95" customHeight="1" x14ac:dyDescent="0.25">
      <c r="A4" s="174" t="s">
        <v>662</v>
      </c>
      <c r="B4" s="171" t="s">
        <v>75</v>
      </c>
      <c r="C4" s="171" t="s">
        <v>76</v>
      </c>
      <c r="D4" s="171" t="s">
        <v>77</v>
      </c>
      <c r="E4" s="171" t="s">
        <v>70</v>
      </c>
      <c r="F4" s="171" t="s">
        <v>663</v>
      </c>
      <c r="G4" s="172" t="s">
        <v>664</v>
      </c>
      <c r="H4" s="172" t="s">
        <v>665</v>
      </c>
      <c r="I4" s="172" t="s">
        <v>666</v>
      </c>
      <c r="J4" s="172" t="s">
        <v>667</v>
      </c>
      <c r="K4" s="173" t="s">
        <v>668</v>
      </c>
      <c r="L4" s="173" t="s">
        <v>669</v>
      </c>
      <c r="M4" s="173" t="s">
        <v>670</v>
      </c>
      <c r="N4" s="175" t="s">
        <v>671</v>
      </c>
      <c r="O4" s="194" t="s">
        <v>482</v>
      </c>
      <c r="P4" s="194" t="s">
        <v>483</v>
      </c>
      <c r="Q4" s="194" t="s">
        <v>484</v>
      </c>
      <c r="R4" s="194" t="s">
        <v>485</v>
      </c>
    </row>
    <row r="5" spans="1:18" ht="21.95" customHeight="1" x14ac:dyDescent="0.25">
      <c r="A5" s="176" t="s">
        <v>91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93"/>
      <c r="P5" s="193"/>
      <c r="Q5" s="193"/>
      <c r="R5" s="193"/>
    </row>
    <row r="6" spans="1:18" x14ac:dyDescent="0.25">
      <c r="A6" s="178">
        <v>3000</v>
      </c>
      <c r="B6" s="179" t="s">
        <v>90</v>
      </c>
      <c r="C6" s="179" t="s">
        <v>91</v>
      </c>
      <c r="D6" s="179" t="s">
        <v>92</v>
      </c>
      <c r="E6" s="180">
        <v>360</v>
      </c>
      <c r="F6" s="180">
        <v>360</v>
      </c>
      <c r="G6" s="181">
        <f>IF(O6="","",ROUND(O6*Steuerungsdaten!$B$4*IFERROR(VLOOKUP(C6,Steuerungsdaten!$A$12:$B$33,2,FALSE),1),0))</f>
        <v>26</v>
      </c>
      <c r="H6" s="181">
        <f>IF(P6="","",ROUND(P6*Steuerungsdaten!$B$4*IFERROR(VLOOKUP(C6,Steuerungsdaten!$A$12:$D$33,4,FALSE),1),0))</f>
        <v>75</v>
      </c>
      <c r="I6" s="181">
        <f>IF(Q6="","",ROUND(Q6*Steuerungsdaten!$B$4*IFERROR(VLOOKUP(C6,Steuerungsdaten!$A$12:$F$33,6,FALSE),1),0))</f>
        <v>81</v>
      </c>
      <c r="J6" s="181">
        <f>IF(R6="","",ROUND(R6*Steuerungsdaten!$B$4*IFERROR(VLOOKUP(C6,Steuerungsdaten!$A$12:$H$33,8,FALSE),1),0))</f>
        <v>135</v>
      </c>
      <c r="K6" s="181">
        <f>IF(G6="","",ROUND(G6*Steuerungsdaten!$B$5,0))</f>
        <v>30</v>
      </c>
      <c r="L6" s="181">
        <f>IF(H6="","",ROUND(H6*Steuerungsdaten!$B$5,0))</f>
        <v>86</v>
      </c>
      <c r="M6" s="181">
        <f>IF(I6="","",ROUND(I6*Steuerungsdaten!$B$5,0))</f>
        <v>93</v>
      </c>
      <c r="N6" s="182">
        <f>IF(J6="","",ROUND(J6*Steuerungsdaten!$B$5,0))</f>
        <v>155</v>
      </c>
      <c r="O6" s="193">
        <v>34</v>
      </c>
      <c r="P6" s="193">
        <v>114</v>
      </c>
      <c r="Q6" s="193">
        <v>89</v>
      </c>
      <c r="R6" s="193">
        <v>177</v>
      </c>
    </row>
    <row r="7" spans="1:18" x14ac:dyDescent="0.25">
      <c r="A7" s="183">
        <v>3001</v>
      </c>
      <c r="B7" s="184" t="s">
        <v>90</v>
      </c>
      <c r="C7" s="184" t="s">
        <v>91</v>
      </c>
      <c r="D7" s="184" t="s">
        <v>95</v>
      </c>
      <c r="E7" s="185">
        <v>420</v>
      </c>
      <c r="F7" s="185">
        <v>360</v>
      </c>
      <c r="G7" s="186">
        <f>IF(O7="","",ROUND(O7*Steuerungsdaten!$B$4*IFERROR(VLOOKUP(C7,Steuerungsdaten!$A$12:$B$33,2,FALSE),1),0))</f>
        <v>26</v>
      </c>
      <c r="H7" s="186">
        <f>IF(P7="","",ROUND(P7*Steuerungsdaten!$B$4*IFERROR(VLOOKUP(C7,Steuerungsdaten!$A$12:$D$33,4,FALSE),1),0))</f>
        <v>80</v>
      </c>
      <c r="I7" s="186">
        <f>IF(Q7="","",ROUND(Q7*Steuerungsdaten!$B$4*IFERROR(VLOOKUP(C7,Steuerungsdaten!$A$12:$F$33,6,FALSE),1),0))</f>
        <v>84</v>
      </c>
      <c r="J7" s="186">
        <f>IF(R7="","",ROUND(R7*Steuerungsdaten!$B$4*IFERROR(VLOOKUP(C7,Steuerungsdaten!$A$12:$H$33,8,FALSE),1),0))</f>
        <v>135</v>
      </c>
      <c r="K7" s="186">
        <f>IF(G7="","",ROUND(G7*Steuerungsdaten!$B$5,0))</f>
        <v>30</v>
      </c>
      <c r="L7" s="186">
        <f>IF(H7="","",ROUND(H7*Steuerungsdaten!$B$5,0))</f>
        <v>92</v>
      </c>
      <c r="M7" s="186">
        <f>IF(I7="","",ROUND(I7*Steuerungsdaten!$B$5,0))</f>
        <v>97</v>
      </c>
      <c r="N7" s="187">
        <f>IF(J7="","",ROUND(J7*Steuerungsdaten!$B$5,0))</f>
        <v>155</v>
      </c>
      <c r="O7" s="193">
        <v>34</v>
      </c>
      <c r="P7" s="193">
        <v>121</v>
      </c>
      <c r="Q7" s="193">
        <v>92</v>
      </c>
      <c r="R7" s="193">
        <v>178</v>
      </c>
    </row>
    <row r="8" spans="1:18" x14ac:dyDescent="0.25">
      <c r="A8" s="188">
        <v>3002</v>
      </c>
      <c r="B8" s="189" t="s">
        <v>90</v>
      </c>
      <c r="C8" s="189" t="s">
        <v>91</v>
      </c>
      <c r="D8" s="189" t="s">
        <v>97</v>
      </c>
      <c r="E8" s="190">
        <v>580</v>
      </c>
      <c r="F8" s="190">
        <v>360</v>
      </c>
      <c r="G8" s="191">
        <f>IF(O8="","",ROUND(O8*Steuerungsdaten!$B$4*IFERROR(VLOOKUP(C8,Steuerungsdaten!$A$12:$B$33,2,FALSE),1),0))</f>
        <v>32</v>
      </c>
      <c r="H8" s="191">
        <f>IF(P8="","",ROUND(P8*Steuerungsdaten!$B$4*IFERROR(VLOOKUP(C8,Steuerungsdaten!$A$12:$D$33,4,FALSE),1),0))</f>
        <v>106</v>
      </c>
      <c r="I8" s="191">
        <f>IF(Q8="","",ROUND(Q8*Steuerungsdaten!$B$4*IFERROR(VLOOKUP(C8,Steuerungsdaten!$A$12:$F$33,6,FALSE),1),0))</f>
        <v>118</v>
      </c>
      <c r="J8" s="191">
        <f>IF(R8="","",ROUND(R8*Steuerungsdaten!$B$4*IFERROR(VLOOKUP(C8,Steuerungsdaten!$A$12:$H$33,8,FALSE),1),0))</f>
        <v>141</v>
      </c>
      <c r="K8" s="191">
        <f>IF(G8="","",ROUND(G8*Steuerungsdaten!$B$5,0))</f>
        <v>37</v>
      </c>
      <c r="L8" s="191">
        <f>IF(H8="","",ROUND(H8*Steuerungsdaten!$B$5,0))</f>
        <v>122</v>
      </c>
      <c r="M8" s="191">
        <f>IF(I8="","",ROUND(I8*Steuerungsdaten!$B$5,0))</f>
        <v>136</v>
      </c>
      <c r="N8" s="192">
        <f>IF(J8="","",ROUND(J8*Steuerungsdaten!$B$5,0))</f>
        <v>162</v>
      </c>
      <c r="O8" s="193">
        <v>43</v>
      </c>
      <c r="P8" s="193">
        <v>161</v>
      </c>
      <c r="Q8" s="193">
        <v>130</v>
      </c>
      <c r="R8" s="193">
        <v>185</v>
      </c>
    </row>
    <row r="9" spans="1:18" x14ac:dyDescent="0.25">
      <c r="A9" s="183">
        <v>3003</v>
      </c>
      <c r="B9" s="184" t="s">
        <v>90</v>
      </c>
      <c r="C9" s="184" t="s">
        <v>91</v>
      </c>
      <c r="D9" s="184" t="s">
        <v>99</v>
      </c>
      <c r="E9" s="185">
        <v>780</v>
      </c>
      <c r="F9" s="185">
        <v>360</v>
      </c>
      <c r="G9" s="186">
        <f>IF(O9="","",ROUND(O9*Steuerungsdaten!$B$4*IFERROR(VLOOKUP(C9,Steuerungsdaten!$A$12:$B$33,2,FALSE),1),0))</f>
        <v>42</v>
      </c>
      <c r="H9" s="186">
        <f>IF(P9="","",ROUND(P9*Steuerungsdaten!$B$4*IFERROR(VLOOKUP(C9,Steuerungsdaten!$A$12:$D$33,4,FALSE),1),0))</f>
        <v>122</v>
      </c>
      <c r="I9" s="186">
        <f>IF(Q9="","",ROUND(Q9*Steuerungsdaten!$B$4*IFERROR(VLOOKUP(C9,Steuerungsdaten!$A$12:$F$33,6,FALSE),1),0))</f>
        <v>131</v>
      </c>
      <c r="J9" s="186">
        <f>IF(R9="","",ROUND(R9*Steuerungsdaten!$B$4*IFERROR(VLOOKUP(C9,Steuerungsdaten!$A$12:$H$33,8,FALSE),1),0))</f>
        <v>144</v>
      </c>
      <c r="K9" s="186">
        <f>IF(G9="","",ROUND(G9*Steuerungsdaten!$B$5,0))</f>
        <v>48</v>
      </c>
      <c r="L9" s="186">
        <f>IF(H9="","",ROUND(H9*Steuerungsdaten!$B$5,0))</f>
        <v>140</v>
      </c>
      <c r="M9" s="186">
        <f>IF(I9="","",ROUND(I9*Steuerungsdaten!$B$5,0))</f>
        <v>151</v>
      </c>
      <c r="N9" s="187">
        <f>IF(J9="","",ROUND(J9*Steuerungsdaten!$B$5,0))</f>
        <v>166</v>
      </c>
      <c r="O9" s="193">
        <v>56</v>
      </c>
      <c r="P9" s="193">
        <v>185</v>
      </c>
      <c r="Q9" s="193">
        <v>144</v>
      </c>
      <c r="R9" s="193">
        <v>190</v>
      </c>
    </row>
    <row r="10" spans="1:18" x14ac:dyDescent="0.25">
      <c r="A10" s="188">
        <v>3004</v>
      </c>
      <c r="B10" s="189" t="s">
        <v>90</v>
      </c>
      <c r="C10" s="189" t="s">
        <v>91</v>
      </c>
      <c r="D10" s="189" t="s">
        <v>102</v>
      </c>
      <c r="E10" s="190">
        <v>980</v>
      </c>
      <c r="F10" s="190">
        <v>360</v>
      </c>
      <c r="G10" s="191">
        <f>IF(O10="","",ROUND(O10*Steuerungsdaten!$B$4*IFERROR(VLOOKUP(C10,Steuerungsdaten!$A$12:$B$33,2,FALSE),1),0))</f>
        <v>53</v>
      </c>
      <c r="H10" s="191">
        <f>IF(P10="","",ROUND(P10*Steuerungsdaten!$B$4*IFERROR(VLOOKUP(C10,Steuerungsdaten!$A$12:$D$33,4,FALSE),1),0))</f>
        <v>147</v>
      </c>
      <c r="I10" s="191">
        <f>IF(Q10="","",ROUND(Q10*Steuerungsdaten!$B$4*IFERROR(VLOOKUP(C10,Steuerungsdaten!$A$12:$F$33,6,FALSE),1),0))</f>
        <v>158</v>
      </c>
      <c r="J10" s="191">
        <f>IF(R10="","",ROUND(R10*Steuerungsdaten!$B$4*IFERROR(VLOOKUP(C10,Steuerungsdaten!$A$12:$H$33,8,FALSE),1),0))</f>
        <v>159</v>
      </c>
      <c r="K10" s="191">
        <f>IF(G10="","",ROUND(G10*Steuerungsdaten!$B$5,0))</f>
        <v>61</v>
      </c>
      <c r="L10" s="191">
        <f>IF(H10="","",ROUND(H10*Steuerungsdaten!$B$5,0))</f>
        <v>169</v>
      </c>
      <c r="M10" s="191">
        <f>IF(I10="","",ROUND(I10*Steuerungsdaten!$B$5,0))</f>
        <v>182</v>
      </c>
      <c r="N10" s="192">
        <f>IF(J10="","",ROUND(J10*Steuerungsdaten!$B$5,0))</f>
        <v>183</v>
      </c>
      <c r="O10" s="193">
        <v>70</v>
      </c>
      <c r="P10" s="193">
        <v>223</v>
      </c>
      <c r="Q10" s="193">
        <v>174</v>
      </c>
      <c r="R10" s="193">
        <v>209</v>
      </c>
    </row>
    <row r="11" spans="1:18" x14ac:dyDescent="0.25">
      <c r="A11" s="183">
        <v>3005</v>
      </c>
      <c r="B11" s="184" t="s">
        <v>90</v>
      </c>
      <c r="C11" s="184" t="s">
        <v>91</v>
      </c>
      <c r="D11" s="184" t="s">
        <v>104</v>
      </c>
      <c r="E11" s="185">
        <v>360</v>
      </c>
      <c r="F11" s="185">
        <v>580</v>
      </c>
      <c r="G11" s="186">
        <f>IF(O11="","",ROUND(O11*Steuerungsdaten!$B$4*IFERROR(VLOOKUP(C11,Steuerungsdaten!$A$12:$B$33,2,FALSE),1),0))</f>
        <v>32</v>
      </c>
      <c r="H11" s="186">
        <f>IF(P11="","",ROUND(P11*Steuerungsdaten!$B$4*IFERROR(VLOOKUP(C11,Steuerungsdaten!$A$12:$D$33,4,FALSE),1),0))</f>
        <v>106</v>
      </c>
      <c r="I11" s="186">
        <f>IF(Q11="","",ROUND(Q11*Steuerungsdaten!$B$4*IFERROR(VLOOKUP(C11,Steuerungsdaten!$A$12:$F$33,6,FALSE),1),0))</f>
        <v>118</v>
      </c>
      <c r="J11" s="186">
        <f>IF(R11="","",ROUND(R11*Steuerungsdaten!$B$4*IFERROR(VLOOKUP(C11,Steuerungsdaten!$A$12:$H$33,8,FALSE),1),0))</f>
        <v>141</v>
      </c>
      <c r="K11" s="186">
        <f>IF(G11="","",ROUND(G11*Steuerungsdaten!$B$5,0))</f>
        <v>37</v>
      </c>
      <c r="L11" s="186">
        <f>IF(H11="","",ROUND(H11*Steuerungsdaten!$B$5,0))</f>
        <v>122</v>
      </c>
      <c r="M11" s="186">
        <f>IF(I11="","",ROUND(I11*Steuerungsdaten!$B$5,0))</f>
        <v>136</v>
      </c>
      <c r="N11" s="187">
        <f>IF(J11="","",ROUND(J11*Steuerungsdaten!$B$5,0))</f>
        <v>162</v>
      </c>
      <c r="O11" s="193">
        <v>43</v>
      </c>
      <c r="P11" s="193">
        <v>161</v>
      </c>
      <c r="Q11" s="193">
        <v>130</v>
      </c>
      <c r="R11" s="193">
        <v>185</v>
      </c>
    </row>
    <row r="12" spans="1:18" x14ac:dyDescent="0.25">
      <c r="A12" s="188">
        <v>3006</v>
      </c>
      <c r="B12" s="189" t="s">
        <v>90</v>
      </c>
      <c r="C12" s="189" t="s">
        <v>91</v>
      </c>
      <c r="D12" s="189" t="s">
        <v>106</v>
      </c>
      <c r="E12" s="190">
        <v>420</v>
      </c>
      <c r="F12" s="190">
        <v>580</v>
      </c>
      <c r="G12" s="191">
        <f>IF(O12="","",ROUND(O12*Steuerungsdaten!$B$4*IFERROR(VLOOKUP(C12,Steuerungsdaten!$A$12:$B$33,2,FALSE),1),0))</f>
        <v>37</v>
      </c>
      <c r="H12" s="191">
        <f>IF(P12="","",ROUND(P12*Steuerungsdaten!$B$4*IFERROR(VLOOKUP(C12,Steuerungsdaten!$A$12:$D$33,4,FALSE),1),0))</f>
        <v>119</v>
      </c>
      <c r="I12" s="191">
        <f>IF(Q12="","",ROUND(Q12*Steuerungsdaten!$B$4*IFERROR(VLOOKUP(C12,Steuerungsdaten!$A$12:$F$33,6,FALSE),1),0))</f>
        <v>134</v>
      </c>
      <c r="J12" s="191">
        <f>IF(R12="","",ROUND(R12*Steuerungsdaten!$B$4*IFERROR(VLOOKUP(C12,Steuerungsdaten!$A$12:$H$33,8,FALSE),1),0))</f>
        <v>141</v>
      </c>
      <c r="K12" s="191">
        <f>IF(G12="","",ROUND(G12*Steuerungsdaten!$B$5,0))</f>
        <v>43</v>
      </c>
      <c r="L12" s="191">
        <f>IF(H12="","",ROUND(H12*Steuerungsdaten!$B$5,0))</f>
        <v>137</v>
      </c>
      <c r="M12" s="191">
        <f>IF(I12="","",ROUND(I12*Steuerungsdaten!$B$5,0))</f>
        <v>154</v>
      </c>
      <c r="N12" s="192">
        <f>IF(J12="","",ROUND(J12*Steuerungsdaten!$B$5,0))</f>
        <v>162</v>
      </c>
      <c r="O12" s="193">
        <v>49</v>
      </c>
      <c r="P12" s="193">
        <v>181</v>
      </c>
      <c r="Q12" s="193">
        <v>147</v>
      </c>
      <c r="R12" s="193">
        <v>186</v>
      </c>
    </row>
    <row r="13" spans="1:18" x14ac:dyDescent="0.25">
      <c r="A13" s="183">
        <v>3007</v>
      </c>
      <c r="B13" s="184" t="s">
        <v>90</v>
      </c>
      <c r="C13" s="184" t="s">
        <v>91</v>
      </c>
      <c r="D13" s="184" t="s">
        <v>109</v>
      </c>
      <c r="E13" s="185">
        <v>580</v>
      </c>
      <c r="F13" s="185">
        <v>580</v>
      </c>
      <c r="G13" s="186">
        <f>IF(O13="","",ROUND(O13*Steuerungsdaten!$B$4*IFERROR(VLOOKUP(C13,Steuerungsdaten!$A$12:$B$33,2,FALSE),1),0))</f>
        <v>50</v>
      </c>
      <c r="H13" s="186">
        <f>IF(P13="","",ROUND(P13*Steuerungsdaten!$B$4*IFERROR(VLOOKUP(C13,Steuerungsdaten!$A$12:$D$33,4,FALSE),1),0))</f>
        <v>150</v>
      </c>
      <c r="I13" s="186">
        <f>IF(Q13="","",ROUND(Q13*Steuerungsdaten!$B$4*IFERROR(VLOOKUP(C13,Steuerungsdaten!$A$12:$F$33,6,FALSE),1),0))</f>
        <v>167</v>
      </c>
      <c r="J13" s="186">
        <f>IF(R13="","",ROUND(R13*Steuerungsdaten!$B$4*IFERROR(VLOOKUP(C13,Steuerungsdaten!$A$12:$H$33,8,FALSE),1),0))</f>
        <v>145</v>
      </c>
      <c r="K13" s="186">
        <f>IF(G13="","",ROUND(G13*Steuerungsdaten!$B$5,0))</f>
        <v>58</v>
      </c>
      <c r="L13" s="186">
        <f>IF(H13="","",ROUND(H13*Steuerungsdaten!$B$5,0))</f>
        <v>173</v>
      </c>
      <c r="M13" s="186">
        <f>IF(I13="","",ROUND(I13*Steuerungsdaten!$B$5,0))</f>
        <v>192</v>
      </c>
      <c r="N13" s="187">
        <f>IF(J13="","",ROUND(J13*Steuerungsdaten!$B$5,0))</f>
        <v>167</v>
      </c>
      <c r="O13" s="193">
        <v>67</v>
      </c>
      <c r="P13" s="193">
        <v>228</v>
      </c>
      <c r="Q13" s="193">
        <v>183</v>
      </c>
      <c r="R13" s="193">
        <v>191</v>
      </c>
    </row>
    <row r="14" spans="1:18" x14ac:dyDescent="0.25">
      <c r="A14" s="188">
        <v>3008</v>
      </c>
      <c r="B14" s="189" t="s">
        <v>90</v>
      </c>
      <c r="C14" s="189" t="s">
        <v>91</v>
      </c>
      <c r="D14" s="189" t="s">
        <v>110</v>
      </c>
      <c r="E14" s="190">
        <v>780</v>
      </c>
      <c r="F14" s="190">
        <v>580</v>
      </c>
      <c r="G14" s="191">
        <f>IF(O14="","",ROUND(O14*Steuerungsdaten!$B$4*IFERROR(VLOOKUP(C14,Steuerungsdaten!$A$12:$B$33,2,FALSE),1),0))</f>
        <v>65</v>
      </c>
      <c r="H14" s="191">
        <f>IF(P14="","",ROUND(P14*Steuerungsdaten!$B$4*IFERROR(VLOOKUP(C14,Steuerungsdaten!$A$12:$D$33,4,FALSE),1),0))</f>
        <v>182</v>
      </c>
      <c r="I14" s="191">
        <f>IF(Q14="","",ROUND(Q14*Steuerungsdaten!$B$4*IFERROR(VLOOKUP(C14,Steuerungsdaten!$A$12:$F$33,6,FALSE),1),0))</f>
        <v>205</v>
      </c>
      <c r="J14" s="191">
        <f>IF(R14="","",ROUND(R14*Steuerungsdaten!$B$4*IFERROR(VLOOKUP(C14,Steuerungsdaten!$A$12:$H$33,8,FALSE),1),0))</f>
        <v>180</v>
      </c>
      <c r="K14" s="191">
        <f>IF(G14="","",ROUND(G14*Steuerungsdaten!$B$5,0))</f>
        <v>75</v>
      </c>
      <c r="L14" s="191">
        <f>IF(H14="","",ROUND(H14*Steuerungsdaten!$B$5,0))</f>
        <v>209</v>
      </c>
      <c r="M14" s="191">
        <f>IF(I14="","",ROUND(I14*Steuerungsdaten!$B$5,0))</f>
        <v>236</v>
      </c>
      <c r="N14" s="192">
        <f>IF(J14="","",ROUND(J14*Steuerungsdaten!$B$5,0))</f>
        <v>207</v>
      </c>
      <c r="O14" s="193">
        <v>87</v>
      </c>
      <c r="P14" s="193">
        <v>275</v>
      </c>
      <c r="Q14" s="193">
        <v>225</v>
      </c>
      <c r="R14" s="193">
        <v>237</v>
      </c>
    </row>
    <row r="15" spans="1:18" x14ac:dyDescent="0.25">
      <c r="A15" s="183">
        <v>3009</v>
      </c>
      <c r="B15" s="184" t="s">
        <v>90</v>
      </c>
      <c r="C15" s="184" t="s">
        <v>91</v>
      </c>
      <c r="D15" s="184" t="s">
        <v>111</v>
      </c>
      <c r="E15" s="185">
        <v>980</v>
      </c>
      <c r="F15" s="185">
        <v>580</v>
      </c>
      <c r="G15" s="186">
        <f>IF(O15="","",ROUND(O15*Steuerungsdaten!$B$4*IFERROR(VLOOKUP(C15,Steuerungsdaten!$A$12:$B$33,2,FALSE),1),0))</f>
        <v>83</v>
      </c>
      <c r="H15" s="186">
        <f>IF(P15="","",ROUND(P15*Steuerungsdaten!$B$4*IFERROR(VLOOKUP(C15,Steuerungsdaten!$A$12:$D$33,4,FALSE),1),0))</f>
        <v>234</v>
      </c>
      <c r="I15" s="186">
        <f>IF(Q15="","",ROUND(Q15*Steuerungsdaten!$B$4*IFERROR(VLOOKUP(C15,Steuerungsdaten!$A$12:$F$33,6,FALSE),1),0))</f>
        <v>260</v>
      </c>
      <c r="J15" s="186">
        <f>IF(R15="","",ROUND(R15*Steuerungsdaten!$B$4*IFERROR(VLOOKUP(C15,Steuerungsdaten!$A$12:$H$33,8,FALSE),1),0))</f>
        <v>210</v>
      </c>
      <c r="K15" s="186">
        <f>IF(G15="","",ROUND(G15*Steuerungsdaten!$B$5,0))</f>
        <v>95</v>
      </c>
      <c r="L15" s="186">
        <f>IF(H15="","",ROUND(H15*Steuerungsdaten!$B$5,0))</f>
        <v>269</v>
      </c>
      <c r="M15" s="186">
        <f>IF(I15="","",ROUND(I15*Steuerungsdaten!$B$5,0))</f>
        <v>299</v>
      </c>
      <c r="N15" s="187">
        <f>IF(J15="","",ROUND(J15*Steuerungsdaten!$B$5,0))</f>
        <v>242</v>
      </c>
      <c r="O15" s="193">
        <v>110</v>
      </c>
      <c r="P15" s="193">
        <v>355</v>
      </c>
      <c r="Q15" s="193">
        <v>286</v>
      </c>
      <c r="R15" s="193">
        <v>276</v>
      </c>
    </row>
    <row r="16" spans="1:18" x14ac:dyDescent="0.25">
      <c r="A16" s="188">
        <v>3010</v>
      </c>
      <c r="B16" s="189" t="s">
        <v>90</v>
      </c>
      <c r="C16" s="189" t="s">
        <v>91</v>
      </c>
      <c r="D16" s="189" t="s">
        <v>112</v>
      </c>
      <c r="E16" s="190">
        <v>780</v>
      </c>
      <c r="F16" s="190">
        <v>780</v>
      </c>
      <c r="G16" s="191">
        <f>IF(O16="","",ROUND(O16*Steuerungsdaten!$B$4*IFERROR(VLOOKUP(C16,Steuerungsdaten!$A$12:$B$33,2,FALSE),1),0))</f>
        <v>85</v>
      </c>
      <c r="H16" s="191">
        <f>IF(P16="","",ROUND(P16*Steuerungsdaten!$B$4*IFERROR(VLOOKUP(C16,Steuerungsdaten!$A$12:$D$33,4,FALSE),1),0))</f>
        <v>199</v>
      </c>
      <c r="I16" s="191">
        <f>IF(Q16="","",ROUND(Q16*Steuerungsdaten!$B$4*IFERROR(VLOOKUP(C16,Steuerungsdaten!$A$12:$F$33,6,FALSE),1),0))</f>
        <v>248</v>
      </c>
      <c r="J16" s="191">
        <f>IF(R16="","",ROUND(R16*Steuerungsdaten!$B$4*IFERROR(VLOOKUP(C16,Steuerungsdaten!$A$12:$H$33,8,FALSE),1),0))</f>
        <v>224</v>
      </c>
      <c r="K16" s="191">
        <f>IF(G16="","",ROUND(G16*Steuerungsdaten!$B$5,0))</f>
        <v>98</v>
      </c>
      <c r="L16" s="191">
        <f>IF(H16="","",ROUND(H16*Steuerungsdaten!$B$5,0))</f>
        <v>229</v>
      </c>
      <c r="M16" s="191">
        <f>IF(I16="","",ROUND(I16*Steuerungsdaten!$B$5,0))</f>
        <v>285</v>
      </c>
      <c r="N16" s="192">
        <f>IF(J16="","",ROUND(J16*Steuerungsdaten!$B$5,0))</f>
        <v>258</v>
      </c>
      <c r="O16" s="193">
        <v>113</v>
      </c>
      <c r="P16" s="193">
        <v>302</v>
      </c>
      <c r="Q16" s="193">
        <v>272</v>
      </c>
      <c r="R16" s="193">
        <v>295</v>
      </c>
    </row>
    <row r="17" spans="1:18" x14ac:dyDescent="0.25">
      <c r="A17" s="183">
        <v>3011</v>
      </c>
      <c r="B17" s="184" t="s">
        <v>90</v>
      </c>
      <c r="C17" s="184" t="s">
        <v>91</v>
      </c>
      <c r="D17" s="184" t="s">
        <v>113</v>
      </c>
      <c r="E17" s="185">
        <v>980</v>
      </c>
      <c r="F17" s="185">
        <v>780</v>
      </c>
      <c r="G17" s="186">
        <f>IF(O17="","",ROUND(O17*Steuerungsdaten!$B$4*IFERROR(VLOOKUP(C17,Steuerungsdaten!$A$12:$B$33,2,FALSE),1),0))</f>
        <v>104</v>
      </c>
      <c r="H17" s="186">
        <f>IF(P17="","",ROUND(P17*Steuerungsdaten!$B$4*IFERROR(VLOOKUP(C17,Steuerungsdaten!$A$12:$D$33,4,FALSE),1),0))</f>
        <v>275</v>
      </c>
      <c r="I17" s="186">
        <f>IF(Q17="","",ROUND(Q17*Steuerungsdaten!$B$4*IFERROR(VLOOKUP(C17,Steuerungsdaten!$A$12:$F$33,6,FALSE),1),0))</f>
        <v>197</v>
      </c>
      <c r="J17" s="186">
        <f>IF(R17="","",ROUND(R17*Steuerungsdaten!$B$4*IFERROR(VLOOKUP(C17,Steuerungsdaten!$A$12:$H$33,8,FALSE),1),0))</f>
        <v>309</v>
      </c>
      <c r="K17" s="186">
        <f>IF(G17="","",ROUND(G17*Steuerungsdaten!$B$5,0))</f>
        <v>120</v>
      </c>
      <c r="L17" s="186">
        <f>IF(H17="","",ROUND(H17*Steuerungsdaten!$B$5,0))</f>
        <v>316</v>
      </c>
      <c r="M17" s="186">
        <f>IF(I17="","",ROUND(I17*Steuerungsdaten!$B$5,0))</f>
        <v>227</v>
      </c>
      <c r="N17" s="187">
        <f>IF(J17="","",ROUND(J17*Steuerungsdaten!$B$5,0))</f>
        <v>355</v>
      </c>
      <c r="O17" s="193">
        <v>139</v>
      </c>
      <c r="P17" s="193">
        <v>416</v>
      </c>
      <c r="Q17" s="193">
        <v>216</v>
      </c>
      <c r="R17" s="193">
        <v>406</v>
      </c>
    </row>
    <row r="18" spans="1:18" x14ac:dyDescent="0.25">
      <c r="A18" s="188">
        <v>3012</v>
      </c>
      <c r="B18" s="189" t="s">
        <v>90</v>
      </c>
      <c r="C18" s="189" t="s">
        <v>91</v>
      </c>
      <c r="D18" s="189" t="s">
        <v>114</v>
      </c>
      <c r="E18" s="190">
        <v>980</v>
      </c>
      <c r="F18" s="190">
        <v>980</v>
      </c>
      <c r="G18" s="191">
        <f>IF(O18="","",ROUND(O18*Steuerungsdaten!$B$4*IFERROR(VLOOKUP(C18,Steuerungsdaten!$A$12:$B$33,2,FALSE),1),0))</f>
        <v>135</v>
      </c>
      <c r="H18" s="191">
        <f>IF(P18="","",ROUND(P18*Steuerungsdaten!$B$4*IFERROR(VLOOKUP(C18,Steuerungsdaten!$A$12:$D$33,4,FALSE),1),0))</f>
        <v>327</v>
      </c>
      <c r="I18" s="191">
        <f>IF(Q18="","",ROUND(Q18*Steuerungsdaten!$B$4*IFERROR(VLOOKUP(C18,Steuerungsdaten!$A$12:$F$33,6,FALSE),1),0))</f>
        <v>234</v>
      </c>
      <c r="J18" s="191">
        <f>IF(R18="","",ROUND(R18*Steuerungsdaten!$B$4*IFERROR(VLOOKUP(C18,Steuerungsdaten!$A$12:$H$33,8,FALSE),1),0))</f>
        <v>367</v>
      </c>
      <c r="K18" s="191">
        <f>IF(G18="","",ROUND(G18*Steuerungsdaten!$B$5,0))</f>
        <v>155</v>
      </c>
      <c r="L18" s="191">
        <f>IF(H18="","",ROUND(H18*Steuerungsdaten!$B$5,0))</f>
        <v>376</v>
      </c>
      <c r="M18" s="191">
        <f>IF(I18="","",ROUND(I18*Steuerungsdaten!$B$5,0))</f>
        <v>269</v>
      </c>
      <c r="N18" s="192">
        <f>IF(J18="","",ROUND(J18*Steuerungsdaten!$B$5,0))</f>
        <v>422</v>
      </c>
      <c r="O18" s="193">
        <v>180</v>
      </c>
      <c r="P18" s="193">
        <v>496</v>
      </c>
      <c r="Q18" s="193">
        <v>257</v>
      </c>
      <c r="R18" s="193">
        <v>483</v>
      </c>
    </row>
    <row r="19" spans="1:18" x14ac:dyDescent="0.25">
      <c r="A19" s="183">
        <v>3013</v>
      </c>
      <c r="B19" s="184" t="s">
        <v>90</v>
      </c>
      <c r="C19" s="184" t="s">
        <v>91</v>
      </c>
      <c r="D19" s="184" t="s">
        <v>115</v>
      </c>
      <c r="E19" s="185">
        <v>420</v>
      </c>
      <c r="F19" s="185">
        <v>780</v>
      </c>
      <c r="G19" s="186">
        <f>IF(O19="","",ROUND(O19*Steuerungsdaten!$B$4*IFERROR(VLOOKUP(C19,Steuerungsdaten!$A$12:$B$33,2,FALSE),1),0))</f>
        <v>53</v>
      </c>
      <c r="H19" s="186">
        <f>IF(P19="","",ROUND(P19*Steuerungsdaten!$B$4*IFERROR(VLOOKUP(C19,Steuerungsdaten!$A$12:$D$33,4,FALSE),1),0))</f>
        <v>145</v>
      </c>
      <c r="I19" s="186">
        <f>IF(Q19="","",ROUND(Q19*Steuerungsdaten!$B$4*IFERROR(VLOOKUP(C19,Steuerungsdaten!$A$12:$F$33,6,FALSE),1),0))</f>
        <v>103</v>
      </c>
      <c r="J19" s="186">
        <f>IF(R19="","",ROUND(R19*Steuerungsdaten!$B$4*IFERROR(VLOOKUP(C19,Steuerungsdaten!$A$12:$H$33,8,FALSE),1),0))</f>
        <v>162</v>
      </c>
      <c r="K19" s="186">
        <f>IF(G19="","",ROUND(G19*Steuerungsdaten!$B$5,0))</f>
        <v>61</v>
      </c>
      <c r="L19" s="186">
        <f>IF(H19="","",ROUND(H19*Steuerungsdaten!$B$5,0))</f>
        <v>167</v>
      </c>
      <c r="M19" s="186">
        <f>IF(I19="","",ROUND(I19*Steuerungsdaten!$B$5,0))</f>
        <v>118</v>
      </c>
      <c r="N19" s="187">
        <f>IF(J19="","",ROUND(J19*Steuerungsdaten!$B$5,0))</f>
        <v>186</v>
      </c>
      <c r="O19" s="193">
        <v>71</v>
      </c>
      <c r="P19" s="193">
        <v>219</v>
      </c>
      <c r="Q19" s="193">
        <v>113</v>
      </c>
      <c r="R19" s="193">
        <v>213</v>
      </c>
    </row>
    <row r="20" spans="1:18" x14ac:dyDescent="0.25">
      <c r="A20" s="188">
        <v>3014</v>
      </c>
      <c r="B20" s="189" t="s">
        <v>90</v>
      </c>
      <c r="C20" s="189" t="s">
        <v>91</v>
      </c>
      <c r="D20" s="189" t="s">
        <v>116</v>
      </c>
      <c r="E20" s="190">
        <v>420</v>
      </c>
      <c r="F20" s="190">
        <v>980</v>
      </c>
      <c r="G20" s="191">
        <f>IF(O20="","",ROUND(O20*Steuerungsdaten!$B$4*IFERROR(VLOOKUP(C20,Steuerungsdaten!$A$12:$B$33,2,FALSE),1),0))</f>
        <v>66</v>
      </c>
      <c r="H20" s="191">
        <f>IF(P20="","",ROUND(P20*Steuerungsdaten!$B$4*IFERROR(VLOOKUP(C20,Steuerungsdaten!$A$12:$D$33,4,FALSE),1),0))</f>
        <v>163</v>
      </c>
      <c r="I20" s="191">
        <f>IF(Q20="","",ROUND(Q20*Steuerungsdaten!$B$4*IFERROR(VLOOKUP(C20,Steuerungsdaten!$A$12:$F$33,6,FALSE),1),0))</f>
        <v>116</v>
      </c>
      <c r="J20" s="191">
        <f>IF(R20="","",ROUND(R20*Steuerungsdaten!$B$4*IFERROR(VLOOKUP(C20,Steuerungsdaten!$A$12:$H$33,8,FALSE),1),0))</f>
        <v>183</v>
      </c>
      <c r="K20" s="191">
        <f>IF(G20="","",ROUND(G20*Steuerungsdaten!$B$5,0))</f>
        <v>76</v>
      </c>
      <c r="L20" s="191">
        <f>IF(H20="","",ROUND(H20*Steuerungsdaten!$B$5,0))</f>
        <v>187</v>
      </c>
      <c r="M20" s="191">
        <f>IF(I20="","",ROUND(I20*Steuerungsdaten!$B$5,0))</f>
        <v>133</v>
      </c>
      <c r="N20" s="192">
        <f>IF(J20="","",ROUND(J20*Steuerungsdaten!$B$5,0))</f>
        <v>210</v>
      </c>
      <c r="O20" s="193">
        <v>88</v>
      </c>
      <c r="P20" s="193">
        <v>247</v>
      </c>
      <c r="Q20" s="193">
        <v>128</v>
      </c>
      <c r="R20" s="193">
        <v>241</v>
      </c>
    </row>
    <row r="21" spans="1:18" x14ac:dyDescent="0.25">
      <c r="A21" s="183" t="s">
        <v>117</v>
      </c>
      <c r="B21" s="184" t="s">
        <v>90</v>
      </c>
      <c r="C21" s="184" t="s">
        <v>91</v>
      </c>
      <c r="D21" s="184" t="s">
        <v>118</v>
      </c>
      <c r="E21" s="185">
        <v>420</v>
      </c>
      <c r="F21" s="185">
        <v>420</v>
      </c>
      <c r="G21" s="186">
        <f>IF(O21="","",ROUND(O21*Steuerungsdaten!$B$4*IFERROR(VLOOKUP(C21,Steuerungsdaten!$A$12:$B$33,2,FALSE),1),0))</f>
        <v>42</v>
      </c>
      <c r="H21" s="186">
        <f>IF(P21="","",ROUND(P21*Steuerungsdaten!$B$4*IFERROR(VLOOKUP(C21,Steuerungsdaten!$A$12:$D$33,4,FALSE),1),0))</f>
        <v>88</v>
      </c>
      <c r="I21" s="186">
        <f>IF(Q21="","",ROUND(Q21*Steuerungsdaten!$B$4*IFERROR(VLOOKUP(C21,Steuerungsdaten!$A$12:$F$33,6,FALSE),1),0))</f>
        <v>63</v>
      </c>
      <c r="J21" s="186">
        <f>IF(R21="","",ROUND(R21*Steuerungsdaten!$B$4*IFERROR(VLOOKUP(C21,Steuerungsdaten!$A$12:$H$33,8,FALSE),1),0))</f>
        <v>99</v>
      </c>
      <c r="K21" s="186">
        <f>IF(G21="","",ROUND(G21*Steuerungsdaten!$B$5,0))</f>
        <v>48</v>
      </c>
      <c r="L21" s="186">
        <f>IF(H21="","",ROUND(H21*Steuerungsdaten!$B$5,0))</f>
        <v>101</v>
      </c>
      <c r="M21" s="186">
        <f>IF(I21="","",ROUND(I21*Steuerungsdaten!$B$5,0))</f>
        <v>72</v>
      </c>
      <c r="N21" s="187">
        <f>IF(J21="","",ROUND(J21*Steuerungsdaten!$B$5,0))</f>
        <v>114</v>
      </c>
      <c r="O21" s="193">
        <v>56</v>
      </c>
      <c r="P21" s="193">
        <v>134</v>
      </c>
      <c r="Q21" s="193">
        <v>69</v>
      </c>
      <c r="R21" s="193">
        <v>130</v>
      </c>
    </row>
    <row r="22" spans="1:18" ht="21.95" customHeight="1" x14ac:dyDescent="0.25">
      <c r="A22" s="176" t="s">
        <v>119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93"/>
      <c r="P22" s="193"/>
      <c r="Q22" s="193"/>
      <c r="R22" s="193"/>
    </row>
    <row r="23" spans="1:18" x14ac:dyDescent="0.25">
      <c r="A23" s="178">
        <v>3100</v>
      </c>
      <c r="B23" s="179" t="s">
        <v>90</v>
      </c>
      <c r="C23" s="179" t="s">
        <v>119</v>
      </c>
      <c r="D23" s="179" t="s">
        <v>120</v>
      </c>
      <c r="E23" s="180">
        <v>360</v>
      </c>
      <c r="F23" s="180">
        <v>180</v>
      </c>
      <c r="G23" s="181">
        <f>IF(O23="","",ROUND(O23*Steuerungsdaten!$B$4*IFERROR(VLOOKUP(C23,Steuerungsdaten!$A$12:$B$33,2,FALSE),1),0))</f>
        <v>26</v>
      </c>
      <c r="H23" s="181">
        <f>IF(P23="","",ROUND(P23*Steuerungsdaten!$B$4*IFERROR(VLOOKUP(C23,Steuerungsdaten!$A$12:$D$33,4,FALSE),1),0))</f>
        <v>79</v>
      </c>
      <c r="I23" s="181">
        <f>IF(Q23="","",ROUND(Q23*Steuerungsdaten!$B$4*IFERROR(VLOOKUP(C23,Steuerungsdaten!$A$12:$F$33,6,FALSE),1),0))</f>
        <v>88</v>
      </c>
      <c r="J23" s="181">
        <f>IF(R23="","",ROUND(R23*Steuerungsdaten!$B$4*IFERROR(VLOOKUP(C23,Steuerungsdaten!$A$12:$H$33,8,FALSE),1),0))</f>
        <v>161</v>
      </c>
      <c r="K23" s="181">
        <f>IF(G23="","",ROUND(G23*Steuerungsdaten!$B$5,0))</f>
        <v>30</v>
      </c>
      <c r="L23" s="181">
        <f>IF(H23="","",ROUND(H23*Steuerungsdaten!$B$5,0))</f>
        <v>91</v>
      </c>
      <c r="M23" s="181">
        <f>IF(I23="","",ROUND(I23*Steuerungsdaten!$B$5,0))</f>
        <v>101</v>
      </c>
      <c r="N23" s="182">
        <f>IF(J23="","",ROUND(J23*Steuerungsdaten!$B$5,0))</f>
        <v>185</v>
      </c>
      <c r="O23" s="193">
        <v>34</v>
      </c>
      <c r="P23" s="193">
        <v>114</v>
      </c>
      <c r="Q23" s="193">
        <v>89</v>
      </c>
      <c r="R23" s="193">
        <v>201</v>
      </c>
    </row>
    <row r="24" spans="1:18" x14ac:dyDescent="0.25">
      <c r="A24" s="183">
        <v>3101</v>
      </c>
      <c r="B24" s="184" t="s">
        <v>90</v>
      </c>
      <c r="C24" s="184" t="s">
        <v>119</v>
      </c>
      <c r="D24" s="184" t="s">
        <v>121</v>
      </c>
      <c r="E24" s="185">
        <v>360</v>
      </c>
      <c r="F24" s="185">
        <v>360</v>
      </c>
      <c r="G24" s="186">
        <f>IF(O24="","",ROUND(O24*Steuerungsdaten!$B$4*IFERROR(VLOOKUP(C24,Steuerungsdaten!$A$12:$B$33,2,FALSE),1),0))</f>
        <v>26</v>
      </c>
      <c r="H24" s="186">
        <f>IF(P24="","",ROUND(P24*Steuerungsdaten!$B$4*IFERROR(VLOOKUP(C24,Steuerungsdaten!$A$12:$D$33,4,FALSE),1),0))</f>
        <v>79</v>
      </c>
      <c r="I24" s="186">
        <f>IF(Q24="","",ROUND(Q24*Steuerungsdaten!$B$4*IFERROR(VLOOKUP(C24,Steuerungsdaten!$A$12:$F$33,6,FALSE),1),0))</f>
        <v>88</v>
      </c>
      <c r="J24" s="186">
        <f>IF(R24="","",ROUND(R24*Steuerungsdaten!$B$4*IFERROR(VLOOKUP(C24,Steuerungsdaten!$A$12:$H$33,8,FALSE),1),0))</f>
        <v>142</v>
      </c>
      <c r="K24" s="186">
        <f>IF(G24="","",ROUND(G24*Steuerungsdaten!$B$5,0))</f>
        <v>30</v>
      </c>
      <c r="L24" s="186">
        <f>IF(H24="","",ROUND(H24*Steuerungsdaten!$B$5,0))</f>
        <v>91</v>
      </c>
      <c r="M24" s="186">
        <f>IF(I24="","",ROUND(I24*Steuerungsdaten!$B$5,0))</f>
        <v>101</v>
      </c>
      <c r="N24" s="187">
        <f>IF(J24="","",ROUND(J24*Steuerungsdaten!$B$5,0))</f>
        <v>163</v>
      </c>
      <c r="O24" s="193">
        <v>34</v>
      </c>
      <c r="P24" s="193">
        <v>114</v>
      </c>
      <c r="Q24" s="193">
        <v>89</v>
      </c>
      <c r="R24" s="193">
        <v>177</v>
      </c>
    </row>
    <row r="25" spans="1:18" x14ac:dyDescent="0.25">
      <c r="A25" s="188">
        <v>3102</v>
      </c>
      <c r="B25" s="189" t="s">
        <v>90</v>
      </c>
      <c r="C25" s="189" t="s">
        <v>119</v>
      </c>
      <c r="D25" s="189" t="s">
        <v>122</v>
      </c>
      <c r="E25" s="190">
        <v>360</v>
      </c>
      <c r="F25" s="190">
        <v>720</v>
      </c>
      <c r="G25" s="191">
        <f>IF(O25="","",ROUND(O25*Steuerungsdaten!$B$4*IFERROR(VLOOKUP(C25,Steuerungsdaten!$A$12:$B$33,2,FALSE),1),0))</f>
        <v>39</v>
      </c>
      <c r="H25" s="191">
        <f>IF(P25="","",ROUND(P25*Steuerungsdaten!$B$4*IFERROR(VLOOKUP(C25,Steuerungsdaten!$A$12:$D$33,4,FALSE),1),0))</f>
        <v>125</v>
      </c>
      <c r="I25" s="191">
        <f>IF(Q25="","",ROUND(Q25*Steuerungsdaten!$B$4*IFERROR(VLOOKUP(C25,Steuerungsdaten!$A$12:$F$33,6,FALSE),1),0))</f>
        <v>142</v>
      </c>
      <c r="J25" s="191">
        <f>IF(R25="","",ROUND(R25*Steuerungsdaten!$B$4*IFERROR(VLOOKUP(C25,Steuerungsdaten!$A$12:$H$33,8,FALSE),1),0))</f>
        <v>170</v>
      </c>
      <c r="K25" s="191">
        <f>IF(G25="","",ROUND(G25*Steuerungsdaten!$B$5,0))</f>
        <v>45</v>
      </c>
      <c r="L25" s="191">
        <f>IF(H25="","",ROUND(H25*Steuerungsdaten!$B$5,0))</f>
        <v>144</v>
      </c>
      <c r="M25" s="191">
        <f>IF(I25="","",ROUND(I25*Steuerungsdaten!$B$5,0))</f>
        <v>163</v>
      </c>
      <c r="N25" s="192">
        <f>IF(J25="","",ROUND(J25*Steuerungsdaten!$B$5,0))</f>
        <v>196</v>
      </c>
      <c r="O25" s="193">
        <v>52</v>
      </c>
      <c r="P25" s="193">
        <v>181</v>
      </c>
      <c r="Q25" s="193">
        <v>143</v>
      </c>
      <c r="R25" s="193">
        <v>212</v>
      </c>
    </row>
    <row r="26" spans="1:18" x14ac:dyDescent="0.25">
      <c r="A26" s="183">
        <v>3103</v>
      </c>
      <c r="B26" s="184" t="s">
        <v>90</v>
      </c>
      <c r="C26" s="184" t="s">
        <v>119</v>
      </c>
      <c r="D26" s="184" t="s">
        <v>123</v>
      </c>
      <c r="E26" s="185">
        <v>360</v>
      </c>
      <c r="F26" s="185">
        <v>1080</v>
      </c>
      <c r="G26" s="186">
        <f>IF(O26="","",ROUND(O26*Steuerungsdaten!$B$4*IFERROR(VLOOKUP(C26,Steuerungsdaten!$A$12:$B$33,2,FALSE),1),0))</f>
        <v>57</v>
      </c>
      <c r="H26" s="186">
        <f>IF(P26="","",ROUND(P26*Steuerungsdaten!$B$4*IFERROR(VLOOKUP(C26,Steuerungsdaten!$A$12:$D$33,4,FALSE),1),0))</f>
        <v>184</v>
      </c>
      <c r="I26" s="186">
        <f>IF(Q26="","",ROUND(Q26*Steuerungsdaten!$B$4*IFERROR(VLOOKUP(C26,Steuerungsdaten!$A$12:$F$33,6,FALSE),1),0))</f>
        <v>220</v>
      </c>
      <c r="J26" s="186">
        <f>IF(R26="","",ROUND(R26*Steuerungsdaten!$B$4*IFERROR(VLOOKUP(C26,Steuerungsdaten!$A$12:$H$33,8,FALSE),1),0))</f>
        <v>192</v>
      </c>
      <c r="K26" s="186">
        <f>IF(G26="","",ROUND(G26*Steuerungsdaten!$B$5,0))</f>
        <v>66</v>
      </c>
      <c r="L26" s="186">
        <f>IF(H26="","",ROUND(H26*Steuerungsdaten!$B$5,0))</f>
        <v>212</v>
      </c>
      <c r="M26" s="186">
        <f>IF(I26="","",ROUND(I26*Steuerungsdaten!$B$5,0))</f>
        <v>253</v>
      </c>
      <c r="N26" s="187">
        <f>IF(J26="","",ROUND(J26*Steuerungsdaten!$B$5,0))</f>
        <v>221</v>
      </c>
      <c r="O26" s="193">
        <v>76</v>
      </c>
      <c r="P26" s="193">
        <v>267</v>
      </c>
      <c r="Q26" s="193">
        <v>222</v>
      </c>
      <c r="R26" s="193">
        <v>240</v>
      </c>
    </row>
    <row r="27" spans="1:18" x14ac:dyDescent="0.25">
      <c r="A27" s="188">
        <v>3104</v>
      </c>
      <c r="B27" s="189" t="s">
        <v>90</v>
      </c>
      <c r="C27" s="189" t="s">
        <v>119</v>
      </c>
      <c r="D27" s="189" t="s">
        <v>124</v>
      </c>
      <c r="E27" s="190">
        <v>360</v>
      </c>
      <c r="F27" s="190">
        <v>1440</v>
      </c>
      <c r="G27" s="191">
        <f>IF(O27="","",ROUND(O27*Steuerungsdaten!$B$4*IFERROR(VLOOKUP(C27,Steuerungsdaten!$A$12:$B$33,2,FALSE),1),0))</f>
        <v>75</v>
      </c>
      <c r="H27" s="191">
        <f>IF(P27="","",ROUND(P27*Steuerungsdaten!$B$4*IFERROR(VLOOKUP(C27,Steuerungsdaten!$A$12:$D$33,4,FALSE),1),0))</f>
        <v>232</v>
      </c>
      <c r="I27" s="191">
        <f>IF(Q27="","",ROUND(Q27*Steuerungsdaten!$B$4*IFERROR(VLOOKUP(C27,Steuerungsdaten!$A$12:$F$33,6,FALSE),1),0))</f>
        <v>278</v>
      </c>
      <c r="J27" s="191">
        <f>IF(R27="","",ROUND(R27*Steuerungsdaten!$B$4*IFERROR(VLOOKUP(C27,Steuerungsdaten!$A$12:$H$33,8,FALSE),1),0))</f>
        <v>423</v>
      </c>
      <c r="K27" s="191">
        <f>IF(G27="","",ROUND(G27*Steuerungsdaten!$B$5,0))</f>
        <v>86</v>
      </c>
      <c r="L27" s="191">
        <f>IF(H27="","",ROUND(H27*Steuerungsdaten!$B$5,0))</f>
        <v>267</v>
      </c>
      <c r="M27" s="191">
        <f>IF(I27="","",ROUND(I27*Steuerungsdaten!$B$5,0))</f>
        <v>320</v>
      </c>
      <c r="N27" s="192">
        <f>IF(J27="","",ROUND(J27*Steuerungsdaten!$B$5,0))</f>
        <v>486</v>
      </c>
      <c r="O27" s="193">
        <v>100</v>
      </c>
      <c r="P27" s="193">
        <v>336</v>
      </c>
      <c r="Q27" s="193">
        <v>281</v>
      </c>
      <c r="R27" s="193">
        <v>529</v>
      </c>
    </row>
    <row r="28" spans="1:18" x14ac:dyDescent="0.25">
      <c r="A28" s="183">
        <v>3105</v>
      </c>
      <c r="B28" s="184" t="s">
        <v>90</v>
      </c>
      <c r="C28" s="184" t="s">
        <v>119</v>
      </c>
      <c r="D28" s="184" t="s">
        <v>125</v>
      </c>
      <c r="E28" s="185">
        <v>360</v>
      </c>
      <c r="F28" s="185">
        <v>1800</v>
      </c>
      <c r="G28" s="186">
        <f>IF(O28="","",ROUND(O28*Steuerungsdaten!$B$4*IFERROR(VLOOKUP(C28,Steuerungsdaten!$A$12:$B$33,2,FALSE),1),0))</f>
        <v>94</v>
      </c>
      <c r="H28" s="186">
        <f>IF(P28="","",ROUND(P28*Steuerungsdaten!$B$4*IFERROR(VLOOKUP(C28,Steuerungsdaten!$A$12:$D$33,4,FALSE),1),0))</f>
        <v>170</v>
      </c>
      <c r="I28" s="186">
        <f>IF(Q28="","",ROUND(Q28*Steuerungsdaten!$B$4*IFERROR(VLOOKUP(C28,Steuerungsdaten!$A$12:$F$33,6,FALSE),1),0))</f>
        <v>340</v>
      </c>
      <c r="J28" s="186">
        <f>IF(R28="","",ROUND(R28*Steuerungsdaten!$B$4*IFERROR(VLOOKUP(C28,Steuerungsdaten!$A$12:$H$33,8,FALSE),1),0))</f>
        <v>516</v>
      </c>
      <c r="K28" s="186">
        <f>IF(G28="","",ROUND(G28*Steuerungsdaten!$B$5,0))</f>
        <v>108</v>
      </c>
      <c r="L28" s="186">
        <f>IF(H28="","",ROUND(H28*Steuerungsdaten!$B$5,0))</f>
        <v>196</v>
      </c>
      <c r="M28" s="186">
        <f>IF(I28="","",ROUND(I28*Steuerungsdaten!$B$5,0))</f>
        <v>391</v>
      </c>
      <c r="N28" s="187">
        <f>IF(J28="","",ROUND(J28*Steuerungsdaten!$B$5,0))</f>
        <v>593</v>
      </c>
      <c r="O28" s="193">
        <v>125</v>
      </c>
      <c r="P28" s="193">
        <v>246</v>
      </c>
      <c r="Q28" s="193">
        <v>343</v>
      </c>
      <c r="R28" s="193">
        <v>645</v>
      </c>
    </row>
    <row r="29" spans="1:18" x14ac:dyDescent="0.25">
      <c r="A29" s="188">
        <v>3106</v>
      </c>
      <c r="B29" s="189" t="s">
        <v>90</v>
      </c>
      <c r="C29" s="189" t="s">
        <v>119</v>
      </c>
      <c r="D29" s="189" t="s">
        <v>126</v>
      </c>
      <c r="E29" s="190">
        <v>580</v>
      </c>
      <c r="F29" s="190">
        <v>180</v>
      </c>
      <c r="G29" s="191">
        <f>IF(O29="","",ROUND(O29*Steuerungsdaten!$B$4*IFERROR(VLOOKUP(C29,Steuerungsdaten!$A$12:$B$33,2,FALSE),1),0))</f>
        <v>32</v>
      </c>
      <c r="H29" s="191">
        <f>IF(P29="","",ROUND(P29*Steuerungsdaten!$B$4*IFERROR(VLOOKUP(C29,Steuerungsdaten!$A$12:$D$33,4,FALSE),1),0))</f>
        <v>111</v>
      </c>
      <c r="I29" s="191">
        <f>IF(Q29="","",ROUND(Q29*Steuerungsdaten!$B$4*IFERROR(VLOOKUP(C29,Steuerungsdaten!$A$12:$F$33,6,FALSE),1),0))</f>
        <v>129</v>
      </c>
      <c r="J29" s="191">
        <f>IF(R29="","",ROUND(R29*Steuerungsdaten!$B$4*IFERROR(VLOOKUP(C29,Steuerungsdaten!$A$12:$H$33,8,FALSE),1),0))</f>
        <v>166</v>
      </c>
      <c r="K29" s="191">
        <f>IF(G29="","",ROUND(G29*Steuerungsdaten!$B$5,0))</f>
        <v>37</v>
      </c>
      <c r="L29" s="191">
        <f>IF(H29="","",ROUND(H29*Steuerungsdaten!$B$5,0))</f>
        <v>128</v>
      </c>
      <c r="M29" s="191">
        <f>IF(I29="","",ROUND(I29*Steuerungsdaten!$B$5,0))</f>
        <v>148</v>
      </c>
      <c r="N29" s="192">
        <f>IF(J29="","",ROUND(J29*Steuerungsdaten!$B$5,0))</f>
        <v>191</v>
      </c>
      <c r="O29" s="193">
        <v>43</v>
      </c>
      <c r="P29" s="193">
        <v>161</v>
      </c>
      <c r="Q29" s="193">
        <v>130</v>
      </c>
      <c r="R29" s="193">
        <v>208</v>
      </c>
    </row>
    <row r="30" spans="1:18" x14ac:dyDescent="0.25">
      <c r="A30" s="183">
        <v>3107</v>
      </c>
      <c r="B30" s="184" t="s">
        <v>90</v>
      </c>
      <c r="C30" s="184" t="s">
        <v>119</v>
      </c>
      <c r="D30" s="184" t="s">
        <v>127</v>
      </c>
      <c r="E30" s="185">
        <v>580</v>
      </c>
      <c r="F30" s="185">
        <v>360</v>
      </c>
      <c r="G30" s="186">
        <f>IF(O30="","",ROUND(O30*Steuerungsdaten!$B$4*IFERROR(VLOOKUP(C30,Steuerungsdaten!$A$12:$B$33,2,FALSE),1),0))</f>
        <v>32</v>
      </c>
      <c r="H30" s="186">
        <f>IF(P30="","",ROUND(P30*Steuerungsdaten!$B$4*IFERROR(VLOOKUP(C30,Steuerungsdaten!$A$12:$D$33,4,FALSE),1),0))</f>
        <v>111</v>
      </c>
      <c r="I30" s="186">
        <f>IF(Q30="","",ROUND(Q30*Steuerungsdaten!$B$4*IFERROR(VLOOKUP(C30,Steuerungsdaten!$A$12:$F$33,6,FALSE),1),0))</f>
        <v>129</v>
      </c>
      <c r="J30" s="186">
        <f>IF(R30="","",ROUND(R30*Steuerungsdaten!$B$4*IFERROR(VLOOKUP(C30,Steuerungsdaten!$A$12:$H$33,8,FALSE),1),0))</f>
        <v>148</v>
      </c>
      <c r="K30" s="186">
        <f>IF(G30="","",ROUND(G30*Steuerungsdaten!$B$5,0))</f>
        <v>37</v>
      </c>
      <c r="L30" s="186">
        <f>IF(H30="","",ROUND(H30*Steuerungsdaten!$B$5,0))</f>
        <v>128</v>
      </c>
      <c r="M30" s="186">
        <f>IF(I30="","",ROUND(I30*Steuerungsdaten!$B$5,0))</f>
        <v>148</v>
      </c>
      <c r="N30" s="187">
        <f>IF(J30="","",ROUND(J30*Steuerungsdaten!$B$5,0))</f>
        <v>170</v>
      </c>
      <c r="O30" s="193">
        <v>43</v>
      </c>
      <c r="P30" s="193">
        <v>161</v>
      </c>
      <c r="Q30" s="193">
        <v>130</v>
      </c>
      <c r="R30" s="193">
        <v>185</v>
      </c>
    </row>
    <row r="31" spans="1:18" x14ac:dyDescent="0.25">
      <c r="A31" s="188">
        <v>3108</v>
      </c>
      <c r="B31" s="189" t="s">
        <v>90</v>
      </c>
      <c r="C31" s="189" t="s">
        <v>119</v>
      </c>
      <c r="D31" s="189" t="s">
        <v>128</v>
      </c>
      <c r="E31" s="190">
        <v>580</v>
      </c>
      <c r="F31" s="190">
        <v>720</v>
      </c>
      <c r="G31" s="191">
        <f>IF(O31="","",ROUND(O31*Steuerungsdaten!$B$4*IFERROR(VLOOKUP(C31,Steuerungsdaten!$A$12:$B$33,2,FALSE),1),0))</f>
        <v>62</v>
      </c>
      <c r="H31" s="191">
        <f>IF(P31="","",ROUND(P31*Steuerungsdaten!$B$4*IFERROR(VLOOKUP(C31,Steuerungsdaten!$A$12:$D$33,4,FALSE),1),0))</f>
        <v>181</v>
      </c>
      <c r="I31" s="191">
        <f>IF(Q31="","",ROUND(Q31*Steuerungsdaten!$B$4*IFERROR(VLOOKUP(C31,Steuerungsdaten!$A$12:$F$33,6,FALSE),1),0))</f>
        <v>214</v>
      </c>
      <c r="J31" s="191">
        <f>IF(R31="","",ROUND(R31*Steuerungsdaten!$B$4*IFERROR(VLOOKUP(C31,Steuerungsdaten!$A$12:$H$33,8,FALSE),1),0))</f>
        <v>196</v>
      </c>
      <c r="K31" s="191">
        <f>IF(G31="","",ROUND(G31*Steuerungsdaten!$B$5,0))</f>
        <v>71</v>
      </c>
      <c r="L31" s="191">
        <f>IF(H31="","",ROUND(H31*Steuerungsdaten!$B$5,0))</f>
        <v>208</v>
      </c>
      <c r="M31" s="191">
        <f>IF(I31="","",ROUND(I31*Steuerungsdaten!$B$5,0))</f>
        <v>246</v>
      </c>
      <c r="N31" s="192">
        <f>IF(J31="","",ROUND(J31*Steuerungsdaten!$B$5,0))</f>
        <v>225</v>
      </c>
      <c r="O31" s="193">
        <v>82</v>
      </c>
      <c r="P31" s="193">
        <v>262</v>
      </c>
      <c r="Q31" s="193">
        <v>216</v>
      </c>
      <c r="R31" s="193">
        <v>245</v>
      </c>
    </row>
    <row r="32" spans="1:18" x14ac:dyDescent="0.25">
      <c r="A32" s="183">
        <v>3109</v>
      </c>
      <c r="B32" s="184" t="s">
        <v>90</v>
      </c>
      <c r="C32" s="184" t="s">
        <v>119</v>
      </c>
      <c r="D32" s="184" t="s">
        <v>129</v>
      </c>
      <c r="E32" s="185">
        <v>580</v>
      </c>
      <c r="F32" s="185">
        <v>1080</v>
      </c>
      <c r="G32" s="186">
        <f>IF(O32="","",ROUND(O32*Steuerungsdaten!$B$4*IFERROR(VLOOKUP(C32,Steuerungsdaten!$A$12:$B$33,2,FALSE),1),0))</f>
        <v>89</v>
      </c>
      <c r="H32" s="186">
        <f>IF(P32="","",ROUND(P32*Steuerungsdaten!$B$4*IFERROR(VLOOKUP(C32,Steuerungsdaten!$A$12:$D$33,4,FALSE),1),0))</f>
        <v>260</v>
      </c>
      <c r="I32" s="186">
        <f>IF(Q32="","",ROUND(Q32*Steuerungsdaten!$B$4*IFERROR(VLOOKUP(C32,Steuerungsdaten!$A$12:$F$33,6,FALSE),1),0))</f>
        <v>297</v>
      </c>
      <c r="J32" s="186">
        <f>IF(R32="","",ROUND(R32*Steuerungsdaten!$B$4*IFERROR(VLOOKUP(C32,Steuerungsdaten!$A$12:$H$33,8,FALSE),1),0))</f>
        <v>246</v>
      </c>
      <c r="K32" s="186">
        <f>IF(G32="","",ROUND(G32*Steuerungsdaten!$B$5,0))</f>
        <v>102</v>
      </c>
      <c r="L32" s="186">
        <f>IF(H32="","",ROUND(H32*Steuerungsdaten!$B$5,0))</f>
        <v>299</v>
      </c>
      <c r="M32" s="186">
        <f>IF(I32="","",ROUND(I32*Steuerungsdaten!$B$5,0))</f>
        <v>342</v>
      </c>
      <c r="N32" s="187">
        <f>IF(J32="","",ROUND(J32*Steuerungsdaten!$B$5,0))</f>
        <v>283</v>
      </c>
      <c r="O32" s="193">
        <v>119</v>
      </c>
      <c r="P32" s="193">
        <v>377</v>
      </c>
      <c r="Q32" s="193">
        <v>300</v>
      </c>
      <c r="R32" s="193">
        <v>307</v>
      </c>
    </row>
    <row r="33" spans="1:18" x14ac:dyDescent="0.25">
      <c r="A33" s="188">
        <v>3110</v>
      </c>
      <c r="B33" s="189" t="s">
        <v>90</v>
      </c>
      <c r="C33" s="189" t="s">
        <v>119</v>
      </c>
      <c r="D33" s="189" t="s">
        <v>130</v>
      </c>
      <c r="E33" s="190">
        <v>580</v>
      </c>
      <c r="F33" s="190">
        <v>1440</v>
      </c>
      <c r="G33" s="191">
        <f>IF(O33="","",ROUND(O33*Steuerungsdaten!$B$4*IFERROR(VLOOKUP(C33,Steuerungsdaten!$A$12:$B$33,2,FALSE),1),0))</f>
        <v>119</v>
      </c>
      <c r="H33" s="191">
        <f>IF(P33="","",ROUND(P33*Steuerungsdaten!$B$4*IFERROR(VLOOKUP(C33,Steuerungsdaten!$A$12:$D$33,4,FALSE),1),0))</f>
        <v>334</v>
      </c>
      <c r="I33" s="191">
        <f>IF(Q33="","",ROUND(Q33*Steuerungsdaten!$B$4*IFERROR(VLOOKUP(C33,Steuerungsdaten!$A$12:$F$33,6,FALSE),1),0))</f>
        <v>396</v>
      </c>
      <c r="J33" s="191">
        <f>IF(R33="","",ROUND(R33*Steuerungsdaten!$B$4*IFERROR(VLOOKUP(C33,Steuerungsdaten!$A$12:$H$33,8,FALSE),1),0))</f>
        <v>602</v>
      </c>
      <c r="K33" s="191">
        <f>IF(G33="","",ROUND(G33*Steuerungsdaten!$B$5,0))</f>
        <v>137</v>
      </c>
      <c r="L33" s="191">
        <f>IF(H33="","",ROUND(H33*Steuerungsdaten!$B$5,0))</f>
        <v>384</v>
      </c>
      <c r="M33" s="191">
        <f>IF(I33="","",ROUND(I33*Steuerungsdaten!$B$5,0))</f>
        <v>455</v>
      </c>
      <c r="N33" s="192">
        <f>IF(J33="","",ROUND(J33*Steuerungsdaten!$B$5,0))</f>
        <v>692</v>
      </c>
      <c r="O33" s="193">
        <v>158</v>
      </c>
      <c r="P33" s="193">
        <v>484</v>
      </c>
      <c r="Q33" s="193">
        <v>400</v>
      </c>
      <c r="R33" s="193">
        <v>752</v>
      </c>
    </row>
    <row r="34" spans="1:18" x14ac:dyDescent="0.25">
      <c r="A34" s="183">
        <v>3111</v>
      </c>
      <c r="B34" s="184" t="s">
        <v>90</v>
      </c>
      <c r="C34" s="184" t="s">
        <v>119</v>
      </c>
      <c r="D34" s="184" t="s">
        <v>131</v>
      </c>
      <c r="E34" s="185">
        <v>580</v>
      </c>
      <c r="F34" s="185">
        <v>1800</v>
      </c>
      <c r="G34" s="186">
        <f>IF(O34="","",ROUND(O34*Steuerungsdaten!$B$4*IFERROR(VLOOKUP(C34,Steuerungsdaten!$A$12:$B$33,2,FALSE),1),0))</f>
        <v>148</v>
      </c>
      <c r="H34" s="186">
        <f>IF(P34="","",ROUND(P34*Steuerungsdaten!$B$4*IFERROR(VLOOKUP(C34,Steuerungsdaten!$A$12:$D$33,4,FALSE),1),0))</f>
        <v>268</v>
      </c>
      <c r="I34" s="186">
        <f>IF(Q34="","",ROUND(Q34*Steuerungsdaten!$B$4*IFERROR(VLOOKUP(C34,Steuerungsdaten!$A$12:$F$33,6,FALSE),1),0))</f>
        <v>462</v>
      </c>
      <c r="J34" s="186">
        <f>IF(R34="","",ROUND(R34*Steuerungsdaten!$B$4*IFERROR(VLOOKUP(C34,Steuerungsdaten!$A$12:$H$33,8,FALSE),1),0))</f>
        <v>703</v>
      </c>
      <c r="K34" s="186">
        <f>IF(G34="","",ROUND(G34*Steuerungsdaten!$B$5,0))</f>
        <v>170</v>
      </c>
      <c r="L34" s="186">
        <f>IF(H34="","",ROUND(H34*Steuerungsdaten!$B$5,0))</f>
        <v>308</v>
      </c>
      <c r="M34" s="186">
        <f>IF(I34="","",ROUND(I34*Steuerungsdaten!$B$5,0))</f>
        <v>531</v>
      </c>
      <c r="N34" s="187">
        <f>IF(J34="","",ROUND(J34*Steuerungsdaten!$B$5,0))</f>
        <v>808</v>
      </c>
      <c r="O34" s="193">
        <v>197</v>
      </c>
      <c r="P34" s="193">
        <v>388</v>
      </c>
      <c r="Q34" s="193">
        <v>467</v>
      </c>
      <c r="R34" s="193">
        <v>879</v>
      </c>
    </row>
    <row r="35" spans="1:18" x14ac:dyDescent="0.25">
      <c r="A35" s="188">
        <v>3112</v>
      </c>
      <c r="B35" s="189" t="s">
        <v>90</v>
      </c>
      <c r="C35" s="189" t="s">
        <v>119</v>
      </c>
      <c r="D35" s="189" t="s">
        <v>132</v>
      </c>
      <c r="E35" s="190">
        <v>180</v>
      </c>
      <c r="F35" s="190">
        <v>780</v>
      </c>
      <c r="G35" s="191">
        <f>IF(O35="","",ROUND(O35*Steuerungsdaten!$B$4*IFERROR(VLOOKUP(C35,Steuerungsdaten!$A$12:$B$33,2,FALSE),1),0))</f>
        <v>42</v>
      </c>
      <c r="H35" s="191">
        <f>IF(P35="","",ROUND(P35*Steuerungsdaten!$B$4*IFERROR(VLOOKUP(C35,Steuerungsdaten!$A$12:$D$33,4,FALSE),1),0))</f>
        <v>128</v>
      </c>
      <c r="I35" s="191">
        <f>IF(Q35="","",ROUND(Q35*Steuerungsdaten!$B$4*IFERROR(VLOOKUP(C35,Steuerungsdaten!$A$12:$F$33,6,FALSE),1),0))</f>
        <v>143</v>
      </c>
      <c r="J35" s="191">
        <f>IF(R35="","",ROUND(R35*Steuerungsdaten!$B$4*IFERROR(VLOOKUP(C35,Steuerungsdaten!$A$12:$H$33,8,FALSE),1),0))</f>
        <v>170</v>
      </c>
      <c r="K35" s="191">
        <f>IF(G35="","",ROUND(G35*Steuerungsdaten!$B$5,0))</f>
        <v>48</v>
      </c>
      <c r="L35" s="191">
        <f>IF(H35="","",ROUND(H35*Steuerungsdaten!$B$5,0))</f>
        <v>147</v>
      </c>
      <c r="M35" s="191">
        <f>IF(I35="","",ROUND(I35*Steuerungsdaten!$B$5,0))</f>
        <v>164</v>
      </c>
      <c r="N35" s="192">
        <f>IF(J35="","",ROUND(J35*Steuerungsdaten!$B$5,0))</f>
        <v>196</v>
      </c>
      <c r="O35" s="193">
        <v>56</v>
      </c>
      <c r="P35" s="193">
        <v>185</v>
      </c>
      <c r="Q35" s="193">
        <v>144</v>
      </c>
      <c r="R35" s="193">
        <v>212</v>
      </c>
    </row>
    <row r="36" spans="1:18" x14ac:dyDescent="0.25">
      <c r="A36" s="183">
        <v>3113</v>
      </c>
      <c r="B36" s="184" t="s">
        <v>90</v>
      </c>
      <c r="C36" s="184" t="s">
        <v>119</v>
      </c>
      <c r="D36" s="184" t="s">
        <v>133</v>
      </c>
      <c r="E36" s="185">
        <v>180</v>
      </c>
      <c r="F36" s="185">
        <v>980</v>
      </c>
      <c r="G36" s="186">
        <f>IF(O36="","",ROUND(O36*Steuerungsdaten!$B$4*IFERROR(VLOOKUP(C36,Steuerungsdaten!$A$12:$B$33,2,FALSE),1),0))</f>
        <v>53</v>
      </c>
      <c r="H36" s="186">
        <f>IF(P36="","",ROUND(P36*Steuerungsdaten!$B$4*IFERROR(VLOOKUP(C36,Steuerungsdaten!$A$12:$D$33,4,FALSE),1),0))</f>
        <v>154</v>
      </c>
      <c r="I36" s="186">
        <f>IF(Q36="","",ROUND(Q36*Steuerungsdaten!$B$4*IFERROR(VLOOKUP(C36,Steuerungsdaten!$A$12:$F$33,6,FALSE),1),0))</f>
        <v>172</v>
      </c>
      <c r="J36" s="186">
        <f>IF(R36="","",ROUND(R36*Steuerungsdaten!$B$4*IFERROR(VLOOKUP(C36,Steuerungsdaten!$A$12:$H$33,8,FALSE),1),0))</f>
        <v>183</v>
      </c>
      <c r="K36" s="186">
        <f>IF(G36="","",ROUND(G36*Steuerungsdaten!$B$5,0))</f>
        <v>61</v>
      </c>
      <c r="L36" s="186">
        <f>IF(H36="","",ROUND(H36*Steuerungsdaten!$B$5,0))</f>
        <v>177</v>
      </c>
      <c r="M36" s="186">
        <f>IF(I36="","",ROUND(I36*Steuerungsdaten!$B$5,0))</f>
        <v>198</v>
      </c>
      <c r="N36" s="187">
        <f>IF(J36="","",ROUND(J36*Steuerungsdaten!$B$5,0))</f>
        <v>210</v>
      </c>
      <c r="O36" s="193">
        <v>70</v>
      </c>
      <c r="P36" s="193">
        <v>223</v>
      </c>
      <c r="Q36" s="193">
        <v>174</v>
      </c>
      <c r="R36" s="193">
        <v>229</v>
      </c>
    </row>
    <row r="37" spans="1:18" x14ac:dyDescent="0.25">
      <c r="A37" s="188">
        <v>3114</v>
      </c>
      <c r="B37" s="189" t="s">
        <v>90</v>
      </c>
      <c r="C37" s="189" t="s">
        <v>119</v>
      </c>
      <c r="D37" s="189" t="s">
        <v>134</v>
      </c>
      <c r="E37" s="190">
        <v>360</v>
      </c>
      <c r="F37" s="190">
        <v>780</v>
      </c>
      <c r="G37" s="191">
        <f>IF(O37="","",ROUND(O37*Steuerungsdaten!$B$4*IFERROR(VLOOKUP(C37,Steuerungsdaten!$A$12:$B$33,2,FALSE),1),0))</f>
        <v>42</v>
      </c>
      <c r="H37" s="191">
        <f>IF(P37="","",ROUND(P37*Steuerungsdaten!$B$4*IFERROR(VLOOKUP(C37,Steuerungsdaten!$A$12:$D$33,4,FALSE),1),0))</f>
        <v>128</v>
      </c>
      <c r="I37" s="191">
        <f>IF(Q37="","",ROUND(Q37*Steuerungsdaten!$B$4*IFERROR(VLOOKUP(C37,Steuerungsdaten!$A$12:$F$33,6,FALSE),1),0))</f>
        <v>143</v>
      </c>
      <c r="J37" s="191">
        <f>IF(R37="","",ROUND(R37*Steuerungsdaten!$B$4*IFERROR(VLOOKUP(C37,Steuerungsdaten!$A$12:$H$33,8,FALSE),1),0))</f>
        <v>152</v>
      </c>
      <c r="K37" s="191">
        <f>IF(G37="","",ROUND(G37*Steuerungsdaten!$B$5,0))</f>
        <v>48</v>
      </c>
      <c r="L37" s="191">
        <f>IF(H37="","",ROUND(H37*Steuerungsdaten!$B$5,0))</f>
        <v>147</v>
      </c>
      <c r="M37" s="191">
        <f>IF(I37="","",ROUND(I37*Steuerungsdaten!$B$5,0))</f>
        <v>164</v>
      </c>
      <c r="N37" s="192">
        <f>IF(J37="","",ROUND(J37*Steuerungsdaten!$B$5,0))</f>
        <v>175</v>
      </c>
      <c r="O37" s="193">
        <v>56</v>
      </c>
      <c r="P37" s="193">
        <v>185</v>
      </c>
      <c r="Q37" s="193">
        <v>144</v>
      </c>
      <c r="R37" s="193">
        <v>190</v>
      </c>
    </row>
    <row r="38" spans="1:18" x14ac:dyDescent="0.25">
      <c r="A38" s="183">
        <v>3115</v>
      </c>
      <c r="B38" s="184" t="s">
        <v>90</v>
      </c>
      <c r="C38" s="184" t="s">
        <v>119</v>
      </c>
      <c r="D38" s="184" t="s">
        <v>135</v>
      </c>
      <c r="E38" s="185">
        <v>360</v>
      </c>
      <c r="F38" s="185">
        <v>980</v>
      </c>
      <c r="G38" s="186">
        <f>IF(O38="","",ROUND(O38*Steuerungsdaten!$B$4*IFERROR(VLOOKUP(C38,Steuerungsdaten!$A$12:$B$33,2,FALSE),1),0))</f>
        <v>53</v>
      </c>
      <c r="H38" s="186">
        <f>IF(P38="","",ROUND(P38*Steuerungsdaten!$B$4*IFERROR(VLOOKUP(C38,Steuerungsdaten!$A$12:$D$33,4,FALSE),1),0))</f>
        <v>154</v>
      </c>
      <c r="I38" s="186">
        <f>IF(Q38="","",ROUND(Q38*Steuerungsdaten!$B$4*IFERROR(VLOOKUP(C38,Steuerungsdaten!$A$12:$F$33,6,FALSE),1),0))</f>
        <v>172</v>
      </c>
      <c r="J38" s="186">
        <f>IF(R38="","",ROUND(R38*Steuerungsdaten!$B$4*IFERROR(VLOOKUP(C38,Steuerungsdaten!$A$12:$H$33,8,FALSE),1),0))</f>
        <v>167</v>
      </c>
      <c r="K38" s="186">
        <f>IF(G38="","",ROUND(G38*Steuerungsdaten!$B$5,0))</f>
        <v>61</v>
      </c>
      <c r="L38" s="186">
        <f>IF(H38="","",ROUND(H38*Steuerungsdaten!$B$5,0))</f>
        <v>177</v>
      </c>
      <c r="M38" s="186">
        <f>IF(I38="","",ROUND(I38*Steuerungsdaten!$B$5,0))</f>
        <v>198</v>
      </c>
      <c r="N38" s="187">
        <f>IF(J38="","",ROUND(J38*Steuerungsdaten!$B$5,0))</f>
        <v>192</v>
      </c>
      <c r="O38" s="193">
        <v>70</v>
      </c>
      <c r="P38" s="193">
        <v>223</v>
      </c>
      <c r="Q38" s="193">
        <v>174</v>
      </c>
      <c r="R38" s="193">
        <v>209</v>
      </c>
    </row>
    <row r="39" spans="1:18" x14ac:dyDescent="0.25">
      <c r="A39" s="188">
        <v>3116</v>
      </c>
      <c r="B39" s="189" t="s">
        <v>90</v>
      </c>
      <c r="C39" s="189" t="s">
        <v>119</v>
      </c>
      <c r="D39" s="189" t="s">
        <v>136</v>
      </c>
      <c r="E39" s="190">
        <v>720</v>
      </c>
      <c r="F39" s="190">
        <v>780</v>
      </c>
      <c r="G39" s="191">
        <f>IF(O39="","",ROUND(O39*Steuerungsdaten!$B$4*IFERROR(VLOOKUP(C39,Steuerungsdaten!$A$12:$B$33,2,FALSE),1),0))</f>
        <v>80</v>
      </c>
      <c r="H39" s="191">
        <f>IF(P39="","",ROUND(P39*Steuerungsdaten!$B$4*IFERROR(VLOOKUP(C39,Steuerungsdaten!$A$12:$D$33,4,FALSE),1),0))</f>
        <v>245</v>
      </c>
      <c r="I39" s="191">
        <f>IF(Q39="","",ROUND(Q39*Steuerungsdaten!$B$4*IFERROR(VLOOKUP(C39,Steuerungsdaten!$A$12:$F$33,6,FALSE),1),0))</f>
        <v>274</v>
      </c>
      <c r="J39" s="191">
        <f>IF(R39="","",ROUND(R39*Steuerungsdaten!$B$4*IFERROR(VLOOKUP(C39,Steuerungsdaten!$A$12:$H$33,8,FALSE),1),0))</f>
        <v>214</v>
      </c>
      <c r="K39" s="191">
        <f>IF(G39="","",ROUND(G39*Steuerungsdaten!$B$5,0))</f>
        <v>92</v>
      </c>
      <c r="L39" s="191">
        <f>IF(H39="","",ROUND(H39*Steuerungsdaten!$B$5,0))</f>
        <v>282</v>
      </c>
      <c r="M39" s="191">
        <f>IF(I39="","",ROUND(I39*Steuerungsdaten!$B$5,0))</f>
        <v>315</v>
      </c>
      <c r="N39" s="192">
        <f>IF(J39="","",ROUND(J39*Steuerungsdaten!$B$5,0))</f>
        <v>246</v>
      </c>
      <c r="O39" s="193">
        <v>107</v>
      </c>
      <c r="P39" s="193">
        <v>355</v>
      </c>
      <c r="Q39" s="193">
        <v>277</v>
      </c>
      <c r="R39" s="193">
        <v>268</v>
      </c>
    </row>
    <row r="40" spans="1:18" x14ac:dyDescent="0.25">
      <c r="A40" s="183">
        <v>3117</v>
      </c>
      <c r="B40" s="184" t="s">
        <v>90</v>
      </c>
      <c r="C40" s="184" t="s">
        <v>119</v>
      </c>
      <c r="D40" s="184" t="s">
        <v>137</v>
      </c>
      <c r="E40" s="185">
        <v>720</v>
      </c>
      <c r="F40" s="185">
        <v>980</v>
      </c>
      <c r="G40" s="186">
        <f>IF(O40="","",ROUND(O40*Steuerungsdaten!$B$4*IFERROR(VLOOKUP(C40,Steuerungsdaten!$A$12:$B$33,2,FALSE),1),0))</f>
        <v>101</v>
      </c>
      <c r="H40" s="186">
        <f>IF(P40="","",ROUND(P40*Steuerungsdaten!$B$4*IFERROR(VLOOKUP(C40,Steuerungsdaten!$A$12:$D$33,4,FALSE),1),0))</f>
        <v>280</v>
      </c>
      <c r="I40" s="186">
        <f>IF(Q40="","",ROUND(Q40*Steuerungsdaten!$B$4*IFERROR(VLOOKUP(C40,Steuerungsdaten!$A$12:$F$33,6,FALSE),1),0))</f>
        <v>317</v>
      </c>
      <c r="J40" s="186">
        <f>IF(R40="","",ROUND(R40*Steuerungsdaten!$B$4*IFERROR(VLOOKUP(C40,Steuerungsdaten!$A$12:$H$33,8,FALSE),1),0))</f>
        <v>263</v>
      </c>
      <c r="K40" s="186">
        <f>IF(G40="","",ROUND(G40*Steuerungsdaten!$B$5,0))</f>
        <v>116</v>
      </c>
      <c r="L40" s="186">
        <f>IF(H40="","",ROUND(H40*Steuerungsdaten!$B$5,0))</f>
        <v>322</v>
      </c>
      <c r="M40" s="186">
        <f>IF(I40="","",ROUND(I40*Steuerungsdaten!$B$5,0))</f>
        <v>365</v>
      </c>
      <c r="N40" s="187">
        <f>IF(J40="","",ROUND(J40*Steuerungsdaten!$B$5,0))</f>
        <v>302</v>
      </c>
      <c r="O40" s="193">
        <v>134</v>
      </c>
      <c r="P40" s="193">
        <v>406</v>
      </c>
      <c r="Q40" s="193">
        <v>320</v>
      </c>
      <c r="R40" s="193">
        <v>329</v>
      </c>
    </row>
    <row r="41" spans="1:18" x14ac:dyDescent="0.25">
      <c r="A41" s="188">
        <v>3118</v>
      </c>
      <c r="B41" s="189" t="s">
        <v>90</v>
      </c>
      <c r="C41" s="189" t="s">
        <v>119</v>
      </c>
      <c r="D41" s="189" t="s">
        <v>138</v>
      </c>
      <c r="E41" s="190">
        <v>1080</v>
      </c>
      <c r="F41" s="190">
        <v>780</v>
      </c>
      <c r="G41" s="191">
        <f>IF(O41="","",ROUND(O41*Steuerungsdaten!$B$4*IFERROR(VLOOKUP(C41,Steuerungsdaten!$A$12:$B$33,2,FALSE),1),0))</f>
        <v>121</v>
      </c>
      <c r="H41" s="191">
        <f>IF(P41="","",ROUND(P41*Steuerungsdaten!$B$4*IFERROR(VLOOKUP(C41,Steuerungsdaten!$A$12:$D$33,4,FALSE),1),0))</f>
        <v>357</v>
      </c>
      <c r="I41" s="191">
        <f>IF(Q41="","",ROUND(Q41*Steuerungsdaten!$B$4*IFERROR(VLOOKUP(C41,Steuerungsdaten!$A$12:$F$33,6,FALSE),1),0))</f>
        <v>405</v>
      </c>
      <c r="J41" s="191">
        <f>IF(R41="","",ROUND(R41*Steuerungsdaten!$B$4*IFERROR(VLOOKUP(C41,Steuerungsdaten!$A$12:$H$33,8,FALSE),1),0))</f>
        <v>308</v>
      </c>
      <c r="K41" s="191">
        <f>IF(G41="","",ROUND(G41*Steuerungsdaten!$B$5,0))</f>
        <v>139</v>
      </c>
      <c r="L41" s="191">
        <f>IF(H41="","",ROUND(H41*Steuerungsdaten!$B$5,0))</f>
        <v>411</v>
      </c>
      <c r="M41" s="191">
        <f>IF(I41="","",ROUND(I41*Steuerungsdaten!$B$5,0))</f>
        <v>466</v>
      </c>
      <c r="N41" s="192">
        <f>IF(J41="","",ROUND(J41*Steuerungsdaten!$B$5,0))</f>
        <v>354</v>
      </c>
      <c r="O41" s="193">
        <v>161</v>
      </c>
      <c r="P41" s="193">
        <v>517</v>
      </c>
      <c r="Q41" s="193">
        <v>409</v>
      </c>
      <c r="R41" s="193">
        <v>385</v>
      </c>
    </row>
    <row r="42" spans="1:18" x14ac:dyDescent="0.25">
      <c r="A42" s="183">
        <v>3119</v>
      </c>
      <c r="B42" s="184" t="s">
        <v>90</v>
      </c>
      <c r="C42" s="184" t="s">
        <v>119</v>
      </c>
      <c r="D42" s="184" t="s">
        <v>139</v>
      </c>
      <c r="E42" s="185">
        <v>1080</v>
      </c>
      <c r="F42" s="185">
        <v>980</v>
      </c>
      <c r="G42" s="186">
        <f>IF(O42="","",ROUND(O42*Steuerungsdaten!$B$4*IFERROR(VLOOKUP(C42,Steuerungsdaten!$A$12:$B$33,2,FALSE),1),0))</f>
        <v>150</v>
      </c>
      <c r="H42" s="186">
        <f>IF(P42="","",ROUND(P42*Steuerungsdaten!$B$4*IFERROR(VLOOKUP(C42,Steuerungsdaten!$A$12:$D$33,4,FALSE),1),0))</f>
        <v>432</v>
      </c>
      <c r="I42" s="186">
        <f>IF(Q42="","",ROUND(Q42*Steuerungsdaten!$B$4*IFERROR(VLOOKUP(C42,Steuerungsdaten!$A$12:$F$33,6,FALSE),1),0))</f>
        <v>469</v>
      </c>
      <c r="J42" s="186">
        <f>IF(R42="","",ROUND(R42*Steuerungsdaten!$B$4*IFERROR(VLOOKUP(C42,Steuerungsdaten!$A$12:$H$33,8,FALSE),1),0))</f>
        <v>345</v>
      </c>
      <c r="K42" s="186">
        <f>IF(G42="","",ROUND(G42*Steuerungsdaten!$B$5,0))</f>
        <v>173</v>
      </c>
      <c r="L42" s="186">
        <f>IF(H42="","",ROUND(H42*Steuerungsdaten!$B$5,0))</f>
        <v>497</v>
      </c>
      <c r="M42" s="186">
        <f>IF(I42="","",ROUND(I42*Steuerungsdaten!$B$5,0))</f>
        <v>539</v>
      </c>
      <c r="N42" s="187">
        <f>IF(J42="","",ROUND(J42*Steuerungsdaten!$B$5,0))</f>
        <v>397</v>
      </c>
      <c r="O42" s="193">
        <v>200</v>
      </c>
      <c r="P42" s="193">
        <v>626</v>
      </c>
      <c r="Q42" s="193">
        <v>474</v>
      </c>
      <c r="R42" s="193">
        <v>431</v>
      </c>
    </row>
    <row r="43" spans="1:18" x14ac:dyDescent="0.25">
      <c r="A43" s="188">
        <v>3120</v>
      </c>
      <c r="B43" s="189" t="s">
        <v>90</v>
      </c>
      <c r="C43" s="189" t="s">
        <v>119</v>
      </c>
      <c r="D43" s="189" t="s">
        <v>140</v>
      </c>
      <c r="E43" s="190">
        <v>1440</v>
      </c>
      <c r="F43" s="190">
        <v>780</v>
      </c>
      <c r="G43" s="191">
        <f>IF(O43="","",ROUND(O43*Steuerungsdaten!$B$4*IFERROR(VLOOKUP(C43,Steuerungsdaten!$A$12:$B$33,2,FALSE),1),0))</f>
        <v>158</v>
      </c>
      <c r="H43" s="191">
        <f>IF(P43="","",ROUND(P43*Steuerungsdaten!$B$4*IFERROR(VLOOKUP(C43,Steuerungsdaten!$A$12:$D$33,4,FALSE),1),0))</f>
        <v>435</v>
      </c>
      <c r="I43" s="191">
        <f>IF(Q43="","",ROUND(Q43*Steuerungsdaten!$B$4*IFERROR(VLOOKUP(C43,Steuerungsdaten!$A$12:$F$33,6,FALSE),1),0))</f>
        <v>494</v>
      </c>
      <c r="J43" s="191">
        <f>IF(R43="","",ROUND(R43*Steuerungsdaten!$B$4*IFERROR(VLOOKUP(C43,Steuerungsdaten!$A$12:$H$33,8,FALSE),1),0))</f>
        <v>751</v>
      </c>
      <c r="K43" s="191">
        <f>IF(G43="","",ROUND(G43*Steuerungsdaten!$B$5,0))</f>
        <v>182</v>
      </c>
      <c r="L43" s="191">
        <f>IF(H43="","",ROUND(H43*Steuerungsdaten!$B$5,0))</f>
        <v>500</v>
      </c>
      <c r="M43" s="191">
        <f>IF(I43="","",ROUND(I43*Steuerungsdaten!$B$5,0))</f>
        <v>568</v>
      </c>
      <c r="N43" s="192">
        <f>IF(J43="","",ROUND(J43*Steuerungsdaten!$B$5,0))</f>
        <v>864</v>
      </c>
      <c r="O43" s="193">
        <v>211</v>
      </c>
      <c r="P43" s="193">
        <v>630</v>
      </c>
      <c r="Q43" s="193">
        <v>499</v>
      </c>
      <c r="R43" s="193">
        <v>939</v>
      </c>
    </row>
    <row r="44" spans="1:18" x14ac:dyDescent="0.25">
      <c r="A44" s="183">
        <v>3121</v>
      </c>
      <c r="B44" s="184" t="s">
        <v>90</v>
      </c>
      <c r="C44" s="184" t="s">
        <v>119</v>
      </c>
      <c r="D44" s="184" t="s">
        <v>141</v>
      </c>
      <c r="E44" s="185">
        <v>1440</v>
      </c>
      <c r="F44" s="185">
        <v>980</v>
      </c>
      <c r="G44" s="186">
        <f>IF(O44="","",ROUND(O44*Steuerungsdaten!$B$4*IFERROR(VLOOKUP(C44,Steuerungsdaten!$A$12:$B$33,2,FALSE),1),0))</f>
        <v>198</v>
      </c>
      <c r="H44" s="186">
        <f>IF(P44="","",ROUND(P44*Steuerungsdaten!$B$4*IFERROR(VLOOKUP(C44,Steuerungsdaten!$A$12:$D$33,4,FALSE),1),0))</f>
        <v>537</v>
      </c>
      <c r="I44" s="186">
        <f>IF(Q44="","",ROUND(Q44*Steuerungsdaten!$B$4*IFERROR(VLOOKUP(C44,Steuerungsdaten!$A$12:$F$33,6,FALSE),1),0))</f>
        <v>610</v>
      </c>
      <c r="J44" s="186">
        <f>IF(R44="","",ROUND(R44*Steuerungsdaten!$B$4*IFERROR(VLOOKUP(C44,Steuerungsdaten!$A$12:$H$33,8,FALSE),1),0))</f>
        <v>927</v>
      </c>
      <c r="K44" s="186">
        <f>IF(G44="","",ROUND(G44*Steuerungsdaten!$B$5,0))</f>
        <v>228</v>
      </c>
      <c r="L44" s="186">
        <f>IF(H44="","",ROUND(H44*Steuerungsdaten!$B$5,0))</f>
        <v>618</v>
      </c>
      <c r="M44" s="186">
        <f>IF(I44="","",ROUND(I44*Steuerungsdaten!$B$5,0))</f>
        <v>702</v>
      </c>
      <c r="N44" s="187">
        <f>IF(J44="","",ROUND(J44*Steuerungsdaten!$B$5,0))</f>
        <v>1066</v>
      </c>
      <c r="O44" s="193">
        <v>264</v>
      </c>
      <c r="P44" s="193">
        <v>778</v>
      </c>
      <c r="Q44" s="193">
        <v>616</v>
      </c>
      <c r="R44" s="193">
        <v>1159</v>
      </c>
    </row>
    <row r="45" spans="1:18" x14ac:dyDescent="0.25">
      <c r="A45" s="188">
        <v>3122</v>
      </c>
      <c r="B45" s="189" t="s">
        <v>90</v>
      </c>
      <c r="C45" s="189" t="s">
        <v>119</v>
      </c>
      <c r="D45" s="189" t="s">
        <v>142</v>
      </c>
      <c r="E45" s="190">
        <v>1800</v>
      </c>
      <c r="F45" s="190">
        <v>780</v>
      </c>
      <c r="G45" s="191">
        <f>IF(O45="","",ROUND(O45*Steuerungsdaten!$B$4*IFERROR(VLOOKUP(C45,Steuerungsdaten!$A$12:$B$33,2,FALSE),1),0))</f>
        <v>198</v>
      </c>
      <c r="H45" s="191">
        <f>IF(P45="","",ROUND(P45*Steuerungsdaten!$B$4*IFERROR(VLOOKUP(C45,Steuerungsdaten!$A$12:$D$33,4,FALSE),1),0))</f>
        <v>359</v>
      </c>
      <c r="I45" s="191">
        <f>IF(Q45="","",ROUND(Q45*Steuerungsdaten!$B$4*IFERROR(VLOOKUP(C45,Steuerungsdaten!$A$12:$F$33,6,FALSE),1),0))</f>
        <v>606</v>
      </c>
      <c r="J45" s="191">
        <f>IF(R45="","",ROUND(R45*Steuerungsdaten!$B$4*IFERROR(VLOOKUP(C45,Steuerungsdaten!$A$12:$H$33,8,FALSE),1),0))</f>
        <v>921</v>
      </c>
      <c r="K45" s="191">
        <f>IF(G45="","",ROUND(G45*Steuerungsdaten!$B$5,0))</f>
        <v>228</v>
      </c>
      <c r="L45" s="191">
        <f>IF(H45="","",ROUND(H45*Steuerungsdaten!$B$5,0))</f>
        <v>413</v>
      </c>
      <c r="M45" s="191">
        <f>IF(I45="","",ROUND(I45*Steuerungsdaten!$B$5,0))</f>
        <v>697</v>
      </c>
      <c r="N45" s="192">
        <f>IF(J45="","",ROUND(J45*Steuerungsdaten!$B$5,0))</f>
        <v>1059</v>
      </c>
      <c r="O45" s="193">
        <v>264</v>
      </c>
      <c r="P45" s="193">
        <v>520</v>
      </c>
      <c r="Q45" s="193">
        <v>612</v>
      </c>
      <c r="R45" s="193">
        <v>1151</v>
      </c>
    </row>
    <row r="46" spans="1:18" x14ac:dyDescent="0.25">
      <c r="A46" s="183">
        <v>3123</v>
      </c>
      <c r="B46" s="184" t="s">
        <v>90</v>
      </c>
      <c r="C46" s="184" t="s">
        <v>119</v>
      </c>
      <c r="D46" s="184" t="s">
        <v>143</v>
      </c>
      <c r="E46" s="185">
        <v>1800</v>
      </c>
      <c r="F46" s="185">
        <v>980</v>
      </c>
      <c r="G46" s="186">
        <f>IF(O46="","",ROUND(O46*Steuerungsdaten!$B$4*IFERROR(VLOOKUP(C46,Steuerungsdaten!$A$12:$B$33,2,FALSE),1),0))</f>
        <v>247</v>
      </c>
      <c r="H46" s="186">
        <f>IF(P46="","",ROUND(P46*Steuerungsdaten!$B$4*IFERROR(VLOOKUP(C46,Steuerungsdaten!$A$12:$D$33,4,FALSE),1),0))</f>
        <v>447</v>
      </c>
      <c r="I46" s="186">
        <f>IF(Q46="","",ROUND(Q46*Steuerungsdaten!$B$4*IFERROR(VLOOKUP(C46,Steuerungsdaten!$A$12:$F$33,6,FALSE),1),0))</f>
        <v>745</v>
      </c>
      <c r="J46" s="186">
        <f>IF(R46="","",ROUND(R46*Steuerungsdaten!$B$4*IFERROR(VLOOKUP(C46,Steuerungsdaten!$A$12:$H$33,8,FALSE),1),0))</f>
        <v>1134</v>
      </c>
      <c r="K46" s="186">
        <f>IF(G46="","",ROUND(G46*Steuerungsdaten!$B$5,0))</f>
        <v>284</v>
      </c>
      <c r="L46" s="186">
        <f>IF(H46="","",ROUND(H46*Steuerungsdaten!$B$5,0))</f>
        <v>514</v>
      </c>
      <c r="M46" s="186">
        <f>IF(I46="","",ROUND(I46*Steuerungsdaten!$B$5,0))</f>
        <v>857</v>
      </c>
      <c r="N46" s="187">
        <f>IF(J46="","",ROUND(J46*Steuerungsdaten!$B$5,0))</f>
        <v>1304</v>
      </c>
      <c r="O46" s="193">
        <v>329</v>
      </c>
      <c r="P46" s="193">
        <v>648</v>
      </c>
      <c r="Q46" s="193">
        <v>753</v>
      </c>
      <c r="R46" s="193">
        <v>1417</v>
      </c>
    </row>
    <row r="47" spans="1:18" x14ac:dyDescent="0.25">
      <c r="A47" s="188">
        <v>3124</v>
      </c>
      <c r="B47" s="189" t="s">
        <v>90</v>
      </c>
      <c r="C47" s="189" t="s">
        <v>119</v>
      </c>
      <c r="D47" s="189" t="s">
        <v>144</v>
      </c>
      <c r="E47" s="190">
        <v>580</v>
      </c>
      <c r="F47" s="190">
        <v>580</v>
      </c>
      <c r="G47" s="191">
        <f>IF(O47="","",ROUND(O47*Steuerungsdaten!$B$4*IFERROR(VLOOKUP(C47,Steuerungsdaten!$A$12:$B$33,2,FALSE),1),0))</f>
        <v>50</v>
      </c>
      <c r="H47" s="191">
        <f>IF(P47="","",ROUND(P47*Steuerungsdaten!$B$4*IFERROR(VLOOKUP(C47,Steuerungsdaten!$A$12:$D$33,4,FALSE),1),0))</f>
        <v>157</v>
      </c>
      <c r="I47" s="191">
        <f>IF(Q47="","",ROUND(Q47*Steuerungsdaten!$B$4*IFERROR(VLOOKUP(C47,Steuerungsdaten!$A$12:$F$33,6,FALSE),1),0))</f>
        <v>181</v>
      </c>
      <c r="J47" s="191">
        <f>IF(R47="","",ROUND(R47*Steuerungsdaten!$B$4*IFERROR(VLOOKUP(C47,Steuerungsdaten!$A$12:$H$33,8,FALSE),1),0))</f>
        <v>153</v>
      </c>
      <c r="K47" s="191">
        <f>IF(G47="","",ROUND(G47*Steuerungsdaten!$B$5,0))</f>
        <v>58</v>
      </c>
      <c r="L47" s="191">
        <f>IF(H47="","",ROUND(H47*Steuerungsdaten!$B$5,0))</f>
        <v>181</v>
      </c>
      <c r="M47" s="191">
        <f>IF(I47="","",ROUND(I47*Steuerungsdaten!$B$5,0))</f>
        <v>208</v>
      </c>
      <c r="N47" s="192">
        <f>IF(J47="","",ROUND(J47*Steuerungsdaten!$B$5,0))</f>
        <v>176</v>
      </c>
      <c r="O47" s="193">
        <v>67</v>
      </c>
      <c r="P47" s="193">
        <v>228</v>
      </c>
      <c r="Q47" s="193">
        <v>183</v>
      </c>
      <c r="R47" s="193">
        <v>191</v>
      </c>
    </row>
    <row r="48" spans="1:18" x14ac:dyDescent="0.25">
      <c r="A48" s="183" t="s">
        <v>145</v>
      </c>
      <c r="B48" s="184" t="s">
        <v>90</v>
      </c>
      <c r="C48" s="184" t="s">
        <v>119</v>
      </c>
      <c r="D48" s="184" t="s">
        <v>146</v>
      </c>
      <c r="E48" s="185">
        <v>660</v>
      </c>
      <c r="F48" s="185">
        <v>360</v>
      </c>
      <c r="G48" s="186">
        <f>IF(O48="","",ROUND(O48*Steuerungsdaten!$B$4*IFERROR(VLOOKUP(C48,Steuerungsdaten!$A$12:$B$33,2,FALSE),1),0))</f>
        <v>122</v>
      </c>
      <c r="H48" s="186">
        <f>IF(P48="","",ROUND(P48*Steuerungsdaten!$B$4*IFERROR(VLOOKUP(C48,Steuerungsdaten!$A$12:$D$33,4,FALSE),1),0))</f>
        <v>220</v>
      </c>
      <c r="I48" s="186">
        <f>IF(Q48="","",ROUND(Q48*Steuerungsdaten!$B$4*IFERROR(VLOOKUP(C48,Steuerungsdaten!$A$12:$F$33,6,FALSE),1),0))</f>
        <v>163</v>
      </c>
      <c r="J48" s="186">
        <f>IF(R48="","",ROUND(R48*Steuerungsdaten!$B$4*IFERROR(VLOOKUP(C48,Steuerungsdaten!$A$12:$H$33,8,FALSE),1),0))</f>
        <v>248</v>
      </c>
      <c r="K48" s="186">
        <f>IF(G48="","",ROUND(G48*Steuerungsdaten!$B$5,0))</f>
        <v>140</v>
      </c>
      <c r="L48" s="186">
        <f>IF(H48="","",ROUND(H48*Steuerungsdaten!$B$5,0))</f>
        <v>253</v>
      </c>
      <c r="M48" s="186">
        <f>IF(I48="","",ROUND(I48*Steuerungsdaten!$B$5,0))</f>
        <v>187</v>
      </c>
      <c r="N48" s="187">
        <f>IF(J48="","",ROUND(J48*Steuerungsdaten!$B$5,0))</f>
        <v>285</v>
      </c>
      <c r="O48" s="193">
        <v>162</v>
      </c>
      <c r="P48" s="193">
        <v>319</v>
      </c>
      <c r="Q48" s="193">
        <v>165</v>
      </c>
      <c r="R48" s="193">
        <v>310</v>
      </c>
    </row>
    <row r="49" spans="1:18" ht="21.95" customHeight="1" x14ac:dyDescent="0.25">
      <c r="A49" s="176" t="s">
        <v>147</v>
      </c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93"/>
      <c r="P49" s="193"/>
      <c r="Q49" s="193"/>
      <c r="R49" s="193"/>
    </row>
    <row r="50" spans="1:18" x14ac:dyDescent="0.25">
      <c r="A50" s="178">
        <v>3200</v>
      </c>
      <c r="B50" s="179" t="s">
        <v>90</v>
      </c>
      <c r="C50" s="179" t="s">
        <v>147</v>
      </c>
      <c r="D50" s="179" t="s">
        <v>148</v>
      </c>
      <c r="E50" s="180">
        <v>360</v>
      </c>
      <c r="F50" s="180">
        <v>360</v>
      </c>
      <c r="G50" s="181">
        <f>IF(O50="","",ROUND(O50*Steuerungsdaten!$B$4*IFERROR(VLOOKUP(C50,Steuerungsdaten!$A$12:$B$33,2,FALSE),1),0))</f>
        <v>26</v>
      </c>
      <c r="H50" s="181">
        <f>IF(P50="","",ROUND(P50*Steuerungsdaten!$B$4*IFERROR(VLOOKUP(C50,Steuerungsdaten!$A$12:$D$33,4,FALSE),1),0))</f>
        <v>79</v>
      </c>
      <c r="I50" s="181">
        <f>IF(Q50="","",ROUND(Q50*Steuerungsdaten!$B$4*IFERROR(VLOOKUP(C50,Steuerungsdaten!$A$12:$F$33,6,FALSE),1),0))</f>
        <v>88</v>
      </c>
      <c r="J50" s="181">
        <f>IF(R50="","",ROUND(R50*Steuerungsdaten!$B$4*IFERROR(VLOOKUP(C50,Steuerungsdaten!$A$12:$H$33,8,FALSE),1),0))</f>
        <v>142</v>
      </c>
      <c r="K50" s="181">
        <f>IF(G50="","",ROUND(G50*Steuerungsdaten!$B$5,0))</f>
        <v>30</v>
      </c>
      <c r="L50" s="181">
        <f>IF(H50="","",ROUND(H50*Steuerungsdaten!$B$5,0))</f>
        <v>91</v>
      </c>
      <c r="M50" s="181">
        <f>IF(I50="","",ROUND(I50*Steuerungsdaten!$B$5,0))</f>
        <v>101</v>
      </c>
      <c r="N50" s="182">
        <f>IF(J50="","",ROUND(J50*Steuerungsdaten!$B$5,0))</f>
        <v>163</v>
      </c>
      <c r="O50" s="193">
        <v>34</v>
      </c>
      <c r="P50" s="193">
        <v>114</v>
      </c>
      <c r="Q50" s="193">
        <v>89</v>
      </c>
      <c r="R50" s="193">
        <v>177</v>
      </c>
    </row>
    <row r="51" spans="1:18" x14ac:dyDescent="0.25">
      <c r="A51" s="183">
        <v>3201</v>
      </c>
      <c r="B51" s="184" t="s">
        <v>90</v>
      </c>
      <c r="C51" s="184" t="s">
        <v>147</v>
      </c>
      <c r="D51" s="184" t="s">
        <v>149</v>
      </c>
      <c r="E51" s="185">
        <v>360</v>
      </c>
      <c r="F51" s="185">
        <v>720</v>
      </c>
      <c r="G51" s="186">
        <f>IF(O51="","",ROUND(O51*Steuerungsdaten!$B$4*IFERROR(VLOOKUP(C51,Steuerungsdaten!$A$12:$B$33,2,FALSE),1),0))</f>
        <v>39</v>
      </c>
      <c r="H51" s="186">
        <f>IF(P51="","",ROUND(P51*Steuerungsdaten!$B$4*IFERROR(VLOOKUP(C51,Steuerungsdaten!$A$12:$D$33,4,FALSE),1),0))</f>
        <v>125</v>
      </c>
      <c r="I51" s="186">
        <f>IF(Q51="","",ROUND(Q51*Steuerungsdaten!$B$4*IFERROR(VLOOKUP(C51,Steuerungsdaten!$A$12:$F$33,6,FALSE),1),0))</f>
        <v>142</v>
      </c>
      <c r="J51" s="186">
        <f>IF(R51="","",ROUND(R51*Steuerungsdaten!$B$4*IFERROR(VLOOKUP(C51,Steuerungsdaten!$A$12:$H$33,8,FALSE),1),0))</f>
        <v>170</v>
      </c>
      <c r="K51" s="186">
        <f>IF(G51="","",ROUND(G51*Steuerungsdaten!$B$5,0))</f>
        <v>45</v>
      </c>
      <c r="L51" s="186">
        <f>IF(H51="","",ROUND(H51*Steuerungsdaten!$B$5,0))</f>
        <v>144</v>
      </c>
      <c r="M51" s="186">
        <f>IF(I51="","",ROUND(I51*Steuerungsdaten!$B$5,0))</f>
        <v>163</v>
      </c>
      <c r="N51" s="187">
        <f>IF(J51="","",ROUND(J51*Steuerungsdaten!$B$5,0))</f>
        <v>196</v>
      </c>
      <c r="O51" s="193">
        <v>52</v>
      </c>
      <c r="P51" s="193">
        <v>181</v>
      </c>
      <c r="Q51" s="193">
        <v>143</v>
      </c>
      <c r="R51" s="193">
        <v>212</v>
      </c>
    </row>
    <row r="52" spans="1:18" x14ac:dyDescent="0.25">
      <c r="A52" s="188">
        <v>3202</v>
      </c>
      <c r="B52" s="189" t="s">
        <v>90</v>
      </c>
      <c r="C52" s="189" t="s">
        <v>147</v>
      </c>
      <c r="D52" s="189" t="s">
        <v>150</v>
      </c>
      <c r="E52" s="190">
        <v>360</v>
      </c>
      <c r="F52" s="190">
        <v>1080</v>
      </c>
      <c r="G52" s="191">
        <f>IF(O52="","",ROUND(O52*Steuerungsdaten!$B$4*IFERROR(VLOOKUP(C52,Steuerungsdaten!$A$12:$B$33,2,FALSE),1),0))</f>
        <v>57</v>
      </c>
      <c r="H52" s="191">
        <f>IF(P52="","",ROUND(P52*Steuerungsdaten!$B$4*IFERROR(VLOOKUP(C52,Steuerungsdaten!$A$12:$D$33,4,FALSE),1),0))</f>
        <v>184</v>
      </c>
      <c r="I52" s="191">
        <f>IF(Q52="","",ROUND(Q52*Steuerungsdaten!$B$4*IFERROR(VLOOKUP(C52,Steuerungsdaten!$A$12:$F$33,6,FALSE),1),0))</f>
        <v>220</v>
      </c>
      <c r="J52" s="191">
        <f>IF(R52="","",ROUND(R52*Steuerungsdaten!$B$4*IFERROR(VLOOKUP(C52,Steuerungsdaten!$A$12:$H$33,8,FALSE),1),0))</f>
        <v>192</v>
      </c>
      <c r="K52" s="191">
        <f>IF(G52="","",ROUND(G52*Steuerungsdaten!$B$5,0))</f>
        <v>66</v>
      </c>
      <c r="L52" s="191">
        <f>IF(H52="","",ROUND(H52*Steuerungsdaten!$B$5,0))</f>
        <v>212</v>
      </c>
      <c r="M52" s="191">
        <f>IF(I52="","",ROUND(I52*Steuerungsdaten!$B$5,0))</f>
        <v>253</v>
      </c>
      <c r="N52" s="192">
        <f>IF(J52="","",ROUND(J52*Steuerungsdaten!$B$5,0))</f>
        <v>221</v>
      </c>
      <c r="O52" s="193">
        <v>76</v>
      </c>
      <c r="P52" s="193">
        <v>267</v>
      </c>
      <c r="Q52" s="193">
        <v>222</v>
      </c>
      <c r="R52" s="193">
        <v>240</v>
      </c>
    </row>
    <row r="53" spans="1:18" x14ac:dyDescent="0.25">
      <c r="A53" s="183">
        <v>3203</v>
      </c>
      <c r="B53" s="184" t="s">
        <v>90</v>
      </c>
      <c r="C53" s="184" t="s">
        <v>147</v>
      </c>
      <c r="D53" s="184" t="s">
        <v>151</v>
      </c>
      <c r="E53" s="185">
        <v>360</v>
      </c>
      <c r="F53" s="185">
        <v>1440</v>
      </c>
      <c r="G53" s="186">
        <f>IF(O53="","",ROUND(O53*Steuerungsdaten!$B$4*IFERROR(VLOOKUP(C53,Steuerungsdaten!$A$12:$B$33,2,FALSE),1),0))</f>
        <v>75</v>
      </c>
      <c r="H53" s="186">
        <f>IF(P53="","",ROUND(P53*Steuerungsdaten!$B$4*IFERROR(VLOOKUP(C53,Steuerungsdaten!$A$12:$D$33,4,FALSE),1),0))</f>
        <v>232</v>
      </c>
      <c r="I53" s="186">
        <f>IF(Q53="","",ROUND(Q53*Steuerungsdaten!$B$4*IFERROR(VLOOKUP(C53,Steuerungsdaten!$A$12:$F$33,6,FALSE),1),0))</f>
        <v>278</v>
      </c>
      <c r="J53" s="186">
        <f>IF(R53="","",ROUND(R53*Steuerungsdaten!$B$4*IFERROR(VLOOKUP(C53,Steuerungsdaten!$A$12:$H$33,8,FALSE),1),0))</f>
        <v>423</v>
      </c>
      <c r="K53" s="186">
        <f>IF(G53="","",ROUND(G53*Steuerungsdaten!$B$5,0))</f>
        <v>86</v>
      </c>
      <c r="L53" s="186">
        <f>IF(H53="","",ROUND(H53*Steuerungsdaten!$B$5,0))</f>
        <v>267</v>
      </c>
      <c r="M53" s="186">
        <f>IF(I53="","",ROUND(I53*Steuerungsdaten!$B$5,0))</f>
        <v>320</v>
      </c>
      <c r="N53" s="187">
        <f>IF(J53="","",ROUND(J53*Steuerungsdaten!$B$5,0))</f>
        <v>486</v>
      </c>
      <c r="O53" s="193">
        <v>100</v>
      </c>
      <c r="P53" s="193">
        <v>336</v>
      </c>
      <c r="Q53" s="193">
        <v>281</v>
      </c>
      <c r="R53" s="193">
        <v>529</v>
      </c>
    </row>
    <row r="54" spans="1:18" x14ac:dyDescent="0.25">
      <c r="A54" s="188">
        <v>3204</v>
      </c>
      <c r="B54" s="189" t="s">
        <v>90</v>
      </c>
      <c r="C54" s="189" t="s">
        <v>147</v>
      </c>
      <c r="D54" s="189" t="s">
        <v>152</v>
      </c>
      <c r="E54" s="190">
        <v>360</v>
      </c>
      <c r="F54" s="190">
        <v>1800</v>
      </c>
      <c r="G54" s="191">
        <f>IF(O54="","",ROUND(O54*Steuerungsdaten!$B$4*IFERROR(VLOOKUP(C54,Steuerungsdaten!$A$12:$B$33,2,FALSE),1),0))</f>
        <v>94</v>
      </c>
      <c r="H54" s="191">
        <f>IF(P54="","",ROUND(P54*Steuerungsdaten!$B$4*IFERROR(VLOOKUP(C54,Steuerungsdaten!$A$12:$D$33,4,FALSE),1),0))</f>
        <v>170</v>
      </c>
      <c r="I54" s="191">
        <f>IF(Q54="","",ROUND(Q54*Steuerungsdaten!$B$4*IFERROR(VLOOKUP(C54,Steuerungsdaten!$A$12:$F$33,6,FALSE),1),0))</f>
        <v>340</v>
      </c>
      <c r="J54" s="191">
        <f>IF(R54="","",ROUND(R54*Steuerungsdaten!$B$4*IFERROR(VLOOKUP(C54,Steuerungsdaten!$A$12:$H$33,8,FALSE),1),0))</f>
        <v>516</v>
      </c>
      <c r="K54" s="191">
        <f>IF(G54="","",ROUND(G54*Steuerungsdaten!$B$5,0))</f>
        <v>108</v>
      </c>
      <c r="L54" s="191">
        <f>IF(H54="","",ROUND(H54*Steuerungsdaten!$B$5,0))</f>
        <v>196</v>
      </c>
      <c r="M54" s="191">
        <f>IF(I54="","",ROUND(I54*Steuerungsdaten!$B$5,0))</f>
        <v>391</v>
      </c>
      <c r="N54" s="192">
        <f>IF(J54="","",ROUND(J54*Steuerungsdaten!$B$5,0))</f>
        <v>593</v>
      </c>
      <c r="O54" s="193">
        <v>125</v>
      </c>
      <c r="P54" s="193">
        <v>246</v>
      </c>
      <c r="Q54" s="193">
        <v>343</v>
      </c>
      <c r="R54" s="193">
        <v>645</v>
      </c>
    </row>
    <row r="55" spans="1:18" x14ac:dyDescent="0.25">
      <c r="A55" s="183">
        <v>3205</v>
      </c>
      <c r="B55" s="184" t="s">
        <v>90</v>
      </c>
      <c r="C55" s="184" t="s">
        <v>147</v>
      </c>
      <c r="D55" s="184" t="s">
        <v>153</v>
      </c>
      <c r="E55" s="185">
        <v>580</v>
      </c>
      <c r="F55" s="185">
        <v>360</v>
      </c>
      <c r="G55" s="186">
        <f>IF(O55="","",ROUND(O55*Steuerungsdaten!$B$4*IFERROR(VLOOKUP(C55,Steuerungsdaten!$A$12:$B$33,2,FALSE),1),0))</f>
        <v>32</v>
      </c>
      <c r="H55" s="186">
        <f>IF(P55="","",ROUND(P55*Steuerungsdaten!$B$4*IFERROR(VLOOKUP(C55,Steuerungsdaten!$A$12:$D$33,4,FALSE),1),0))</f>
        <v>111</v>
      </c>
      <c r="I55" s="186">
        <f>IF(Q55="","",ROUND(Q55*Steuerungsdaten!$B$4*IFERROR(VLOOKUP(C55,Steuerungsdaten!$A$12:$F$33,6,FALSE),1),0))</f>
        <v>129</v>
      </c>
      <c r="J55" s="186">
        <f>IF(R55="","",ROUND(R55*Steuerungsdaten!$B$4*IFERROR(VLOOKUP(C55,Steuerungsdaten!$A$12:$H$33,8,FALSE),1),0))</f>
        <v>148</v>
      </c>
      <c r="K55" s="186">
        <f>IF(G55="","",ROUND(G55*Steuerungsdaten!$B$5,0))</f>
        <v>37</v>
      </c>
      <c r="L55" s="186">
        <f>IF(H55="","",ROUND(H55*Steuerungsdaten!$B$5,0))</f>
        <v>128</v>
      </c>
      <c r="M55" s="186">
        <f>IF(I55="","",ROUND(I55*Steuerungsdaten!$B$5,0))</f>
        <v>148</v>
      </c>
      <c r="N55" s="187">
        <f>IF(J55="","",ROUND(J55*Steuerungsdaten!$B$5,0))</f>
        <v>170</v>
      </c>
      <c r="O55" s="193">
        <v>43</v>
      </c>
      <c r="P55" s="193">
        <v>161</v>
      </c>
      <c r="Q55" s="193">
        <v>130</v>
      </c>
      <c r="R55" s="193">
        <v>185</v>
      </c>
    </row>
    <row r="56" spans="1:18" x14ac:dyDescent="0.25">
      <c r="A56" s="188">
        <v>3206</v>
      </c>
      <c r="B56" s="189" t="s">
        <v>90</v>
      </c>
      <c r="C56" s="189" t="s">
        <v>147</v>
      </c>
      <c r="D56" s="189" t="s">
        <v>154</v>
      </c>
      <c r="E56" s="190">
        <v>580</v>
      </c>
      <c r="F56" s="190">
        <v>720</v>
      </c>
      <c r="G56" s="191">
        <f>IF(O56="","",ROUND(O56*Steuerungsdaten!$B$4*IFERROR(VLOOKUP(C56,Steuerungsdaten!$A$12:$B$33,2,FALSE),1),0))</f>
        <v>62</v>
      </c>
      <c r="H56" s="191">
        <f>IF(P56="","",ROUND(P56*Steuerungsdaten!$B$4*IFERROR(VLOOKUP(C56,Steuerungsdaten!$A$12:$D$33,4,FALSE),1),0))</f>
        <v>181</v>
      </c>
      <c r="I56" s="191">
        <f>IF(Q56="","",ROUND(Q56*Steuerungsdaten!$B$4*IFERROR(VLOOKUP(C56,Steuerungsdaten!$A$12:$F$33,6,FALSE),1),0))</f>
        <v>214</v>
      </c>
      <c r="J56" s="191">
        <f>IF(R56="","",ROUND(R56*Steuerungsdaten!$B$4*IFERROR(VLOOKUP(C56,Steuerungsdaten!$A$12:$H$33,8,FALSE),1),0))</f>
        <v>196</v>
      </c>
      <c r="K56" s="191">
        <f>IF(G56="","",ROUND(G56*Steuerungsdaten!$B$5,0))</f>
        <v>71</v>
      </c>
      <c r="L56" s="191">
        <f>IF(H56="","",ROUND(H56*Steuerungsdaten!$B$5,0))</f>
        <v>208</v>
      </c>
      <c r="M56" s="191">
        <f>IF(I56="","",ROUND(I56*Steuerungsdaten!$B$5,0))</f>
        <v>246</v>
      </c>
      <c r="N56" s="192">
        <f>IF(J56="","",ROUND(J56*Steuerungsdaten!$B$5,0))</f>
        <v>225</v>
      </c>
      <c r="O56" s="193">
        <v>82</v>
      </c>
      <c r="P56" s="193">
        <v>262</v>
      </c>
      <c r="Q56" s="193">
        <v>216</v>
      </c>
      <c r="R56" s="193">
        <v>245</v>
      </c>
    </row>
    <row r="57" spans="1:18" x14ac:dyDescent="0.25">
      <c r="A57" s="183">
        <v>3207</v>
      </c>
      <c r="B57" s="184" t="s">
        <v>90</v>
      </c>
      <c r="C57" s="184" t="s">
        <v>147</v>
      </c>
      <c r="D57" s="184" t="s">
        <v>155</v>
      </c>
      <c r="E57" s="185">
        <v>580</v>
      </c>
      <c r="F57" s="185">
        <v>1080</v>
      </c>
      <c r="G57" s="186">
        <f>IF(O57="","",ROUND(O57*Steuerungsdaten!$B$4*IFERROR(VLOOKUP(C57,Steuerungsdaten!$A$12:$B$33,2,FALSE),1),0))</f>
        <v>89</v>
      </c>
      <c r="H57" s="186">
        <f>IF(P57="","",ROUND(P57*Steuerungsdaten!$B$4*IFERROR(VLOOKUP(C57,Steuerungsdaten!$A$12:$D$33,4,FALSE),1),0))</f>
        <v>260</v>
      </c>
      <c r="I57" s="186">
        <f>IF(Q57="","",ROUND(Q57*Steuerungsdaten!$B$4*IFERROR(VLOOKUP(C57,Steuerungsdaten!$A$12:$F$33,6,FALSE),1),0))</f>
        <v>297</v>
      </c>
      <c r="J57" s="186">
        <f>IF(R57="","",ROUND(R57*Steuerungsdaten!$B$4*IFERROR(VLOOKUP(C57,Steuerungsdaten!$A$12:$H$33,8,FALSE),1),0))</f>
        <v>246</v>
      </c>
      <c r="K57" s="186">
        <f>IF(G57="","",ROUND(G57*Steuerungsdaten!$B$5,0))</f>
        <v>102</v>
      </c>
      <c r="L57" s="186">
        <f>IF(H57="","",ROUND(H57*Steuerungsdaten!$B$5,0))</f>
        <v>299</v>
      </c>
      <c r="M57" s="186">
        <f>IF(I57="","",ROUND(I57*Steuerungsdaten!$B$5,0))</f>
        <v>342</v>
      </c>
      <c r="N57" s="187">
        <f>IF(J57="","",ROUND(J57*Steuerungsdaten!$B$5,0))</f>
        <v>283</v>
      </c>
      <c r="O57" s="193">
        <v>119</v>
      </c>
      <c r="P57" s="193">
        <v>377</v>
      </c>
      <c r="Q57" s="193">
        <v>300</v>
      </c>
      <c r="R57" s="193">
        <v>307</v>
      </c>
    </row>
    <row r="58" spans="1:18" x14ac:dyDescent="0.25">
      <c r="A58" s="188">
        <v>3208</v>
      </c>
      <c r="B58" s="189" t="s">
        <v>90</v>
      </c>
      <c r="C58" s="189" t="s">
        <v>147</v>
      </c>
      <c r="D58" s="189" t="s">
        <v>156</v>
      </c>
      <c r="E58" s="190">
        <v>580</v>
      </c>
      <c r="F58" s="190">
        <v>1440</v>
      </c>
      <c r="G58" s="191">
        <f>IF(O58="","",ROUND(O58*Steuerungsdaten!$B$4*IFERROR(VLOOKUP(C58,Steuerungsdaten!$A$12:$B$33,2,FALSE),1),0))</f>
        <v>119</v>
      </c>
      <c r="H58" s="191">
        <f>IF(P58="","",ROUND(P58*Steuerungsdaten!$B$4*IFERROR(VLOOKUP(C58,Steuerungsdaten!$A$12:$D$33,4,FALSE),1),0))</f>
        <v>334</v>
      </c>
      <c r="I58" s="191">
        <f>IF(Q58="","",ROUND(Q58*Steuerungsdaten!$B$4*IFERROR(VLOOKUP(C58,Steuerungsdaten!$A$12:$F$33,6,FALSE),1),0))</f>
        <v>396</v>
      </c>
      <c r="J58" s="191">
        <f>IF(R58="","",ROUND(R58*Steuerungsdaten!$B$4*IFERROR(VLOOKUP(C58,Steuerungsdaten!$A$12:$H$33,8,FALSE),1),0))</f>
        <v>602</v>
      </c>
      <c r="K58" s="191">
        <f>IF(G58="","",ROUND(G58*Steuerungsdaten!$B$5,0))</f>
        <v>137</v>
      </c>
      <c r="L58" s="191">
        <f>IF(H58="","",ROUND(H58*Steuerungsdaten!$B$5,0))</f>
        <v>384</v>
      </c>
      <c r="M58" s="191">
        <f>IF(I58="","",ROUND(I58*Steuerungsdaten!$B$5,0))</f>
        <v>455</v>
      </c>
      <c r="N58" s="192">
        <f>IF(J58="","",ROUND(J58*Steuerungsdaten!$B$5,0))</f>
        <v>692</v>
      </c>
      <c r="O58" s="193">
        <v>158</v>
      </c>
      <c r="P58" s="193">
        <v>484</v>
      </c>
      <c r="Q58" s="193">
        <v>400</v>
      </c>
      <c r="R58" s="193">
        <v>752</v>
      </c>
    </row>
    <row r="59" spans="1:18" x14ac:dyDescent="0.25">
      <c r="A59" s="183">
        <v>3209</v>
      </c>
      <c r="B59" s="184" t="s">
        <v>90</v>
      </c>
      <c r="C59" s="184" t="s">
        <v>147</v>
      </c>
      <c r="D59" s="184" t="s">
        <v>157</v>
      </c>
      <c r="E59" s="185">
        <v>580</v>
      </c>
      <c r="F59" s="185">
        <v>1800</v>
      </c>
      <c r="G59" s="186">
        <f>IF(O59="","",ROUND(O59*Steuerungsdaten!$B$4*IFERROR(VLOOKUP(C59,Steuerungsdaten!$A$12:$B$33,2,FALSE),1),0))</f>
        <v>148</v>
      </c>
      <c r="H59" s="186">
        <f>IF(P59="","",ROUND(P59*Steuerungsdaten!$B$4*IFERROR(VLOOKUP(C59,Steuerungsdaten!$A$12:$D$33,4,FALSE),1),0))</f>
        <v>268</v>
      </c>
      <c r="I59" s="186">
        <f>IF(Q59="","",ROUND(Q59*Steuerungsdaten!$B$4*IFERROR(VLOOKUP(C59,Steuerungsdaten!$A$12:$F$33,6,FALSE),1),0))</f>
        <v>462</v>
      </c>
      <c r="J59" s="186">
        <f>IF(R59="","",ROUND(R59*Steuerungsdaten!$B$4*IFERROR(VLOOKUP(C59,Steuerungsdaten!$A$12:$H$33,8,FALSE),1),0))</f>
        <v>703</v>
      </c>
      <c r="K59" s="186">
        <f>IF(G59="","",ROUND(G59*Steuerungsdaten!$B$5,0))</f>
        <v>170</v>
      </c>
      <c r="L59" s="186">
        <f>IF(H59="","",ROUND(H59*Steuerungsdaten!$B$5,0))</f>
        <v>308</v>
      </c>
      <c r="M59" s="186">
        <f>IF(I59="","",ROUND(I59*Steuerungsdaten!$B$5,0))</f>
        <v>531</v>
      </c>
      <c r="N59" s="187">
        <f>IF(J59="","",ROUND(J59*Steuerungsdaten!$B$5,0))</f>
        <v>808</v>
      </c>
      <c r="O59" s="193">
        <v>197</v>
      </c>
      <c r="P59" s="193">
        <v>388</v>
      </c>
      <c r="Q59" s="193">
        <v>467</v>
      </c>
      <c r="R59" s="193">
        <v>879</v>
      </c>
    </row>
    <row r="60" spans="1:18" x14ac:dyDescent="0.25">
      <c r="A60" s="188">
        <v>3210</v>
      </c>
      <c r="B60" s="189" t="s">
        <v>90</v>
      </c>
      <c r="C60" s="189" t="s">
        <v>147</v>
      </c>
      <c r="D60" s="189" t="s">
        <v>158</v>
      </c>
      <c r="E60" s="190">
        <v>180</v>
      </c>
      <c r="F60" s="190">
        <v>780</v>
      </c>
      <c r="G60" s="191">
        <f>IF(O60="","",ROUND(O60*Steuerungsdaten!$B$4*IFERROR(VLOOKUP(C60,Steuerungsdaten!$A$12:$B$33,2,FALSE),1),0))</f>
        <v>42</v>
      </c>
      <c r="H60" s="191">
        <f>IF(P60="","",ROUND(P60*Steuerungsdaten!$B$4*IFERROR(VLOOKUP(C60,Steuerungsdaten!$A$12:$D$33,4,FALSE),1),0))</f>
        <v>128</v>
      </c>
      <c r="I60" s="191">
        <f>IF(Q60="","",ROUND(Q60*Steuerungsdaten!$B$4*IFERROR(VLOOKUP(C60,Steuerungsdaten!$A$12:$F$33,6,FALSE),1),0))</f>
        <v>143</v>
      </c>
      <c r="J60" s="191">
        <f>IF(R60="","",ROUND(R60*Steuerungsdaten!$B$4*IFERROR(VLOOKUP(C60,Steuerungsdaten!$A$12:$H$33,8,FALSE),1),0))</f>
        <v>170</v>
      </c>
      <c r="K60" s="191">
        <f>IF(G60="","",ROUND(G60*Steuerungsdaten!$B$5,0))</f>
        <v>48</v>
      </c>
      <c r="L60" s="191">
        <f>IF(H60="","",ROUND(H60*Steuerungsdaten!$B$5,0))</f>
        <v>147</v>
      </c>
      <c r="M60" s="191">
        <f>IF(I60="","",ROUND(I60*Steuerungsdaten!$B$5,0))</f>
        <v>164</v>
      </c>
      <c r="N60" s="192">
        <f>IF(J60="","",ROUND(J60*Steuerungsdaten!$B$5,0))</f>
        <v>196</v>
      </c>
      <c r="O60" s="193">
        <v>56</v>
      </c>
      <c r="P60" s="193">
        <v>185</v>
      </c>
      <c r="Q60" s="193">
        <v>144</v>
      </c>
      <c r="R60" s="193">
        <v>212</v>
      </c>
    </row>
    <row r="61" spans="1:18" x14ac:dyDescent="0.25">
      <c r="A61" s="183">
        <v>3211</v>
      </c>
      <c r="B61" s="184" t="s">
        <v>90</v>
      </c>
      <c r="C61" s="184" t="s">
        <v>147</v>
      </c>
      <c r="D61" s="184" t="s">
        <v>159</v>
      </c>
      <c r="E61" s="185">
        <v>180</v>
      </c>
      <c r="F61" s="185">
        <v>980</v>
      </c>
      <c r="G61" s="186">
        <f>IF(O61="","",ROUND(O61*Steuerungsdaten!$B$4*IFERROR(VLOOKUP(C61,Steuerungsdaten!$A$12:$B$33,2,FALSE),1),0))</f>
        <v>53</v>
      </c>
      <c r="H61" s="186">
        <f>IF(P61="","",ROUND(P61*Steuerungsdaten!$B$4*IFERROR(VLOOKUP(C61,Steuerungsdaten!$A$12:$D$33,4,FALSE),1),0))</f>
        <v>154</v>
      </c>
      <c r="I61" s="186">
        <f>IF(Q61="","",ROUND(Q61*Steuerungsdaten!$B$4*IFERROR(VLOOKUP(C61,Steuerungsdaten!$A$12:$F$33,6,FALSE),1),0))</f>
        <v>172</v>
      </c>
      <c r="J61" s="186">
        <f>IF(R61="","",ROUND(R61*Steuerungsdaten!$B$4*IFERROR(VLOOKUP(C61,Steuerungsdaten!$A$12:$H$33,8,FALSE),1),0))</f>
        <v>183</v>
      </c>
      <c r="K61" s="186">
        <f>IF(G61="","",ROUND(G61*Steuerungsdaten!$B$5,0))</f>
        <v>61</v>
      </c>
      <c r="L61" s="186">
        <f>IF(H61="","",ROUND(H61*Steuerungsdaten!$B$5,0))</f>
        <v>177</v>
      </c>
      <c r="M61" s="186">
        <f>IF(I61="","",ROUND(I61*Steuerungsdaten!$B$5,0))</f>
        <v>198</v>
      </c>
      <c r="N61" s="187">
        <f>IF(J61="","",ROUND(J61*Steuerungsdaten!$B$5,0))</f>
        <v>210</v>
      </c>
      <c r="O61" s="193">
        <v>70</v>
      </c>
      <c r="P61" s="193">
        <v>223</v>
      </c>
      <c r="Q61" s="193">
        <v>174</v>
      </c>
      <c r="R61" s="193">
        <v>229</v>
      </c>
    </row>
    <row r="62" spans="1:18" x14ac:dyDescent="0.25">
      <c r="A62" s="188">
        <v>3212</v>
      </c>
      <c r="B62" s="189" t="s">
        <v>90</v>
      </c>
      <c r="C62" s="189" t="s">
        <v>147</v>
      </c>
      <c r="D62" s="189" t="s">
        <v>160</v>
      </c>
      <c r="E62" s="190">
        <v>360</v>
      </c>
      <c r="F62" s="190">
        <v>780</v>
      </c>
      <c r="G62" s="191">
        <f>IF(O62="","",ROUND(O62*Steuerungsdaten!$B$4*IFERROR(VLOOKUP(C62,Steuerungsdaten!$A$12:$B$33,2,FALSE),1),0))</f>
        <v>42</v>
      </c>
      <c r="H62" s="191">
        <f>IF(P62="","",ROUND(P62*Steuerungsdaten!$B$4*IFERROR(VLOOKUP(C62,Steuerungsdaten!$A$12:$D$33,4,FALSE),1),0))</f>
        <v>128</v>
      </c>
      <c r="I62" s="191">
        <f>IF(Q62="","",ROUND(Q62*Steuerungsdaten!$B$4*IFERROR(VLOOKUP(C62,Steuerungsdaten!$A$12:$F$33,6,FALSE),1),0))</f>
        <v>143</v>
      </c>
      <c r="J62" s="191">
        <f>IF(R62="","",ROUND(R62*Steuerungsdaten!$B$4*IFERROR(VLOOKUP(C62,Steuerungsdaten!$A$12:$H$33,8,FALSE),1),0))</f>
        <v>152</v>
      </c>
      <c r="K62" s="191">
        <f>IF(G62="","",ROUND(G62*Steuerungsdaten!$B$5,0))</f>
        <v>48</v>
      </c>
      <c r="L62" s="191">
        <f>IF(H62="","",ROUND(H62*Steuerungsdaten!$B$5,0))</f>
        <v>147</v>
      </c>
      <c r="M62" s="191">
        <f>IF(I62="","",ROUND(I62*Steuerungsdaten!$B$5,0))</f>
        <v>164</v>
      </c>
      <c r="N62" s="192">
        <f>IF(J62="","",ROUND(J62*Steuerungsdaten!$B$5,0))</f>
        <v>175</v>
      </c>
      <c r="O62" s="193">
        <v>56</v>
      </c>
      <c r="P62" s="193">
        <v>185</v>
      </c>
      <c r="Q62" s="193">
        <v>144</v>
      </c>
      <c r="R62" s="193">
        <v>190</v>
      </c>
    </row>
    <row r="63" spans="1:18" x14ac:dyDescent="0.25">
      <c r="A63" s="183">
        <v>3213</v>
      </c>
      <c r="B63" s="184" t="s">
        <v>90</v>
      </c>
      <c r="C63" s="184" t="s">
        <v>147</v>
      </c>
      <c r="D63" s="184" t="s">
        <v>161</v>
      </c>
      <c r="E63" s="185">
        <v>360</v>
      </c>
      <c r="F63" s="185">
        <v>980</v>
      </c>
      <c r="G63" s="186">
        <f>IF(O63="","",ROUND(O63*Steuerungsdaten!$B$4*IFERROR(VLOOKUP(C63,Steuerungsdaten!$A$12:$B$33,2,FALSE),1),0))</f>
        <v>53</v>
      </c>
      <c r="H63" s="186">
        <f>IF(P63="","",ROUND(P63*Steuerungsdaten!$B$4*IFERROR(VLOOKUP(C63,Steuerungsdaten!$A$12:$D$33,4,FALSE),1),0))</f>
        <v>154</v>
      </c>
      <c r="I63" s="186">
        <f>IF(Q63="","",ROUND(Q63*Steuerungsdaten!$B$4*IFERROR(VLOOKUP(C63,Steuerungsdaten!$A$12:$F$33,6,FALSE),1),0))</f>
        <v>172</v>
      </c>
      <c r="J63" s="186">
        <f>IF(R63="","",ROUND(R63*Steuerungsdaten!$B$4*IFERROR(VLOOKUP(C63,Steuerungsdaten!$A$12:$H$33,8,FALSE),1),0))</f>
        <v>167</v>
      </c>
      <c r="K63" s="186">
        <f>IF(G63="","",ROUND(G63*Steuerungsdaten!$B$5,0))</f>
        <v>61</v>
      </c>
      <c r="L63" s="186">
        <f>IF(H63="","",ROUND(H63*Steuerungsdaten!$B$5,0))</f>
        <v>177</v>
      </c>
      <c r="M63" s="186">
        <f>IF(I63="","",ROUND(I63*Steuerungsdaten!$B$5,0))</f>
        <v>198</v>
      </c>
      <c r="N63" s="187">
        <f>IF(J63="","",ROUND(J63*Steuerungsdaten!$B$5,0))</f>
        <v>192</v>
      </c>
      <c r="O63" s="193">
        <v>70</v>
      </c>
      <c r="P63" s="193">
        <v>223</v>
      </c>
      <c r="Q63" s="193">
        <v>174</v>
      </c>
      <c r="R63" s="193">
        <v>209</v>
      </c>
    </row>
    <row r="64" spans="1:18" x14ac:dyDescent="0.25">
      <c r="A64" s="188">
        <v>3214</v>
      </c>
      <c r="B64" s="189" t="s">
        <v>90</v>
      </c>
      <c r="C64" s="189" t="s">
        <v>147</v>
      </c>
      <c r="D64" s="189" t="s">
        <v>162</v>
      </c>
      <c r="E64" s="190">
        <v>720</v>
      </c>
      <c r="F64" s="190">
        <v>780</v>
      </c>
      <c r="G64" s="191">
        <f>IF(O64="","",ROUND(O64*Steuerungsdaten!$B$4*IFERROR(VLOOKUP(C64,Steuerungsdaten!$A$12:$B$33,2,FALSE),1),0))</f>
        <v>80</v>
      </c>
      <c r="H64" s="191">
        <f>IF(P64="","",ROUND(P64*Steuerungsdaten!$B$4*IFERROR(VLOOKUP(C64,Steuerungsdaten!$A$12:$D$33,4,FALSE),1),0))</f>
        <v>245</v>
      </c>
      <c r="I64" s="191">
        <f>IF(Q64="","",ROUND(Q64*Steuerungsdaten!$B$4*IFERROR(VLOOKUP(C64,Steuerungsdaten!$A$12:$F$33,6,FALSE),1),0))</f>
        <v>274</v>
      </c>
      <c r="J64" s="191">
        <f>IF(R64="","",ROUND(R64*Steuerungsdaten!$B$4*IFERROR(VLOOKUP(C64,Steuerungsdaten!$A$12:$H$33,8,FALSE),1),0))</f>
        <v>214</v>
      </c>
      <c r="K64" s="191">
        <f>IF(G64="","",ROUND(G64*Steuerungsdaten!$B$5,0))</f>
        <v>92</v>
      </c>
      <c r="L64" s="191">
        <f>IF(H64="","",ROUND(H64*Steuerungsdaten!$B$5,0))</f>
        <v>282</v>
      </c>
      <c r="M64" s="191">
        <f>IF(I64="","",ROUND(I64*Steuerungsdaten!$B$5,0))</f>
        <v>315</v>
      </c>
      <c r="N64" s="192">
        <f>IF(J64="","",ROUND(J64*Steuerungsdaten!$B$5,0))</f>
        <v>246</v>
      </c>
      <c r="O64" s="193">
        <v>107</v>
      </c>
      <c r="P64" s="193">
        <v>355</v>
      </c>
      <c r="Q64" s="193">
        <v>277</v>
      </c>
      <c r="R64" s="193">
        <v>268</v>
      </c>
    </row>
    <row r="65" spans="1:18" x14ac:dyDescent="0.25">
      <c r="A65" s="183">
        <v>3215</v>
      </c>
      <c r="B65" s="184" t="s">
        <v>90</v>
      </c>
      <c r="C65" s="184" t="s">
        <v>147</v>
      </c>
      <c r="D65" s="184" t="s">
        <v>163</v>
      </c>
      <c r="E65" s="185">
        <v>720</v>
      </c>
      <c r="F65" s="185">
        <v>980</v>
      </c>
      <c r="G65" s="186">
        <f>IF(O65="","",ROUND(O65*Steuerungsdaten!$B$4*IFERROR(VLOOKUP(C65,Steuerungsdaten!$A$12:$B$33,2,FALSE),1),0))</f>
        <v>101</v>
      </c>
      <c r="H65" s="186">
        <f>IF(P65="","",ROUND(P65*Steuerungsdaten!$B$4*IFERROR(VLOOKUP(C65,Steuerungsdaten!$A$12:$D$33,4,FALSE),1),0))</f>
        <v>280</v>
      </c>
      <c r="I65" s="186">
        <f>IF(Q65="","",ROUND(Q65*Steuerungsdaten!$B$4*IFERROR(VLOOKUP(C65,Steuerungsdaten!$A$12:$F$33,6,FALSE),1),0))</f>
        <v>317</v>
      </c>
      <c r="J65" s="186">
        <f>IF(R65="","",ROUND(R65*Steuerungsdaten!$B$4*IFERROR(VLOOKUP(C65,Steuerungsdaten!$A$12:$H$33,8,FALSE),1),0))</f>
        <v>263</v>
      </c>
      <c r="K65" s="186">
        <f>IF(G65="","",ROUND(G65*Steuerungsdaten!$B$5,0))</f>
        <v>116</v>
      </c>
      <c r="L65" s="186">
        <f>IF(H65="","",ROUND(H65*Steuerungsdaten!$B$5,0))</f>
        <v>322</v>
      </c>
      <c r="M65" s="186">
        <f>IF(I65="","",ROUND(I65*Steuerungsdaten!$B$5,0))</f>
        <v>365</v>
      </c>
      <c r="N65" s="187">
        <f>IF(J65="","",ROUND(J65*Steuerungsdaten!$B$5,0))</f>
        <v>302</v>
      </c>
      <c r="O65" s="193">
        <v>134</v>
      </c>
      <c r="P65" s="193">
        <v>406</v>
      </c>
      <c r="Q65" s="193">
        <v>320</v>
      </c>
      <c r="R65" s="193">
        <v>329</v>
      </c>
    </row>
    <row r="66" spans="1:18" x14ac:dyDescent="0.25">
      <c r="A66" s="188">
        <v>3216</v>
      </c>
      <c r="B66" s="189" t="s">
        <v>90</v>
      </c>
      <c r="C66" s="189" t="s">
        <v>147</v>
      </c>
      <c r="D66" s="189" t="s">
        <v>164</v>
      </c>
      <c r="E66" s="190">
        <v>1080</v>
      </c>
      <c r="F66" s="190">
        <v>780</v>
      </c>
      <c r="G66" s="191">
        <f>IF(O66="","",ROUND(O66*Steuerungsdaten!$B$4*IFERROR(VLOOKUP(C66,Steuerungsdaten!$A$12:$B$33,2,FALSE),1),0))</f>
        <v>121</v>
      </c>
      <c r="H66" s="191">
        <f>IF(P66="","",ROUND(P66*Steuerungsdaten!$B$4*IFERROR(VLOOKUP(C66,Steuerungsdaten!$A$12:$D$33,4,FALSE),1),0))</f>
        <v>357</v>
      </c>
      <c r="I66" s="191">
        <f>IF(Q66="","",ROUND(Q66*Steuerungsdaten!$B$4*IFERROR(VLOOKUP(C66,Steuerungsdaten!$A$12:$F$33,6,FALSE),1),0))</f>
        <v>405</v>
      </c>
      <c r="J66" s="191">
        <f>IF(R66="","",ROUND(R66*Steuerungsdaten!$B$4*IFERROR(VLOOKUP(C66,Steuerungsdaten!$A$12:$H$33,8,FALSE),1),0))</f>
        <v>308</v>
      </c>
      <c r="K66" s="191">
        <f>IF(G66="","",ROUND(G66*Steuerungsdaten!$B$5,0))</f>
        <v>139</v>
      </c>
      <c r="L66" s="191">
        <f>IF(H66="","",ROUND(H66*Steuerungsdaten!$B$5,0))</f>
        <v>411</v>
      </c>
      <c r="M66" s="191">
        <f>IF(I66="","",ROUND(I66*Steuerungsdaten!$B$5,0))</f>
        <v>466</v>
      </c>
      <c r="N66" s="192">
        <f>IF(J66="","",ROUND(J66*Steuerungsdaten!$B$5,0))</f>
        <v>354</v>
      </c>
      <c r="O66" s="193">
        <v>161</v>
      </c>
      <c r="P66" s="193">
        <v>517</v>
      </c>
      <c r="Q66" s="193">
        <v>409</v>
      </c>
      <c r="R66" s="193">
        <v>385</v>
      </c>
    </row>
    <row r="67" spans="1:18" x14ac:dyDescent="0.25">
      <c r="A67" s="183">
        <v>3217</v>
      </c>
      <c r="B67" s="184" t="s">
        <v>90</v>
      </c>
      <c r="C67" s="184" t="s">
        <v>147</v>
      </c>
      <c r="D67" s="184" t="s">
        <v>165</v>
      </c>
      <c r="E67" s="185">
        <v>1080</v>
      </c>
      <c r="F67" s="185">
        <v>980</v>
      </c>
      <c r="G67" s="186">
        <f>IF(O67="","",ROUND(O67*Steuerungsdaten!$B$4*IFERROR(VLOOKUP(C67,Steuerungsdaten!$A$12:$B$33,2,FALSE),1),0))</f>
        <v>150</v>
      </c>
      <c r="H67" s="186">
        <f>IF(P67="","",ROUND(P67*Steuerungsdaten!$B$4*IFERROR(VLOOKUP(C67,Steuerungsdaten!$A$12:$D$33,4,FALSE),1),0))</f>
        <v>432</v>
      </c>
      <c r="I67" s="186">
        <f>IF(Q67="","",ROUND(Q67*Steuerungsdaten!$B$4*IFERROR(VLOOKUP(C67,Steuerungsdaten!$A$12:$F$33,6,FALSE),1),0))</f>
        <v>469</v>
      </c>
      <c r="J67" s="186">
        <f>IF(R67="","",ROUND(R67*Steuerungsdaten!$B$4*IFERROR(VLOOKUP(C67,Steuerungsdaten!$A$12:$H$33,8,FALSE),1),0))</f>
        <v>345</v>
      </c>
      <c r="K67" s="186">
        <f>IF(G67="","",ROUND(G67*Steuerungsdaten!$B$5,0))</f>
        <v>173</v>
      </c>
      <c r="L67" s="186">
        <f>IF(H67="","",ROUND(H67*Steuerungsdaten!$B$5,0))</f>
        <v>497</v>
      </c>
      <c r="M67" s="186">
        <f>IF(I67="","",ROUND(I67*Steuerungsdaten!$B$5,0))</f>
        <v>539</v>
      </c>
      <c r="N67" s="187">
        <f>IF(J67="","",ROUND(J67*Steuerungsdaten!$B$5,0))</f>
        <v>397</v>
      </c>
      <c r="O67" s="193">
        <v>200</v>
      </c>
      <c r="P67" s="193">
        <v>626</v>
      </c>
      <c r="Q67" s="193">
        <v>474</v>
      </c>
      <c r="R67" s="193">
        <v>431</v>
      </c>
    </row>
    <row r="68" spans="1:18" x14ac:dyDescent="0.25">
      <c r="A68" s="188">
        <v>3218</v>
      </c>
      <c r="B68" s="189" t="s">
        <v>90</v>
      </c>
      <c r="C68" s="189" t="s">
        <v>147</v>
      </c>
      <c r="D68" s="189" t="s">
        <v>166</v>
      </c>
      <c r="E68" s="190">
        <v>1440</v>
      </c>
      <c r="F68" s="190">
        <v>780</v>
      </c>
      <c r="G68" s="191">
        <f>IF(O68="","",ROUND(O68*Steuerungsdaten!$B$4*IFERROR(VLOOKUP(C68,Steuerungsdaten!$A$12:$B$33,2,FALSE),1),0))</f>
        <v>158</v>
      </c>
      <c r="H68" s="191">
        <f>IF(P68="","",ROUND(P68*Steuerungsdaten!$B$4*IFERROR(VLOOKUP(C68,Steuerungsdaten!$A$12:$D$33,4,FALSE),1),0))</f>
        <v>435</v>
      </c>
      <c r="I68" s="191">
        <f>IF(Q68="","",ROUND(Q68*Steuerungsdaten!$B$4*IFERROR(VLOOKUP(C68,Steuerungsdaten!$A$12:$F$33,6,FALSE),1),0))</f>
        <v>494</v>
      </c>
      <c r="J68" s="191">
        <f>IF(R68="","",ROUND(R68*Steuerungsdaten!$B$4*IFERROR(VLOOKUP(C68,Steuerungsdaten!$A$12:$H$33,8,FALSE),1),0))</f>
        <v>751</v>
      </c>
      <c r="K68" s="191">
        <f>IF(G68="","",ROUND(G68*Steuerungsdaten!$B$5,0))</f>
        <v>182</v>
      </c>
      <c r="L68" s="191">
        <f>IF(H68="","",ROUND(H68*Steuerungsdaten!$B$5,0))</f>
        <v>500</v>
      </c>
      <c r="M68" s="191">
        <f>IF(I68="","",ROUND(I68*Steuerungsdaten!$B$5,0))</f>
        <v>568</v>
      </c>
      <c r="N68" s="192">
        <f>IF(J68="","",ROUND(J68*Steuerungsdaten!$B$5,0))</f>
        <v>864</v>
      </c>
      <c r="O68" s="193">
        <v>211</v>
      </c>
      <c r="P68" s="193">
        <v>630</v>
      </c>
      <c r="Q68" s="193">
        <v>499</v>
      </c>
      <c r="R68" s="193">
        <v>939</v>
      </c>
    </row>
    <row r="69" spans="1:18" x14ac:dyDescent="0.25">
      <c r="A69" s="183">
        <v>3219</v>
      </c>
      <c r="B69" s="184" t="s">
        <v>90</v>
      </c>
      <c r="C69" s="184" t="s">
        <v>147</v>
      </c>
      <c r="D69" s="184" t="s">
        <v>167</v>
      </c>
      <c r="E69" s="185">
        <v>1440</v>
      </c>
      <c r="F69" s="185">
        <v>980</v>
      </c>
      <c r="G69" s="186">
        <f>IF(O69="","",ROUND(O69*Steuerungsdaten!$B$4*IFERROR(VLOOKUP(C69,Steuerungsdaten!$A$12:$B$33,2,FALSE),1),0))</f>
        <v>198</v>
      </c>
      <c r="H69" s="186">
        <f>IF(P69="","",ROUND(P69*Steuerungsdaten!$B$4*IFERROR(VLOOKUP(C69,Steuerungsdaten!$A$12:$D$33,4,FALSE),1),0))</f>
        <v>537</v>
      </c>
      <c r="I69" s="186">
        <f>IF(Q69="","",ROUND(Q69*Steuerungsdaten!$B$4*IFERROR(VLOOKUP(C69,Steuerungsdaten!$A$12:$F$33,6,FALSE),1),0))</f>
        <v>610</v>
      </c>
      <c r="J69" s="186">
        <f>IF(R69="","",ROUND(R69*Steuerungsdaten!$B$4*IFERROR(VLOOKUP(C69,Steuerungsdaten!$A$12:$H$33,8,FALSE),1),0))</f>
        <v>927</v>
      </c>
      <c r="K69" s="186">
        <f>IF(G69="","",ROUND(G69*Steuerungsdaten!$B$5,0))</f>
        <v>228</v>
      </c>
      <c r="L69" s="186">
        <f>IF(H69="","",ROUND(H69*Steuerungsdaten!$B$5,0))</f>
        <v>618</v>
      </c>
      <c r="M69" s="186">
        <f>IF(I69="","",ROUND(I69*Steuerungsdaten!$B$5,0))</f>
        <v>702</v>
      </c>
      <c r="N69" s="187">
        <f>IF(J69="","",ROUND(J69*Steuerungsdaten!$B$5,0))</f>
        <v>1066</v>
      </c>
      <c r="O69" s="193">
        <v>264</v>
      </c>
      <c r="P69" s="193">
        <v>778</v>
      </c>
      <c r="Q69" s="193">
        <v>616</v>
      </c>
      <c r="R69" s="193">
        <v>1159</v>
      </c>
    </row>
    <row r="70" spans="1:18" x14ac:dyDescent="0.25">
      <c r="A70" s="188">
        <v>3220</v>
      </c>
      <c r="B70" s="189" t="s">
        <v>90</v>
      </c>
      <c r="C70" s="189" t="s">
        <v>147</v>
      </c>
      <c r="D70" s="189" t="s">
        <v>168</v>
      </c>
      <c r="E70" s="190">
        <v>1800</v>
      </c>
      <c r="F70" s="190">
        <v>780</v>
      </c>
      <c r="G70" s="191">
        <f>IF(O70="","",ROUND(O70*Steuerungsdaten!$B$4*IFERROR(VLOOKUP(C70,Steuerungsdaten!$A$12:$B$33,2,FALSE),1),0))</f>
        <v>198</v>
      </c>
      <c r="H70" s="191">
        <f>IF(P70="","",ROUND(P70*Steuerungsdaten!$B$4*IFERROR(VLOOKUP(C70,Steuerungsdaten!$A$12:$D$33,4,FALSE),1),0))</f>
        <v>359</v>
      </c>
      <c r="I70" s="191">
        <f>IF(Q70="","",ROUND(Q70*Steuerungsdaten!$B$4*IFERROR(VLOOKUP(C70,Steuerungsdaten!$A$12:$F$33,6,FALSE),1),0))</f>
        <v>606</v>
      </c>
      <c r="J70" s="191">
        <f>IF(R70="","",ROUND(R70*Steuerungsdaten!$B$4*IFERROR(VLOOKUP(C70,Steuerungsdaten!$A$12:$H$33,8,FALSE),1),0))</f>
        <v>921</v>
      </c>
      <c r="K70" s="191">
        <f>IF(G70="","",ROUND(G70*Steuerungsdaten!$B$5,0))</f>
        <v>228</v>
      </c>
      <c r="L70" s="191">
        <f>IF(H70="","",ROUND(H70*Steuerungsdaten!$B$5,0))</f>
        <v>413</v>
      </c>
      <c r="M70" s="191">
        <f>IF(I70="","",ROUND(I70*Steuerungsdaten!$B$5,0))</f>
        <v>697</v>
      </c>
      <c r="N70" s="192">
        <f>IF(J70="","",ROUND(J70*Steuerungsdaten!$B$5,0))</f>
        <v>1059</v>
      </c>
      <c r="O70" s="193">
        <v>264</v>
      </c>
      <c r="P70" s="193">
        <v>520</v>
      </c>
      <c r="Q70" s="193">
        <v>612</v>
      </c>
      <c r="R70" s="193">
        <v>1151</v>
      </c>
    </row>
    <row r="71" spans="1:18" x14ac:dyDescent="0.25">
      <c r="A71" s="183">
        <v>3221</v>
      </c>
      <c r="B71" s="184" t="s">
        <v>90</v>
      </c>
      <c r="C71" s="184" t="s">
        <v>147</v>
      </c>
      <c r="D71" s="184" t="s">
        <v>169</v>
      </c>
      <c r="E71" s="185">
        <v>1800</v>
      </c>
      <c r="F71" s="185">
        <v>980</v>
      </c>
      <c r="G71" s="186">
        <f>IF(O71="","",ROUND(O71*Steuerungsdaten!$B$4*IFERROR(VLOOKUP(C71,Steuerungsdaten!$A$12:$B$33,2,FALSE),1),0))</f>
        <v>247</v>
      </c>
      <c r="H71" s="186">
        <f>IF(P71="","",ROUND(P71*Steuerungsdaten!$B$4*IFERROR(VLOOKUP(C71,Steuerungsdaten!$A$12:$D$33,4,FALSE),1),0))</f>
        <v>447</v>
      </c>
      <c r="I71" s="186">
        <f>IF(Q71="","",ROUND(Q71*Steuerungsdaten!$B$4*IFERROR(VLOOKUP(C71,Steuerungsdaten!$A$12:$F$33,6,FALSE),1),0))</f>
        <v>745</v>
      </c>
      <c r="J71" s="186">
        <f>IF(R71="","",ROUND(R71*Steuerungsdaten!$B$4*IFERROR(VLOOKUP(C71,Steuerungsdaten!$A$12:$H$33,8,FALSE),1),0))</f>
        <v>1134</v>
      </c>
      <c r="K71" s="186">
        <f>IF(G71="","",ROUND(G71*Steuerungsdaten!$B$5,0))</f>
        <v>284</v>
      </c>
      <c r="L71" s="186">
        <f>IF(H71="","",ROUND(H71*Steuerungsdaten!$B$5,0))</f>
        <v>514</v>
      </c>
      <c r="M71" s="186">
        <f>IF(I71="","",ROUND(I71*Steuerungsdaten!$B$5,0))</f>
        <v>857</v>
      </c>
      <c r="N71" s="187">
        <f>IF(J71="","",ROUND(J71*Steuerungsdaten!$B$5,0))</f>
        <v>1304</v>
      </c>
      <c r="O71" s="193">
        <v>329</v>
      </c>
      <c r="P71" s="193">
        <v>648</v>
      </c>
      <c r="Q71" s="193">
        <v>753</v>
      </c>
      <c r="R71" s="193">
        <v>1417</v>
      </c>
    </row>
    <row r="72" spans="1:18" ht="21.95" customHeight="1" x14ac:dyDescent="0.25">
      <c r="A72" s="176" t="s">
        <v>170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93"/>
      <c r="P72" s="193"/>
      <c r="Q72" s="193"/>
      <c r="R72" s="193"/>
    </row>
    <row r="73" spans="1:18" x14ac:dyDescent="0.25">
      <c r="A73" s="178">
        <v>3300</v>
      </c>
      <c r="B73" s="179" t="s">
        <v>90</v>
      </c>
      <c r="C73" s="179" t="s">
        <v>170</v>
      </c>
      <c r="D73" s="179" t="s">
        <v>171</v>
      </c>
      <c r="E73" s="180">
        <v>360</v>
      </c>
      <c r="F73" s="180">
        <v>180</v>
      </c>
      <c r="G73" s="181">
        <f>IF(O73="","",ROUND(O73*Steuerungsdaten!$B$4*IFERROR(VLOOKUP(C73,Steuerungsdaten!$A$12:$B$33,2,FALSE),1),0))</f>
        <v>26</v>
      </c>
      <c r="H73" s="181">
        <f>IF(P73="","",ROUND(P73*Steuerungsdaten!$B$4*IFERROR(VLOOKUP(C73,Steuerungsdaten!$A$12:$D$33,4,FALSE),1),0))</f>
        <v>81</v>
      </c>
      <c r="I73" s="181">
        <f>IF(Q73="","",ROUND(Q73*Steuerungsdaten!$B$4*IFERROR(VLOOKUP(C73,Steuerungsdaten!$A$12:$F$33,6,FALSE),1),0))</f>
        <v>89</v>
      </c>
      <c r="J73" s="181">
        <f>IF(R73="","",ROUND(R73*Steuerungsdaten!$B$4*IFERROR(VLOOKUP(C73,Steuerungsdaten!$A$12:$H$33,8,FALSE),1),0))</f>
        <v>161</v>
      </c>
      <c r="K73" s="181">
        <f>IF(G73="","",ROUND(G73*Steuerungsdaten!$B$5,0))</f>
        <v>30</v>
      </c>
      <c r="L73" s="181">
        <f>IF(H73="","",ROUND(H73*Steuerungsdaten!$B$5,0))</f>
        <v>93</v>
      </c>
      <c r="M73" s="181">
        <f>IF(I73="","",ROUND(I73*Steuerungsdaten!$B$5,0))</f>
        <v>102</v>
      </c>
      <c r="N73" s="182">
        <f>IF(J73="","",ROUND(J73*Steuerungsdaten!$B$5,0))</f>
        <v>185</v>
      </c>
      <c r="O73" s="193">
        <v>34</v>
      </c>
      <c r="P73" s="193">
        <v>114</v>
      </c>
      <c r="Q73" s="193">
        <v>89</v>
      </c>
      <c r="R73" s="193">
        <v>201</v>
      </c>
    </row>
    <row r="74" spans="1:18" x14ac:dyDescent="0.25">
      <c r="A74" s="183">
        <v>3301</v>
      </c>
      <c r="B74" s="184" t="s">
        <v>90</v>
      </c>
      <c r="C74" s="184" t="s">
        <v>170</v>
      </c>
      <c r="D74" s="184" t="s">
        <v>172</v>
      </c>
      <c r="E74" s="185">
        <v>420</v>
      </c>
      <c r="F74" s="185">
        <v>180</v>
      </c>
      <c r="G74" s="186">
        <f>IF(O74="","",ROUND(O74*Steuerungsdaten!$B$4*IFERROR(VLOOKUP(C74,Steuerungsdaten!$A$12:$B$33,2,FALSE),1),0))</f>
        <v>26</v>
      </c>
      <c r="H74" s="186">
        <f>IF(P74="","",ROUND(P74*Steuerungsdaten!$B$4*IFERROR(VLOOKUP(C74,Steuerungsdaten!$A$12:$D$33,4,FALSE),1),0))</f>
        <v>86</v>
      </c>
      <c r="I74" s="186">
        <f>IF(Q74="","",ROUND(Q74*Steuerungsdaten!$B$4*IFERROR(VLOOKUP(C74,Steuerungsdaten!$A$12:$F$33,6,FALSE),1),0))</f>
        <v>92</v>
      </c>
      <c r="J74" s="186">
        <f>IF(R74="","",ROUND(R74*Steuerungsdaten!$B$4*IFERROR(VLOOKUP(C74,Steuerungsdaten!$A$12:$H$33,8,FALSE),1),0))</f>
        <v>162</v>
      </c>
      <c r="K74" s="186">
        <f>IF(G74="","",ROUND(G74*Steuerungsdaten!$B$5,0))</f>
        <v>30</v>
      </c>
      <c r="L74" s="186">
        <f>IF(H74="","",ROUND(H74*Steuerungsdaten!$B$5,0))</f>
        <v>99</v>
      </c>
      <c r="M74" s="186">
        <f>IF(I74="","",ROUND(I74*Steuerungsdaten!$B$5,0))</f>
        <v>106</v>
      </c>
      <c r="N74" s="187">
        <f>IF(J74="","",ROUND(J74*Steuerungsdaten!$B$5,0))</f>
        <v>186</v>
      </c>
      <c r="O74" s="193">
        <v>34</v>
      </c>
      <c r="P74" s="193">
        <v>121</v>
      </c>
      <c r="Q74" s="193">
        <v>92</v>
      </c>
      <c r="R74" s="193">
        <v>202</v>
      </c>
    </row>
    <row r="75" spans="1:18" x14ac:dyDescent="0.25">
      <c r="A75" s="188">
        <v>3302</v>
      </c>
      <c r="B75" s="189" t="s">
        <v>90</v>
      </c>
      <c r="C75" s="189" t="s">
        <v>170</v>
      </c>
      <c r="D75" s="189" t="s">
        <v>173</v>
      </c>
      <c r="E75" s="190">
        <v>580</v>
      </c>
      <c r="F75" s="190">
        <v>180</v>
      </c>
      <c r="G75" s="191">
        <f>IF(O75="","",ROUND(O75*Steuerungsdaten!$B$4*IFERROR(VLOOKUP(C75,Steuerungsdaten!$A$12:$B$33,2,FALSE),1),0))</f>
        <v>32</v>
      </c>
      <c r="H75" s="191">
        <f>IF(P75="","",ROUND(P75*Steuerungsdaten!$B$4*IFERROR(VLOOKUP(C75,Steuerungsdaten!$A$12:$D$33,4,FALSE),1),0))</f>
        <v>114</v>
      </c>
      <c r="I75" s="191">
        <f>IF(Q75="","",ROUND(Q75*Steuerungsdaten!$B$4*IFERROR(VLOOKUP(C75,Steuerungsdaten!$A$12:$F$33,6,FALSE),1),0))</f>
        <v>130</v>
      </c>
      <c r="J75" s="191">
        <f>IF(R75="","",ROUND(R75*Steuerungsdaten!$B$4*IFERROR(VLOOKUP(C75,Steuerungsdaten!$A$12:$H$33,8,FALSE),1),0))</f>
        <v>166</v>
      </c>
      <c r="K75" s="191">
        <f>IF(G75="","",ROUND(G75*Steuerungsdaten!$B$5,0))</f>
        <v>37</v>
      </c>
      <c r="L75" s="191">
        <f>IF(H75="","",ROUND(H75*Steuerungsdaten!$B$5,0))</f>
        <v>131</v>
      </c>
      <c r="M75" s="191">
        <f>IF(I75="","",ROUND(I75*Steuerungsdaten!$B$5,0))</f>
        <v>150</v>
      </c>
      <c r="N75" s="192">
        <f>IF(J75="","",ROUND(J75*Steuerungsdaten!$B$5,0))</f>
        <v>191</v>
      </c>
      <c r="O75" s="193">
        <v>43</v>
      </c>
      <c r="P75" s="193">
        <v>161</v>
      </c>
      <c r="Q75" s="193">
        <v>130</v>
      </c>
      <c r="R75" s="193">
        <v>208</v>
      </c>
    </row>
    <row r="76" spans="1:18" x14ac:dyDescent="0.25">
      <c r="A76" s="183">
        <v>3303</v>
      </c>
      <c r="B76" s="184" t="s">
        <v>90</v>
      </c>
      <c r="C76" s="184" t="s">
        <v>170</v>
      </c>
      <c r="D76" s="184" t="s">
        <v>174</v>
      </c>
      <c r="E76" s="185">
        <v>780</v>
      </c>
      <c r="F76" s="185">
        <v>180</v>
      </c>
      <c r="G76" s="186">
        <f>IF(O76="","",ROUND(O76*Steuerungsdaten!$B$4*IFERROR(VLOOKUP(C76,Steuerungsdaten!$A$12:$B$33,2,FALSE),1),0))</f>
        <v>42</v>
      </c>
      <c r="H76" s="186">
        <f>IF(P76="","",ROUND(P76*Steuerungsdaten!$B$4*IFERROR(VLOOKUP(C76,Steuerungsdaten!$A$12:$D$33,4,FALSE),1),0))</f>
        <v>131</v>
      </c>
      <c r="I76" s="186">
        <f>IF(Q76="","",ROUND(Q76*Steuerungsdaten!$B$4*IFERROR(VLOOKUP(C76,Steuerungsdaten!$A$12:$F$33,6,FALSE),1),0))</f>
        <v>144</v>
      </c>
      <c r="J76" s="186">
        <f>IF(R76="","",ROUND(R76*Steuerungsdaten!$B$4*IFERROR(VLOOKUP(C76,Steuerungsdaten!$A$12:$H$33,8,FALSE),1),0))</f>
        <v>170</v>
      </c>
      <c r="K76" s="186">
        <f>IF(G76="","",ROUND(G76*Steuerungsdaten!$B$5,0))</f>
        <v>48</v>
      </c>
      <c r="L76" s="186">
        <f>IF(H76="","",ROUND(H76*Steuerungsdaten!$B$5,0))</f>
        <v>151</v>
      </c>
      <c r="M76" s="186">
        <f>IF(I76="","",ROUND(I76*Steuerungsdaten!$B$5,0))</f>
        <v>166</v>
      </c>
      <c r="N76" s="187">
        <f>IF(J76="","",ROUND(J76*Steuerungsdaten!$B$5,0))</f>
        <v>196</v>
      </c>
      <c r="O76" s="193">
        <v>56</v>
      </c>
      <c r="P76" s="193">
        <v>185</v>
      </c>
      <c r="Q76" s="193">
        <v>144</v>
      </c>
      <c r="R76" s="193">
        <v>212</v>
      </c>
    </row>
    <row r="77" spans="1:18" x14ac:dyDescent="0.25">
      <c r="A77" s="188">
        <v>3304</v>
      </c>
      <c r="B77" s="189" t="s">
        <v>90</v>
      </c>
      <c r="C77" s="189" t="s">
        <v>170</v>
      </c>
      <c r="D77" s="189" t="s">
        <v>175</v>
      </c>
      <c r="E77" s="190">
        <v>980</v>
      </c>
      <c r="F77" s="190">
        <v>180</v>
      </c>
      <c r="G77" s="191">
        <f>IF(O77="","",ROUND(O77*Steuerungsdaten!$B$4*IFERROR(VLOOKUP(C77,Steuerungsdaten!$A$12:$B$33,2,FALSE),1),0))</f>
        <v>53</v>
      </c>
      <c r="H77" s="191">
        <f>IF(P77="","",ROUND(P77*Steuerungsdaten!$B$4*IFERROR(VLOOKUP(C77,Steuerungsdaten!$A$12:$D$33,4,FALSE),1),0))</f>
        <v>158</v>
      </c>
      <c r="I77" s="191">
        <f>IF(Q77="","",ROUND(Q77*Steuerungsdaten!$B$4*IFERROR(VLOOKUP(C77,Steuerungsdaten!$A$12:$F$33,6,FALSE),1),0))</f>
        <v>174</v>
      </c>
      <c r="J77" s="191">
        <f>IF(R77="","",ROUND(R77*Steuerungsdaten!$B$4*IFERROR(VLOOKUP(C77,Steuerungsdaten!$A$12:$H$33,8,FALSE),1),0))</f>
        <v>183</v>
      </c>
      <c r="K77" s="191">
        <f>IF(G77="","",ROUND(G77*Steuerungsdaten!$B$5,0))</f>
        <v>61</v>
      </c>
      <c r="L77" s="191">
        <f>IF(H77="","",ROUND(H77*Steuerungsdaten!$B$5,0))</f>
        <v>182</v>
      </c>
      <c r="M77" s="191">
        <f>IF(I77="","",ROUND(I77*Steuerungsdaten!$B$5,0))</f>
        <v>200</v>
      </c>
      <c r="N77" s="192">
        <f>IF(J77="","",ROUND(J77*Steuerungsdaten!$B$5,0))</f>
        <v>210</v>
      </c>
      <c r="O77" s="193">
        <v>70</v>
      </c>
      <c r="P77" s="193">
        <v>223</v>
      </c>
      <c r="Q77" s="193">
        <v>174</v>
      </c>
      <c r="R77" s="193">
        <v>229</v>
      </c>
    </row>
    <row r="78" spans="1:18" x14ac:dyDescent="0.25">
      <c r="A78" s="183">
        <v>3305</v>
      </c>
      <c r="B78" s="184" t="s">
        <v>90</v>
      </c>
      <c r="C78" s="184" t="s">
        <v>170</v>
      </c>
      <c r="D78" s="184" t="s">
        <v>176</v>
      </c>
      <c r="E78" s="185">
        <v>360</v>
      </c>
      <c r="F78" s="185">
        <v>360</v>
      </c>
      <c r="G78" s="186">
        <f>IF(O78="","",ROUND(O78*Steuerungsdaten!$B$4*IFERROR(VLOOKUP(C78,Steuerungsdaten!$A$12:$B$33,2,FALSE),1),0))</f>
        <v>26</v>
      </c>
      <c r="H78" s="186">
        <f>IF(P78="","",ROUND(P78*Steuerungsdaten!$B$4*IFERROR(VLOOKUP(C78,Steuerungsdaten!$A$12:$D$33,4,FALSE),1),0))</f>
        <v>81</v>
      </c>
      <c r="I78" s="186">
        <f>IF(Q78="","",ROUND(Q78*Steuerungsdaten!$B$4*IFERROR(VLOOKUP(C78,Steuerungsdaten!$A$12:$F$33,6,FALSE),1),0))</f>
        <v>89</v>
      </c>
      <c r="J78" s="186">
        <f>IF(R78="","",ROUND(R78*Steuerungsdaten!$B$4*IFERROR(VLOOKUP(C78,Steuerungsdaten!$A$12:$H$33,8,FALSE),1),0))</f>
        <v>142</v>
      </c>
      <c r="K78" s="186">
        <f>IF(G78="","",ROUND(G78*Steuerungsdaten!$B$5,0))</f>
        <v>30</v>
      </c>
      <c r="L78" s="186">
        <f>IF(H78="","",ROUND(H78*Steuerungsdaten!$B$5,0))</f>
        <v>93</v>
      </c>
      <c r="M78" s="186">
        <f>IF(I78="","",ROUND(I78*Steuerungsdaten!$B$5,0))</f>
        <v>102</v>
      </c>
      <c r="N78" s="187">
        <f>IF(J78="","",ROUND(J78*Steuerungsdaten!$B$5,0))</f>
        <v>163</v>
      </c>
      <c r="O78" s="193">
        <v>34</v>
      </c>
      <c r="P78" s="193">
        <v>114</v>
      </c>
      <c r="Q78" s="193">
        <v>89</v>
      </c>
      <c r="R78" s="193">
        <v>177</v>
      </c>
    </row>
    <row r="79" spans="1:18" x14ac:dyDescent="0.25">
      <c r="A79" s="188">
        <v>3306</v>
      </c>
      <c r="B79" s="189" t="s">
        <v>90</v>
      </c>
      <c r="C79" s="189" t="s">
        <v>170</v>
      </c>
      <c r="D79" s="189" t="s">
        <v>177</v>
      </c>
      <c r="E79" s="190">
        <v>420</v>
      </c>
      <c r="F79" s="190">
        <v>360</v>
      </c>
      <c r="G79" s="191">
        <f>IF(O79="","",ROUND(O79*Steuerungsdaten!$B$4*IFERROR(VLOOKUP(C79,Steuerungsdaten!$A$12:$B$33,2,FALSE),1),0))</f>
        <v>26</v>
      </c>
      <c r="H79" s="191">
        <f>IF(P79="","",ROUND(P79*Steuerungsdaten!$B$4*IFERROR(VLOOKUP(C79,Steuerungsdaten!$A$12:$D$33,4,FALSE),1),0))</f>
        <v>86</v>
      </c>
      <c r="I79" s="191">
        <f>IF(Q79="","",ROUND(Q79*Steuerungsdaten!$B$4*IFERROR(VLOOKUP(C79,Steuerungsdaten!$A$12:$F$33,6,FALSE),1),0))</f>
        <v>92</v>
      </c>
      <c r="J79" s="191">
        <f>IF(R79="","",ROUND(R79*Steuerungsdaten!$B$4*IFERROR(VLOOKUP(C79,Steuerungsdaten!$A$12:$H$33,8,FALSE),1),0))</f>
        <v>142</v>
      </c>
      <c r="K79" s="191">
        <f>IF(G79="","",ROUND(G79*Steuerungsdaten!$B$5,0))</f>
        <v>30</v>
      </c>
      <c r="L79" s="191">
        <f>IF(H79="","",ROUND(H79*Steuerungsdaten!$B$5,0))</f>
        <v>99</v>
      </c>
      <c r="M79" s="191">
        <f>IF(I79="","",ROUND(I79*Steuerungsdaten!$B$5,0))</f>
        <v>106</v>
      </c>
      <c r="N79" s="192">
        <f>IF(J79="","",ROUND(J79*Steuerungsdaten!$B$5,0))</f>
        <v>163</v>
      </c>
      <c r="O79" s="193">
        <v>34</v>
      </c>
      <c r="P79" s="193">
        <v>121</v>
      </c>
      <c r="Q79" s="193">
        <v>92</v>
      </c>
      <c r="R79" s="193">
        <v>178</v>
      </c>
    </row>
    <row r="80" spans="1:18" x14ac:dyDescent="0.25">
      <c r="A80" s="183">
        <v>3307</v>
      </c>
      <c r="B80" s="184" t="s">
        <v>90</v>
      </c>
      <c r="C80" s="184" t="s">
        <v>170</v>
      </c>
      <c r="D80" s="184" t="s">
        <v>178</v>
      </c>
      <c r="E80" s="185">
        <v>580</v>
      </c>
      <c r="F80" s="185">
        <v>360</v>
      </c>
      <c r="G80" s="186">
        <f>IF(O80="","",ROUND(O80*Steuerungsdaten!$B$4*IFERROR(VLOOKUP(C80,Steuerungsdaten!$A$12:$B$33,2,FALSE),1),0))</f>
        <v>32</v>
      </c>
      <c r="H80" s="186">
        <f>IF(P80="","",ROUND(P80*Steuerungsdaten!$B$4*IFERROR(VLOOKUP(C80,Steuerungsdaten!$A$12:$D$33,4,FALSE),1),0))</f>
        <v>114</v>
      </c>
      <c r="I80" s="186">
        <f>IF(Q80="","",ROUND(Q80*Steuerungsdaten!$B$4*IFERROR(VLOOKUP(C80,Steuerungsdaten!$A$12:$F$33,6,FALSE),1),0))</f>
        <v>130</v>
      </c>
      <c r="J80" s="186">
        <f>IF(R80="","",ROUND(R80*Steuerungsdaten!$B$4*IFERROR(VLOOKUP(C80,Steuerungsdaten!$A$12:$H$33,8,FALSE),1),0))</f>
        <v>148</v>
      </c>
      <c r="K80" s="186">
        <f>IF(G80="","",ROUND(G80*Steuerungsdaten!$B$5,0))</f>
        <v>37</v>
      </c>
      <c r="L80" s="186">
        <f>IF(H80="","",ROUND(H80*Steuerungsdaten!$B$5,0))</f>
        <v>131</v>
      </c>
      <c r="M80" s="186">
        <f>IF(I80="","",ROUND(I80*Steuerungsdaten!$B$5,0))</f>
        <v>150</v>
      </c>
      <c r="N80" s="187">
        <f>IF(J80="","",ROUND(J80*Steuerungsdaten!$B$5,0))</f>
        <v>170</v>
      </c>
      <c r="O80" s="193">
        <v>43</v>
      </c>
      <c r="P80" s="193">
        <v>161</v>
      </c>
      <c r="Q80" s="193">
        <v>130</v>
      </c>
      <c r="R80" s="193">
        <v>185</v>
      </c>
    </row>
    <row r="81" spans="1:18" x14ac:dyDescent="0.25">
      <c r="A81" s="188">
        <v>3308</v>
      </c>
      <c r="B81" s="189" t="s">
        <v>90</v>
      </c>
      <c r="C81" s="189" t="s">
        <v>170</v>
      </c>
      <c r="D81" s="189" t="s">
        <v>179</v>
      </c>
      <c r="E81" s="190">
        <v>780</v>
      </c>
      <c r="F81" s="190">
        <v>360</v>
      </c>
      <c r="G81" s="191">
        <f>IF(O81="","",ROUND(O81*Steuerungsdaten!$B$4*IFERROR(VLOOKUP(C81,Steuerungsdaten!$A$12:$B$33,2,FALSE),1),0))</f>
        <v>42</v>
      </c>
      <c r="H81" s="191">
        <f>IF(P81="","",ROUND(P81*Steuerungsdaten!$B$4*IFERROR(VLOOKUP(C81,Steuerungsdaten!$A$12:$D$33,4,FALSE),1),0))</f>
        <v>131</v>
      </c>
      <c r="I81" s="191">
        <f>IF(Q81="","",ROUND(Q81*Steuerungsdaten!$B$4*IFERROR(VLOOKUP(C81,Steuerungsdaten!$A$12:$F$33,6,FALSE),1),0))</f>
        <v>144</v>
      </c>
      <c r="J81" s="191">
        <f>IF(R81="","",ROUND(R81*Steuerungsdaten!$B$4*IFERROR(VLOOKUP(C81,Steuerungsdaten!$A$12:$H$33,8,FALSE),1),0))</f>
        <v>152</v>
      </c>
      <c r="K81" s="191">
        <f>IF(G81="","",ROUND(G81*Steuerungsdaten!$B$5,0))</f>
        <v>48</v>
      </c>
      <c r="L81" s="191">
        <f>IF(H81="","",ROUND(H81*Steuerungsdaten!$B$5,0))</f>
        <v>151</v>
      </c>
      <c r="M81" s="191">
        <f>IF(I81="","",ROUND(I81*Steuerungsdaten!$B$5,0))</f>
        <v>166</v>
      </c>
      <c r="N81" s="192">
        <f>IF(J81="","",ROUND(J81*Steuerungsdaten!$B$5,0))</f>
        <v>175</v>
      </c>
      <c r="O81" s="193">
        <v>56</v>
      </c>
      <c r="P81" s="193">
        <v>185</v>
      </c>
      <c r="Q81" s="193">
        <v>144</v>
      </c>
      <c r="R81" s="193">
        <v>190</v>
      </c>
    </row>
    <row r="82" spans="1:18" x14ac:dyDescent="0.25">
      <c r="A82" s="183">
        <v>3309</v>
      </c>
      <c r="B82" s="184" t="s">
        <v>90</v>
      </c>
      <c r="C82" s="184" t="s">
        <v>170</v>
      </c>
      <c r="D82" s="184" t="s">
        <v>180</v>
      </c>
      <c r="E82" s="185">
        <v>980</v>
      </c>
      <c r="F82" s="185">
        <v>360</v>
      </c>
      <c r="G82" s="186">
        <f>IF(O82="","",ROUND(O82*Steuerungsdaten!$B$4*IFERROR(VLOOKUP(C82,Steuerungsdaten!$A$12:$B$33,2,FALSE),1),0))</f>
        <v>53</v>
      </c>
      <c r="H82" s="186">
        <f>IF(P82="","",ROUND(P82*Steuerungsdaten!$B$4*IFERROR(VLOOKUP(C82,Steuerungsdaten!$A$12:$D$33,4,FALSE),1),0))</f>
        <v>158</v>
      </c>
      <c r="I82" s="186">
        <f>IF(Q82="","",ROUND(Q82*Steuerungsdaten!$B$4*IFERROR(VLOOKUP(C82,Steuerungsdaten!$A$12:$F$33,6,FALSE),1),0))</f>
        <v>174</v>
      </c>
      <c r="J82" s="186">
        <f>IF(R82="","",ROUND(R82*Steuerungsdaten!$B$4*IFERROR(VLOOKUP(C82,Steuerungsdaten!$A$12:$H$33,8,FALSE),1),0))</f>
        <v>167</v>
      </c>
      <c r="K82" s="186">
        <f>IF(G82="","",ROUND(G82*Steuerungsdaten!$B$5,0))</f>
        <v>61</v>
      </c>
      <c r="L82" s="186">
        <f>IF(H82="","",ROUND(H82*Steuerungsdaten!$B$5,0))</f>
        <v>182</v>
      </c>
      <c r="M82" s="186">
        <f>IF(I82="","",ROUND(I82*Steuerungsdaten!$B$5,0))</f>
        <v>200</v>
      </c>
      <c r="N82" s="187">
        <f>IF(J82="","",ROUND(J82*Steuerungsdaten!$B$5,0))</f>
        <v>192</v>
      </c>
      <c r="O82" s="193">
        <v>70</v>
      </c>
      <c r="P82" s="193">
        <v>223</v>
      </c>
      <c r="Q82" s="193">
        <v>174</v>
      </c>
      <c r="R82" s="193">
        <v>209</v>
      </c>
    </row>
    <row r="83" spans="1:18" x14ac:dyDescent="0.25">
      <c r="A83" s="188">
        <v>3310</v>
      </c>
      <c r="B83" s="189" t="s">
        <v>90</v>
      </c>
      <c r="C83" s="189" t="s">
        <v>170</v>
      </c>
      <c r="D83" s="189" t="s">
        <v>181</v>
      </c>
      <c r="E83" s="190">
        <v>360</v>
      </c>
      <c r="F83" s="190">
        <v>720</v>
      </c>
      <c r="G83" s="191">
        <f>IF(O83="","",ROUND(O83*Steuerungsdaten!$B$4*IFERROR(VLOOKUP(C83,Steuerungsdaten!$A$12:$B$33,2,FALSE),1),0))</f>
        <v>39</v>
      </c>
      <c r="H83" s="191">
        <f>IF(P83="","",ROUND(P83*Steuerungsdaten!$B$4*IFERROR(VLOOKUP(C83,Steuerungsdaten!$A$12:$D$33,4,FALSE),1),0))</f>
        <v>129</v>
      </c>
      <c r="I83" s="191">
        <f>IF(Q83="","",ROUND(Q83*Steuerungsdaten!$B$4*IFERROR(VLOOKUP(C83,Steuerungsdaten!$A$12:$F$33,6,FALSE),1),0))</f>
        <v>143</v>
      </c>
      <c r="J83" s="191">
        <f>IF(R83="","",ROUND(R83*Steuerungsdaten!$B$4*IFERROR(VLOOKUP(C83,Steuerungsdaten!$A$12:$H$33,8,FALSE),1),0))</f>
        <v>170</v>
      </c>
      <c r="K83" s="191">
        <f>IF(G83="","",ROUND(G83*Steuerungsdaten!$B$5,0))</f>
        <v>45</v>
      </c>
      <c r="L83" s="191">
        <f>IF(H83="","",ROUND(H83*Steuerungsdaten!$B$5,0))</f>
        <v>148</v>
      </c>
      <c r="M83" s="191">
        <f>IF(I83="","",ROUND(I83*Steuerungsdaten!$B$5,0))</f>
        <v>164</v>
      </c>
      <c r="N83" s="192">
        <f>IF(J83="","",ROUND(J83*Steuerungsdaten!$B$5,0))</f>
        <v>196</v>
      </c>
      <c r="O83" s="193">
        <v>52</v>
      </c>
      <c r="P83" s="193">
        <v>181</v>
      </c>
      <c r="Q83" s="193">
        <v>143</v>
      </c>
      <c r="R83" s="193">
        <v>212</v>
      </c>
    </row>
    <row r="84" spans="1:18" x14ac:dyDescent="0.25">
      <c r="A84" s="183">
        <v>3311</v>
      </c>
      <c r="B84" s="184" t="s">
        <v>90</v>
      </c>
      <c r="C84" s="184" t="s">
        <v>170</v>
      </c>
      <c r="D84" s="184" t="s">
        <v>182</v>
      </c>
      <c r="E84" s="185">
        <v>420</v>
      </c>
      <c r="F84" s="185">
        <v>720</v>
      </c>
      <c r="G84" s="186">
        <f>IF(O84="","",ROUND(O84*Steuerungsdaten!$B$4*IFERROR(VLOOKUP(C84,Steuerungsdaten!$A$12:$B$33,2,FALSE),1),0))</f>
        <v>45</v>
      </c>
      <c r="H84" s="186">
        <f>IF(P84="","",ROUND(P84*Steuerungsdaten!$B$4*IFERROR(VLOOKUP(C84,Steuerungsdaten!$A$12:$D$33,4,FALSE),1),0))</f>
        <v>151</v>
      </c>
      <c r="I84" s="186">
        <f>IF(Q84="","",ROUND(Q84*Steuerungsdaten!$B$4*IFERROR(VLOOKUP(C84,Steuerungsdaten!$A$12:$F$33,6,FALSE),1),0))</f>
        <v>166</v>
      </c>
      <c r="J84" s="186">
        <f>IF(R84="","",ROUND(R84*Steuerungsdaten!$B$4*IFERROR(VLOOKUP(C84,Steuerungsdaten!$A$12:$H$33,8,FALSE),1),0))</f>
        <v>170</v>
      </c>
      <c r="K84" s="186">
        <f>IF(G84="","",ROUND(G84*Steuerungsdaten!$B$5,0))</f>
        <v>52</v>
      </c>
      <c r="L84" s="186">
        <f>IF(H84="","",ROUND(H84*Steuerungsdaten!$B$5,0))</f>
        <v>174</v>
      </c>
      <c r="M84" s="186">
        <f>IF(I84="","",ROUND(I84*Steuerungsdaten!$B$5,0))</f>
        <v>191</v>
      </c>
      <c r="N84" s="187">
        <f>IF(J84="","",ROUND(J84*Steuerungsdaten!$B$5,0))</f>
        <v>196</v>
      </c>
      <c r="O84" s="193">
        <v>60</v>
      </c>
      <c r="P84" s="193">
        <v>212</v>
      </c>
      <c r="Q84" s="193">
        <v>166</v>
      </c>
      <c r="R84" s="193">
        <v>212</v>
      </c>
    </row>
    <row r="85" spans="1:18" x14ac:dyDescent="0.25">
      <c r="A85" s="188">
        <v>3312</v>
      </c>
      <c r="B85" s="189" t="s">
        <v>90</v>
      </c>
      <c r="C85" s="189" t="s">
        <v>170</v>
      </c>
      <c r="D85" s="189" t="s">
        <v>183</v>
      </c>
      <c r="E85" s="190">
        <v>580</v>
      </c>
      <c r="F85" s="190">
        <v>720</v>
      </c>
      <c r="G85" s="191">
        <f>IF(O85="","",ROUND(O85*Steuerungsdaten!$B$4*IFERROR(VLOOKUP(C85,Steuerungsdaten!$A$12:$B$33,2,FALSE),1),0))</f>
        <v>62</v>
      </c>
      <c r="H85" s="191">
        <f>IF(P85="","",ROUND(P85*Steuerungsdaten!$B$4*IFERROR(VLOOKUP(C85,Steuerungsdaten!$A$12:$D$33,4,FALSE),1),0))</f>
        <v>186</v>
      </c>
      <c r="I85" s="191">
        <f>IF(Q85="","",ROUND(Q85*Steuerungsdaten!$B$4*IFERROR(VLOOKUP(C85,Steuerungsdaten!$A$12:$F$33,6,FALSE),1),0))</f>
        <v>216</v>
      </c>
      <c r="J85" s="191">
        <f>IF(R85="","",ROUND(R85*Steuerungsdaten!$B$4*IFERROR(VLOOKUP(C85,Steuerungsdaten!$A$12:$H$33,8,FALSE),1),0))</f>
        <v>196</v>
      </c>
      <c r="K85" s="191">
        <f>IF(G85="","",ROUND(G85*Steuerungsdaten!$B$5,0))</f>
        <v>71</v>
      </c>
      <c r="L85" s="191">
        <f>IF(H85="","",ROUND(H85*Steuerungsdaten!$B$5,0))</f>
        <v>214</v>
      </c>
      <c r="M85" s="191">
        <f>IF(I85="","",ROUND(I85*Steuerungsdaten!$B$5,0))</f>
        <v>248</v>
      </c>
      <c r="N85" s="192">
        <f>IF(J85="","",ROUND(J85*Steuerungsdaten!$B$5,0))</f>
        <v>225</v>
      </c>
      <c r="O85" s="193">
        <v>82</v>
      </c>
      <c r="P85" s="193">
        <v>262</v>
      </c>
      <c r="Q85" s="193">
        <v>216</v>
      </c>
      <c r="R85" s="193">
        <v>245</v>
      </c>
    </row>
    <row r="86" spans="1:18" x14ac:dyDescent="0.25">
      <c r="A86" s="183">
        <v>3313</v>
      </c>
      <c r="B86" s="184" t="s">
        <v>90</v>
      </c>
      <c r="C86" s="184" t="s">
        <v>170</v>
      </c>
      <c r="D86" s="184" t="s">
        <v>184</v>
      </c>
      <c r="E86" s="185">
        <v>780</v>
      </c>
      <c r="F86" s="185">
        <v>720</v>
      </c>
      <c r="G86" s="186">
        <f>IF(O86="","",ROUND(O86*Steuerungsdaten!$B$4*IFERROR(VLOOKUP(C86,Steuerungsdaten!$A$12:$B$33,2,FALSE),1),0))</f>
        <v>80</v>
      </c>
      <c r="H86" s="186">
        <f>IF(P86="","",ROUND(P86*Steuerungsdaten!$B$4*IFERROR(VLOOKUP(C86,Steuerungsdaten!$A$12:$D$33,4,FALSE),1),0))</f>
        <v>252</v>
      </c>
      <c r="I86" s="186">
        <f>IF(Q86="","",ROUND(Q86*Steuerungsdaten!$B$4*IFERROR(VLOOKUP(C86,Steuerungsdaten!$A$12:$F$33,6,FALSE),1),0))</f>
        <v>277</v>
      </c>
      <c r="J86" s="186">
        <f>IF(R86="","",ROUND(R86*Steuerungsdaten!$B$4*IFERROR(VLOOKUP(C86,Steuerungsdaten!$A$12:$H$33,8,FALSE),1),0))</f>
        <v>214</v>
      </c>
      <c r="K86" s="186">
        <f>IF(G86="","",ROUND(G86*Steuerungsdaten!$B$5,0))</f>
        <v>92</v>
      </c>
      <c r="L86" s="186">
        <f>IF(H86="","",ROUND(H86*Steuerungsdaten!$B$5,0))</f>
        <v>290</v>
      </c>
      <c r="M86" s="186">
        <f>IF(I86="","",ROUND(I86*Steuerungsdaten!$B$5,0))</f>
        <v>319</v>
      </c>
      <c r="N86" s="187">
        <f>IF(J86="","",ROUND(J86*Steuerungsdaten!$B$5,0))</f>
        <v>246</v>
      </c>
      <c r="O86" s="193">
        <v>107</v>
      </c>
      <c r="P86" s="193">
        <v>355</v>
      </c>
      <c r="Q86" s="193">
        <v>277</v>
      </c>
      <c r="R86" s="193">
        <v>268</v>
      </c>
    </row>
    <row r="87" spans="1:18" x14ac:dyDescent="0.25">
      <c r="A87" s="188">
        <v>3314</v>
      </c>
      <c r="B87" s="189" t="s">
        <v>90</v>
      </c>
      <c r="C87" s="189" t="s">
        <v>170</v>
      </c>
      <c r="D87" s="189" t="s">
        <v>185</v>
      </c>
      <c r="E87" s="190">
        <v>980</v>
      </c>
      <c r="F87" s="190">
        <v>720</v>
      </c>
      <c r="G87" s="191">
        <f>IF(O87="","",ROUND(O87*Steuerungsdaten!$B$4*IFERROR(VLOOKUP(C87,Steuerungsdaten!$A$12:$B$33,2,FALSE),1),0))</f>
        <v>101</v>
      </c>
      <c r="H87" s="191">
        <f>IF(P87="","",ROUND(P87*Steuerungsdaten!$B$4*IFERROR(VLOOKUP(C87,Steuerungsdaten!$A$12:$D$33,4,FALSE),1),0))</f>
        <v>288</v>
      </c>
      <c r="I87" s="191">
        <f>IF(Q87="","",ROUND(Q87*Steuerungsdaten!$B$4*IFERROR(VLOOKUP(C87,Steuerungsdaten!$A$12:$F$33,6,FALSE),1),0))</f>
        <v>320</v>
      </c>
      <c r="J87" s="191">
        <f>IF(R87="","",ROUND(R87*Steuerungsdaten!$B$4*IFERROR(VLOOKUP(C87,Steuerungsdaten!$A$12:$H$33,8,FALSE),1),0))</f>
        <v>263</v>
      </c>
      <c r="K87" s="191">
        <f>IF(G87="","",ROUND(G87*Steuerungsdaten!$B$5,0))</f>
        <v>116</v>
      </c>
      <c r="L87" s="191">
        <f>IF(H87="","",ROUND(H87*Steuerungsdaten!$B$5,0))</f>
        <v>331</v>
      </c>
      <c r="M87" s="191">
        <f>IF(I87="","",ROUND(I87*Steuerungsdaten!$B$5,0))</f>
        <v>368</v>
      </c>
      <c r="N87" s="192">
        <f>IF(J87="","",ROUND(J87*Steuerungsdaten!$B$5,0))</f>
        <v>302</v>
      </c>
      <c r="O87" s="193">
        <v>134</v>
      </c>
      <c r="P87" s="193">
        <v>406</v>
      </c>
      <c r="Q87" s="193">
        <v>320</v>
      </c>
      <c r="R87" s="193">
        <v>329</v>
      </c>
    </row>
    <row r="88" spans="1:18" x14ac:dyDescent="0.25">
      <c r="A88" s="183">
        <v>3315</v>
      </c>
      <c r="B88" s="184" t="s">
        <v>90</v>
      </c>
      <c r="C88" s="184" t="s">
        <v>170</v>
      </c>
      <c r="D88" s="184" t="s">
        <v>186</v>
      </c>
      <c r="E88" s="185">
        <v>360</v>
      </c>
      <c r="F88" s="185">
        <v>1080</v>
      </c>
      <c r="G88" s="186">
        <f>IF(O88="","",ROUND(O88*Steuerungsdaten!$B$4*IFERROR(VLOOKUP(C88,Steuerungsdaten!$A$12:$B$33,2,FALSE),1),0))</f>
        <v>66</v>
      </c>
      <c r="H88" s="186">
        <f>IF(P88="","",ROUND(P88*Steuerungsdaten!$B$4*IFERROR(VLOOKUP(C88,Steuerungsdaten!$A$12:$D$33,4,FALSE),1),0))</f>
        <v>190</v>
      </c>
      <c r="I88" s="186">
        <f>IF(Q88="","",ROUND(Q88*Steuerungsdaten!$B$4*IFERROR(VLOOKUP(C88,Steuerungsdaten!$A$12:$F$33,6,FALSE),1),0))</f>
        <v>222</v>
      </c>
      <c r="J88" s="186">
        <f>IF(R88="","",ROUND(R88*Steuerungsdaten!$B$4*IFERROR(VLOOKUP(C88,Steuerungsdaten!$A$12:$H$33,8,FALSE),1),0))</f>
        <v>192</v>
      </c>
      <c r="K88" s="186">
        <f>IF(G88="","",ROUND(G88*Steuerungsdaten!$B$5,0))</f>
        <v>76</v>
      </c>
      <c r="L88" s="186">
        <f>IF(H88="","",ROUND(H88*Steuerungsdaten!$B$5,0))</f>
        <v>219</v>
      </c>
      <c r="M88" s="186">
        <f>IF(I88="","",ROUND(I88*Steuerungsdaten!$B$5,0))</f>
        <v>255</v>
      </c>
      <c r="N88" s="187">
        <f>IF(J88="","",ROUND(J88*Steuerungsdaten!$B$5,0))</f>
        <v>221</v>
      </c>
      <c r="O88" s="193">
        <v>88</v>
      </c>
      <c r="P88" s="193">
        <v>267</v>
      </c>
      <c r="Q88" s="193">
        <v>222</v>
      </c>
      <c r="R88" s="193">
        <v>240</v>
      </c>
    </row>
    <row r="89" spans="1:18" x14ac:dyDescent="0.25">
      <c r="A89" s="188">
        <v>3316</v>
      </c>
      <c r="B89" s="189" t="s">
        <v>90</v>
      </c>
      <c r="C89" s="189" t="s">
        <v>170</v>
      </c>
      <c r="D89" s="189" t="s">
        <v>187</v>
      </c>
      <c r="E89" s="190">
        <v>420</v>
      </c>
      <c r="F89" s="190">
        <v>1080</v>
      </c>
      <c r="G89" s="191">
        <f>IF(O89="","",ROUND(O89*Steuerungsdaten!$B$4*IFERROR(VLOOKUP(C89,Steuerungsdaten!$A$12:$B$33,2,FALSE),1),0))</f>
        <v>66</v>
      </c>
      <c r="H89" s="191">
        <f>IF(P89="","",ROUND(P89*Steuerungsdaten!$B$4*IFERROR(VLOOKUP(C89,Steuerungsdaten!$A$12:$D$33,4,FALSE),1),0))</f>
        <v>216</v>
      </c>
      <c r="I89" s="191">
        <f>IF(Q89="","",ROUND(Q89*Steuerungsdaten!$B$4*IFERROR(VLOOKUP(C89,Steuerungsdaten!$A$12:$F$33,6,FALSE),1),0))</f>
        <v>241</v>
      </c>
      <c r="J89" s="191">
        <f>IF(R89="","",ROUND(R89*Steuerungsdaten!$B$4*IFERROR(VLOOKUP(C89,Steuerungsdaten!$A$12:$H$33,8,FALSE),1),0))</f>
        <v>207</v>
      </c>
      <c r="K89" s="191">
        <f>IF(G89="","",ROUND(G89*Steuerungsdaten!$B$5,0))</f>
        <v>76</v>
      </c>
      <c r="L89" s="191">
        <f>IF(H89="","",ROUND(H89*Steuerungsdaten!$B$5,0))</f>
        <v>248</v>
      </c>
      <c r="M89" s="191">
        <f>IF(I89="","",ROUND(I89*Steuerungsdaten!$B$5,0))</f>
        <v>277</v>
      </c>
      <c r="N89" s="192">
        <f>IF(J89="","",ROUND(J89*Steuerungsdaten!$B$5,0))</f>
        <v>238</v>
      </c>
      <c r="O89" s="193">
        <v>88</v>
      </c>
      <c r="P89" s="193">
        <v>304</v>
      </c>
      <c r="Q89" s="193">
        <v>241</v>
      </c>
      <c r="R89" s="193">
        <v>259</v>
      </c>
    </row>
    <row r="90" spans="1:18" x14ac:dyDescent="0.25">
      <c r="A90" s="183">
        <v>3317</v>
      </c>
      <c r="B90" s="184" t="s">
        <v>90</v>
      </c>
      <c r="C90" s="184" t="s">
        <v>170</v>
      </c>
      <c r="D90" s="184" t="s">
        <v>188</v>
      </c>
      <c r="E90" s="185">
        <v>580</v>
      </c>
      <c r="F90" s="185">
        <v>1080</v>
      </c>
      <c r="G90" s="186">
        <f>IF(O90="","",ROUND(O90*Steuerungsdaten!$B$4*IFERROR(VLOOKUP(C90,Steuerungsdaten!$A$12:$B$33,2,FALSE),1),0))</f>
        <v>89</v>
      </c>
      <c r="H90" s="186">
        <f>IF(P90="","",ROUND(P90*Steuerungsdaten!$B$4*IFERROR(VLOOKUP(C90,Steuerungsdaten!$A$12:$D$33,4,FALSE),1),0))</f>
        <v>268</v>
      </c>
      <c r="I90" s="186">
        <f>IF(Q90="","",ROUND(Q90*Steuerungsdaten!$B$4*IFERROR(VLOOKUP(C90,Steuerungsdaten!$A$12:$F$33,6,FALSE),1),0))</f>
        <v>300</v>
      </c>
      <c r="J90" s="186">
        <f>IF(R90="","",ROUND(R90*Steuerungsdaten!$B$4*IFERROR(VLOOKUP(C90,Steuerungsdaten!$A$12:$H$33,8,FALSE),1),0))</f>
        <v>246</v>
      </c>
      <c r="K90" s="186">
        <f>IF(G90="","",ROUND(G90*Steuerungsdaten!$B$5,0))</f>
        <v>102</v>
      </c>
      <c r="L90" s="186">
        <f>IF(H90="","",ROUND(H90*Steuerungsdaten!$B$5,0))</f>
        <v>308</v>
      </c>
      <c r="M90" s="186">
        <f>IF(I90="","",ROUND(I90*Steuerungsdaten!$B$5,0))</f>
        <v>345</v>
      </c>
      <c r="N90" s="187">
        <f>IF(J90="","",ROUND(J90*Steuerungsdaten!$B$5,0))</f>
        <v>283</v>
      </c>
      <c r="O90" s="193">
        <v>119</v>
      </c>
      <c r="P90" s="193">
        <v>377</v>
      </c>
      <c r="Q90" s="193">
        <v>300</v>
      </c>
      <c r="R90" s="193">
        <v>307</v>
      </c>
    </row>
    <row r="91" spans="1:18" x14ac:dyDescent="0.25">
      <c r="A91" s="188">
        <v>3318</v>
      </c>
      <c r="B91" s="189" t="s">
        <v>90</v>
      </c>
      <c r="C91" s="189" t="s">
        <v>170</v>
      </c>
      <c r="D91" s="189" t="s">
        <v>189</v>
      </c>
      <c r="E91" s="190">
        <v>780</v>
      </c>
      <c r="F91" s="190">
        <v>1080</v>
      </c>
      <c r="G91" s="191">
        <f>IF(O91="","",ROUND(O91*Steuerungsdaten!$B$4*IFERROR(VLOOKUP(C91,Steuerungsdaten!$A$12:$B$33,2,FALSE),1),0))</f>
        <v>121</v>
      </c>
      <c r="H91" s="191">
        <f>IF(P91="","",ROUND(P91*Steuerungsdaten!$B$4*IFERROR(VLOOKUP(C91,Steuerungsdaten!$A$12:$D$33,4,FALSE),1),0))</f>
        <v>367</v>
      </c>
      <c r="I91" s="191">
        <f>IF(Q91="","",ROUND(Q91*Steuerungsdaten!$B$4*IFERROR(VLOOKUP(C91,Steuerungsdaten!$A$12:$F$33,6,FALSE),1),0))</f>
        <v>409</v>
      </c>
      <c r="J91" s="191">
        <f>IF(R91="","",ROUND(R91*Steuerungsdaten!$B$4*IFERROR(VLOOKUP(C91,Steuerungsdaten!$A$12:$H$33,8,FALSE),1),0))</f>
        <v>308</v>
      </c>
      <c r="K91" s="191">
        <f>IF(G91="","",ROUND(G91*Steuerungsdaten!$B$5,0))</f>
        <v>139</v>
      </c>
      <c r="L91" s="191">
        <f>IF(H91="","",ROUND(H91*Steuerungsdaten!$B$5,0))</f>
        <v>422</v>
      </c>
      <c r="M91" s="191">
        <f>IF(I91="","",ROUND(I91*Steuerungsdaten!$B$5,0))</f>
        <v>470</v>
      </c>
      <c r="N91" s="192">
        <f>IF(J91="","",ROUND(J91*Steuerungsdaten!$B$5,0))</f>
        <v>354</v>
      </c>
      <c r="O91" s="193">
        <v>161</v>
      </c>
      <c r="P91" s="193">
        <v>517</v>
      </c>
      <c r="Q91" s="193">
        <v>409</v>
      </c>
      <c r="R91" s="193">
        <v>385</v>
      </c>
    </row>
    <row r="92" spans="1:18" x14ac:dyDescent="0.25">
      <c r="A92" s="183">
        <v>3319</v>
      </c>
      <c r="B92" s="184" t="s">
        <v>90</v>
      </c>
      <c r="C92" s="184" t="s">
        <v>170</v>
      </c>
      <c r="D92" s="184" t="s">
        <v>190</v>
      </c>
      <c r="E92" s="185">
        <v>980</v>
      </c>
      <c r="F92" s="185">
        <v>1080</v>
      </c>
      <c r="G92" s="186">
        <f>IF(O92="","",ROUND(O92*Steuerungsdaten!$B$4*IFERROR(VLOOKUP(C92,Steuerungsdaten!$A$12:$B$33,2,FALSE),1),0))</f>
        <v>150</v>
      </c>
      <c r="H92" s="186">
        <f>IF(P92="","",ROUND(P92*Steuerungsdaten!$B$4*IFERROR(VLOOKUP(C92,Steuerungsdaten!$A$12:$D$33,4,FALSE),1),0))</f>
        <v>444</v>
      </c>
      <c r="I92" s="186">
        <f>IF(Q92="","",ROUND(Q92*Steuerungsdaten!$B$4*IFERROR(VLOOKUP(C92,Steuerungsdaten!$A$12:$F$33,6,FALSE),1),0))</f>
        <v>474</v>
      </c>
      <c r="J92" s="186">
        <f>IF(R92="","",ROUND(R92*Steuerungsdaten!$B$4*IFERROR(VLOOKUP(C92,Steuerungsdaten!$A$12:$H$33,8,FALSE),1),0))</f>
        <v>345</v>
      </c>
      <c r="K92" s="186">
        <f>IF(G92="","",ROUND(G92*Steuerungsdaten!$B$5,0))</f>
        <v>173</v>
      </c>
      <c r="L92" s="186">
        <f>IF(H92="","",ROUND(H92*Steuerungsdaten!$B$5,0))</f>
        <v>511</v>
      </c>
      <c r="M92" s="186">
        <f>IF(I92="","",ROUND(I92*Steuerungsdaten!$B$5,0))</f>
        <v>545</v>
      </c>
      <c r="N92" s="187">
        <f>IF(J92="","",ROUND(J92*Steuerungsdaten!$B$5,0))</f>
        <v>397</v>
      </c>
      <c r="O92" s="193">
        <v>200</v>
      </c>
      <c r="P92" s="193">
        <v>626</v>
      </c>
      <c r="Q92" s="193">
        <v>474</v>
      </c>
      <c r="R92" s="193">
        <v>431</v>
      </c>
    </row>
    <row r="93" spans="1:18" x14ac:dyDescent="0.25">
      <c r="A93" s="188">
        <v>3320</v>
      </c>
      <c r="B93" s="189" t="s">
        <v>90</v>
      </c>
      <c r="C93" s="189" t="s">
        <v>170</v>
      </c>
      <c r="D93" s="189" t="s">
        <v>191</v>
      </c>
      <c r="E93" s="190">
        <v>360</v>
      </c>
      <c r="F93" s="190">
        <v>1440</v>
      </c>
      <c r="G93" s="191">
        <f>IF(O93="","",ROUND(O93*Steuerungsdaten!$B$4*IFERROR(VLOOKUP(C93,Steuerungsdaten!$A$12:$B$33,2,FALSE),1),0))</f>
        <v>75</v>
      </c>
      <c r="H93" s="191">
        <f>IF(P93="","",ROUND(P93*Steuerungsdaten!$B$4*IFERROR(VLOOKUP(C93,Steuerungsdaten!$A$12:$D$33,4,FALSE),1),0))</f>
        <v>239</v>
      </c>
      <c r="I93" s="191">
        <f>IF(Q93="","",ROUND(Q93*Steuerungsdaten!$B$4*IFERROR(VLOOKUP(C93,Steuerungsdaten!$A$12:$F$33,6,FALSE),1),0))</f>
        <v>281</v>
      </c>
      <c r="J93" s="191">
        <f>IF(R93="","",ROUND(R93*Steuerungsdaten!$B$4*IFERROR(VLOOKUP(C93,Steuerungsdaten!$A$12:$H$33,8,FALSE),1),0))</f>
        <v>423</v>
      </c>
      <c r="K93" s="191">
        <f>IF(G93="","",ROUND(G93*Steuerungsdaten!$B$5,0))</f>
        <v>86</v>
      </c>
      <c r="L93" s="191">
        <f>IF(H93="","",ROUND(H93*Steuerungsdaten!$B$5,0))</f>
        <v>275</v>
      </c>
      <c r="M93" s="191">
        <f>IF(I93="","",ROUND(I93*Steuerungsdaten!$B$5,0))</f>
        <v>323</v>
      </c>
      <c r="N93" s="192">
        <f>IF(J93="","",ROUND(J93*Steuerungsdaten!$B$5,0))</f>
        <v>486</v>
      </c>
      <c r="O93" s="193">
        <v>100</v>
      </c>
      <c r="P93" s="193">
        <v>336</v>
      </c>
      <c r="Q93" s="193">
        <v>281</v>
      </c>
      <c r="R93" s="193">
        <v>529</v>
      </c>
    </row>
    <row r="94" spans="1:18" x14ac:dyDescent="0.25">
      <c r="A94" s="183">
        <v>3321</v>
      </c>
      <c r="B94" s="184" t="s">
        <v>90</v>
      </c>
      <c r="C94" s="184" t="s">
        <v>170</v>
      </c>
      <c r="D94" s="184" t="s">
        <v>192</v>
      </c>
      <c r="E94" s="185">
        <v>420</v>
      </c>
      <c r="F94" s="185">
        <v>1440</v>
      </c>
      <c r="G94" s="186">
        <f>IF(O94="","",ROUND(O94*Steuerungsdaten!$B$4*IFERROR(VLOOKUP(C94,Steuerungsdaten!$A$12:$B$33,2,FALSE),1),0))</f>
        <v>86</v>
      </c>
      <c r="H94" s="186">
        <f>IF(P94="","",ROUND(P94*Steuerungsdaten!$B$4*IFERROR(VLOOKUP(C94,Steuerungsdaten!$A$12:$D$33,4,FALSE),1),0))</f>
        <v>259</v>
      </c>
      <c r="I94" s="186">
        <f>IF(Q94="","",ROUND(Q94*Steuerungsdaten!$B$4*IFERROR(VLOOKUP(C94,Steuerungsdaten!$A$12:$F$33,6,FALSE),1),0))</f>
        <v>291</v>
      </c>
      <c r="J94" s="186">
        <f>IF(R94="","",ROUND(R94*Steuerungsdaten!$B$4*IFERROR(VLOOKUP(C94,Steuerungsdaten!$A$12:$H$33,8,FALSE),1),0))</f>
        <v>438</v>
      </c>
      <c r="K94" s="186">
        <f>IF(G94="","",ROUND(G94*Steuerungsdaten!$B$5,0))</f>
        <v>99</v>
      </c>
      <c r="L94" s="186">
        <f>IF(H94="","",ROUND(H94*Steuerungsdaten!$B$5,0))</f>
        <v>298</v>
      </c>
      <c r="M94" s="186">
        <f>IF(I94="","",ROUND(I94*Steuerungsdaten!$B$5,0))</f>
        <v>335</v>
      </c>
      <c r="N94" s="187">
        <f>IF(J94="","",ROUND(J94*Steuerungsdaten!$B$5,0))</f>
        <v>504</v>
      </c>
      <c r="O94" s="193">
        <v>115</v>
      </c>
      <c r="P94" s="193">
        <v>365</v>
      </c>
      <c r="Q94" s="193">
        <v>291</v>
      </c>
      <c r="R94" s="193">
        <v>547</v>
      </c>
    </row>
    <row r="95" spans="1:18" x14ac:dyDescent="0.25">
      <c r="A95" s="188">
        <v>3322</v>
      </c>
      <c r="B95" s="189" t="s">
        <v>90</v>
      </c>
      <c r="C95" s="189" t="s">
        <v>170</v>
      </c>
      <c r="D95" s="189" t="s">
        <v>193</v>
      </c>
      <c r="E95" s="190">
        <v>580</v>
      </c>
      <c r="F95" s="190">
        <v>1440</v>
      </c>
      <c r="G95" s="191">
        <f>IF(O95="","",ROUND(O95*Steuerungsdaten!$B$4*IFERROR(VLOOKUP(C95,Steuerungsdaten!$A$12:$B$33,2,FALSE),1),0))</f>
        <v>119</v>
      </c>
      <c r="H95" s="191">
        <f>IF(P95="","",ROUND(P95*Steuerungsdaten!$B$4*IFERROR(VLOOKUP(C95,Steuerungsdaten!$A$12:$D$33,4,FALSE),1),0))</f>
        <v>344</v>
      </c>
      <c r="I95" s="191">
        <f>IF(Q95="","",ROUND(Q95*Steuerungsdaten!$B$4*IFERROR(VLOOKUP(C95,Steuerungsdaten!$A$12:$F$33,6,FALSE),1),0))</f>
        <v>400</v>
      </c>
      <c r="J95" s="191">
        <f>IF(R95="","",ROUND(R95*Steuerungsdaten!$B$4*IFERROR(VLOOKUP(C95,Steuerungsdaten!$A$12:$H$33,8,FALSE),1),0))</f>
        <v>602</v>
      </c>
      <c r="K95" s="191">
        <f>IF(G95="","",ROUND(G95*Steuerungsdaten!$B$5,0))</f>
        <v>137</v>
      </c>
      <c r="L95" s="191">
        <f>IF(H95="","",ROUND(H95*Steuerungsdaten!$B$5,0))</f>
        <v>396</v>
      </c>
      <c r="M95" s="191">
        <f>IF(I95="","",ROUND(I95*Steuerungsdaten!$B$5,0))</f>
        <v>460</v>
      </c>
      <c r="N95" s="192">
        <f>IF(J95="","",ROUND(J95*Steuerungsdaten!$B$5,0))</f>
        <v>692</v>
      </c>
      <c r="O95" s="193">
        <v>158</v>
      </c>
      <c r="P95" s="193">
        <v>484</v>
      </c>
      <c r="Q95" s="193">
        <v>400</v>
      </c>
      <c r="R95" s="193">
        <v>752</v>
      </c>
    </row>
    <row r="96" spans="1:18" x14ac:dyDescent="0.25">
      <c r="A96" s="183">
        <v>3323</v>
      </c>
      <c r="B96" s="184" t="s">
        <v>90</v>
      </c>
      <c r="C96" s="184" t="s">
        <v>170</v>
      </c>
      <c r="D96" s="184" t="s">
        <v>194</v>
      </c>
      <c r="E96" s="185">
        <v>780</v>
      </c>
      <c r="F96" s="185">
        <v>1440</v>
      </c>
      <c r="G96" s="186">
        <f>IF(O96="","",ROUND(O96*Steuerungsdaten!$B$4*IFERROR(VLOOKUP(C96,Steuerungsdaten!$A$12:$B$33,2,FALSE),1),0))</f>
        <v>158</v>
      </c>
      <c r="H96" s="186">
        <f>IF(P96="","",ROUND(P96*Steuerungsdaten!$B$4*IFERROR(VLOOKUP(C96,Steuerungsdaten!$A$12:$D$33,4,FALSE),1),0))</f>
        <v>447</v>
      </c>
      <c r="I96" s="186">
        <f>IF(Q96="","",ROUND(Q96*Steuerungsdaten!$B$4*IFERROR(VLOOKUP(C96,Steuerungsdaten!$A$12:$F$33,6,FALSE),1),0))</f>
        <v>499</v>
      </c>
      <c r="J96" s="186">
        <f>IF(R96="","",ROUND(R96*Steuerungsdaten!$B$4*IFERROR(VLOOKUP(C96,Steuerungsdaten!$A$12:$H$33,8,FALSE),1),0))</f>
        <v>751</v>
      </c>
      <c r="K96" s="186">
        <f>IF(G96="","",ROUND(G96*Steuerungsdaten!$B$5,0))</f>
        <v>182</v>
      </c>
      <c r="L96" s="186">
        <f>IF(H96="","",ROUND(H96*Steuerungsdaten!$B$5,0))</f>
        <v>514</v>
      </c>
      <c r="M96" s="186">
        <f>IF(I96="","",ROUND(I96*Steuerungsdaten!$B$5,0))</f>
        <v>574</v>
      </c>
      <c r="N96" s="187">
        <f>IF(J96="","",ROUND(J96*Steuerungsdaten!$B$5,0))</f>
        <v>864</v>
      </c>
      <c r="O96" s="193">
        <v>211</v>
      </c>
      <c r="P96" s="193">
        <v>630</v>
      </c>
      <c r="Q96" s="193">
        <v>499</v>
      </c>
      <c r="R96" s="193">
        <v>939</v>
      </c>
    </row>
    <row r="97" spans="1:18" x14ac:dyDescent="0.25">
      <c r="A97" s="188">
        <v>3324</v>
      </c>
      <c r="B97" s="189" t="s">
        <v>90</v>
      </c>
      <c r="C97" s="189" t="s">
        <v>170</v>
      </c>
      <c r="D97" s="189" t="s">
        <v>195</v>
      </c>
      <c r="E97" s="190">
        <v>980</v>
      </c>
      <c r="F97" s="190">
        <v>1440</v>
      </c>
      <c r="G97" s="191">
        <f>IF(O97="","",ROUND(O97*Steuerungsdaten!$B$4*IFERROR(VLOOKUP(C97,Steuerungsdaten!$A$12:$B$33,2,FALSE),1),0))</f>
        <v>198</v>
      </c>
      <c r="H97" s="191">
        <f>IF(P97="","",ROUND(P97*Steuerungsdaten!$B$4*IFERROR(VLOOKUP(C97,Steuerungsdaten!$A$12:$D$33,4,FALSE),1),0))</f>
        <v>552</v>
      </c>
      <c r="I97" s="191">
        <f>IF(Q97="","",ROUND(Q97*Steuerungsdaten!$B$4*IFERROR(VLOOKUP(C97,Steuerungsdaten!$A$12:$F$33,6,FALSE),1),0))</f>
        <v>616</v>
      </c>
      <c r="J97" s="191">
        <f>IF(R97="","",ROUND(R97*Steuerungsdaten!$B$4*IFERROR(VLOOKUP(C97,Steuerungsdaten!$A$12:$H$33,8,FALSE),1),0))</f>
        <v>927</v>
      </c>
      <c r="K97" s="191">
        <f>IF(G97="","",ROUND(G97*Steuerungsdaten!$B$5,0))</f>
        <v>228</v>
      </c>
      <c r="L97" s="191">
        <f>IF(H97="","",ROUND(H97*Steuerungsdaten!$B$5,0))</f>
        <v>635</v>
      </c>
      <c r="M97" s="191">
        <f>IF(I97="","",ROUND(I97*Steuerungsdaten!$B$5,0))</f>
        <v>708</v>
      </c>
      <c r="N97" s="192">
        <f>IF(J97="","",ROUND(J97*Steuerungsdaten!$B$5,0))</f>
        <v>1066</v>
      </c>
      <c r="O97" s="193">
        <v>264</v>
      </c>
      <c r="P97" s="193">
        <v>778</v>
      </c>
      <c r="Q97" s="193">
        <v>616</v>
      </c>
      <c r="R97" s="193">
        <v>1159</v>
      </c>
    </row>
    <row r="98" spans="1:18" x14ac:dyDescent="0.25">
      <c r="A98" s="183">
        <v>3325</v>
      </c>
      <c r="B98" s="184" t="s">
        <v>90</v>
      </c>
      <c r="C98" s="184" t="s">
        <v>170</v>
      </c>
      <c r="D98" s="184" t="s">
        <v>196</v>
      </c>
      <c r="E98" s="185">
        <v>360</v>
      </c>
      <c r="F98" s="185">
        <v>1800</v>
      </c>
      <c r="G98" s="186">
        <f>IF(O98="","",ROUND(O98*Steuerungsdaten!$B$4*IFERROR(VLOOKUP(C98,Steuerungsdaten!$A$12:$B$33,2,FALSE),1),0))</f>
        <v>94</v>
      </c>
      <c r="H98" s="186">
        <f>IF(P98="","",ROUND(P98*Steuerungsdaten!$B$4*IFERROR(VLOOKUP(C98,Steuerungsdaten!$A$12:$D$33,4,FALSE),1),0))</f>
        <v>175</v>
      </c>
      <c r="I98" s="186">
        <f>IF(Q98="","",ROUND(Q98*Steuerungsdaten!$B$4*IFERROR(VLOOKUP(C98,Steuerungsdaten!$A$12:$F$33,6,FALSE),1),0))</f>
        <v>343</v>
      </c>
      <c r="J98" s="186">
        <f>IF(R98="","",ROUND(R98*Steuerungsdaten!$B$4*IFERROR(VLOOKUP(C98,Steuerungsdaten!$A$12:$H$33,8,FALSE),1),0))</f>
        <v>516</v>
      </c>
      <c r="K98" s="186">
        <f>IF(G98="","",ROUND(G98*Steuerungsdaten!$B$5,0))</f>
        <v>108</v>
      </c>
      <c r="L98" s="186">
        <f>IF(H98="","",ROUND(H98*Steuerungsdaten!$B$5,0))</f>
        <v>201</v>
      </c>
      <c r="M98" s="186">
        <f>IF(I98="","",ROUND(I98*Steuerungsdaten!$B$5,0))</f>
        <v>394</v>
      </c>
      <c r="N98" s="187">
        <f>IF(J98="","",ROUND(J98*Steuerungsdaten!$B$5,0))</f>
        <v>593</v>
      </c>
      <c r="O98" s="193">
        <v>125</v>
      </c>
      <c r="P98" s="193">
        <v>246</v>
      </c>
      <c r="Q98" s="193">
        <v>343</v>
      </c>
      <c r="R98" s="193">
        <v>645</v>
      </c>
    </row>
    <row r="99" spans="1:18" x14ac:dyDescent="0.25">
      <c r="A99" s="188">
        <v>3326</v>
      </c>
      <c r="B99" s="189" t="s">
        <v>90</v>
      </c>
      <c r="C99" s="189" t="s">
        <v>170</v>
      </c>
      <c r="D99" s="189" t="s">
        <v>197</v>
      </c>
      <c r="E99" s="190">
        <v>420</v>
      </c>
      <c r="F99" s="190">
        <v>1800</v>
      </c>
      <c r="G99" s="191">
        <f>IF(O99="","",ROUND(O99*Steuerungsdaten!$B$4*IFERROR(VLOOKUP(C99,Steuerungsdaten!$A$12:$B$33,2,FALSE),1),0))</f>
        <v>107</v>
      </c>
      <c r="H99" s="191">
        <f>IF(P99="","",ROUND(P99*Steuerungsdaten!$B$4*IFERROR(VLOOKUP(C99,Steuerungsdaten!$A$12:$D$33,4,FALSE),1),0))</f>
        <v>200</v>
      </c>
      <c r="I99" s="191">
        <f>IF(Q99="","",ROUND(Q99*Steuerungsdaten!$B$4*IFERROR(VLOOKUP(C99,Steuerungsdaten!$A$12:$F$33,6,FALSE),1),0))</f>
        <v>350</v>
      </c>
      <c r="J99" s="191">
        <f>IF(R99="","",ROUND(R99*Steuerungsdaten!$B$4*IFERROR(VLOOKUP(C99,Steuerungsdaten!$A$12:$H$33,8,FALSE),1),0))</f>
        <v>526</v>
      </c>
      <c r="K99" s="191">
        <f>IF(G99="","",ROUND(G99*Steuerungsdaten!$B$5,0))</f>
        <v>123</v>
      </c>
      <c r="L99" s="191">
        <f>IF(H99="","",ROUND(H99*Steuerungsdaten!$B$5,0))</f>
        <v>230</v>
      </c>
      <c r="M99" s="191">
        <f>IF(I99="","",ROUND(I99*Steuerungsdaten!$B$5,0))</f>
        <v>403</v>
      </c>
      <c r="N99" s="192">
        <f>IF(J99="","",ROUND(J99*Steuerungsdaten!$B$5,0))</f>
        <v>605</v>
      </c>
      <c r="O99" s="193">
        <v>143</v>
      </c>
      <c r="P99" s="193">
        <v>281</v>
      </c>
      <c r="Q99" s="193">
        <v>350</v>
      </c>
      <c r="R99" s="193">
        <v>658</v>
      </c>
    </row>
    <row r="100" spans="1:18" x14ac:dyDescent="0.25">
      <c r="A100" s="183">
        <v>3327</v>
      </c>
      <c r="B100" s="184" t="s">
        <v>90</v>
      </c>
      <c r="C100" s="184" t="s">
        <v>170</v>
      </c>
      <c r="D100" s="184" t="s">
        <v>198</v>
      </c>
      <c r="E100" s="185">
        <v>580</v>
      </c>
      <c r="F100" s="185">
        <v>1800</v>
      </c>
      <c r="G100" s="186">
        <f>IF(O100="","",ROUND(O100*Steuerungsdaten!$B$4*IFERROR(VLOOKUP(C100,Steuerungsdaten!$A$12:$B$33,2,FALSE),1),0))</f>
        <v>148</v>
      </c>
      <c r="H100" s="186">
        <f>IF(P100="","",ROUND(P100*Steuerungsdaten!$B$4*IFERROR(VLOOKUP(C100,Steuerungsdaten!$A$12:$D$33,4,FALSE),1),0))</f>
        <v>275</v>
      </c>
      <c r="I100" s="186">
        <f>IF(Q100="","",ROUND(Q100*Steuerungsdaten!$B$4*IFERROR(VLOOKUP(C100,Steuerungsdaten!$A$12:$F$33,6,FALSE),1),0))</f>
        <v>467</v>
      </c>
      <c r="J100" s="186">
        <f>IF(R100="","",ROUND(R100*Steuerungsdaten!$B$4*IFERROR(VLOOKUP(C100,Steuerungsdaten!$A$12:$H$33,8,FALSE),1),0))</f>
        <v>703</v>
      </c>
      <c r="K100" s="186">
        <f>IF(G100="","",ROUND(G100*Steuerungsdaten!$B$5,0))</f>
        <v>170</v>
      </c>
      <c r="L100" s="186">
        <f>IF(H100="","",ROUND(H100*Steuerungsdaten!$B$5,0))</f>
        <v>316</v>
      </c>
      <c r="M100" s="186">
        <f>IF(I100="","",ROUND(I100*Steuerungsdaten!$B$5,0))</f>
        <v>537</v>
      </c>
      <c r="N100" s="187">
        <f>IF(J100="","",ROUND(J100*Steuerungsdaten!$B$5,0))</f>
        <v>808</v>
      </c>
      <c r="O100" s="193">
        <v>197</v>
      </c>
      <c r="P100" s="193">
        <v>388</v>
      </c>
      <c r="Q100" s="193">
        <v>467</v>
      </c>
      <c r="R100" s="193">
        <v>879</v>
      </c>
    </row>
    <row r="101" spans="1:18" x14ac:dyDescent="0.25">
      <c r="A101" s="188">
        <v>3328</v>
      </c>
      <c r="B101" s="189" t="s">
        <v>90</v>
      </c>
      <c r="C101" s="189" t="s">
        <v>170</v>
      </c>
      <c r="D101" s="189" t="s">
        <v>199</v>
      </c>
      <c r="E101" s="190">
        <v>780</v>
      </c>
      <c r="F101" s="190">
        <v>1800</v>
      </c>
      <c r="G101" s="191">
        <f>IF(O101="","",ROUND(O101*Steuerungsdaten!$B$4*IFERROR(VLOOKUP(C101,Steuerungsdaten!$A$12:$B$33,2,FALSE),1),0))</f>
        <v>198</v>
      </c>
      <c r="H101" s="191">
        <f>IF(P101="","",ROUND(P101*Steuerungsdaten!$B$4*IFERROR(VLOOKUP(C101,Steuerungsdaten!$A$12:$D$33,4,FALSE),1),0))</f>
        <v>369</v>
      </c>
      <c r="I101" s="191">
        <f>IF(Q101="","",ROUND(Q101*Steuerungsdaten!$B$4*IFERROR(VLOOKUP(C101,Steuerungsdaten!$A$12:$F$33,6,FALSE),1),0))</f>
        <v>612</v>
      </c>
      <c r="J101" s="191">
        <f>IF(R101="","",ROUND(R101*Steuerungsdaten!$B$4*IFERROR(VLOOKUP(C101,Steuerungsdaten!$A$12:$H$33,8,FALSE),1),0))</f>
        <v>921</v>
      </c>
      <c r="K101" s="191">
        <f>IF(G101="","",ROUND(G101*Steuerungsdaten!$B$5,0))</f>
        <v>228</v>
      </c>
      <c r="L101" s="191">
        <f>IF(H101="","",ROUND(H101*Steuerungsdaten!$B$5,0))</f>
        <v>424</v>
      </c>
      <c r="M101" s="191">
        <f>IF(I101="","",ROUND(I101*Steuerungsdaten!$B$5,0))</f>
        <v>704</v>
      </c>
      <c r="N101" s="192">
        <f>IF(J101="","",ROUND(J101*Steuerungsdaten!$B$5,0))</f>
        <v>1059</v>
      </c>
      <c r="O101" s="193">
        <v>264</v>
      </c>
      <c r="P101" s="193">
        <v>520</v>
      </c>
      <c r="Q101" s="193">
        <v>612</v>
      </c>
      <c r="R101" s="193">
        <v>1151</v>
      </c>
    </row>
    <row r="102" spans="1:18" x14ac:dyDescent="0.25">
      <c r="A102" s="183">
        <v>3329</v>
      </c>
      <c r="B102" s="184" t="s">
        <v>90</v>
      </c>
      <c r="C102" s="184" t="s">
        <v>170</v>
      </c>
      <c r="D102" s="184" t="s">
        <v>200</v>
      </c>
      <c r="E102" s="185">
        <v>980</v>
      </c>
      <c r="F102" s="185">
        <v>1800</v>
      </c>
      <c r="G102" s="186">
        <f>IF(O102="","",ROUND(O102*Steuerungsdaten!$B$4*IFERROR(VLOOKUP(C102,Steuerungsdaten!$A$12:$B$33,2,FALSE),1),0))</f>
        <v>247</v>
      </c>
      <c r="H102" s="186">
        <f>IF(P102="","",ROUND(P102*Steuerungsdaten!$B$4*IFERROR(VLOOKUP(C102,Steuerungsdaten!$A$12:$D$33,4,FALSE),1),0))</f>
        <v>460</v>
      </c>
      <c r="I102" s="186">
        <f>IF(Q102="","",ROUND(Q102*Steuerungsdaten!$B$4*IFERROR(VLOOKUP(C102,Steuerungsdaten!$A$12:$F$33,6,FALSE),1),0))</f>
        <v>753</v>
      </c>
      <c r="J102" s="186">
        <f>IF(R102="","",ROUND(R102*Steuerungsdaten!$B$4*IFERROR(VLOOKUP(C102,Steuerungsdaten!$A$12:$H$33,8,FALSE),1),0))</f>
        <v>1134</v>
      </c>
      <c r="K102" s="186">
        <f>IF(G102="","",ROUND(G102*Steuerungsdaten!$B$5,0))</f>
        <v>284</v>
      </c>
      <c r="L102" s="186">
        <f>IF(H102="","",ROUND(H102*Steuerungsdaten!$B$5,0))</f>
        <v>529</v>
      </c>
      <c r="M102" s="186">
        <f>IF(I102="","",ROUND(I102*Steuerungsdaten!$B$5,0))</f>
        <v>866</v>
      </c>
      <c r="N102" s="187">
        <f>IF(J102="","",ROUND(J102*Steuerungsdaten!$B$5,0))</f>
        <v>1304</v>
      </c>
      <c r="O102" s="193">
        <v>329</v>
      </c>
      <c r="P102" s="193">
        <v>648</v>
      </c>
      <c r="Q102" s="193">
        <v>753</v>
      </c>
      <c r="R102" s="193">
        <v>1417</v>
      </c>
    </row>
    <row r="103" spans="1:18" ht="21.95" customHeight="1" x14ac:dyDescent="0.25">
      <c r="A103" s="176" t="s">
        <v>201</v>
      </c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93"/>
      <c r="P103" s="193"/>
      <c r="Q103" s="193"/>
      <c r="R103" s="193"/>
    </row>
    <row r="104" spans="1:18" x14ac:dyDescent="0.25">
      <c r="A104" s="178">
        <v>3500</v>
      </c>
      <c r="B104" s="179" t="s">
        <v>90</v>
      </c>
      <c r="C104" s="179" t="s">
        <v>201</v>
      </c>
      <c r="D104" s="179" t="s">
        <v>202</v>
      </c>
      <c r="E104" s="180">
        <v>360</v>
      </c>
      <c r="F104" s="180">
        <v>180</v>
      </c>
      <c r="G104" s="181">
        <f>IF(O104="","",ROUND(O104*Steuerungsdaten!$B$4*IFERROR(VLOOKUP(C104,Steuerungsdaten!$A$12:$B$33,2,FALSE),1),0))</f>
        <v>26</v>
      </c>
      <c r="H104" s="181">
        <f>IF(P104="","",ROUND(P104*Steuerungsdaten!$B$4*IFERROR(VLOOKUP(C104,Steuerungsdaten!$A$12:$D$33,4,FALSE),1),0))</f>
        <v>79</v>
      </c>
      <c r="I104" s="181">
        <f>IF(Q104="","",ROUND(Q104*Steuerungsdaten!$B$4*IFERROR(VLOOKUP(C104,Steuerungsdaten!$A$12:$F$33,6,FALSE),1),0))</f>
        <v>88</v>
      </c>
      <c r="J104" s="181">
        <f>IF(R104="","",ROUND(R104*Steuerungsdaten!$B$4*IFERROR(VLOOKUP(C104,Steuerungsdaten!$A$12:$H$33,8,FALSE),1),0))</f>
        <v>161</v>
      </c>
      <c r="K104" s="181">
        <f>IF(G104="","",ROUND(G104*Steuerungsdaten!$B$5,0))</f>
        <v>30</v>
      </c>
      <c r="L104" s="181">
        <f>IF(H104="","",ROUND(H104*Steuerungsdaten!$B$5,0))</f>
        <v>91</v>
      </c>
      <c r="M104" s="181">
        <f>IF(I104="","",ROUND(I104*Steuerungsdaten!$B$5,0))</f>
        <v>101</v>
      </c>
      <c r="N104" s="182">
        <f>IF(J104="","",ROUND(J104*Steuerungsdaten!$B$5,0))</f>
        <v>185</v>
      </c>
      <c r="O104" s="193">
        <v>34</v>
      </c>
      <c r="P104" s="193">
        <v>114</v>
      </c>
      <c r="Q104" s="193">
        <v>89</v>
      </c>
      <c r="R104" s="193">
        <v>201</v>
      </c>
    </row>
    <row r="105" spans="1:18" x14ac:dyDescent="0.25">
      <c r="A105" s="183">
        <v>3501</v>
      </c>
      <c r="B105" s="184" t="s">
        <v>90</v>
      </c>
      <c r="C105" s="184" t="s">
        <v>201</v>
      </c>
      <c r="D105" s="184" t="s">
        <v>203</v>
      </c>
      <c r="E105" s="185">
        <v>360</v>
      </c>
      <c r="F105" s="185">
        <v>360</v>
      </c>
      <c r="G105" s="186">
        <f>IF(O105="","",ROUND(O105*Steuerungsdaten!$B$4*IFERROR(VLOOKUP(C105,Steuerungsdaten!$A$12:$B$33,2,FALSE),1),0))</f>
        <v>26</v>
      </c>
      <c r="H105" s="186">
        <f>IF(P105="","",ROUND(P105*Steuerungsdaten!$B$4*IFERROR(VLOOKUP(C105,Steuerungsdaten!$A$12:$D$33,4,FALSE),1),0))</f>
        <v>79</v>
      </c>
      <c r="I105" s="186">
        <f>IF(Q105="","",ROUND(Q105*Steuerungsdaten!$B$4*IFERROR(VLOOKUP(C105,Steuerungsdaten!$A$12:$F$33,6,FALSE),1),0))</f>
        <v>88</v>
      </c>
      <c r="J105" s="186">
        <f>IF(R105="","",ROUND(R105*Steuerungsdaten!$B$4*IFERROR(VLOOKUP(C105,Steuerungsdaten!$A$12:$H$33,8,FALSE),1),0))</f>
        <v>142</v>
      </c>
      <c r="K105" s="186">
        <f>IF(G105="","",ROUND(G105*Steuerungsdaten!$B$5,0))</f>
        <v>30</v>
      </c>
      <c r="L105" s="186">
        <f>IF(H105="","",ROUND(H105*Steuerungsdaten!$B$5,0))</f>
        <v>91</v>
      </c>
      <c r="M105" s="186">
        <f>IF(I105="","",ROUND(I105*Steuerungsdaten!$B$5,0))</f>
        <v>101</v>
      </c>
      <c r="N105" s="187">
        <f>IF(J105="","",ROUND(J105*Steuerungsdaten!$B$5,0))</f>
        <v>163</v>
      </c>
      <c r="O105" s="193">
        <v>34</v>
      </c>
      <c r="P105" s="193">
        <v>114</v>
      </c>
      <c r="Q105" s="193">
        <v>89</v>
      </c>
      <c r="R105" s="193">
        <v>177</v>
      </c>
    </row>
    <row r="106" spans="1:18" x14ac:dyDescent="0.25">
      <c r="A106" s="188">
        <v>3502</v>
      </c>
      <c r="B106" s="189" t="s">
        <v>90</v>
      </c>
      <c r="C106" s="189" t="s">
        <v>201</v>
      </c>
      <c r="D106" s="189" t="s">
        <v>204</v>
      </c>
      <c r="E106" s="190">
        <v>360</v>
      </c>
      <c r="F106" s="190">
        <v>720</v>
      </c>
      <c r="G106" s="191">
        <f>IF(O106="","",ROUND(O106*Steuerungsdaten!$B$4*IFERROR(VLOOKUP(C106,Steuerungsdaten!$A$12:$B$33,2,FALSE),1),0))</f>
        <v>39</v>
      </c>
      <c r="H106" s="191">
        <f>IF(P106="","",ROUND(P106*Steuerungsdaten!$B$4*IFERROR(VLOOKUP(C106,Steuerungsdaten!$A$12:$D$33,4,FALSE),1),0))</f>
        <v>125</v>
      </c>
      <c r="I106" s="191">
        <f>IF(Q106="","",ROUND(Q106*Steuerungsdaten!$B$4*IFERROR(VLOOKUP(C106,Steuerungsdaten!$A$12:$F$33,6,FALSE),1),0))</f>
        <v>142</v>
      </c>
      <c r="J106" s="191">
        <f>IF(R106="","",ROUND(R106*Steuerungsdaten!$B$4*IFERROR(VLOOKUP(C106,Steuerungsdaten!$A$12:$H$33,8,FALSE),1),0))</f>
        <v>170</v>
      </c>
      <c r="K106" s="191">
        <f>IF(G106="","",ROUND(G106*Steuerungsdaten!$B$5,0))</f>
        <v>45</v>
      </c>
      <c r="L106" s="191">
        <f>IF(H106="","",ROUND(H106*Steuerungsdaten!$B$5,0))</f>
        <v>144</v>
      </c>
      <c r="M106" s="191">
        <f>IF(I106="","",ROUND(I106*Steuerungsdaten!$B$5,0))</f>
        <v>163</v>
      </c>
      <c r="N106" s="192">
        <f>IF(J106="","",ROUND(J106*Steuerungsdaten!$B$5,0))</f>
        <v>196</v>
      </c>
      <c r="O106" s="193">
        <v>52</v>
      </c>
      <c r="P106" s="193">
        <v>181</v>
      </c>
      <c r="Q106" s="193">
        <v>143</v>
      </c>
      <c r="R106" s="193">
        <v>212</v>
      </c>
    </row>
    <row r="107" spans="1:18" x14ac:dyDescent="0.25">
      <c r="A107" s="183">
        <v>3503</v>
      </c>
      <c r="B107" s="184" t="s">
        <v>90</v>
      </c>
      <c r="C107" s="184" t="s">
        <v>201</v>
      </c>
      <c r="D107" s="184" t="s">
        <v>205</v>
      </c>
      <c r="E107" s="185">
        <v>360</v>
      </c>
      <c r="F107" s="185">
        <v>1080</v>
      </c>
      <c r="G107" s="186">
        <f>IF(O107="","",ROUND(O107*Steuerungsdaten!$B$4*IFERROR(VLOOKUP(C107,Steuerungsdaten!$A$12:$B$33,2,FALSE),1),0))</f>
        <v>57</v>
      </c>
      <c r="H107" s="186">
        <f>IF(P107="","",ROUND(P107*Steuerungsdaten!$B$4*IFERROR(VLOOKUP(C107,Steuerungsdaten!$A$12:$D$33,4,FALSE),1),0))</f>
        <v>184</v>
      </c>
      <c r="I107" s="186">
        <f>IF(Q107="","",ROUND(Q107*Steuerungsdaten!$B$4*IFERROR(VLOOKUP(C107,Steuerungsdaten!$A$12:$F$33,6,FALSE),1),0))</f>
        <v>220</v>
      </c>
      <c r="J107" s="186">
        <f>IF(R107="","",ROUND(R107*Steuerungsdaten!$B$4*IFERROR(VLOOKUP(C107,Steuerungsdaten!$A$12:$H$33,8,FALSE),1),0))</f>
        <v>192</v>
      </c>
      <c r="K107" s="186">
        <f>IF(G107="","",ROUND(G107*Steuerungsdaten!$B$5,0))</f>
        <v>66</v>
      </c>
      <c r="L107" s="186">
        <f>IF(H107="","",ROUND(H107*Steuerungsdaten!$B$5,0))</f>
        <v>212</v>
      </c>
      <c r="M107" s="186">
        <f>IF(I107="","",ROUND(I107*Steuerungsdaten!$B$5,0))</f>
        <v>253</v>
      </c>
      <c r="N107" s="187">
        <f>IF(J107="","",ROUND(J107*Steuerungsdaten!$B$5,0))</f>
        <v>221</v>
      </c>
      <c r="O107" s="193">
        <v>76</v>
      </c>
      <c r="P107" s="193">
        <v>267</v>
      </c>
      <c r="Q107" s="193">
        <v>222</v>
      </c>
      <c r="R107" s="193">
        <v>240</v>
      </c>
    </row>
    <row r="108" spans="1:18" x14ac:dyDescent="0.25">
      <c r="A108" s="188">
        <v>3504</v>
      </c>
      <c r="B108" s="189" t="s">
        <v>90</v>
      </c>
      <c r="C108" s="189" t="s">
        <v>201</v>
      </c>
      <c r="D108" s="189" t="s">
        <v>206</v>
      </c>
      <c r="E108" s="190">
        <v>360</v>
      </c>
      <c r="F108" s="190">
        <v>1440</v>
      </c>
      <c r="G108" s="191">
        <f>IF(O108="","",ROUND(O108*Steuerungsdaten!$B$4*IFERROR(VLOOKUP(C108,Steuerungsdaten!$A$12:$B$33,2,FALSE),1),0))</f>
        <v>75</v>
      </c>
      <c r="H108" s="191">
        <f>IF(P108="","",ROUND(P108*Steuerungsdaten!$B$4*IFERROR(VLOOKUP(C108,Steuerungsdaten!$A$12:$D$33,4,FALSE),1),0))</f>
        <v>232</v>
      </c>
      <c r="I108" s="191">
        <f>IF(Q108="","",ROUND(Q108*Steuerungsdaten!$B$4*IFERROR(VLOOKUP(C108,Steuerungsdaten!$A$12:$F$33,6,FALSE),1),0))</f>
        <v>278</v>
      </c>
      <c r="J108" s="191">
        <f>IF(R108="","",ROUND(R108*Steuerungsdaten!$B$4*IFERROR(VLOOKUP(C108,Steuerungsdaten!$A$12:$H$33,8,FALSE),1),0))</f>
        <v>423</v>
      </c>
      <c r="K108" s="191">
        <f>IF(G108="","",ROUND(G108*Steuerungsdaten!$B$5,0))</f>
        <v>86</v>
      </c>
      <c r="L108" s="191">
        <f>IF(H108="","",ROUND(H108*Steuerungsdaten!$B$5,0))</f>
        <v>267</v>
      </c>
      <c r="M108" s="191">
        <f>IF(I108="","",ROUND(I108*Steuerungsdaten!$B$5,0))</f>
        <v>320</v>
      </c>
      <c r="N108" s="192">
        <f>IF(J108="","",ROUND(J108*Steuerungsdaten!$B$5,0))</f>
        <v>486</v>
      </c>
      <c r="O108" s="193">
        <v>100</v>
      </c>
      <c r="P108" s="193">
        <v>336</v>
      </c>
      <c r="Q108" s="193">
        <v>281</v>
      </c>
      <c r="R108" s="193">
        <v>529</v>
      </c>
    </row>
    <row r="109" spans="1:18" x14ac:dyDescent="0.25">
      <c r="A109" s="183">
        <v>3505</v>
      </c>
      <c r="B109" s="184" t="s">
        <v>90</v>
      </c>
      <c r="C109" s="184" t="s">
        <v>201</v>
      </c>
      <c r="D109" s="184" t="s">
        <v>207</v>
      </c>
      <c r="E109" s="185">
        <v>360</v>
      </c>
      <c r="F109" s="185">
        <v>1800</v>
      </c>
      <c r="G109" s="186">
        <f>IF(O109="","",ROUND(O109*Steuerungsdaten!$B$4*IFERROR(VLOOKUP(C109,Steuerungsdaten!$A$12:$B$33,2,FALSE),1),0))</f>
        <v>94</v>
      </c>
      <c r="H109" s="186">
        <f>IF(P109="","",ROUND(P109*Steuerungsdaten!$B$4*IFERROR(VLOOKUP(C109,Steuerungsdaten!$A$12:$D$33,4,FALSE),1),0))</f>
        <v>170</v>
      </c>
      <c r="I109" s="186">
        <f>IF(Q109="","",ROUND(Q109*Steuerungsdaten!$B$4*IFERROR(VLOOKUP(C109,Steuerungsdaten!$A$12:$F$33,6,FALSE),1),0))</f>
        <v>340</v>
      </c>
      <c r="J109" s="186">
        <f>IF(R109="","",ROUND(R109*Steuerungsdaten!$B$4*IFERROR(VLOOKUP(C109,Steuerungsdaten!$A$12:$H$33,8,FALSE),1),0))</f>
        <v>516</v>
      </c>
      <c r="K109" s="186">
        <f>IF(G109="","",ROUND(G109*Steuerungsdaten!$B$5,0))</f>
        <v>108</v>
      </c>
      <c r="L109" s="186">
        <f>IF(H109="","",ROUND(H109*Steuerungsdaten!$B$5,0))</f>
        <v>196</v>
      </c>
      <c r="M109" s="186">
        <f>IF(I109="","",ROUND(I109*Steuerungsdaten!$B$5,0))</f>
        <v>391</v>
      </c>
      <c r="N109" s="187">
        <f>IF(J109="","",ROUND(J109*Steuerungsdaten!$B$5,0))</f>
        <v>593</v>
      </c>
      <c r="O109" s="193">
        <v>125</v>
      </c>
      <c r="P109" s="193">
        <v>246</v>
      </c>
      <c r="Q109" s="193">
        <v>343</v>
      </c>
      <c r="R109" s="193">
        <v>645</v>
      </c>
    </row>
    <row r="110" spans="1:18" x14ac:dyDescent="0.25">
      <c r="A110" s="188">
        <v>3506</v>
      </c>
      <c r="B110" s="189" t="s">
        <v>90</v>
      </c>
      <c r="C110" s="189" t="s">
        <v>201</v>
      </c>
      <c r="D110" s="189" t="s">
        <v>208</v>
      </c>
      <c r="E110" s="190">
        <v>580</v>
      </c>
      <c r="F110" s="190">
        <v>180</v>
      </c>
      <c r="G110" s="191">
        <f>IF(O110="","",ROUND(O110*Steuerungsdaten!$B$4*IFERROR(VLOOKUP(C110,Steuerungsdaten!$A$12:$B$33,2,FALSE),1),0))</f>
        <v>32</v>
      </c>
      <c r="H110" s="191">
        <f>IF(P110="","",ROUND(P110*Steuerungsdaten!$B$4*IFERROR(VLOOKUP(C110,Steuerungsdaten!$A$12:$D$33,4,FALSE),1),0))</f>
        <v>111</v>
      </c>
      <c r="I110" s="191">
        <f>IF(Q110="","",ROUND(Q110*Steuerungsdaten!$B$4*IFERROR(VLOOKUP(C110,Steuerungsdaten!$A$12:$F$33,6,FALSE),1),0))</f>
        <v>129</v>
      </c>
      <c r="J110" s="191">
        <f>IF(R110="","",ROUND(R110*Steuerungsdaten!$B$4*IFERROR(VLOOKUP(C110,Steuerungsdaten!$A$12:$H$33,8,FALSE),1),0))</f>
        <v>166</v>
      </c>
      <c r="K110" s="191">
        <f>IF(G110="","",ROUND(G110*Steuerungsdaten!$B$5,0))</f>
        <v>37</v>
      </c>
      <c r="L110" s="191">
        <f>IF(H110="","",ROUND(H110*Steuerungsdaten!$B$5,0))</f>
        <v>128</v>
      </c>
      <c r="M110" s="191">
        <f>IF(I110="","",ROUND(I110*Steuerungsdaten!$B$5,0))</f>
        <v>148</v>
      </c>
      <c r="N110" s="192">
        <f>IF(J110="","",ROUND(J110*Steuerungsdaten!$B$5,0))</f>
        <v>191</v>
      </c>
      <c r="O110" s="193">
        <v>43</v>
      </c>
      <c r="P110" s="193">
        <v>161</v>
      </c>
      <c r="Q110" s="193">
        <v>130</v>
      </c>
      <c r="R110" s="193">
        <v>208</v>
      </c>
    </row>
    <row r="111" spans="1:18" x14ac:dyDescent="0.25">
      <c r="A111" s="183">
        <v>3507</v>
      </c>
      <c r="B111" s="184" t="s">
        <v>90</v>
      </c>
      <c r="C111" s="184" t="s">
        <v>201</v>
      </c>
      <c r="D111" s="184" t="s">
        <v>209</v>
      </c>
      <c r="E111" s="185">
        <v>580</v>
      </c>
      <c r="F111" s="185">
        <v>360</v>
      </c>
      <c r="G111" s="186">
        <f>IF(O111="","",ROUND(O111*Steuerungsdaten!$B$4*IFERROR(VLOOKUP(C111,Steuerungsdaten!$A$12:$B$33,2,FALSE),1),0))</f>
        <v>32</v>
      </c>
      <c r="H111" s="186">
        <f>IF(P111="","",ROUND(P111*Steuerungsdaten!$B$4*IFERROR(VLOOKUP(C111,Steuerungsdaten!$A$12:$D$33,4,FALSE),1),0))</f>
        <v>111</v>
      </c>
      <c r="I111" s="186">
        <f>IF(Q111="","",ROUND(Q111*Steuerungsdaten!$B$4*IFERROR(VLOOKUP(C111,Steuerungsdaten!$A$12:$F$33,6,FALSE),1),0))</f>
        <v>129</v>
      </c>
      <c r="J111" s="186">
        <f>IF(R111="","",ROUND(R111*Steuerungsdaten!$B$4*IFERROR(VLOOKUP(C111,Steuerungsdaten!$A$12:$H$33,8,FALSE),1),0))</f>
        <v>148</v>
      </c>
      <c r="K111" s="186">
        <f>IF(G111="","",ROUND(G111*Steuerungsdaten!$B$5,0))</f>
        <v>37</v>
      </c>
      <c r="L111" s="186">
        <f>IF(H111="","",ROUND(H111*Steuerungsdaten!$B$5,0))</f>
        <v>128</v>
      </c>
      <c r="M111" s="186">
        <f>IF(I111="","",ROUND(I111*Steuerungsdaten!$B$5,0))</f>
        <v>148</v>
      </c>
      <c r="N111" s="187">
        <f>IF(J111="","",ROUND(J111*Steuerungsdaten!$B$5,0))</f>
        <v>170</v>
      </c>
      <c r="O111" s="193">
        <v>43</v>
      </c>
      <c r="P111" s="193">
        <v>161</v>
      </c>
      <c r="Q111" s="193">
        <v>130</v>
      </c>
      <c r="R111" s="193">
        <v>185</v>
      </c>
    </row>
    <row r="112" spans="1:18" x14ac:dyDescent="0.25">
      <c r="A112" s="188">
        <v>3508</v>
      </c>
      <c r="B112" s="189" t="s">
        <v>90</v>
      </c>
      <c r="C112" s="189" t="s">
        <v>201</v>
      </c>
      <c r="D112" s="189" t="s">
        <v>210</v>
      </c>
      <c r="E112" s="190">
        <v>580</v>
      </c>
      <c r="F112" s="190">
        <v>720</v>
      </c>
      <c r="G112" s="191">
        <f>IF(O112="","",ROUND(O112*Steuerungsdaten!$B$4*IFERROR(VLOOKUP(C112,Steuerungsdaten!$A$12:$B$33,2,FALSE),1),0))</f>
        <v>62</v>
      </c>
      <c r="H112" s="191">
        <f>IF(P112="","",ROUND(P112*Steuerungsdaten!$B$4*IFERROR(VLOOKUP(C112,Steuerungsdaten!$A$12:$D$33,4,FALSE),1),0))</f>
        <v>181</v>
      </c>
      <c r="I112" s="191">
        <f>IF(Q112="","",ROUND(Q112*Steuerungsdaten!$B$4*IFERROR(VLOOKUP(C112,Steuerungsdaten!$A$12:$F$33,6,FALSE),1),0))</f>
        <v>214</v>
      </c>
      <c r="J112" s="191">
        <f>IF(R112="","",ROUND(R112*Steuerungsdaten!$B$4*IFERROR(VLOOKUP(C112,Steuerungsdaten!$A$12:$H$33,8,FALSE),1),0))</f>
        <v>196</v>
      </c>
      <c r="K112" s="191">
        <f>IF(G112="","",ROUND(G112*Steuerungsdaten!$B$5,0))</f>
        <v>71</v>
      </c>
      <c r="L112" s="191">
        <f>IF(H112="","",ROUND(H112*Steuerungsdaten!$B$5,0))</f>
        <v>208</v>
      </c>
      <c r="M112" s="191">
        <f>IF(I112="","",ROUND(I112*Steuerungsdaten!$B$5,0))</f>
        <v>246</v>
      </c>
      <c r="N112" s="192">
        <f>IF(J112="","",ROUND(J112*Steuerungsdaten!$B$5,0))</f>
        <v>225</v>
      </c>
      <c r="O112" s="193">
        <v>82</v>
      </c>
      <c r="P112" s="193">
        <v>262</v>
      </c>
      <c r="Q112" s="193">
        <v>216</v>
      </c>
      <c r="R112" s="193">
        <v>245</v>
      </c>
    </row>
    <row r="113" spans="1:18" x14ac:dyDescent="0.25">
      <c r="A113" s="183">
        <v>3509</v>
      </c>
      <c r="B113" s="184" t="s">
        <v>90</v>
      </c>
      <c r="C113" s="184" t="s">
        <v>201</v>
      </c>
      <c r="D113" s="184" t="s">
        <v>211</v>
      </c>
      <c r="E113" s="185">
        <v>580</v>
      </c>
      <c r="F113" s="185">
        <v>1080</v>
      </c>
      <c r="G113" s="186">
        <f>IF(O113="","",ROUND(O113*Steuerungsdaten!$B$4*IFERROR(VLOOKUP(C113,Steuerungsdaten!$A$12:$B$33,2,FALSE),1),0))</f>
        <v>89</v>
      </c>
      <c r="H113" s="186">
        <f>IF(P113="","",ROUND(P113*Steuerungsdaten!$B$4*IFERROR(VLOOKUP(C113,Steuerungsdaten!$A$12:$D$33,4,FALSE),1),0))</f>
        <v>260</v>
      </c>
      <c r="I113" s="186">
        <f>IF(Q113="","",ROUND(Q113*Steuerungsdaten!$B$4*IFERROR(VLOOKUP(C113,Steuerungsdaten!$A$12:$F$33,6,FALSE),1),0))</f>
        <v>297</v>
      </c>
      <c r="J113" s="186">
        <f>IF(R113="","",ROUND(R113*Steuerungsdaten!$B$4*IFERROR(VLOOKUP(C113,Steuerungsdaten!$A$12:$H$33,8,FALSE),1),0))</f>
        <v>246</v>
      </c>
      <c r="K113" s="186">
        <f>IF(G113="","",ROUND(G113*Steuerungsdaten!$B$5,0))</f>
        <v>102</v>
      </c>
      <c r="L113" s="186">
        <f>IF(H113="","",ROUND(H113*Steuerungsdaten!$B$5,0))</f>
        <v>299</v>
      </c>
      <c r="M113" s="186">
        <f>IF(I113="","",ROUND(I113*Steuerungsdaten!$B$5,0))</f>
        <v>342</v>
      </c>
      <c r="N113" s="187">
        <f>IF(J113="","",ROUND(J113*Steuerungsdaten!$B$5,0))</f>
        <v>283</v>
      </c>
      <c r="O113" s="193">
        <v>119</v>
      </c>
      <c r="P113" s="193">
        <v>377</v>
      </c>
      <c r="Q113" s="193">
        <v>300</v>
      </c>
      <c r="R113" s="193">
        <v>307</v>
      </c>
    </row>
    <row r="114" spans="1:18" x14ac:dyDescent="0.25">
      <c r="A114" s="188">
        <v>3510</v>
      </c>
      <c r="B114" s="189" t="s">
        <v>90</v>
      </c>
      <c r="C114" s="189" t="s">
        <v>201</v>
      </c>
      <c r="D114" s="189" t="s">
        <v>212</v>
      </c>
      <c r="E114" s="190">
        <v>580</v>
      </c>
      <c r="F114" s="190">
        <v>1440</v>
      </c>
      <c r="G114" s="191">
        <f>IF(O114="","",ROUND(O114*Steuerungsdaten!$B$4*IFERROR(VLOOKUP(C114,Steuerungsdaten!$A$12:$B$33,2,FALSE),1),0))</f>
        <v>119</v>
      </c>
      <c r="H114" s="191">
        <f>IF(P114="","",ROUND(P114*Steuerungsdaten!$B$4*IFERROR(VLOOKUP(C114,Steuerungsdaten!$A$12:$D$33,4,FALSE),1),0))</f>
        <v>334</v>
      </c>
      <c r="I114" s="191">
        <f>IF(Q114="","",ROUND(Q114*Steuerungsdaten!$B$4*IFERROR(VLOOKUP(C114,Steuerungsdaten!$A$12:$F$33,6,FALSE),1),0))</f>
        <v>396</v>
      </c>
      <c r="J114" s="191">
        <f>IF(R114="","",ROUND(R114*Steuerungsdaten!$B$4*IFERROR(VLOOKUP(C114,Steuerungsdaten!$A$12:$H$33,8,FALSE),1),0))</f>
        <v>602</v>
      </c>
      <c r="K114" s="191">
        <f>IF(G114="","",ROUND(G114*Steuerungsdaten!$B$5,0))</f>
        <v>137</v>
      </c>
      <c r="L114" s="191">
        <f>IF(H114="","",ROUND(H114*Steuerungsdaten!$B$5,0))</f>
        <v>384</v>
      </c>
      <c r="M114" s="191">
        <f>IF(I114="","",ROUND(I114*Steuerungsdaten!$B$5,0))</f>
        <v>455</v>
      </c>
      <c r="N114" s="192">
        <f>IF(J114="","",ROUND(J114*Steuerungsdaten!$B$5,0))</f>
        <v>692</v>
      </c>
      <c r="O114" s="193">
        <v>158</v>
      </c>
      <c r="P114" s="193">
        <v>484</v>
      </c>
      <c r="Q114" s="193">
        <v>400</v>
      </c>
      <c r="R114" s="193">
        <v>752</v>
      </c>
    </row>
    <row r="115" spans="1:18" x14ac:dyDescent="0.25">
      <c r="A115" s="183">
        <v>3511</v>
      </c>
      <c r="B115" s="184" t="s">
        <v>90</v>
      </c>
      <c r="C115" s="184" t="s">
        <v>201</v>
      </c>
      <c r="D115" s="184" t="s">
        <v>213</v>
      </c>
      <c r="E115" s="185">
        <v>580</v>
      </c>
      <c r="F115" s="185">
        <v>1800</v>
      </c>
      <c r="G115" s="186">
        <f>IF(O115="","",ROUND(O115*Steuerungsdaten!$B$4*IFERROR(VLOOKUP(C115,Steuerungsdaten!$A$12:$B$33,2,FALSE),1),0))</f>
        <v>148</v>
      </c>
      <c r="H115" s="186">
        <f>IF(P115="","",ROUND(P115*Steuerungsdaten!$B$4*IFERROR(VLOOKUP(C115,Steuerungsdaten!$A$12:$D$33,4,FALSE),1),0))</f>
        <v>268</v>
      </c>
      <c r="I115" s="186">
        <f>IF(Q115="","",ROUND(Q115*Steuerungsdaten!$B$4*IFERROR(VLOOKUP(C115,Steuerungsdaten!$A$12:$F$33,6,FALSE),1),0))</f>
        <v>462</v>
      </c>
      <c r="J115" s="186">
        <f>IF(R115="","",ROUND(R115*Steuerungsdaten!$B$4*IFERROR(VLOOKUP(C115,Steuerungsdaten!$A$12:$H$33,8,FALSE),1),0))</f>
        <v>703</v>
      </c>
      <c r="K115" s="186">
        <f>IF(G115="","",ROUND(G115*Steuerungsdaten!$B$5,0))</f>
        <v>170</v>
      </c>
      <c r="L115" s="186">
        <f>IF(H115="","",ROUND(H115*Steuerungsdaten!$B$5,0))</f>
        <v>308</v>
      </c>
      <c r="M115" s="186">
        <f>IF(I115="","",ROUND(I115*Steuerungsdaten!$B$5,0))</f>
        <v>531</v>
      </c>
      <c r="N115" s="187">
        <f>IF(J115="","",ROUND(J115*Steuerungsdaten!$B$5,0))</f>
        <v>808</v>
      </c>
      <c r="O115" s="193">
        <v>197</v>
      </c>
      <c r="P115" s="193">
        <v>388</v>
      </c>
      <c r="Q115" s="193">
        <v>467</v>
      </c>
      <c r="R115" s="193">
        <v>879</v>
      </c>
    </row>
    <row r="116" spans="1:18" x14ac:dyDescent="0.25">
      <c r="A116" s="188">
        <v>3512</v>
      </c>
      <c r="B116" s="189" t="s">
        <v>90</v>
      </c>
      <c r="C116" s="189" t="s">
        <v>201</v>
      </c>
      <c r="D116" s="189" t="s">
        <v>214</v>
      </c>
      <c r="E116" s="190">
        <v>180</v>
      </c>
      <c r="F116" s="190">
        <v>780</v>
      </c>
      <c r="G116" s="191">
        <f>IF(O116="","",ROUND(O116*Steuerungsdaten!$B$4*IFERROR(VLOOKUP(C116,Steuerungsdaten!$A$12:$B$33,2,FALSE),1),0))</f>
        <v>42</v>
      </c>
      <c r="H116" s="191">
        <f>IF(P116="","",ROUND(P116*Steuerungsdaten!$B$4*IFERROR(VLOOKUP(C116,Steuerungsdaten!$A$12:$D$33,4,FALSE),1),0))</f>
        <v>128</v>
      </c>
      <c r="I116" s="191">
        <f>IF(Q116="","",ROUND(Q116*Steuerungsdaten!$B$4*IFERROR(VLOOKUP(C116,Steuerungsdaten!$A$12:$F$33,6,FALSE),1),0))</f>
        <v>143</v>
      </c>
      <c r="J116" s="191">
        <f>IF(R116="","",ROUND(R116*Steuerungsdaten!$B$4*IFERROR(VLOOKUP(C116,Steuerungsdaten!$A$12:$H$33,8,FALSE),1),0))</f>
        <v>170</v>
      </c>
      <c r="K116" s="191">
        <f>IF(G116="","",ROUND(G116*Steuerungsdaten!$B$5,0))</f>
        <v>48</v>
      </c>
      <c r="L116" s="191">
        <f>IF(H116="","",ROUND(H116*Steuerungsdaten!$B$5,0))</f>
        <v>147</v>
      </c>
      <c r="M116" s="191">
        <f>IF(I116="","",ROUND(I116*Steuerungsdaten!$B$5,0))</f>
        <v>164</v>
      </c>
      <c r="N116" s="192">
        <f>IF(J116="","",ROUND(J116*Steuerungsdaten!$B$5,0))</f>
        <v>196</v>
      </c>
      <c r="O116" s="193">
        <v>56</v>
      </c>
      <c r="P116" s="193">
        <v>185</v>
      </c>
      <c r="Q116" s="193">
        <v>144</v>
      </c>
      <c r="R116" s="193">
        <v>212</v>
      </c>
    </row>
    <row r="117" spans="1:18" x14ac:dyDescent="0.25">
      <c r="A117" s="183">
        <v>3513</v>
      </c>
      <c r="B117" s="184" t="s">
        <v>90</v>
      </c>
      <c r="C117" s="184" t="s">
        <v>201</v>
      </c>
      <c r="D117" s="184" t="s">
        <v>215</v>
      </c>
      <c r="E117" s="185">
        <v>180</v>
      </c>
      <c r="F117" s="185">
        <v>980</v>
      </c>
      <c r="G117" s="186">
        <f>IF(O117="","",ROUND(O117*Steuerungsdaten!$B$4*IFERROR(VLOOKUP(C117,Steuerungsdaten!$A$12:$B$33,2,FALSE),1),0))</f>
        <v>53</v>
      </c>
      <c r="H117" s="186">
        <f>IF(P117="","",ROUND(P117*Steuerungsdaten!$B$4*IFERROR(VLOOKUP(C117,Steuerungsdaten!$A$12:$D$33,4,FALSE),1),0))</f>
        <v>154</v>
      </c>
      <c r="I117" s="186">
        <f>IF(Q117="","",ROUND(Q117*Steuerungsdaten!$B$4*IFERROR(VLOOKUP(C117,Steuerungsdaten!$A$12:$F$33,6,FALSE),1),0))</f>
        <v>172</v>
      </c>
      <c r="J117" s="186">
        <f>IF(R117="","",ROUND(R117*Steuerungsdaten!$B$4*IFERROR(VLOOKUP(C117,Steuerungsdaten!$A$12:$H$33,8,FALSE),1),0))</f>
        <v>183</v>
      </c>
      <c r="K117" s="186">
        <f>IF(G117="","",ROUND(G117*Steuerungsdaten!$B$5,0))</f>
        <v>61</v>
      </c>
      <c r="L117" s="186">
        <f>IF(H117="","",ROUND(H117*Steuerungsdaten!$B$5,0))</f>
        <v>177</v>
      </c>
      <c r="M117" s="186">
        <f>IF(I117="","",ROUND(I117*Steuerungsdaten!$B$5,0))</f>
        <v>198</v>
      </c>
      <c r="N117" s="187">
        <f>IF(J117="","",ROUND(J117*Steuerungsdaten!$B$5,0))</f>
        <v>210</v>
      </c>
      <c r="O117" s="193">
        <v>70</v>
      </c>
      <c r="P117" s="193">
        <v>223</v>
      </c>
      <c r="Q117" s="193">
        <v>174</v>
      </c>
      <c r="R117" s="193">
        <v>229</v>
      </c>
    </row>
    <row r="118" spans="1:18" x14ac:dyDescent="0.25">
      <c r="A118" s="188">
        <v>3514</v>
      </c>
      <c r="B118" s="189" t="s">
        <v>90</v>
      </c>
      <c r="C118" s="189" t="s">
        <v>201</v>
      </c>
      <c r="D118" s="189" t="s">
        <v>216</v>
      </c>
      <c r="E118" s="190">
        <v>360</v>
      </c>
      <c r="F118" s="190">
        <v>780</v>
      </c>
      <c r="G118" s="191">
        <f>IF(O118="","",ROUND(O118*Steuerungsdaten!$B$4*IFERROR(VLOOKUP(C118,Steuerungsdaten!$A$12:$B$33,2,FALSE),1),0))</f>
        <v>42</v>
      </c>
      <c r="H118" s="191">
        <f>IF(P118="","",ROUND(P118*Steuerungsdaten!$B$4*IFERROR(VLOOKUP(C118,Steuerungsdaten!$A$12:$D$33,4,FALSE),1),0))</f>
        <v>128</v>
      </c>
      <c r="I118" s="191">
        <f>IF(Q118="","",ROUND(Q118*Steuerungsdaten!$B$4*IFERROR(VLOOKUP(C118,Steuerungsdaten!$A$12:$F$33,6,FALSE),1),0))</f>
        <v>143</v>
      </c>
      <c r="J118" s="191">
        <f>IF(R118="","",ROUND(R118*Steuerungsdaten!$B$4*IFERROR(VLOOKUP(C118,Steuerungsdaten!$A$12:$H$33,8,FALSE),1),0))</f>
        <v>152</v>
      </c>
      <c r="K118" s="191">
        <f>IF(G118="","",ROUND(G118*Steuerungsdaten!$B$5,0))</f>
        <v>48</v>
      </c>
      <c r="L118" s="191">
        <f>IF(H118="","",ROUND(H118*Steuerungsdaten!$B$5,0))</f>
        <v>147</v>
      </c>
      <c r="M118" s="191">
        <f>IF(I118="","",ROUND(I118*Steuerungsdaten!$B$5,0))</f>
        <v>164</v>
      </c>
      <c r="N118" s="192">
        <f>IF(J118="","",ROUND(J118*Steuerungsdaten!$B$5,0))</f>
        <v>175</v>
      </c>
      <c r="O118" s="193">
        <v>56</v>
      </c>
      <c r="P118" s="193">
        <v>185</v>
      </c>
      <c r="Q118" s="193">
        <v>144</v>
      </c>
      <c r="R118" s="193">
        <v>190</v>
      </c>
    </row>
    <row r="119" spans="1:18" x14ac:dyDescent="0.25">
      <c r="A119" s="183">
        <v>3515</v>
      </c>
      <c r="B119" s="184" t="s">
        <v>90</v>
      </c>
      <c r="C119" s="184" t="s">
        <v>201</v>
      </c>
      <c r="D119" s="184" t="s">
        <v>217</v>
      </c>
      <c r="E119" s="185">
        <v>360</v>
      </c>
      <c r="F119" s="185">
        <v>980</v>
      </c>
      <c r="G119" s="186">
        <f>IF(O119="","",ROUND(O119*Steuerungsdaten!$B$4*IFERROR(VLOOKUP(C119,Steuerungsdaten!$A$12:$B$33,2,FALSE),1),0))</f>
        <v>53</v>
      </c>
      <c r="H119" s="186">
        <f>IF(P119="","",ROUND(P119*Steuerungsdaten!$B$4*IFERROR(VLOOKUP(C119,Steuerungsdaten!$A$12:$D$33,4,FALSE),1),0))</f>
        <v>154</v>
      </c>
      <c r="I119" s="186">
        <f>IF(Q119="","",ROUND(Q119*Steuerungsdaten!$B$4*IFERROR(VLOOKUP(C119,Steuerungsdaten!$A$12:$F$33,6,FALSE),1),0))</f>
        <v>172</v>
      </c>
      <c r="J119" s="186">
        <f>IF(R119="","",ROUND(R119*Steuerungsdaten!$B$4*IFERROR(VLOOKUP(C119,Steuerungsdaten!$A$12:$H$33,8,FALSE),1),0))</f>
        <v>167</v>
      </c>
      <c r="K119" s="186">
        <f>IF(G119="","",ROUND(G119*Steuerungsdaten!$B$5,0))</f>
        <v>61</v>
      </c>
      <c r="L119" s="186">
        <f>IF(H119="","",ROUND(H119*Steuerungsdaten!$B$5,0))</f>
        <v>177</v>
      </c>
      <c r="M119" s="186">
        <f>IF(I119="","",ROUND(I119*Steuerungsdaten!$B$5,0))</f>
        <v>198</v>
      </c>
      <c r="N119" s="187">
        <f>IF(J119="","",ROUND(J119*Steuerungsdaten!$B$5,0))</f>
        <v>192</v>
      </c>
      <c r="O119" s="193">
        <v>70</v>
      </c>
      <c r="P119" s="193">
        <v>223</v>
      </c>
      <c r="Q119" s="193">
        <v>174</v>
      </c>
      <c r="R119" s="193">
        <v>209</v>
      </c>
    </row>
    <row r="120" spans="1:18" x14ac:dyDescent="0.25">
      <c r="A120" s="188">
        <v>3516</v>
      </c>
      <c r="B120" s="189" t="s">
        <v>90</v>
      </c>
      <c r="C120" s="189" t="s">
        <v>201</v>
      </c>
      <c r="D120" s="189" t="s">
        <v>218</v>
      </c>
      <c r="E120" s="190">
        <v>720</v>
      </c>
      <c r="F120" s="190">
        <v>780</v>
      </c>
      <c r="G120" s="191">
        <f>IF(O120="","",ROUND(O120*Steuerungsdaten!$B$4*IFERROR(VLOOKUP(C120,Steuerungsdaten!$A$12:$B$33,2,FALSE),1),0))</f>
        <v>80</v>
      </c>
      <c r="H120" s="191">
        <f>IF(P120="","",ROUND(P120*Steuerungsdaten!$B$4*IFERROR(VLOOKUP(C120,Steuerungsdaten!$A$12:$D$33,4,FALSE),1),0))</f>
        <v>245</v>
      </c>
      <c r="I120" s="191">
        <f>IF(Q120="","",ROUND(Q120*Steuerungsdaten!$B$4*IFERROR(VLOOKUP(C120,Steuerungsdaten!$A$12:$F$33,6,FALSE),1),0))</f>
        <v>274</v>
      </c>
      <c r="J120" s="191">
        <f>IF(R120="","",ROUND(R120*Steuerungsdaten!$B$4*IFERROR(VLOOKUP(C120,Steuerungsdaten!$A$12:$H$33,8,FALSE),1),0))</f>
        <v>214</v>
      </c>
      <c r="K120" s="191">
        <f>IF(G120="","",ROUND(G120*Steuerungsdaten!$B$5,0))</f>
        <v>92</v>
      </c>
      <c r="L120" s="191">
        <f>IF(H120="","",ROUND(H120*Steuerungsdaten!$B$5,0))</f>
        <v>282</v>
      </c>
      <c r="M120" s="191">
        <f>IF(I120="","",ROUND(I120*Steuerungsdaten!$B$5,0))</f>
        <v>315</v>
      </c>
      <c r="N120" s="192">
        <f>IF(J120="","",ROUND(J120*Steuerungsdaten!$B$5,0))</f>
        <v>246</v>
      </c>
      <c r="O120" s="193">
        <v>107</v>
      </c>
      <c r="P120" s="193">
        <v>355</v>
      </c>
      <c r="Q120" s="193">
        <v>277</v>
      </c>
      <c r="R120" s="193">
        <v>268</v>
      </c>
    </row>
    <row r="121" spans="1:18" x14ac:dyDescent="0.25">
      <c r="A121" s="183">
        <v>3517</v>
      </c>
      <c r="B121" s="184" t="s">
        <v>90</v>
      </c>
      <c r="C121" s="184" t="s">
        <v>201</v>
      </c>
      <c r="D121" s="184" t="s">
        <v>219</v>
      </c>
      <c r="E121" s="185">
        <v>720</v>
      </c>
      <c r="F121" s="185">
        <v>980</v>
      </c>
      <c r="G121" s="186">
        <f>IF(O121="","",ROUND(O121*Steuerungsdaten!$B$4*IFERROR(VLOOKUP(C121,Steuerungsdaten!$A$12:$B$33,2,FALSE),1),0))</f>
        <v>101</v>
      </c>
      <c r="H121" s="186">
        <f>IF(P121="","",ROUND(P121*Steuerungsdaten!$B$4*IFERROR(VLOOKUP(C121,Steuerungsdaten!$A$12:$D$33,4,FALSE),1),0))</f>
        <v>280</v>
      </c>
      <c r="I121" s="186">
        <f>IF(Q121="","",ROUND(Q121*Steuerungsdaten!$B$4*IFERROR(VLOOKUP(C121,Steuerungsdaten!$A$12:$F$33,6,FALSE),1),0))</f>
        <v>317</v>
      </c>
      <c r="J121" s="186">
        <f>IF(R121="","",ROUND(R121*Steuerungsdaten!$B$4*IFERROR(VLOOKUP(C121,Steuerungsdaten!$A$12:$H$33,8,FALSE),1),0))</f>
        <v>263</v>
      </c>
      <c r="K121" s="186">
        <f>IF(G121="","",ROUND(G121*Steuerungsdaten!$B$5,0))</f>
        <v>116</v>
      </c>
      <c r="L121" s="186">
        <f>IF(H121="","",ROUND(H121*Steuerungsdaten!$B$5,0))</f>
        <v>322</v>
      </c>
      <c r="M121" s="186">
        <f>IF(I121="","",ROUND(I121*Steuerungsdaten!$B$5,0))</f>
        <v>365</v>
      </c>
      <c r="N121" s="187">
        <f>IF(J121="","",ROUND(J121*Steuerungsdaten!$B$5,0))</f>
        <v>302</v>
      </c>
      <c r="O121" s="193">
        <v>134</v>
      </c>
      <c r="P121" s="193">
        <v>406</v>
      </c>
      <c r="Q121" s="193">
        <v>320</v>
      </c>
      <c r="R121" s="193">
        <v>329</v>
      </c>
    </row>
    <row r="122" spans="1:18" x14ac:dyDescent="0.25">
      <c r="A122" s="188">
        <v>3518</v>
      </c>
      <c r="B122" s="189" t="s">
        <v>90</v>
      </c>
      <c r="C122" s="189" t="s">
        <v>201</v>
      </c>
      <c r="D122" s="189" t="s">
        <v>220</v>
      </c>
      <c r="E122" s="190">
        <v>1080</v>
      </c>
      <c r="F122" s="190">
        <v>780</v>
      </c>
      <c r="G122" s="191">
        <f>IF(O122="","",ROUND(O122*Steuerungsdaten!$B$4*IFERROR(VLOOKUP(C122,Steuerungsdaten!$A$12:$B$33,2,FALSE),1),0))</f>
        <v>121</v>
      </c>
      <c r="H122" s="191">
        <f>IF(P122="","",ROUND(P122*Steuerungsdaten!$B$4*IFERROR(VLOOKUP(C122,Steuerungsdaten!$A$12:$D$33,4,FALSE),1),0))</f>
        <v>357</v>
      </c>
      <c r="I122" s="191">
        <f>IF(Q122="","",ROUND(Q122*Steuerungsdaten!$B$4*IFERROR(VLOOKUP(C122,Steuerungsdaten!$A$12:$F$33,6,FALSE),1),0))</f>
        <v>405</v>
      </c>
      <c r="J122" s="191">
        <f>IF(R122="","",ROUND(R122*Steuerungsdaten!$B$4*IFERROR(VLOOKUP(C122,Steuerungsdaten!$A$12:$H$33,8,FALSE),1),0))</f>
        <v>308</v>
      </c>
      <c r="K122" s="191">
        <f>IF(G122="","",ROUND(G122*Steuerungsdaten!$B$5,0))</f>
        <v>139</v>
      </c>
      <c r="L122" s="191">
        <f>IF(H122="","",ROUND(H122*Steuerungsdaten!$B$5,0))</f>
        <v>411</v>
      </c>
      <c r="M122" s="191">
        <f>IF(I122="","",ROUND(I122*Steuerungsdaten!$B$5,0))</f>
        <v>466</v>
      </c>
      <c r="N122" s="192">
        <f>IF(J122="","",ROUND(J122*Steuerungsdaten!$B$5,0))</f>
        <v>354</v>
      </c>
      <c r="O122" s="193">
        <v>161</v>
      </c>
      <c r="P122" s="193">
        <v>517</v>
      </c>
      <c r="Q122" s="193">
        <v>409</v>
      </c>
      <c r="R122" s="193">
        <v>385</v>
      </c>
    </row>
    <row r="123" spans="1:18" x14ac:dyDescent="0.25">
      <c r="A123" s="183">
        <v>3519</v>
      </c>
      <c r="B123" s="184" t="s">
        <v>90</v>
      </c>
      <c r="C123" s="184" t="s">
        <v>201</v>
      </c>
      <c r="D123" s="184" t="s">
        <v>221</v>
      </c>
      <c r="E123" s="185">
        <v>1080</v>
      </c>
      <c r="F123" s="185">
        <v>980</v>
      </c>
      <c r="G123" s="186">
        <f>IF(O123="","",ROUND(O123*Steuerungsdaten!$B$4*IFERROR(VLOOKUP(C123,Steuerungsdaten!$A$12:$B$33,2,FALSE),1),0))</f>
        <v>150</v>
      </c>
      <c r="H123" s="186">
        <f>IF(P123="","",ROUND(P123*Steuerungsdaten!$B$4*IFERROR(VLOOKUP(C123,Steuerungsdaten!$A$12:$D$33,4,FALSE),1),0))</f>
        <v>432</v>
      </c>
      <c r="I123" s="186">
        <f>IF(Q123="","",ROUND(Q123*Steuerungsdaten!$B$4*IFERROR(VLOOKUP(C123,Steuerungsdaten!$A$12:$F$33,6,FALSE),1),0))</f>
        <v>469</v>
      </c>
      <c r="J123" s="186">
        <f>IF(R123="","",ROUND(R123*Steuerungsdaten!$B$4*IFERROR(VLOOKUP(C123,Steuerungsdaten!$A$12:$H$33,8,FALSE),1),0))</f>
        <v>345</v>
      </c>
      <c r="K123" s="186">
        <f>IF(G123="","",ROUND(G123*Steuerungsdaten!$B$5,0))</f>
        <v>173</v>
      </c>
      <c r="L123" s="186">
        <f>IF(H123="","",ROUND(H123*Steuerungsdaten!$B$5,0))</f>
        <v>497</v>
      </c>
      <c r="M123" s="186">
        <f>IF(I123="","",ROUND(I123*Steuerungsdaten!$B$5,0))</f>
        <v>539</v>
      </c>
      <c r="N123" s="187">
        <f>IF(J123="","",ROUND(J123*Steuerungsdaten!$B$5,0))</f>
        <v>397</v>
      </c>
      <c r="O123" s="193">
        <v>200</v>
      </c>
      <c r="P123" s="193">
        <v>626</v>
      </c>
      <c r="Q123" s="193">
        <v>474</v>
      </c>
      <c r="R123" s="193">
        <v>431</v>
      </c>
    </row>
    <row r="124" spans="1:18" x14ac:dyDescent="0.25">
      <c r="A124" s="188">
        <v>3520</v>
      </c>
      <c r="B124" s="189" t="s">
        <v>90</v>
      </c>
      <c r="C124" s="189" t="s">
        <v>201</v>
      </c>
      <c r="D124" s="189" t="s">
        <v>222</v>
      </c>
      <c r="E124" s="190">
        <v>1440</v>
      </c>
      <c r="F124" s="190">
        <v>780</v>
      </c>
      <c r="G124" s="191">
        <f>IF(O124="","",ROUND(O124*Steuerungsdaten!$B$4*IFERROR(VLOOKUP(C124,Steuerungsdaten!$A$12:$B$33,2,FALSE),1),0))</f>
        <v>158</v>
      </c>
      <c r="H124" s="191">
        <f>IF(P124="","",ROUND(P124*Steuerungsdaten!$B$4*IFERROR(VLOOKUP(C124,Steuerungsdaten!$A$12:$D$33,4,FALSE),1),0))</f>
        <v>435</v>
      </c>
      <c r="I124" s="191">
        <f>IF(Q124="","",ROUND(Q124*Steuerungsdaten!$B$4*IFERROR(VLOOKUP(C124,Steuerungsdaten!$A$12:$F$33,6,FALSE),1),0))</f>
        <v>494</v>
      </c>
      <c r="J124" s="191">
        <f>IF(R124="","",ROUND(R124*Steuerungsdaten!$B$4*IFERROR(VLOOKUP(C124,Steuerungsdaten!$A$12:$H$33,8,FALSE),1),0))</f>
        <v>751</v>
      </c>
      <c r="K124" s="191">
        <f>IF(G124="","",ROUND(G124*Steuerungsdaten!$B$5,0))</f>
        <v>182</v>
      </c>
      <c r="L124" s="191">
        <f>IF(H124="","",ROUND(H124*Steuerungsdaten!$B$5,0))</f>
        <v>500</v>
      </c>
      <c r="M124" s="191">
        <f>IF(I124="","",ROUND(I124*Steuerungsdaten!$B$5,0))</f>
        <v>568</v>
      </c>
      <c r="N124" s="192">
        <f>IF(J124="","",ROUND(J124*Steuerungsdaten!$B$5,0))</f>
        <v>864</v>
      </c>
      <c r="O124" s="193">
        <v>211</v>
      </c>
      <c r="P124" s="193">
        <v>630</v>
      </c>
      <c r="Q124" s="193">
        <v>499</v>
      </c>
      <c r="R124" s="193">
        <v>939</v>
      </c>
    </row>
    <row r="125" spans="1:18" x14ac:dyDescent="0.25">
      <c r="A125" s="183">
        <v>3521</v>
      </c>
      <c r="B125" s="184" t="s">
        <v>90</v>
      </c>
      <c r="C125" s="184" t="s">
        <v>201</v>
      </c>
      <c r="D125" s="184" t="s">
        <v>223</v>
      </c>
      <c r="E125" s="185">
        <v>1440</v>
      </c>
      <c r="F125" s="185">
        <v>980</v>
      </c>
      <c r="G125" s="186">
        <f>IF(O125="","",ROUND(O125*Steuerungsdaten!$B$4*IFERROR(VLOOKUP(C125,Steuerungsdaten!$A$12:$B$33,2,FALSE),1),0))</f>
        <v>198</v>
      </c>
      <c r="H125" s="186">
        <f>IF(P125="","",ROUND(P125*Steuerungsdaten!$B$4*IFERROR(VLOOKUP(C125,Steuerungsdaten!$A$12:$D$33,4,FALSE),1),0))</f>
        <v>537</v>
      </c>
      <c r="I125" s="186">
        <f>IF(Q125="","",ROUND(Q125*Steuerungsdaten!$B$4*IFERROR(VLOOKUP(C125,Steuerungsdaten!$A$12:$F$33,6,FALSE),1),0))</f>
        <v>610</v>
      </c>
      <c r="J125" s="186">
        <f>IF(R125="","",ROUND(R125*Steuerungsdaten!$B$4*IFERROR(VLOOKUP(C125,Steuerungsdaten!$A$12:$H$33,8,FALSE),1),0))</f>
        <v>927</v>
      </c>
      <c r="K125" s="186">
        <f>IF(G125="","",ROUND(G125*Steuerungsdaten!$B$5,0))</f>
        <v>228</v>
      </c>
      <c r="L125" s="186">
        <f>IF(H125="","",ROUND(H125*Steuerungsdaten!$B$5,0))</f>
        <v>618</v>
      </c>
      <c r="M125" s="186">
        <f>IF(I125="","",ROUND(I125*Steuerungsdaten!$B$5,0))</f>
        <v>702</v>
      </c>
      <c r="N125" s="187">
        <f>IF(J125="","",ROUND(J125*Steuerungsdaten!$B$5,0))</f>
        <v>1066</v>
      </c>
      <c r="O125" s="193">
        <v>264</v>
      </c>
      <c r="P125" s="193">
        <v>778</v>
      </c>
      <c r="Q125" s="193">
        <v>616</v>
      </c>
      <c r="R125" s="193">
        <v>1159</v>
      </c>
    </row>
    <row r="126" spans="1:18" x14ac:dyDescent="0.25">
      <c r="A126" s="188">
        <v>3522</v>
      </c>
      <c r="B126" s="189" t="s">
        <v>90</v>
      </c>
      <c r="C126" s="189" t="s">
        <v>201</v>
      </c>
      <c r="D126" s="189" t="s">
        <v>224</v>
      </c>
      <c r="E126" s="190">
        <v>1800</v>
      </c>
      <c r="F126" s="190">
        <v>780</v>
      </c>
      <c r="G126" s="191">
        <f>IF(O126="","",ROUND(O126*Steuerungsdaten!$B$4*IFERROR(VLOOKUP(C126,Steuerungsdaten!$A$12:$B$33,2,FALSE),1),0))</f>
        <v>198</v>
      </c>
      <c r="H126" s="191">
        <f>IF(P126="","",ROUND(P126*Steuerungsdaten!$B$4*IFERROR(VLOOKUP(C126,Steuerungsdaten!$A$12:$D$33,4,FALSE),1),0))</f>
        <v>359</v>
      </c>
      <c r="I126" s="191">
        <f>IF(Q126="","",ROUND(Q126*Steuerungsdaten!$B$4*IFERROR(VLOOKUP(C126,Steuerungsdaten!$A$12:$F$33,6,FALSE),1),0))</f>
        <v>606</v>
      </c>
      <c r="J126" s="191">
        <f>IF(R126="","",ROUND(R126*Steuerungsdaten!$B$4*IFERROR(VLOOKUP(C126,Steuerungsdaten!$A$12:$H$33,8,FALSE),1),0))</f>
        <v>921</v>
      </c>
      <c r="K126" s="191">
        <f>IF(G126="","",ROUND(G126*Steuerungsdaten!$B$5,0))</f>
        <v>228</v>
      </c>
      <c r="L126" s="191">
        <f>IF(H126="","",ROUND(H126*Steuerungsdaten!$B$5,0))</f>
        <v>413</v>
      </c>
      <c r="M126" s="191">
        <f>IF(I126="","",ROUND(I126*Steuerungsdaten!$B$5,0))</f>
        <v>697</v>
      </c>
      <c r="N126" s="192">
        <f>IF(J126="","",ROUND(J126*Steuerungsdaten!$B$5,0))</f>
        <v>1059</v>
      </c>
      <c r="O126" s="193">
        <v>264</v>
      </c>
      <c r="P126" s="193">
        <v>520</v>
      </c>
      <c r="Q126" s="193">
        <v>612</v>
      </c>
      <c r="R126" s="193">
        <v>1151</v>
      </c>
    </row>
    <row r="127" spans="1:18" x14ac:dyDescent="0.25">
      <c r="A127" s="183">
        <v>3523</v>
      </c>
      <c r="B127" s="184" t="s">
        <v>90</v>
      </c>
      <c r="C127" s="184" t="s">
        <v>201</v>
      </c>
      <c r="D127" s="184" t="s">
        <v>225</v>
      </c>
      <c r="E127" s="185">
        <v>1800</v>
      </c>
      <c r="F127" s="185">
        <v>980</v>
      </c>
      <c r="G127" s="186">
        <f>IF(O127="","",ROUND(O127*Steuerungsdaten!$B$4*IFERROR(VLOOKUP(C127,Steuerungsdaten!$A$12:$B$33,2,FALSE),1),0))</f>
        <v>247</v>
      </c>
      <c r="H127" s="186">
        <f>IF(P127="","",ROUND(P127*Steuerungsdaten!$B$4*IFERROR(VLOOKUP(C127,Steuerungsdaten!$A$12:$D$33,4,FALSE),1),0))</f>
        <v>447</v>
      </c>
      <c r="I127" s="186">
        <f>IF(Q127="","",ROUND(Q127*Steuerungsdaten!$B$4*IFERROR(VLOOKUP(C127,Steuerungsdaten!$A$12:$F$33,6,FALSE),1),0))</f>
        <v>745</v>
      </c>
      <c r="J127" s="186">
        <f>IF(R127="","",ROUND(R127*Steuerungsdaten!$B$4*IFERROR(VLOOKUP(C127,Steuerungsdaten!$A$12:$H$33,8,FALSE),1),0))</f>
        <v>1134</v>
      </c>
      <c r="K127" s="186">
        <f>IF(G127="","",ROUND(G127*Steuerungsdaten!$B$5,0))</f>
        <v>284</v>
      </c>
      <c r="L127" s="186">
        <f>IF(H127="","",ROUND(H127*Steuerungsdaten!$B$5,0))</f>
        <v>514</v>
      </c>
      <c r="M127" s="186">
        <f>IF(I127="","",ROUND(I127*Steuerungsdaten!$B$5,0))</f>
        <v>857</v>
      </c>
      <c r="N127" s="187">
        <f>IF(J127="","",ROUND(J127*Steuerungsdaten!$B$5,0))</f>
        <v>1304</v>
      </c>
      <c r="O127" s="193">
        <v>329</v>
      </c>
      <c r="P127" s="193">
        <v>648</v>
      </c>
      <c r="Q127" s="193">
        <v>753</v>
      </c>
      <c r="R127" s="193">
        <v>1417</v>
      </c>
    </row>
    <row r="128" spans="1:18" x14ac:dyDescent="0.25">
      <c r="A128" s="188">
        <v>3524</v>
      </c>
      <c r="B128" s="189" t="s">
        <v>90</v>
      </c>
      <c r="C128" s="189" t="s">
        <v>201</v>
      </c>
      <c r="D128" s="189" t="s">
        <v>226</v>
      </c>
      <c r="E128" s="190">
        <v>580</v>
      </c>
      <c r="F128" s="190">
        <v>580</v>
      </c>
      <c r="G128" s="191">
        <f>IF(O128="","",ROUND(O128*Steuerungsdaten!$B$4*IFERROR(VLOOKUP(C128,Steuerungsdaten!$A$12:$B$33,2,FALSE),1),0))</f>
        <v>50</v>
      </c>
      <c r="H128" s="191">
        <f>IF(P128="","",ROUND(P128*Steuerungsdaten!$B$4*IFERROR(VLOOKUP(C128,Steuerungsdaten!$A$12:$D$33,4,FALSE),1),0))</f>
        <v>157</v>
      </c>
      <c r="I128" s="191">
        <f>IF(Q128="","",ROUND(Q128*Steuerungsdaten!$B$4*IFERROR(VLOOKUP(C128,Steuerungsdaten!$A$12:$F$33,6,FALSE),1),0))</f>
        <v>181</v>
      </c>
      <c r="J128" s="191">
        <f>IF(R128="","",ROUND(R128*Steuerungsdaten!$B$4*IFERROR(VLOOKUP(C128,Steuerungsdaten!$A$12:$H$33,8,FALSE),1),0))</f>
        <v>153</v>
      </c>
      <c r="K128" s="191">
        <f>IF(G128="","",ROUND(G128*Steuerungsdaten!$B$5,0))</f>
        <v>58</v>
      </c>
      <c r="L128" s="191">
        <f>IF(H128="","",ROUND(H128*Steuerungsdaten!$B$5,0))</f>
        <v>181</v>
      </c>
      <c r="M128" s="191">
        <f>IF(I128="","",ROUND(I128*Steuerungsdaten!$B$5,0))</f>
        <v>208</v>
      </c>
      <c r="N128" s="192">
        <f>IF(J128="","",ROUND(J128*Steuerungsdaten!$B$5,0))</f>
        <v>176</v>
      </c>
      <c r="O128" s="193">
        <v>67</v>
      </c>
      <c r="P128" s="193">
        <v>228</v>
      </c>
      <c r="Q128" s="193">
        <v>183</v>
      </c>
      <c r="R128" s="193">
        <v>191</v>
      </c>
    </row>
    <row r="129" spans="1:18" ht="21.95" customHeight="1" x14ac:dyDescent="0.25">
      <c r="A129" s="176" t="s">
        <v>227</v>
      </c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93"/>
      <c r="P129" s="193"/>
      <c r="Q129" s="193"/>
      <c r="R129" s="193"/>
    </row>
    <row r="130" spans="1:18" x14ac:dyDescent="0.25">
      <c r="A130" s="178">
        <v>3600</v>
      </c>
      <c r="B130" s="179" t="s">
        <v>90</v>
      </c>
      <c r="C130" s="179" t="s">
        <v>227</v>
      </c>
      <c r="D130" s="179" t="s">
        <v>228</v>
      </c>
      <c r="E130" s="180">
        <v>360</v>
      </c>
      <c r="F130" s="180">
        <v>360</v>
      </c>
      <c r="G130" s="181">
        <f>IF(O130="","",ROUND(O130*Steuerungsdaten!$B$4*IFERROR(VLOOKUP(C130,Steuerungsdaten!$A$12:$B$33,2,FALSE),1),0))</f>
        <v>26</v>
      </c>
      <c r="H130" s="181">
        <f>IF(P130="","",ROUND(P130*Steuerungsdaten!$B$4*IFERROR(VLOOKUP(C130,Steuerungsdaten!$A$12:$D$33,4,FALSE),1),0))</f>
        <v>79</v>
      </c>
      <c r="I130" s="181">
        <f>IF(Q130="","",ROUND(Q130*Steuerungsdaten!$B$4*IFERROR(VLOOKUP(C130,Steuerungsdaten!$A$12:$F$33,6,FALSE),1),0))</f>
        <v>88</v>
      </c>
      <c r="J130" s="181">
        <f>IF(R130="","",ROUND(R130*Steuerungsdaten!$B$4*IFERROR(VLOOKUP(C130,Steuerungsdaten!$A$12:$H$33,8,FALSE),1),0))</f>
        <v>142</v>
      </c>
      <c r="K130" s="181">
        <f>IF(G130="","",ROUND(G130*Steuerungsdaten!$B$5,0))</f>
        <v>30</v>
      </c>
      <c r="L130" s="181">
        <f>IF(H130="","",ROUND(H130*Steuerungsdaten!$B$5,0))</f>
        <v>91</v>
      </c>
      <c r="M130" s="181">
        <f>IF(I130="","",ROUND(I130*Steuerungsdaten!$B$5,0))</f>
        <v>101</v>
      </c>
      <c r="N130" s="182">
        <f>IF(J130="","",ROUND(J130*Steuerungsdaten!$B$5,0))</f>
        <v>163</v>
      </c>
      <c r="O130" s="193">
        <v>34</v>
      </c>
      <c r="P130" s="193">
        <v>114</v>
      </c>
      <c r="Q130" s="193">
        <v>89</v>
      </c>
      <c r="R130" s="193">
        <v>177</v>
      </c>
    </row>
    <row r="131" spans="1:18" x14ac:dyDescent="0.25">
      <c r="A131" s="183">
        <v>3601</v>
      </c>
      <c r="B131" s="184" t="s">
        <v>90</v>
      </c>
      <c r="C131" s="184" t="s">
        <v>227</v>
      </c>
      <c r="D131" s="184" t="s">
        <v>229</v>
      </c>
      <c r="E131" s="185">
        <v>360</v>
      </c>
      <c r="F131" s="185">
        <v>720</v>
      </c>
      <c r="G131" s="186">
        <f>IF(O131="","",ROUND(O131*Steuerungsdaten!$B$4*IFERROR(VLOOKUP(C131,Steuerungsdaten!$A$12:$B$33,2,FALSE),1),0))</f>
        <v>39</v>
      </c>
      <c r="H131" s="186">
        <f>IF(P131="","",ROUND(P131*Steuerungsdaten!$B$4*IFERROR(VLOOKUP(C131,Steuerungsdaten!$A$12:$D$33,4,FALSE),1),0))</f>
        <v>125</v>
      </c>
      <c r="I131" s="186">
        <f>IF(Q131="","",ROUND(Q131*Steuerungsdaten!$B$4*IFERROR(VLOOKUP(C131,Steuerungsdaten!$A$12:$F$33,6,FALSE),1),0))</f>
        <v>142</v>
      </c>
      <c r="J131" s="186">
        <f>IF(R131="","",ROUND(R131*Steuerungsdaten!$B$4*IFERROR(VLOOKUP(C131,Steuerungsdaten!$A$12:$H$33,8,FALSE),1),0))</f>
        <v>170</v>
      </c>
      <c r="K131" s="186">
        <f>IF(G131="","",ROUND(G131*Steuerungsdaten!$B$5,0))</f>
        <v>45</v>
      </c>
      <c r="L131" s="186">
        <f>IF(H131="","",ROUND(H131*Steuerungsdaten!$B$5,0))</f>
        <v>144</v>
      </c>
      <c r="M131" s="186">
        <f>IF(I131="","",ROUND(I131*Steuerungsdaten!$B$5,0))</f>
        <v>163</v>
      </c>
      <c r="N131" s="187">
        <f>IF(J131="","",ROUND(J131*Steuerungsdaten!$B$5,0))</f>
        <v>196</v>
      </c>
      <c r="O131" s="193">
        <v>52</v>
      </c>
      <c r="P131" s="193">
        <v>181</v>
      </c>
      <c r="Q131" s="193">
        <v>143</v>
      </c>
      <c r="R131" s="193">
        <v>212</v>
      </c>
    </row>
    <row r="132" spans="1:18" x14ac:dyDescent="0.25">
      <c r="A132" s="188">
        <v>3602</v>
      </c>
      <c r="B132" s="189" t="s">
        <v>90</v>
      </c>
      <c r="C132" s="189" t="s">
        <v>227</v>
      </c>
      <c r="D132" s="189" t="s">
        <v>230</v>
      </c>
      <c r="E132" s="190">
        <v>360</v>
      </c>
      <c r="F132" s="190">
        <v>1080</v>
      </c>
      <c r="G132" s="191">
        <f>IF(O132="","",ROUND(O132*Steuerungsdaten!$B$4*IFERROR(VLOOKUP(C132,Steuerungsdaten!$A$12:$B$33,2,FALSE),1),0))</f>
        <v>57</v>
      </c>
      <c r="H132" s="191">
        <f>IF(P132="","",ROUND(P132*Steuerungsdaten!$B$4*IFERROR(VLOOKUP(C132,Steuerungsdaten!$A$12:$D$33,4,FALSE),1),0))</f>
        <v>184</v>
      </c>
      <c r="I132" s="191">
        <f>IF(Q132="","",ROUND(Q132*Steuerungsdaten!$B$4*IFERROR(VLOOKUP(C132,Steuerungsdaten!$A$12:$F$33,6,FALSE),1),0))</f>
        <v>220</v>
      </c>
      <c r="J132" s="191">
        <f>IF(R132="","",ROUND(R132*Steuerungsdaten!$B$4*IFERROR(VLOOKUP(C132,Steuerungsdaten!$A$12:$H$33,8,FALSE),1),0))</f>
        <v>192</v>
      </c>
      <c r="K132" s="191">
        <f>IF(G132="","",ROUND(G132*Steuerungsdaten!$B$5,0))</f>
        <v>66</v>
      </c>
      <c r="L132" s="191">
        <f>IF(H132="","",ROUND(H132*Steuerungsdaten!$B$5,0))</f>
        <v>212</v>
      </c>
      <c r="M132" s="191">
        <f>IF(I132="","",ROUND(I132*Steuerungsdaten!$B$5,0))</f>
        <v>253</v>
      </c>
      <c r="N132" s="192">
        <f>IF(J132="","",ROUND(J132*Steuerungsdaten!$B$5,0))</f>
        <v>221</v>
      </c>
      <c r="O132" s="193">
        <v>76</v>
      </c>
      <c r="P132" s="193">
        <v>267</v>
      </c>
      <c r="Q132" s="193">
        <v>222</v>
      </c>
      <c r="R132" s="193">
        <v>240</v>
      </c>
    </row>
    <row r="133" spans="1:18" x14ac:dyDescent="0.25">
      <c r="A133" s="183">
        <v>3603</v>
      </c>
      <c r="B133" s="184" t="s">
        <v>90</v>
      </c>
      <c r="C133" s="184" t="s">
        <v>227</v>
      </c>
      <c r="D133" s="184" t="s">
        <v>231</v>
      </c>
      <c r="E133" s="185">
        <v>360</v>
      </c>
      <c r="F133" s="185">
        <v>1440</v>
      </c>
      <c r="G133" s="186">
        <f>IF(O133="","",ROUND(O133*Steuerungsdaten!$B$4*IFERROR(VLOOKUP(C133,Steuerungsdaten!$A$12:$B$33,2,FALSE),1),0))</f>
        <v>75</v>
      </c>
      <c r="H133" s="186">
        <f>IF(P133="","",ROUND(P133*Steuerungsdaten!$B$4*IFERROR(VLOOKUP(C133,Steuerungsdaten!$A$12:$D$33,4,FALSE),1),0))</f>
        <v>232</v>
      </c>
      <c r="I133" s="186">
        <f>IF(Q133="","",ROUND(Q133*Steuerungsdaten!$B$4*IFERROR(VLOOKUP(C133,Steuerungsdaten!$A$12:$F$33,6,FALSE),1),0))</f>
        <v>278</v>
      </c>
      <c r="J133" s="186">
        <f>IF(R133="","",ROUND(R133*Steuerungsdaten!$B$4*IFERROR(VLOOKUP(C133,Steuerungsdaten!$A$12:$H$33,8,FALSE),1),0))</f>
        <v>423</v>
      </c>
      <c r="K133" s="186">
        <f>IF(G133="","",ROUND(G133*Steuerungsdaten!$B$5,0))</f>
        <v>86</v>
      </c>
      <c r="L133" s="186">
        <f>IF(H133="","",ROUND(H133*Steuerungsdaten!$B$5,0))</f>
        <v>267</v>
      </c>
      <c r="M133" s="186">
        <f>IF(I133="","",ROUND(I133*Steuerungsdaten!$B$5,0))</f>
        <v>320</v>
      </c>
      <c r="N133" s="187">
        <f>IF(J133="","",ROUND(J133*Steuerungsdaten!$B$5,0))</f>
        <v>486</v>
      </c>
      <c r="O133" s="193">
        <v>100</v>
      </c>
      <c r="P133" s="193">
        <v>336</v>
      </c>
      <c r="Q133" s="193">
        <v>281</v>
      </c>
      <c r="R133" s="193">
        <v>529</v>
      </c>
    </row>
    <row r="134" spans="1:18" x14ac:dyDescent="0.25">
      <c r="A134" s="188">
        <v>3604</v>
      </c>
      <c r="B134" s="189" t="s">
        <v>90</v>
      </c>
      <c r="C134" s="189" t="s">
        <v>227</v>
      </c>
      <c r="D134" s="189" t="s">
        <v>232</v>
      </c>
      <c r="E134" s="190">
        <v>360</v>
      </c>
      <c r="F134" s="190">
        <v>1800</v>
      </c>
      <c r="G134" s="191">
        <f>IF(O134="","",ROUND(O134*Steuerungsdaten!$B$4*IFERROR(VLOOKUP(C134,Steuerungsdaten!$A$12:$B$33,2,FALSE),1),0))</f>
        <v>94</v>
      </c>
      <c r="H134" s="191">
        <f>IF(P134="","",ROUND(P134*Steuerungsdaten!$B$4*IFERROR(VLOOKUP(C134,Steuerungsdaten!$A$12:$D$33,4,FALSE),1),0))</f>
        <v>170</v>
      </c>
      <c r="I134" s="191">
        <f>IF(Q134="","",ROUND(Q134*Steuerungsdaten!$B$4*IFERROR(VLOOKUP(C134,Steuerungsdaten!$A$12:$F$33,6,FALSE),1),0))</f>
        <v>340</v>
      </c>
      <c r="J134" s="191">
        <f>IF(R134="","",ROUND(R134*Steuerungsdaten!$B$4*IFERROR(VLOOKUP(C134,Steuerungsdaten!$A$12:$H$33,8,FALSE),1),0))</f>
        <v>516</v>
      </c>
      <c r="K134" s="191">
        <f>IF(G134="","",ROUND(G134*Steuerungsdaten!$B$5,0))</f>
        <v>108</v>
      </c>
      <c r="L134" s="191">
        <f>IF(H134="","",ROUND(H134*Steuerungsdaten!$B$5,0))</f>
        <v>196</v>
      </c>
      <c r="M134" s="191">
        <f>IF(I134="","",ROUND(I134*Steuerungsdaten!$B$5,0))</f>
        <v>391</v>
      </c>
      <c r="N134" s="192">
        <f>IF(J134="","",ROUND(J134*Steuerungsdaten!$B$5,0))</f>
        <v>593</v>
      </c>
      <c r="O134" s="193">
        <v>125</v>
      </c>
      <c r="P134" s="193">
        <v>246</v>
      </c>
      <c r="Q134" s="193">
        <v>343</v>
      </c>
      <c r="R134" s="193">
        <v>645</v>
      </c>
    </row>
    <row r="135" spans="1:18" x14ac:dyDescent="0.25">
      <c r="A135" s="183">
        <v>3605</v>
      </c>
      <c r="B135" s="184" t="s">
        <v>90</v>
      </c>
      <c r="C135" s="184" t="s">
        <v>227</v>
      </c>
      <c r="D135" s="184" t="s">
        <v>233</v>
      </c>
      <c r="E135" s="185">
        <v>580</v>
      </c>
      <c r="F135" s="185">
        <v>360</v>
      </c>
      <c r="G135" s="186">
        <f>IF(O135="","",ROUND(O135*Steuerungsdaten!$B$4*IFERROR(VLOOKUP(C135,Steuerungsdaten!$A$12:$B$33,2,FALSE),1),0))</f>
        <v>32</v>
      </c>
      <c r="H135" s="186">
        <f>IF(P135="","",ROUND(P135*Steuerungsdaten!$B$4*IFERROR(VLOOKUP(C135,Steuerungsdaten!$A$12:$D$33,4,FALSE),1),0))</f>
        <v>111</v>
      </c>
      <c r="I135" s="186">
        <f>IF(Q135="","",ROUND(Q135*Steuerungsdaten!$B$4*IFERROR(VLOOKUP(C135,Steuerungsdaten!$A$12:$F$33,6,FALSE),1),0))</f>
        <v>129</v>
      </c>
      <c r="J135" s="186">
        <f>IF(R135="","",ROUND(R135*Steuerungsdaten!$B$4*IFERROR(VLOOKUP(C135,Steuerungsdaten!$A$12:$H$33,8,FALSE),1),0))</f>
        <v>148</v>
      </c>
      <c r="K135" s="186">
        <f>IF(G135="","",ROUND(G135*Steuerungsdaten!$B$5,0))</f>
        <v>37</v>
      </c>
      <c r="L135" s="186">
        <f>IF(H135="","",ROUND(H135*Steuerungsdaten!$B$5,0))</f>
        <v>128</v>
      </c>
      <c r="M135" s="186">
        <f>IF(I135="","",ROUND(I135*Steuerungsdaten!$B$5,0))</f>
        <v>148</v>
      </c>
      <c r="N135" s="187">
        <f>IF(J135="","",ROUND(J135*Steuerungsdaten!$B$5,0))</f>
        <v>170</v>
      </c>
      <c r="O135" s="193">
        <v>43</v>
      </c>
      <c r="P135" s="193">
        <v>161</v>
      </c>
      <c r="Q135" s="193">
        <v>130</v>
      </c>
      <c r="R135" s="193">
        <v>185</v>
      </c>
    </row>
    <row r="136" spans="1:18" x14ac:dyDescent="0.25">
      <c r="A136" s="188">
        <v>3606</v>
      </c>
      <c r="B136" s="189" t="s">
        <v>90</v>
      </c>
      <c r="C136" s="189" t="s">
        <v>227</v>
      </c>
      <c r="D136" s="189" t="s">
        <v>234</v>
      </c>
      <c r="E136" s="190">
        <v>580</v>
      </c>
      <c r="F136" s="190">
        <v>720</v>
      </c>
      <c r="G136" s="191">
        <f>IF(O136="","",ROUND(O136*Steuerungsdaten!$B$4*IFERROR(VLOOKUP(C136,Steuerungsdaten!$A$12:$B$33,2,FALSE),1),0))</f>
        <v>62</v>
      </c>
      <c r="H136" s="191">
        <f>IF(P136="","",ROUND(P136*Steuerungsdaten!$B$4*IFERROR(VLOOKUP(C136,Steuerungsdaten!$A$12:$D$33,4,FALSE),1),0))</f>
        <v>181</v>
      </c>
      <c r="I136" s="191">
        <f>IF(Q136="","",ROUND(Q136*Steuerungsdaten!$B$4*IFERROR(VLOOKUP(C136,Steuerungsdaten!$A$12:$F$33,6,FALSE),1),0))</f>
        <v>214</v>
      </c>
      <c r="J136" s="191">
        <f>IF(R136="","",ROUND(R136*Steuerungsdaten!$B$4*IFERROR(VLOOKUP(C136,Steuerungsdaten!$A$12:$H$33,8,FALSE),1),0))</f>
        <v>196</v>
      </c>
      <c r="K136" s="191">
        <f>IF(G136="","",ROUND(G136*Steuerungsdaten!$B$5,0))</f>
        <v>71</v>
      </c>
      <c r="L136" s="191">
        <f>IF(H136="","",ROUND(H136*Steuerungsdaten!$B$5,0))</f>
        <v>208</v>
      </c>
      <c r="M136" s="191">
        <f>IF(I136="","",ROUND(I136*Steuerungsdaten!$B$5,0))</f>
        <v>246</v>
      </c>
      <c r="N136" s="192">
        <f>IF(J136="","",ROUND(J136*Steuerungsdaten!$B$5,0))</f>
        <v>225</v>
      </c>
      <c r="O136" s="193">
        <v>82</v>
      </c>
      <c r="P136" s="193">
        <v>262</v>
      </c>
      <c r="Q136" s="193">
        <v>216</v>
      </c>
      <c r="R136" s="193">
        <v>245</v>
      </c>
    </row>
    <row r="137" spans="1:18" x14ac:dyDescent="0.25">
      <c r="A137" s="183">
        <v>3607</v>
      </c>
      <c r="B137" s="184" t="s">
        <v>90</v>
      </c>
      <c r="C137" s="184" t="s">
        <v>227</v>
      </c>
      <c r="D137" s="184" t="s">
        <v>235</v>
      </c>
      <c r="E137" s="185">
        <v>580</v>
      </c>
      <c r="F137" s="185">
        <v>1080</v>
      </c>
      <c r="G137" s="186">
        <f>IF(O137="","",ROUND(O137*Steuerungsdaten!$B$4*IFERROR(VLOOKUP(C137,Steuerungsdaten!$A$12:$B$33,2,FALSE),1),0))</f>
        <v>89</v>
      </c>
      <c r="H137" s="186">
        <f>IF(P137="","",ROUND(P137*Steuerungsdaten!$B$4*IFERROR(VLOOKUP(C137,Steuerungsdaten!$A$12:$D$33,4,FALSE),1),0))</f>
        <v>260</v>
      </c>
      <c r="I137" s="186">
        <f>IF(Q137="","",ROUND(Q137*Steuerungsdaten!$B$4*IFERROR(VLOOKUP(C137,Steuerungsdaten!$A$12:$F$33,6,FALSE),1),0))</f>
        <v>297</v>
      </c>
      <c r="J137" s="186">
        <f>IF(R137="","",ROUND(R137*Steuerungsdaten!$B$4*IFERROR(VLOOKUP(C137,Steuerungsdaten!$A$12:$H$33,8,FALSE),1),0))</f>
        <v>246</v>
      </c>
      <c r="K137" s="186">
        <f>IF(G137="","",ROUND(G137*Steuerungsdaten!$B$5,0))</f>
        <v>102</v>
      </c>
      <c r="L137" s="186">
        <f>IF(H137="","",ROUND(H137*Steuerungsdaten!$B$5,0))</f>
        <v>299</v>
      </c>
      <c r="M137" s="186">
        <f>IF(I137="","",ROUND(I137*Steuerungsdaten!$B$5,0))</f>
        <v>342</v>
      </c>
      <c r="N137" s="187">
        <f>IF(J137="","",ROUND(J137*Steuerungsdaten!$B$5,0))</f>
        <v>283</v>
      </c>
      <c r="O137" s="193">
        <v>119</v>
      </c>
      <c r="P137" s="193">
        <v>377</v>
      </c>
      <c r="Q137" s="193">
        <v>300</v>
      </c>
      <c r="R137" s="193">
        <v>307</v>
      </c>
    </row>
    <row r="138" spans="1:18" x14ac:dyDescent="0.25">
      <c r="A138" s="188">
        <v>3608</v>
      </c>
      <c r="B138" s="189" t="s">
        <v>90</v>
      </c>
      <c r="C138" s="189" t="s">
        <v>227</v>
      </c>
      <c r="D138" s="189" t="s">
        <v>236</v>
      </c>
      <c r="E138" s="190">
        <v>580</v>
      </c>
      <c r="F138" s="190">
        <v>1440</v>
      </c>
      <c r="G138" s="191">
        <f>IF(O138="","",ROUND(O138*Steuerungsdaten!$B$4*IFERROR(VLOOKUP(C138,Steuerungsdaten!$A$12:$B$33,2,FALSE),1),0))</f>
        <v>119</v>
      </c>
      <c r="H138" s="191">
        <f>IF(P138="","",ROUND(P138*Steuerungsdaten!$B$4*IFERROR(VLOOKUP(C138,Steuerungsdaten!$A$12:$D$33,4,FALSE),1),0))</f>
        <v>334</v>
      </c>
      <c r="I138" s="191">
        <f>IF(Q138="","",ROUND(Q138*Steuerungsdaten!$B$4*IFERROR(VLOOKUP(C138,Steuerungsdaten!$A$12:$F$33,6,FALSE),1),0))</f>
        <v>396</v>
      </c>
      <c r="J138" s="191">
        <f>IF(R138="","",ROUND(R138*Steuerungsdaten!$B$4*IFERROR(VLOOKUP(C138,Steuerungsdaten!$A$12:$H$33,8,FALSE),1),0))</f>
        <v>602</v>
      </c>
      <c r="K138" s="191">
        <f>IF(G138="","",ROUND(G138*Steuerungsdaten!$B$5,0))</f>
        <v>137</v>
      </c>
      <c r="L138" s="191">
        <f>IF(H138="","",ROUND(H138*Steuerungsdaten!$B$5,0))</f>
        <v>384</v>
      </c>
      <c r="M138" s="191">
        <f>IF(I138="","",ROUND(I138*Steuerungsdaten!$B$5,0))</f>
        <v>455</v>
      </c>
      <c r="N138" s="192">
        <f>IF(J138="","",ROUND(J138*Steuerungsdaten!$B$5,0))</f>
        <v>692</v>
      </c>
      <c r="O138" s="193">
        <v>158</v>
      </c>
      <c r="P138" s="193">
        <v>484</v>
      </c>
      <c r="Q138" s="193">
        <v>400</v>
      </c>
      <c r="R138" s="193">
        <v>752</v>
      </c>
    </row>
    <row r="139" spans="1:18" x14ac:dyDescent="0.25">
      <c r="A139" s="183">
        <v>3609</v>
      </c>
      <c r="B139" s="184" t="s">
        <v>90</v>
      </c>
      <c r="C139" s="184" t="s">
        <v>227</v>
      </c>
      <c r="D139" s="184" t="s">
        <v>237</v>
      </c>
      <c r="E139" s="185">
        <v>580</v>
      </c>
      <c r="F139" s="185">
        <v>1800</v>
      </c>
      <c r="G139" s="186">
        <f>IF(O139="","",ROUND(O139*Steuerungsdaten!$B$4*IFERROR(VLOOKUP(C139,Steuerungsdaten!$A$12:$B$33,2,FALSE),1),0))</f>
        <v>148</v>
      </c>
      <c r="H139" s="186">
        <f>IF(P139="","",ROUND(P139*Steuerungsdaten!$B$4*IFERROR(VLOOKUP(C139,Steuerungsdaten!$A$12:$D$33,4,FALSE),1),0))</f>
        <v>268</v>
      </c>
      <c r="I139" s="186">
        <f>IF(Q139="","",ROUND(Q139*Steuerungsdaten!$B$4*IFERROR(VLOOKUP(C139,Steuerungsdaten!$A$12:$F$33,6,FALSE),1),0))</f>
        <v>462</v>
      </c>
      <c r="J139" s="186">
        <f>IF(R139="","",ROUND(R139*Steuerungsdaten!$B$4*IFERROR(VLOOKUP(C139,Steuerungsdaten!$A$12:$H$33,8,FALSE),1),0))</f>
        <v>703</v>
      </c>
      <c r="K139" s="186">
        <f>IF(G139="","",ROUND(G139*Steuerungsdaten!$B$5,0))</f>
        <v>170</v>
      </c>
      <c r="L139" s="186">
        <f>IF(H139="","",ROUND(H139*Steuerungsdaten!$B$5,0))</f>
        <v>308</v>
      </c>
      <c r="M139" s="186">
        <f>IF(I139="","",ROUND(I139*Steuerungsdaten!$B$5,0))</f>
        <v>531</v>
      </c>
      <c r="N139" s="187">
        <f>IF(J139="","",ROUND(J139*Steuerungsdaten!$B$5,0))</f>
        <v>808</v>
      </c>
      <c r="O139" s="193">
        <v>197</v>
      </c>
      <c r="P139" s="193">
        <v>388</v>
      </c>
      <c r="Q139" s="193">
        <v>467</v>
      </c>
      <c r="R139" s="193">
        <v>879</v>
      </c>
    </row>
    <row r="140" spans="1:18" x14ac:dyDescent="0.25">
      <c r="A140" s="188">
        <v>3610</v>
      </c>
      <c r="B140" s="189" t="s">
        <v>90</v>
      </c>
      <c r="C140" s="189" t="s">
        <v>227</v>
      </c>
      <c r="D140" s="189" t="s">
        <v>238</v>
      </c>
      <c r="E140" s="190">
        <v>720</v>
      </c>
      <c r="F140" s="190">
        <v>780</v>
      </c>
      <c r="G140" s="191">
        <f>IF(O140="","",ROUND(O140*Steuerungsdaten!$B$4*IFERROR(VLOOKUP(C140,Steuerungsdaten!$A$12:$B$33,2,FALSE),1),0))</f>
        <v>80</v>
      </c>
      <c r="H140" s="191">
        <f>IF(P140="","",ROUND(P140*Steuerungsdaten!$B$4*IFERROR(VLOOKUP(C140,Steuerungsdaten!$A$12:$D$33,4,FALSE),1),0))</f>
        <v>245</v>
      </c>
      <c r="I140" s="191">
        <f>IF(Q140="","",ROUND(Q140*Steuerungsdaten!$B$4*IFERROR(VLOOKUP(C140,Steuerungsdaten!$A$12:$F$33,6,FALSE),1),0))</f>
        <v>274</v>
      </c>
      <c r="J140" s="191">
        <f>IF(R140="","",ROUND(R140*Steuerungsdaten!$B$4*IFERROR(VLOOKUP(C140,Steuerungsdaten!$A$12:$H$33,8,FALSE),1),0))</f>
        <v>214</v>
      </c>
      <c r="K140" s="191">
        <f>IF(G140="","",ROUND(G140*Steuerungsdaten!$B$5,0))</f>
        <v>92</v>
      </c>
      <c r="L140" s="191">
        <f>IF(H140="","",ROUND(H140*Steuerungsdaten!$B$5,0))</f>
        <v>282</v>
      </c>
      <c r="M140" s="191">
        <f>IF(I140="","",ROUND(I140*Steuerungsdaten!$B$5,0))</f>
        <v>315</v>
      </c>
      <c r="N140" s="192">
        <f>IF(J140="","",ROUND(J140*Steuerungsdaten!$B$5,0))</f>
        <v>246</v>
      </c>
      <c r="O140" s="193">
        <v>107</v>
      </c>
      <c r="P140" s="193">
        <v>355</v>
      </c>
      <c r="Q140" s="193">
        <v>277</v>
      </c>
      <c r="R140" s="193">
        <v>268</v>
      </c>
    </row>
    <row r="141" spans="1:18" x14ac:dyDescent="0.25">
      <c r="A141" s="183">
        <v>3611</v>
      </c>
      <c r="B141" s="184" t="s">
        <v>90</v>
      </c>
      <c r="C141" s="184" t="s">
        <v>227</v>
      </c>
      <c r="D141" s="184" t="s">
        <v>239</v>
      </c>
      <c r="E141" s="185">
        <v>720</v>
      </c>
      <c r="F141" s="185">
        <v>980</v>
      </c>
      <c r="G141" s="186">
        <f>IF(O141="","",ROUND(O141*Steuerungsdaten!$B$4*IFERROR(VLOOKUP(C141,Steuerungsdaten!$A$12:$B$33,2,FALSE),1),0))</f>
        <v>101</v>
      </c>
      <c r="H141" s="186">
        <f>IF(P141="","",ROUND(P141*Steuerungsdaten!$B$4*IFERROR(VLOOKUP(C141,Steuerungsdaten!$A$12:$D$33,4,FALSE),1),0))</f>
        <v>280</v>
      </c>
      <c r="I141" s="186">
        <f>IF(Q141="","",ROUND(Q141*Steuerungsdaten!$B$4*IFERROR(VLOOKUP(C141,Steuerungsdaten!$A$12:$F$33,6,FALSE),1),0))</f>
        <v>317</v>
      </c>
      <c r="J141" s="186">
        <f>IF(R141="","",ROUND(R141*Steuerungsdaten!$B$4*IFERROR(VLOOKUP(C141,Steuerungsdaten!$A$12:$H$33,8,FALSE),1),0))</f>
        <v>263</v>
      </c>
      <c r="K141" s="186">
        <f>IF(G141="","",ROUND(G141*Steuerungsdaten!$B$5,0))</f>
        <v>116</v>
      </c>
      <c r="L141" s="186">
        <f>IF(H141="","",ROUND(H141*Steuerungsdaten!$B$5,0))</f>
        <v>322</v>
      </c>
      <c r="M141" s="186">
        <f>IF(I141="","",ROUND(I141*Steuerungsdaten!$B$5,0))</f>
        <v>365</v>
      </c>
      <c r="N141" s="187">
        <f>IF(J141="","",ROUND(J141*Steuerungsdaten!$B$5,0))</f>
        <v>302</v>
      </c>
      <c r="O141" s="193">
        <v>134</v>
      </c>
      <c r="P141" s="193">
        <v>406</v>
      </c>
      <c r="Q141" s="193">
        <v>320</v>
      </c>
      <c r="R141" s="193">
        <v>329</v>
      </c>
    </row>
    <row r="142" spans="1:18" x14ac:dyDescent="0.25">
      <c r="A142" s="188">
        <v>3612</v>
      </c>
      <c r="B142" s="189" t="s">
        <v>90</v>
      </c>
      <c r="C142" s="189" t="s">
        <v>227</v>
      </c>
      <c r="D142" s="189" t="s">
        <v>240</v>
      </c>
      <c r="E142" s="190">
        <v>1080</v>
      </c>
      <c r="F142" s="190">
        <v>780</v>
      </c>
      <c r="G142" s="191">
        <f>IF(O142="","",ROUND(O142*Steuerungsdaten!$B$4*IFERROR(VLOOKUP(C142,Steuerungsdaten!$A$12:$B$33,2,FALSE),1),0))</f>
        <v>121</v>
      </c>
      <c r="H142" s="191">
        <f>IF(P142="","",ROUND(P142*Steuerungsdaten!$B$4*IFERROR(VLOOKUP(C142,Steuerungsdaten!$A$12:$D$33,4,FALSE),1),0))</f>
        <v>357</v>
      </c>
      <c r="I142" s="191">
        <f>IF(Q142="","",ROUND(Q142*Steuerungsdaten!$B$4*IFERROR(VLOOKUP(C142,Steuerungsdaten!$A$12:$F$33,6,FALSE),1),0))</f>
        <v>405</v>
      </c>
      <c r="J142" s="191">
        <f>IF(R142="","",ROUND(R142*Steuerungsdaten!$B$4*IFERROR(VLOOKUP(C142,Steuerungsdaten!$A$12:$H$33,8,FALSE),1),0))</f>
        <v>308</v>
      </c>
      <c r="K142" s="191">
        <f>IF(G142="","",ROUND(G142*Steuerungsdaten!$B$5,0))</f>
        <v>139</v>
      </c>
      <c r="L142" s="191">
        <f>IF(H142="","",ROUND(H142*Steuerungsdaten!$B$5,0))</f>
        <v>411</v>
      </c>
      <c r="M142" s="191">
        <f>IF(I142="","",ROUND(I142*Steuerungsdaten!$B$5,0))</f>
        <v>466</v>
      </c>
      <c r="N142" s="192">
        <f>IF(J142="","",ROUND(J142*Steuerungsdaten!$B$5,0))</f>
        <v>354</v>
      </c>
      <c r="O142" s="193">
        <v>161</v>
      </c>
      <c r="P142" s="193">
        <v>517</v>
      </c>
      <c r="Q142" s="193">
        <v>409</v>
      </c>
      <c r="R142" s="193">
        <v>385</v>
      </c>
    </row>
    <row r="143" spans="1:18" x14ac:dyDescent="0.25">
      <c r="A143" s="183">
        <v>3613</v>
      </c>
      <c r="B143" s="184" t="s">
        <v>90</v>
      </c>
      <c r="C143" s="184" t="s">
        <v>227</v>
      </c>
      <c r="D143" s="184" t="s">
        <v>241</v>
      </c>
      <c r="E143" s="185">
        <v>1080</v>
      </c>
      <c r="F143" s="185">
        <v>980</v>
      </c>
      <c r="G143" s="186">
        <f>IF(O143="","",ROUND(O143*Steuerungsdaten!$B$4*IFERROR(VLOOKUP(C143,Steuerungsdaten!$A$12:$B$33,2,FALSE),1),0))</f>
        <v>150</v>
      </c>
      <c r="H143" s="186">
        <f>IF(P143="","",ROUND(P143*Steuerungsdaten!$B$4*IFERROR(VLOOKUP(C143,Steuerungsdaten!$A$12:$D$33,4,FALSE),1),0))</f>
        <v>432</v>
      </c>
      <c r="I143" s="186">
        <f>IF(Q143="","",ROUND(Q143*Steuerungsdaten!$B$4*IFERROR(VLOOKUP(C143,Steuerungsdaten!$A$12:$F$33,6,FALSE),1),0))</f>
        <v>469</v>
      </c>
      <c r="J143" s="186">
        <f>IF(R143="","",ROUND(R143*Steuerungsdaten!$B$4*IFERROR(VLOOKUP(C143,Steuerungsdaten!$A$12:$H$33,8,FALSE),1),0))</f>
        <v>345</v>
      </c>
      <c r="K143" s="186">
        <f>IF(G143="","",ROUND(G143*Steuerungsdaten!$B$5,0))</f>
        <v>173</v>
      </c>
      <c r="L143" s="186">
        <f>IF(H143="","",ROUND(H143*Steuerungsdaten!$B$5,0))</f>
        <v>497</v>
      </c>
      <c r="M143" s="186">
        <f>IF(I143="","",ROUND(I143*Steuerungsdaten!$B$5,0))</f>
        <v>539</v>
      </c>
      <c r="N143" s="187">
        <f>IF(J143="","",ROUND(J143*Steuerungsdaten!$B$5,0))</f>
        <v>397</v>
      </c>
      <c r="O143" s="193">
        <v>200</v>
      </c>
      <c r="P143" s="193">
        <v>626</v>
      </c>
      <c r="Q143" s="193">
        <v>474</v>
      </c>
      <c r="R143" s="193">
        <v>431</v>
      </c>
    </row>
    <row r="144" spans="1:18" x14ac:dyDescent="0.25">
      <c r="A144" s="188">
        <v>3614</v>
      </c>
      <c r="B144" s="189" t="s">
        <v>90</v>
      </c>
      <c r="C144" s="189" t="s">
        <v>227</v>
      </c>
      <c r="D144" s="189" t="s">
        <v>242</v>
      </c>
      <c r="E144" s="190">
        <v>1440</v>
      </c>
      <c r="F144" s="190">
        <v>780</v>
      </c>
      <c r="G144" s="191">
        <f>IF(O144="","",ROUND(O144*Steuerungsdaten!$B$4*IFERROR(VLOOKUP(C144,Steuerungsdaten!$A$12:$B$33,2,FALSE),1),0))</f>
        <v>158</v>
      </c>
      <c r="H144" s="191">
        <f>IF(P144="","",ROUND(P144*Steuerungsdaten!$B$4*IFERROR(VLOOKUP(C144,Steuerungsdaten!$A$12:$D$33,4,FALSE),1),0))</f>
        <v>435</v>
      </c>
      <c r="I144" s="191">
        <f>IF(Q144="","",ROUND(Q144*Steuerungsdaten!$B$4*IFERROR(VLOOKUP(C144,Steuerungsdaten!$A$12:$F$33,6,FALSE),1),0))</f>
        <v>494</v>
      </c>
      <c r="J144" s="191">
        <f>IF(R144="","",ROUND(R144*Steuerungsdaten!$B$4*IFERROR(VLOOKUP(C144,Steuerungsdaten!$A$12:$H$33,8,FALSE),1),0))</f>
        <v>751</v>
      </c>
      <c r="K144" s="191">
        <f>IF(G144="","",ROUND(G144*Steuerungsdaten!$B$5,0))</f>
        <v>182</v>
      </c>
      <c r="L144" s="191">
        <f>IF(H144="","",ROUND(H144*Steuerungsdaten!$B$5,0))</f>
        <v>500</v>
      </c>
      <c r="M144" s="191">
        <f>IF(I144="","",ROUND(I144*Steuerungsdaten!$B$5,0))</f>
        <v>568</v>
      </c>
      <c r="N144" s="192">
        <f>IF(J144="","",ROUND(J144*Steuerungsdaten!$B$5,0))</f>
        <v>864</v>
      </c>
      <c r="O144" s="193">
        <v>211</v>
      </c>
      <c r="P144" s="193">
        <v>630</v>
      </c>
      <c r="Q144" s="193">
        <v>499</v>
      </c>
      <c r="R144" s="193">
        <v>939</v>
      </c>
    </row>
    <row r="145" spans="1:18" x14ac:dyDescent="0.25">
      <c r="A145" s="183">
        <v>3615</v>
      </c>
      <c r="B145" s="184" t="s">
        <v>90</v>
      </c>
      <c r="C145" s="184" t="s">
        <v>227</v>
      </c>
      <c r="D145" s="184" t="s">
        <v>243</v>
      </c>
      <c r="E145" s="185">
        <v>1440</v>
      </c>
      <c r="F145" s="185">
        <v>980</v>
      </c>
      <c r="G145" s="186">
        <f>IF(O145="","",ROUND(O145*Steuerungsdaten!$B$4*IFERROR(VLOOKUP(C145,Steuerungsdaten!$A$12:$B$33,2,FALSE),1),0))</f>
        <v>198</v>
      </c>
      <c r="H145" s="186">
        <f>IF(P145="","",ROUND(P145*Steuerungsdaten!$B$4*IFERROR(VLOOKUP(C145,Steuerungsdaten!$A$12:$D$33,4,FALSE),1),0))</f>
        <v>537</v>
      </c>
      <c r="I145" s="186">
        <f>IF(Q145="","",ROUND(Q145*Steuerungsdaten!$B$4*IFERROR(VLOOKUP(C145,Steuerungsdaten!$A$12:$F$33,6,FALSE),1),0))</f>
        <v>610</v>
      </c>
      <c r="J145" s="186">
        <f>IF(R145="","",ROUND(R145*Steuerungsdaten!$B$4*IFERROR(VLOOKUP(C145,Steuerungsdaten!$A$12:$H$33,8,FALSE),1),0))</f>
        <v>927</v>
      </c>
      <c r="K145" s="186">
        <f>IF(G145="","",ROUND(G145*Steuerungsdaten!$B$5,0))</f>
        <v>228</v>
      </c>
      <c r="L145" s="186">
        <f>IF(H145="","",ROUND(H145*Steuerungsdaten!$B$5,0))</f>
        <v>618</v>
      </c>
      <c r="M145" s="186">
        <f>IF(I145="","",ROUND(I145*Steuerungsdaten!$B$5,0))</f>
        <v>702</v>
      </c>
      <c r="N145" s="187">
        <f>IF(J145="","",ROUND(J145*Steuerungsdaten!$B$5,0))</f>
        <v>1066</v>
      </c>
      <c r="O145" s="193">
        <v>264</v>
      </c>
      <c r="P145" s="193">
        <v>778</v>
      </c>
      <c r="Q145" s="193">
        <v>616</v>
      </c>
      <c r="R145" s="193">
        <v>1159</v>
      </c>
    </row>
    <row r="146" spans="1:18" x14ac:dyDescent="0.25">
      <c r="A146" s="188">
        <v>3616</v>
      </c>
      <c r="B146" s="189" t="s">
        <v>90</v>
      </c>
      <c r="C146" s="189" t="s">
        <v>227</v>
      </c>
      <c r="D146" s="189" t="s">
        <v>244</v>
      </c>
      <c r="E146" s="190">
        <v>1800</v>
      </c>
      <c r="F146" s="190">
        <v>780</v>
      </c>
      <c r="G146" s="191">
        <f>IF(O146="","",ROUND(O146*Steuerungsdaten!$B$4*IFERROR(VLOOKUP(C146,Steuerungsdaten!$A$12:$B$33,2,FALSE),1),0))</f>
        <v>198</v>
      </c>
      <c r="H146" s="191">
        <f>IF(P146="","",ROUND(P146*Steuerungsdaten!$B$4*IFERROR(VLOOKUP(C146,Steuerungsdaten!$A$12:$D$33,4,FALSE),1),0))</f>
        <v>359</v>
      </c>
      <c r="I146" s="191">
        <f>IF(Q146="","",ROUND(Q146*Steuerungsdaten!$B$4*IFERROR(VLOOKUP(C146,Steuerungsdaten!$A$12:$F$33,6,FALSE),1),0))</f>
        <v>606</v>
      </c>
      <c r="J146" s="191">
        <f>IF(R146="","",ROUND(R146*Steuerungsdaten!$B$4*IFERROR(VLOOKUP(C146,Steuerungsdaten!$A$12:$H$33,8,FALSE),1),0))</f>
        <v>921</v>
      </c>
      <c r="K146" s="191">
        <f>IF(G146="","",ROUND(G146*Steuerungsdaten!$B$5,0))</f>
        <v>228</v>
      </c>
      <c r="L146" s="191">
        <f>IF(H146="","",ROUND(H146*Steuerungsdaten!$B$5,0))</f>
        <v>413</v>
      </c>
      <c r="M146" s="191">
        <f>IF(I146="","",ROUND(I146*Steuerungsdaten!$B$5,0))</f>
        <v>697</v>
      </c>
      <c r="N146" s="192">
        <f>IF(J146="","",ROUND(J146*Steuerungsdaten!$B$5,0))</f>
        <v>1059</v>
      </c>
      <c r="O146" s="193">
        <v>264</v>
      </c>
      <c r="P146" s="193">
        <v>520</v>
      </c>
      <c r="Q146" s="193">
        <v>612</v>
      </c>
      <c r="R146" s="193">
        <v>1151</v>
      </c>
    </row>
    <row r="147" spans="1:18" x14ac:dyDescent="0.25">
      <c r="A147" s="183">
        <v>3617</v>
      </c>
      <c r="B147" s="184" t="s">
        <v>90</v>
      </c>
      <c r="C147" s="184" t="s">
        <v>227</v>
      </c>
      <c r="D147" s="184" t="s">
        <v>245</v>
      </c>
      <c r="E147" s="185">
        <v>1800</v>
      </c>
      <c r="F147" s="185">
        <v>980</v>
      </c>
      <c r="G147" s="186">
        <f>IF(O147="","",ROUND(O147*Steuerungsdaten!$B$4*IFERROR(VLOOKUP(C147,Steuerungsdaten!$A$12:$B$33,2,FALSE),1),0))</f>
        <v>247</v>
      </c>
      <c r="H147" s="186">
        <f>IF(P147="","",ROUND(P147*Steuerungsdaten!$B$4*IFERROR(VLOOKUP(C147,Steuerungsdaten!$A$12:$D$33,4,FALSE),1),0))</f>
        <v>447</v>
      </c>
      <c r="I147" s="186">
        <f>IF(Q147="","",ROUND(Q147*Steuerungsdaten!$B$4*IFERROR(VLOOKUP(C147,Steuerungsdaten!$A$12:$F$33,6,FALSE),1),0))</f>
        <v>745</v>
      </c>
      <c r="J147" s="186">
        <f>IF(R147="","",ROUND(R147*Steuerungsdaten!$B$4*IFERROR(VLOOKUP(C147,Steuerungsdaten!$A$12:$H$33,8,FALSE),1),0))</f>
        <v>1134</v>
      </c>
      <c r="K147" s="186">
        <f>IF(G147="","",ROUND(G147*Steuerungsdaten!$B$5,0))</f>
        <v>284</v>
      </c>
      <c r="L147" s="186">
        <f>IF(H147="","",ROUND(H147*Steuerungsdaten!$B$5,0))</f>
        <v>514</v>
      </c>
      <c r="M147" s="186">
        <f>IF(I147="","",ROUND(I147*Steuerungsdaten!$B$5,0))</f>
        <v>857</v>
      </c>
      <c r="N147" s="187">
        <f>IF(J147="","",ROUND(J147*Steuerungsdaten!$B$5,0))</f>
        <v>1304</v>
      </c>
      <c r="O147" s="193">
        <v>329</v>
      </c>
      <c r="P147" s="193">
        <v>648</v>
      </c>
      <c r="Q147" s="193">
        <v>753</v>
      </c>
      <c r="R147" s="193">
        <v>1417</v>
      </c>
    </row>
    <row r="148" spans="1:18" ht="21.95" customHeight="1" x14ac:dyDescent="0.25">
      <c r="A148" s="176" t="s">
        <v>246</v>
      </c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93"/>
      <c r="P148" s="193"/>
      <c r="Q148" s="193"/>
      <c r="R148" s="193"/>
    </row>
    <row r="149" spans="1:18" x14ac:dyDescent="0.25">
      <c r="A149" s="178">
        <v>3620</v>
      </c>
      <c r="B149" s="179" t="s">
        <v>90</v>
      </c>
      <c r="C149" s="179" t="s">
        <v>246</v>
      </c>
      <c r="D149" s="179" t="s">
        <v>247</v>
      </c>
      <c r="E149" s="180">
        <v>360</v>
      </c>
      <c r="F149" s="180">
        <v>360</v>
      </c>
      <c r="G149" s="181">
        <f>IF(O149="","",ROUND(O149*Steuerungsdaten!$B$4*IFERROR(VLOOKUP(C149,Steuerungsdaten!$A$12:$B$33,2,FALSE),1),0))</f>
        <v>26</v>
      </c>
      <c r="H149" s="181">
        <f>IF(P149="","",ROUND(P149*Steuerungsdaten!$B$4*IFERROR(VLOOKUP(C149,Steuerungsdaten!$A$12:$D$33,4,FALSE),1),0))</f>
        <v>46</v>
      </c>
      <c r="I149" s="181">
        <f>IF(Q149="","",ROUND(Q149*Steuerungsdaten!$B$4*IFERROR(VLOOKUP(C149,Steuerungsdaten!$A$12:$F$33,6,FALSE),1),0))</f>
        <v>88</v>
      </c>
      <c r="J149" s="181">
        <f>IF(R149="","",ROUND(R149*Steuerungsdaten!$B$4*IFERROR(VLOOKUP(C149,Steuerungsdaten!$A$12:$H$33,8,FALSE),1),0))</f>
        <v>142</v>
      </c>
      <c r="K149" s="181">
        <f>IF(G149="","",ROUND(G149*Steuerungsdaten!$B$5,0))</f>
        <v>30</v>
      </c>
      <c r="L149" s="181">
        <f>IF(H149="","",ROUND(H149*Steuerungsdaten!$B$5,0))</f>
        <v>53</v>
      </c>
      <c r="M149" s="181">
        <f>IF(I149="","",ROUND(I149*Steuerungsdaten!$B$5,0))</f>
        <v>101</v>
      </c>
      <c r="N149" s="182">
        <f>IF(J149="","",ROUND(J149*Steuerungsdaten!$B$5,0))</f>
        <v>163</v>
      </c>
      <c r="O149" s="193">
        <v>34</v>
      </c>
      <c r="P149" s="193">
        <v>67</v>
      </c>
      <c r="Q149" s="193">
        <v>89</v>
      </c>
      <c r="R149" s="193">
        <v>177</v>
      </c>
    </row>
    <row r="150" spans="1:18" x14ac:dyDescent="0.25">
      <c r="A150" s="183">
        <v>3621</v>
      </c>
      <c r="B150" s="184" t="s">
        <v>90</v>
      </c>
      <c r="C150" s="184" t="s">
        <v>246</v>
      </c>
      <c r="D150" s="184" t="s">
        <v>248</v>
      </c>
      <c r="E150" s="185">
        <v>360</v>
      </c>
      <c r="F150" s="185">
        <v>720</v>
      </c>
      <c r="G150" s="186">
        <f>IF(O150="","",ROUND(O150*Steuerungsdaten!$B$4*IFERROR(VLOOKUP(C150,Steuerungsdaten!$A$12:$B$33,2,FALSE),1),0))</f>
        <v>39</v>
      </c>
      <c r="H150" s="186">
        <f>IF(P150="","",ROUND(P150*Steuerungsdaten!$B$4*IFERROR(VLOOKUP(C150,Steuerungsdaten!$A$12:$D$33,4,FALSE),1),0))</f>
        <v>70</v>
      </c>
      <c r="I150" s="186">
        <f>IF(Q150="","",ROUND(Q150*Steuerungsdaten!$B$4*IFERROR(VLOOKUP(C150,Steuerungsdaten!$A$12:$F$33,6,FALSE),1),0))</f>
        <v>142</v>
      </c>
      <c r="J150" s="186">
        <f>IF(R150="","",ROUND(R150*Steuerungsdaten!$B$4*IFERROR(VLOOKUP(C150,Steuerungsdaten!$A$12:$H$33,8,FALSE),1),0))</f>
        <v>170</v>
      </c>
      <c r="K150" s="186">
        <f>IF(G150="","",ROUND(G150*Steuerungsdaten!$B$5,0))</f>
        <v>45</v>
      </c>
      <c r="L150" s="186">
        <f>IF(H150="","",ROUND(H150*Steuerungsdaten!$B$5,0))</f>
        <v>81</v>
      </c>
      <c r="M150" s="186">
        <f>IF(I150="","",ROUND(I150*Steuerungsdaten!$B$5,0))</f>
        <v>163</v>
      </c>
      <c r="N150" s="187">
        <f>IF(J150="","",ROUND(J150*Steuerungsdaten!$B$5,0))</f>
        <v>196</v>
      </c>
      <c r="O150" s="193">
        <v>52</v>
      </c>
      <c r="P150" s="193">
        <v>102</v>
      </c>
      <c r="Q150" s="193">
        <v>143</v>
      </c>
      <c r="R150" s="193">
        <v>212</v>
      </c>
    </row>
    <row r="151" spans="1:18" x14ac:dyDescent="0.25">
      <c r="A151" s="188">
        <v>3622</v>
      </c>
      <c r="B151" s="189" t="s">
        <v>90</v>
      </c>
      <c r="C151" s="189" t="s">
        <v>246</v>
      </c>
      <c r="D151" s="189" t="s">
        <v>249</v>
      </c>
      <c r="E151" s="190">
        <v>360</v>
      </c>
      <c r="F151" s="190">
        <v>1080</v>
      </c>
      <c r="G151" s="191">
        <f>IF(O151="","",ROUND(O151*Steuerungsdaten!$B$4*IFERROR(VLOOKUP(C151,Steuerungsdaten!$A$12:$B$33,2,FALSE),1),0))</f>
        <v>57</v>
      </c>
      <c r="H151" s="191">
        <f>IF(P151="","",ROUND(P151*Steuerungsdaten!$B$4*IFERROR(VLOOKUP(C151,Steuerungsdaten!$A$12:$D$33,4,FALSE),1),0))</f>
        <v>104</v>
      </c>
      <c r="I151" s="191">
        <f>IF(Q151="","",ROUND(Q151*Steuerungsdaten!$B$4*IFERROR(VLOOKUP(C151,Steuerungsdaten!$A$12:$F$33,6,FALSE),1),0))</f>
        <v>220</v>
      </c>
      <c r="J151" s="191">
        <f>IF(R151="","",ROUND(R151*Steuerungsdaten!$B$4*IFERROR(VLOOKUP(C151,Steuerungsdaten!$A$12:$H$33,8,FALSE),1),0))</f>
        <v>192</v>
      </c>
      <c r="K151" s="191">
        <f>IF(G151="","",ROUND(G151*Steuerungsdaten!$B$5,0))</f>
        <v>66</v>
      </c>
      <c r="L151" s="191">
        <f>IF(H151="","",ROUND(H151*Steuerungsdaten!$B$5,0))</f>
        <v>120</v>
      </c>
      <c r="M151" s="191">
        <f>IF(I151="","",ROUND(I151*Steuerungsdaten!$B$5,0))</f>
        <v>253</v>
      </c>
      <c r="N151" s="192">
        <f>IF(J151="","",ROUND(J151*Steuerungsdaten!$B$5,0))</f>
        <v>221</v>
      </c>
      <c r="O151" s="193">
        <v>76</v>
      </c>
      <c r="P151" s="193">
        <v>150</v>
      </c>
      <c r="Q151" s="193">
        <v>222</v>
      </c>
      <c r="R151" s="193">
        <v>240</v>
      </c>
    </row>
    <row r="152" spans="1:18" x14ac:dyDescent="0.25">
      <c r="A152" s="183">
        <v>3623</v>
      </c>
      <c r="B152" s="184" t="s">
        <v>90</v>
      </c>
      <c r="C152" s="184" t="s">
        <v>246</v>
      </c>
      <c r="D152" s="184" t="s">
        <v>250</v>
      </c>
      <c r="E152" s="185">
        <v>360</v>
      </c>
      <c r="F152" s="185">
        <v>1440</v>
      </c>
      <c r="G152" s="186">
        <f>IF(O152="","",ROUND(O152*Steuerungsdaten!$B$4*IFERROR(VLOOKUP(C152,Steuerungsdaten!$A$12:$B$33,2,FALSE),1),0))</f>
        <v>75</v>
      </c>
      <c r="H152" s="186">
        <f>IF(P152="","",ROUND(P152*Steuerungsdaten!$B$4*IFERROR(VLOOKUP(C152,Steuerungsdaten!$A$12:$D$33,4,FALSE),1),0))</f>
        <v>136</v>
      </c>
      <c r="I152" s="186">
        <f>IF(Q152="","",ROUND(Q152*Steuerungsdaten!$B$4*IFERROR(VLOOKUP(C152,Steuerungsdaten!$A$12:$F$33,6,FALSE),1),0))</f>
        <v>278</v>
      </c>
      <c r="J152" s="186">
        <f>IF(R152="","",ROUND(R152*Steuerungsdaten!$B$4*IFERROR(VLOOKUP(C152,Steuerungsdaten!$A$12:$H$33,8,FALSE),1),0))</f>
        <v>423</v>
      </c>
      <c r="K152" s="186">
        <f>IF(G152="","",ROUND(G152*Steuerungsdaten!$B$5,0))</f>
        <v>86</v>
      </c>
      <c r="L152" s="186">
        <f>IF(H152="","",ROUND(H152*Steuerungsdaten!$B$5,0))</f>
        <v>156</v>
      </c>
      <c r="M152" s="186">
        <f>IF(I152="","",ROUND(I152*Steuerungsdaten!$B$5,0))</f>
        <v>320</v>
      </c>
      <c r="N152" s="187">
        <f>IF(J152="","",ROUND(J152*Steuerungsdaten!$B$5,0))</f>
        <v>486</v>
      </c>
      <c r="O152" s="193">
        <v>100</v>
      </c>
      <c r="P152" s="193">
        <v>197</v>
      </c>
      <c r="Q152" s="193">
        <v>281</v>
      </c>
      <c r="R152" s="193">
        <v>529</v>
      </c>
    </row>
    <row r="153" spans="1:18" x14ac:dyDescent="0.25">
      <c r="A153" s="188">
        <v>3624</v>
      </c>
      <c r="B153" s="189" t="s">
        <v>90</v>
      </c>
      <c r="C153" s="189" t="s">
        <v>246</v>
      </c>
      <c r="D153" s="189" t="s">
        <v>251</v>
      </c>
      <c r="E153" s="190">
        <v>360</v>
      </c>
      <c r="F153" s="190">
        <v>1800</v>
      </c>
      <c r="G153" s="191">
        <f>IF(O153="","",ROUND(O153*Steuerungsdaten!$B$4*IFERROR(VLOOKUP(C153,Steuerungsdaten!$A$12:$B$33,2,FALSE),1),0))</f>
        <v>94</v>
      </c>
      <c r="H153" s="191">
        <f>IF(P153="","",ROUND(P153*Steuerungsdaten!$B$4*IFERROR(VLOOKUP(C153,Steuerungsdaten!$A$12:$D$33,4,FALSE),1),0))</f>
        <v>170</v>
      </c>
      <c r="I153" s="191">
        <f>IF(Q153="","",ROUND(Q153*Steuerungsdaten!$B$4*IFERROR(VLOOKUP(C153,Steuerungsdaten!$A$12:$F$33,6,FALSE),1),0))</f>
        <v>340</v>
      </c>
      <c r="J153" s="191">
        <f>IF(R153="","",ROUND(R153*Steuerungsdaten!$B$4*IFERROR(VLOOKUP(C153,Steuerungsdaten!$A$12:$H$33,8,FALSE),1),0))</f>
        <v>516</v>
      </c>
      <c r="K153" s="191">
        <f>IF(G153="","",ROUND(G153*Steuerungsdaten!$B$5,0))</f>
        <v>108</v>
      </c>
      <c r="L153" s="191">
        <f>IF(H153="","",ROUND(H153*Steuerungsdaten!$B$5,0))</f>
        <v>196</v>
      </c>
      <c r="M153" s="191">
        <f>IF(I153="","",ROUND(I153*Steuerungsdaten!$B$5,0))</f>
        <v>391</v>
      </c>
      <c r="N153" s="192">
        <f>IF(J153="","",ROUND(J153*Steuerungsdaten!$B$5,0))</f>
        <v>593</v>
      </c>
      <c r="O153" s="193">
        <v>125</v>
      </c>
      <c r="P153" s="193">
        <v>246</v>
      </c>
      <c r="Q153" s="193">
        <v>343</v>
      </c>
      <c r="R153" s="193">
        <v>645</v>
      </c>
    </row>
    <row r="154" spans="1:18" x14ac:dyDescent="0.25">
      <c r="A154" s="183">
        <v>3625</v>
      </c>
      <c r="B154" s="184" t="s">
        <v>90</v>
      </c>
      <c r="C154" s="184" t="s">
        <v>246</v>
      </c>
      <c r="D154" s="184" t="s">
        <v>252</v>
      </c>
      <c r="E154" s="185">
        <v>580</v>
      </c>
      <c r="F154" s="185">
        <v>360</v>
      </c>
      <c r="G154" s="186">
        <f>IF(O154="","",ROUND(O154*Steuerungsdaten!$B$4*IFERROR(VLOOKUP(C154,Steuerungsdaten!$A$12:$B$33,2,FALSE),1),0))</f>
        <v>32</v>
      </c>
      <c r="H154" s="186">
        <f>IF(P154="","",ROUND(P154*Steuerungsdaten!$B$4*IFERROR(VLOOKUP(C154,Steuerungsdaten!$A$12:$D$33,4,FALSE),1),0))</f>
        <v>59</v>
      </c>
      <c r="I154" s="186">
        <f>IF(Q154="","",ROUND(Q154*Steuerungsdaten!$B$4*IFERROR(VLOOKUP(C154,Steuerungsdaten!$A$12:$F$33,6,FALSE),1),0))</f>
        <v>129</v>
      </c>
      <c r="J154" s="186">
        <f>IF(R154="","",ROUND(R154*Steuerungsdaten!$B$4*IFERROR(VLOOKUP(C154,Steuerungsdaten!$A$12:$H$33,8,FALSE),1),0))</f>
        <v>148</v>
      </c>
      <c r="K154" s="186">
        <f>IF(G154="","",ROUND(G154*Steuerungsdaten!$B$5,0))</f>
        <v>37</v>
      </c>
      <c r="L154" s="186">
        <f>IF(H154="","",ROUND(H154*Steuerungsdaten!$B$5,0))</f>
        <v>68</v>
      </c>
      <c r="M154" s="186">
        <f>IF(I154="","",ROUND(I154*Steuerungsdaten!$B$5,0))</f>
        <v>148</v>
      </c>
      <c r="N154" s="187">
        <f>IF(J154="","",ROUND(J154*Steuerungsdaten!$B$5,0))</f>
        <v>170</v>
      </c>
      <c r="O154" s="193">
        <v>43</v>
      </c>
      <c r="P154" s="193">
        <v>85</v>
      </c>
      <c r="Q154" s="193">
        <v>130</v>
      </c>
      <c r="R154" s="193">
        <v>185</v>
      </c>
    </row>
    <row r="155" spans="1:18" x14ac:dyDescent="0.25">
      <c r="A155" s="188">
        <v>3626</v>
      </c>
      <c r="B155" s="189" t="s">
        <v>90</v>
      </c>
      <c r="C155" s="189" t="s">
        <v>246</v>
      </c>
      <c r="D155" s="189" t="s">
        <v>253</v>
      </c>
      <c r="E155" s="190">
        <v>580</v>
      </c>
      <c r="F155" s="190">
        <v>720</v>
      </c>
      <c r="G155" s="191">
        <f>IF(O155="","",ROUND(O155*Steuerungsdaten!$B$4*IFERROR(VLOOKUP(C155,Steuerungsdaten!$A$12:$B$33,2,FALSE),1),0))</f>
        <v>62</v>
      </c>
      <c r="H155" s="191">
        <f>IF(P155="","",ROUND(P155*Steuerungsdaten!$B$4*IFERROR(VLOOKUP(C155,Steuerungsdaten!$A$12:$D$33,4,FALSE),1),0))</f>
        <v>111</v>
      </c>
      <c r="I155" s="191">
        <f>IF(Q155="","",ROUND(Q155*Steuerungsdaten!$B$4*IFERROR(VLOOKUP(C155,Steuerungsdaten!$A$12:$F$33,6,FALSE),1),0))</f>
        <v>214</v>
      </c>
      <c r="J155" s="191">
        <f>IF(R155="","",ROUND(R155*Steuerungsdaten!$B$4*IFERROR(VLOOKUP(C155,Steuerungsdaten!$A$12:$H$33,8,FALSE),1),0))</f>
        <v>196</v>
      </c>
      <c r="K155" s="191">
        <f>IF(G155="","",ROUND(G155*Steuerungsdaten!$B$5,0))</f>
        <v>71</v>
      </c>
      <c r="L155" s="191">
        <f>IF(H155="","",ROUND(H155*Steuerungsdaten!$B$5,0))</f>
        <v>128</v>
      </c>
      <c r="M155" s="191">
        <f>IF(I155="","",ROUND(I155*Steuerungsdaten!$B$5,0))</f>
        <v>246</v>
      </c>
      <c r="N155" s="192">
        <f>IF(J155="","",ROUND(J155*Steuerungsdaten!$B$5,0))</f>
        <v>225</v>
      </c>
      <c r="O155" s="193">
        <v>82</v>
      </c>
      <c r="P155" s="193">
        <v>161</v>
      </c>
      <c r="Q155" s="193">
        <v>216</v>
      </c>
      <c r="R155" s="193">
        <v>245</v>
      </c>
    </row>
    <row r="156" spans="1:18" x14ac:dyDescent="0.25">
      <c r="A156" s="183">
        <v>3627</v>
      </c>
      <c r="B156" s="184" t="s">
        <v>90</v>
      </c>
      <c r="C156" s="184" t="s">
        <v>246</v>
      </c>
      <c r="D156" s="184" t="s">
        <v>254</v>
      </c>
      <c r="E156" s="185">
        <v>580</v>
      </c>
      <c r="F156" s="185">
        <v>1080</v>
      </c>
      <c r="G156" s="186">
        <f>IF(O156="","",ROUND(O156*Steuerungsdaten!$B$4*IFERROR(VLOOKUP(C156,Steuerungsdaten!$A$12:$B$33,2,FALSE),1),0))</f>
        <v>89</v>
      </c>
      <c r="H156" s="186">
        <f>IF(P156="","",ROUND(P156*Steuerungsdaten!$B$4*IFERROR(VLOOKUP(C156,Steuerungsdaten!$A$12:$D$33,4,FALSE),1),0))</f>
        <v>161</v>
      </c>
      <c r="I156" s="186">
        <f>IF(Q156="","",ROUND(Q156*Steuerungsdaten!$B$4*IFERROR(VLOOKUP(C156,Steuerungsdaten!$A$12:$F$33,6,FALSE),1),0))</f>
        <v>297</v>
      </c>
      <c r="J156" s="186">
        <f>IF(R156="","",ROUND(R156*Steuerungsdaten!$B$4*IFERROR(VLOOKUP(C156,Steuerungsdaten!$A$12:$H$33,8,FALSE),1),0))</f>
        <v>246</v>
      </c>
      <c r="K156" s="186">
        <f>IF(G156="","",ROUND(G156*Steuerungsdaten!$B$5,0))</f>
        <v>102</v>
      </c>
      <c r="L156" s="186">
        <f>IF(H156="","",ROUND(H156*Steuerungsdaten!$B$5,0))</f>
        <v>185</v>
      </c>
      <c r="M156" s="186">
        <f>IF(I156="","",ROUND(I156*Steuerungsdaten!$B$5,0))</f>
        <v>342</v>
      </c>
      <c r="N156" s="187">
        <f>IF(J156="","",ROUND(J156*Steuerungsdaten!$B$5,0))</f>
        <v>283</v>
      </c>
      <c r="O156" s="193">
        <v>119</v>
      </c>
      <c r="P156" s="193">
        <v>234</v>
      </c>
      <c r="Q156" s="193">
        <v>300</v>
      </c>
      <c r="R156" s="193">
        <v>307</v>
      </c>
    </row>
    <row r="157" spans="1:18" x14ac:dyDescent="0.25">
      <c r="A157" s="188">
        <v>3628</v>
      </c>
      <c r="B157" s="189" t="s">
        <v>90</v>
      </c>
      <c r="C157" s="189" t="s">
        <v>246</v>
      </c>
      <c r="D157" s="189" t="s">
        <v>255</v>
      </c>
      <c r="E157" s="190">
        <v>580</v>
      </c>
      <c r="F157" s="190">
        <v>1440</v>
      </c>
      <c r="G157" s="191">
        <f>IF(O157="","",ROUND(O157*Steuerungsdaten!$B$4*IFERROR(VLOOKUP(C157,Steuerungsdaten!$A$12:$B$33,2,FALSE),1),0))</f>
        <v>119</v>
      </c>
      <c r="H157" s="191">
        <f>IF(P157="","",ROUND(P157*Steuerungsdaten!$B$4*IFERROR(VLOOKUP(C157,Steuerungsdaten!$A$12:$D$33,4,FALSE),1),0))</f>
        <v>215</v>
      </c>
      <c r="I157" s="191">
        <f>IF(Q157="","",ROUND(Q157*Steuerungsdaten!$B$4*IFERROR(VLOOKUP(C157,Steuerungsdaten!$A$12:$F$33,6,FALSE),1),0))</f>
        <v>396</v>
      </c>
      <c r="J157" s="191">
        <f>IF(R157="","",ROUND(R157*Steuerungsdaten!$B$4*IFERROR(VLOOKUP(C157,Steuerungsdaten!$A$12:$H$33,8,FALSE),1),0))</f>
        <v>602</v>
      </c>
      <c r="K157" s="191">
        <f>IF(G157="","",ROUND(G157*Steuerungsdaten!$B$5,0))</f>
        <v>137</v>
      </c>
      <c r="L157" s="191">
        <f>IF(H157="","",ROUND(H157*Steuerungsdaten!$B$5,0))</f>
        <v>247</v>
      </c>
      <c r="M157" s="191">
        <f>IF(I157="","",ROUND(I157*Steuerungsdaten!$B$5,0))</f>
        <v>455</v>
      </c>
      <c r="N157" s="192">
        <f>IF(J157="","",ROUND(J157*Steuerungsdaten!$B$5,0))</f>
        <v>692</v>
      </c>
      <c r="O157" s="193">
        <v>158</v>
      </c>
      <c r="P157" s="193">
        <v>311</v>
      </c>
      <c r="Q157" s="193">
        <v>400</v>
      </c>
      <c r="R157" s="193">
        <v>752</v>
      </c>
    </row>
    <row r="158" spans="1:18" x14ac:dyDescent="0.25">
      <c r="A158" s="183">
        <v>3629</v>
      </c>
      <c r="B158" s="184" t="s">
        <v>90</v>
      </c>
      <c r="C158" s="184" t="s">
        <v>246</v>
      </c>
      <c r="D158" s="184" t="s">
        <v>256</v>
      </c>
      <c r="E158" s="185">
        <v>580</v>
      </c>
      <c r="F158" s="185">
        <v>1800</v>
      </c>
      <c r="G158" s="186">
        <f>IF(O158="","",ROUND(O158*Steuerungsdaten!$B$4*IFERROR(VLOOKUP(C158,Steuerungsdaten!$A$12:$B$33,2,FALSE),1),0))</f>
        <v>148</v>
      </c>
      <c r="H158" s="186">
        <f>IF(P158="","",ROUND(P158*Steuerungsdaten!$B$4*IFERROR(VLOOKUP(C158,Steuerungsdaten!$A$12:$D$33,4,FALSE),1),0))</f>
        <v>268</v>
      </c>
      <c r="I158" s="186">
        <f>IF(Q158="","",ROUND(Q158*Steuerungsdaten!$B$4*IFERROR(VLOOKUP(C158,Steuerungsdaten!$A$12:$F$33,6,FALSE),1),0))</f>
        <v>462</v>
      </c>
      <c r="J158" s="186">
        <f>IF(R158="","",ROUND(R158*Steuerungsdaten!$B$4*IFERROR(VLOOKUP(C158,Steuerungsdaten!$A$12:$H$33,8,FALSE),1),0))</f>
        <v>703</v>
      </c>
      <c r="K158" s="186">
        <f>IF(G158="","",ROUND(G158*Steuerungsdaten!$B$5,0))</f>
        <v>170</v>
      </c>
      <c r="L158" s="186">
        <f>IF(H158="","",ROUND(H158*Steuerungsdaten!$B$5,0))</f>
        <v>308</v>
      </c>
      <c r="M158" s="186">
        <f>IF(I158="","",ROUND(I158*Steuerungsdaten!$B$5,0))</f>
        <v>531</v>
      </c>
      <c r="N158" s="187">
        <f>IF(J158="","",ROUND(J158*Steuerungsdaten!$B$5,0))</f>
        <v>808</v>
      </c>
      <c r="O158" s="193">
        <v>197</v>
      </c>
      <c r="P158" s="193">
        <v>388</v>
      </c>
      <c r="Q158" s="193">
        <v>467</v>
      </c>
      <c r="R158" s="193">
        <v>879</v>
      </c>
    </row>
    <row r="159" spans="1:18" ht="21.95" customHeight="1" x14ac:dyDescent="0.25">
      <c r="A159" s="176" t="s">
        <v>257</v>
      </c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93"/>
      <c r="P159" s="193"/>
      <c r="Q159" s="193"/>
      <c r="R159" s="193"/>
    </row>
    <row r="160" spans="1:18" x14ac:dyDescent="0.25">
      <c r="A160" s="178">
        <v>3700</v>
      </c>
      <c r="B160" s="179" t="s">
        <v>90</v>
      </c>
      <c r="C160" s="179" t="s">
        <v>257</v>
      </c>
      <c r="D160" s="179" t="s">
        <v>258</v>
      </c>
      <c r="E160" s="180">
        <v>360</v>
      </c>
      <c r="F160" s="180">
        <v>360</v>
      </c>
      <c r="G160" s="181">
        <f>IF(O160="","",ROUND(O160*Steuerungsdaten!$B$4*IFERROR(VLOOKUP(C160,Steuerungsdaten!$A$12:$B$33,2,FALSE),1),0))</f>
        <v>26</v>
      </c>
      <c r="H160" s="181">
        <f>IF(P160="","",ROUND(P160*Steuerungsdaten!$B$4*IFERROR(VLOOKUP(C160,Steuerungsdaten!$A$12:$D$33,4,FALSE),1),0))</f>
        <v>75</v>
      </c>
      <c r="I160" s="181">
        <f>IF(Q160="","",ROUND(Q160*Steuerungsdaten!$B$4*IFERROR(VLOOKUP(C160,Steuerungsdaten!$A$12:$F$33,6,FALSE),1),0))</f>
        <v>81</v>
      </c>
      <c r="J160" s="181">
        <f>IF(R160="","",ROUND(R160*Steuerungsdaten!$B$4*IFERROR(VLOOKUP(C160,Steuerungsdaten!$A$12:$H$33,8,FALSE),1),0))</f>
        <v>135</v>
      </c>
      <c r="K160" s="181">
        <f>IF(G160="","",ROUND(G160*Steuerungsdaten!$B$5,0))</f>
        <v>30</v>
      </c>
      <c r="L160" s="181">
        <f>IF(H160="","",ROUND(H160*Steuerungsdaten!$B$5,0))</f>
        <v>86</v>
      </c>
      <c r="M160" s="181">
        <f>IF(I160="","",ROUND(I160*Steuerungsdaten!$B$5,0))</f>
        <v>93</v>
      </c>
      <c r="N160" s="182">
        <f>IF(J160="","",ROUND(J160*Steuerungsdaten!$B$5,0))</f>
        <v>155</v>
      </c>
      <c r="O160" s="193">
        <v>34</v>
      </c>
      <c r="P160" s="193">
        <v>114</v>
      </c>
      <c r="Q160" s="193">
        <v>89</v>
      </c>
      <c r="R160" s="193">
        <v>177</v>
      </c>
    </row>
    <row r="161" spans="1:18" x14ac:dyDescent="0.25">
      <c r="A161" s="183">
        <v>3701</v>
      </c>
      <c r="B161" s="184" t="s">
        <v>90</v>
      </c>
      <c r="C161" s="184" t="s">
        <v>257</v>
      </c>
      <c r="D161" s="184" t="s">
        <v>259</v>
      </c>
      <c r="E161" s="185">
        <v>420</v>
      </c>
      <c r="F161" s="185">
        <v>360</v>
      </c>
      <c r="G161" s="186">
        <f>IF(O161="","",ROUND(O161*Steuerungsdaten!$B$4*IFERROR(VLOOKUP(C161,Steuerungsdaten!$A$12:$B$33,2,FALSE),1),0))</f>
        <v>26</v>
      </c>
      <c r="H161" s="186">
        <f>IF(P161="","",ROUND(P161*Steuerungsdaten!$B$4*IFERROR(VLOOKUP(C161,Steuerungsdaten!$A$12:$D$33,4,FALSE),1),0))</f>
        <v>80</v>
      </c>
      <c r="I161" s="186">
        <f>IF(Q161="","",ROUND(Q161*Steuerungsdaten!$B$4*IFERROR(VLOOKUP(C161,Steuerungsdaten!$A$12:$F$33,6,FALSE),1),0))</f>
        <v>84</v>
      </c>
      <c r="J161" s="186">
        <f>IF(R161="","",ROUND(R161*Steuerungsdaten!$B$4*IFERROR(VLOOKUP(C161,Steuerungsdaten!$A$12:$H$33,8,FALSE),1),0))</f>
        <v>135</v>
      </c>
      <c r="K161" s="186">
        <f>IF(G161="","",ROUND(G161*Steuerungsdaten!$B$5,0))</f>
        <v>30</v>
      </c>
      <c r="L161" s="186">
        <f>IF(H161="","",ROUND(H161*Steuerungsdaten!$B$5,0))</f>
        <v>92</v>
      </c>
      <c r="M161" s="186">
        <f>IF(I161="","",ROUND(I161*Steuerungsdaten!$B$5,0))</f>
        <v>97</v>
      </c>
      <c r="N161" s="187">
        <f>IF(J161="","",ROUND(J161*Steuerungsdaten!$B$5,0))</f>
        <v>155</v>
      </c>
      <c r="O161" s="193">
        <v>34</v>
      </c>
      <c r="P161" s="193">
        <v>121</v>
      </c>
      <c r="Q161" s="193">
        <v>92</v>
      </c>
      <c r="R161" s="193">
        <v>178</v>
      </c>
    </row>
    <row r="162" spans="1:18" x14ac:dyDescent="0.25">
      <c r="A162" s="188">
        <v>3702</v>
      </c>
      <c r="B162" s="189" t="s">
        <v>90</v>
      </c>
      <c r="C162" s="189" t="s">
        <v>257</v>
      </c>
      <c r="D162" s="189" t="s">
        <v>260</v>
      </c>
      <c r="E162" s="190">
        <v>580</v>
      </c>
      <c r="F162" s="190">
        <v>360</v>
      </c>
      <c r="G162" s="191">
        <f>IF(O162="","",ROUND(O162*Steuerungsdaten!$B$4*IFERROR(VLOOKUP(C162,Steuerungsdaten!$A$12:$B$33,2,FALSE),1),0))</f>
        <v>32</v>
      </c>
      <c r="H162" s="191">
        <f>IF(P162="","",ROUND(P162*Steuerungsdaten!$B$4*IFERROR(VLOOKUP(C162,Steuerungsdaten!$A$12:$D$33,4,FALSE),1),0))</f>
        <v>106</v>
      </c>
      <c r="I162" s="191">
        <f>IF(Q162="","",ROUND(Q162*Steuerungsdaten!$B$4*IFERROR(VLOOKUP(C162,Steuerungsdaten!$A$12:$F$33,6,FALSE),1),0))</f>
        <v>118</v>
      </c>
      <c r="J162" s="191">
        <f>IF(R162="","",ROUND(R162*Steuerungsdaten!$B$4*IFERROR(VLOOKUP(C162,Steuerungsdaten!$A$12:$H$33,8,FALSE),1),0))</f>
        <v>141</v>
      </c>
      <c r="K162" s="191">
        <f>IF(G162="","",ROUND(G162*Steuerungsdaten!$B$5,0))</f>
        <v>37</v>
      </c>
      <c r="L162" s="191">
        <f>IF(H162="","",ROUND(H162*Steuerungsdaten!$B$5,0))</f>
        <v>122</v>
      </c>
      <c r="M162" s="191">
        <f>IF(I162="","",ROUND(I162*Steuerungsdaten!$B$5,0))</f>
        <v>136</v>
      </c>
      <c r="N162" s="192">
        <f>IF(J162="","",ROUND(J162*Steuerungsdaten!$B$5,0))</f>
        <v>162</v>
      </c>
      <c r="O162" s="193">
        <v>43</v>
      </c>
      <c r="P162" s="193">
        <v>161</v>
      </c>
      <c r="Q162" s="193">
        <v>130</v>
      </c>
      <c r="R162" s="193">
        <v>185</v>
      </c>
    </row>
    <row r="163" spans="1:18" x14ac:dyDescent="0.25">
      <c r="A163" s="183">
        <v>3703</v>
      </c>
      <c r="B163" s="184" t="s">
        <v>90</v>
      </c>
      <c r="C163" s="184" t="s">
        <v>257</v>
      </c>
      <c r="D163" s="184" t="s">
        <v>261</v>
      </c>
      <c r="E163" s="185">
        <v>780</v>
      </c>
      <c r="F163" s="185">
        <v>360</v>
      </c>
      <c r="G163" s="186">
        <f>IF(O163="","",ROUND(O163*Steuerungsdaten!$B$4*IFERROR(VLOOKUP(C163,Steuerungsdaten!$A$12:$B$33,2,FALSE),1),0))</f>
        <v>42</v>
      </c>
      <c r="H163" s="186">
        <f>IF(P163="","",ROUND(P163*Steuerungsdaten!$B$4*IFERROR(VLOOKUP(C163,Steuerungsdaten!$A$12:$D$33,4,FALSE),1),0))</f>
        <v>122</v>
      </c>
      <c r="I163" s="186">
        <f>IF(Q163="","",ROUND(Q163*Steuerungsdaten!$B$4*IFERROR(VLOOKUP(C163,Steuerungsdaten!$A$12:$F$33,6,FALSE),1),0))</f>
        <v>131</v>
      </c>
      <c r="J163" s="186">
        <f>IF(R163="","",ROUND(R163*Steuerungsdaten!$B$4*IFERROR(VLOOKUP(C163,Steuerungsdaten!$A$12:$H$33,8,FALSE),1),0))</f>
        <v>144</v>
      </c>
      <c r="K163" s="186">
        <f>IF(G163="","",ROUND(G163*Steuerungsdaten!$B$5,0))</f>
        <v>48</v>
      </c>
      <c r="L163" s="186">
        <f>IF(H163="","",ROUND(H163*Steuerungsdaten!$B$5,0))</f>
        <v>140</v>
      </c>
      <c r="M163" s="186">
        <f>IF(I163="","",ROUND(I163*Steuerungsdaten!$B$5,0))</f>
        <v>151</v>
      </c>
      <c r="N163" s="187">
        <f>IF(J163="","",ROUND(J163*Steuerungsdaten!$B$5,0))</f>
        <v>166</v>
      </c>
      <c r="O163" s="193">
        <v>56</v>
      </c>
      <c r="P163" s="193">
        <v>185</v>
      </c>
      <c r="Q163" s="193">
        <v>144</v>
      </c>
      <c r="R163" s="193">
        <v>190</v>
      </c>
    </row>
    <row r="164" spans="1:18" x14ac:dyDescent="0.25">
      <c r="A164" s="188">
        <v>3704</v>
      </c>
      <c r="B164" s="189" t="s">
        <v>90</v>
      </c>
      <c r="C164" s="189" t="s">
        <v>257</v>
      </c>
      <c r="D164" s="189" t="s">
        <v>262</v>
      </c>
      <c r="E164" s="190">
        <v>980</v>
      </c>
      <c r="F164" s="190">
        <v>360</v>
      </c>
      <c r="G164" s="191">
        <f>IF(O164="","",ROUND(O164*Steuerungsdaten!$B$4*IFERROR(VLOOKUP(C164,Steuerungsdaten!$A$12:$B$33,2,FALSE),1),0))</f>
        <v>53</v>
      </c>
      <c r="H164" s="191">
        <f>IF(P164="","",ROUND(P164*Steuerungsdaten!$B$4*IFERROR(VLOOKUP(C164,Steuerungsdaten!$A$12:$D$33,4,FALSE),1),0))</f>
        <v>147</v>
      </c>
      <c r="I164" s="191">
        <f>IF(Q164="","",ROUND(Q164*Steuerungsdaten!$B$4*IFERROR(VLOOKUP(C164,Steuerungsdaten!$A$12:$F$33,6,FALSE),1),0))</f>
        <v>158</v>
      </c>
      <c r="J164" s="191">
        <f>IF(R164="","",ROUND(R164*Steuerungsdaten!$B$4*IFERROR(VLOOKUP(C164,Steuerungsdaten!$A$12:$H$33,8,FALSE),1),0))</f>
        <v>159</v>
      </c>
      <c r="K164" s="191">
        <f>IF(G164="","",ROUND(G164*Steuerungsdaten!$B$5,0))</f>
        <v>61</v>
      </c>
      <c r="L164" s="191">
        <f>IF(H164="","",ROUND(H164*Steuerungsdaten!$B$5,0))</f>
        <v>169</v>
      </c>
      <c r="M164" s="191">
        <f>IF(I164="","",ROUND(I164*Steuerungsdaten!$B$5,0))</f>
        <v>182</v>
      </c>
      <c r="N164" s="192">
        <f>IF(J164="","",ROUND(J164*Steuerungsdaten!$B$5,0))</f>
        <v>183</v>
      </c>
      <c r="O164" s="193">
        <v>70</v>
      </c>
      <c r="P164" s="193">
        <v>223</v>
      </c>
      <c r="Q164" s="193">
        <v>174</v>
      </c>
      <c r="R164" s="193">
        <v>209</v>
      </c>
    </row>
    <row r="165" spans="1:18" x14ac:dyDescent="0.25">
      <c r="A165" s="183">
        <v>3705</v>
      </c>
      <c r="B165" s="184" t="s">
        <v>90</v>
      </c>
      <c r="C165" s="184" t="s">
        <v>257</v>
      </c>
      <c r="D165" s="184" t="s">
        <v>263</v>
      </c>
      <c r="E165" s="185">
        <v>360</v>
      </c>
      <c r="F165" s="185">
        <v>580</v>
      </c>
      <c r="G165" s="186">
        <f>IF(O165="","",ROUND(O165*Steuerungsdaten!$B$4*IFERROR(VLOOKUP(C165,Steuerungsdaten!$A$12:$B$33,2,FALSE),1),0))</f>
        <v>32</v>
      </c>
      <c r="H165" s="186">
        <f>IF(P165="","",ROUND(P165*Steuerungsdaten!$B$4*IFERROR(VLOOKUP(C165,Steuerungsdaten!$A$12:$D$33,4,FALSE),1),0))</f>
        <v>106</v>
      </c>
      <c r="I165" s="186">
        <f>IF(Q165="","",ROUND(Q165*Steuerungsdaten!$B$4*IFERROR(VLOOKUP(C165,Steuerungsdaten!$A$12:$F$33,6,FALSE),1),0))</f>
        <v>118</v>
      </c>
      <c r="J165" s="186">
        <f>IF(R165="","",ROUND(R165*Steuerungsdaten!$B$4*IFERROR(VLOOKUP(C165,Steuerungsdaten!$A$12:$H$33,8,FALSE),1),0))</f>
        <v>141</v>
      </c>
      <c r="K165" s="186">
        <f>IF(G165="","",ROUND(G165*Steuerungsdaten!$B$5,0))</f>
        <v>37</v>
      </c>
      <c r="L165" s="186">
        <f>IF(H165="","",ROUND(H165*Steuerungsdaten!$B$5,0))</f>
        <v>122</v>
      </c>
      <c r="M165" s="186">
        <f>IF(I165="","",ROUND(I165*Steuerungsdaten!$B$5,0))</f>
        <v>136</v>
      </c>
      <c r="N165" s="187">
        <f>IF(J165="","",ROUND(J165*Steuerungsdaten!$B$5,0))</f>
        <v>162</v>
      </c>
      <c r="O165" s="193">
        <v>43</v>
      </c>
      <c r="P165" s="193">
        <v>161</v>
      </c>
      <c r="Q165" s="193">
        <v>130</v>
      </c>
      <c r="R165" s="193">
        <v>185</v>
      </c>
    </row>
    <row r="166" spans="1:18" x14ac:dyDescent="0.25">
      <c r="A166" s="188">
        <v>3706</v>
      </c>
      <c r="B166" s="189" t="s">
        <v>90</v>
      </c>
      <c r="C166" s="189" t="s">
        <v>257</v>
      </c>
      <c r="D166" s="189" t="s">
        <v>264</v>
      </c>
      <c r="E166" s="190">
        <v>420</v>
      </c>
      <c r="F166" s="190">
        <v>580</v>
      </c>
      <c r="G166" s="191">
        <f>IF(O166="","",ROUND(O166*Steuerungsdaten!$B$4*IFERROR(VLOOKUP(C166,Steuerungsdaten!$A$12:$B$33,2,FALSE),1),0))</f>
        <v>37</v>
      </c>
      <c r="H166" s="191">
        <f>IF(P166="","",ROUND(P166*Steuerungsdaten!$B$4*IFERROR(VLOOKUP(C166,Steuerungsdaten!$A$12:$D$33,4,FALSE),1),0))</f>
        <v>119</v>
      </c>
      <c r="I166" s="191">
        <f>IF(Q166="","",ROUND(Q166*Steuerungsdaten!$B$4*IFERROR(VLOOKUP(C166,Steuerungsdaten!$A$12:$F$33,6,FALSE),1),0))</f>
        <v>134</v>
      </c>
      <c r="J166" s="191">
        <f>IF(R166="","",ROUND(R166*Steuerungsdaten!$B$4*IFERROR(VLOOKUP(C166,Steuerungsdaten!$A$12:$H$33,8,FALSE),1),0))</f>
        <v>141</v>
      </c>
      <c r="K166" s="191">
        <f>IF(G166="","",ROUND(G166*Steuerungsdaten!$B$5,0))</f>
        <v>43</v>
      </c>
      <c r="L166" s="191">
        <f>IF(H166="","",ROUND(H166*Steuerungsdaten!$B$5,0))</f>
        <v>137</v>
      </c>
      <c r="M166" s="191">
        <f>IF(I166="","",ROUND(I166*Steuerungsdaten!$B$5,0))</f>
        <v>154</v>
      </c>
      <c r="N166" s="192">
        <f>IF(J166="","",ROUND(J166*Steuerungsdaten!$B$5,0))</f>
        <v>162</v>
      </c>
      <c r="O166" s="193">
        <v>49</v>
      </c>
      <c r="P166" s="193">
        <v>181</v>
      </c>
      <c r="Q166" s="193">
        <v>147</v>
      </c>
      <c r="R166" s="193">
        <v>186</v>
      </c>
    </row>
    <row r="167" spans="1:18" x14ac:dyDescent="0.25">
      <c r="A167" s="183">
        <v>3707</v>
      </c>
      <c r="B167" s="184" t="s">
        <v>90</v>
      </c>
      <c r="C167" s="184" t="s">
        <v>257</v>
      </c>
      <c r="D167" s="184" t="s">
        <v>265</v>
      </c>
      <c r="E167" s="185">
        <v>580</v>
      </c>
      <c r="F167" s="185">
        <v>580</v>
      </c>
      <c r="G167" s="186">
        <f>IF(O167="","",ROUND(O167*Steuerungsdaten!$B$4*IFERROR(VLOOKUP(C167,Steuerungsdaten!$A$12:$B$33,2,FALSE),1),0))</f>
        <v>50</v>
      </c>
      <c r="H167" s="186">
        <f>IF(P167="","",ROUND(P167*Steuerungsdaten!$B$4*IFERROR(VLOOKUP(C167,Steuerungsdaten!$A$12:$D$33,4,FALSE),1),0))</f>
        <v>150</v>
      </c>
      <c r="I167" s="186">
        <f>IF(Q167="","",ROUND(Q167*Steuerungsdaten!$B$4*IFERROR(VLOOKUP(C167,Steuerungsdaten!$A$12:$F$33,6,FALSE),1),0))</f>
        <v>167</v>
      </c>
      <c r="J167" s="186">
        <f>IF(R167="","",ROUND(R167*Steuerungsdaten!$B$4*IFERROR(VLOOKUP(C167,Steuerungsdaten!$A$12:$H$33,8,FALSE),1),0))</f>
        <v>145</v>
      </c>
      <c r="K167" s="186">
        <f>IF(G167="","",ROUND(G167*Steuerungsdaten!$B$5,0))</f>
        <v>58</v>
      </c>
      <c r="L167" s="186">
        <f>IF(H167="","",ROUND(H167*Steuerungsdaten!$B$5,0))</f>
        <v>173</v>
      </c>
      <c r="M167" s="186">
        <f>IF(I167="","",ROUND(I167*Steuerungsdaten!$B$5,0))</f>
        <v>192</v>
      </c>
      <c r="N167" s="187">
        <f>IF(J167="","",ROUND(J167*Steuerungsdaten!$B$5,0))</f>
        <v>167</v>
      </c>
      <c r="O167" s="193">
        <v>67</v>
      </c>
      <c r="P167" s="193">
        <v>228</v>
      </c>
      <c r="Q167" s="193">
        <v>183</v>
      </c>
      <c r="R167" s="193">
        <v>191</v>
      </c>
    </row>
    <row r="168" spans="1:18" x14ac:dyDescent="0.25">
      <c r="A168" s="188">
        <v>3708</v>
      </c>
      <c r="B168" s="189" t="s">
        <v>90</v>
      </c>
      <c r="C168" s="189" t="s">
        <v>257</v>
      </c>
      <c r="D168" s="189" t="s">
        <v>266</v>
      </c>
      <c r="E168" s="190">
        <v>780</v>
      </c>
      <c r="F168" s="190">
        <v>580</v>
      </c>
      <c r="G168" s="191">
        <f>IF(O168="","",ROUND(O168*Steuerungsdaten!$B$4*IFERROR(VLOOKUP(C168,Steuerungsdaten!$A$12:$B$33,2,FALSE),1),0))</f>
        <v>65</v>
      </c>
      <c r="H168" s="191">
        <f>IF(P168="","",ROUND(P168*Steuerungsdaten!$B$4*IFERROR(VLOOKUP(C168,Steuerungsdaten!$A$12:$D$33,4,FALSE),1),0))</f>
        <v>182</v>
      </c>
      <c r="I168" s="191">
        <f>IF(Q168="","",ROUND(Q168*Steuerungsdaten!$B$4*IFERROR(VLOOKUP(C168,Steuerungsdaten!$A$12:$F$33,6,FALSE),1),0))</f>
        <v>205</v>
      </c>
      <c r="J168" s="191">
        <f>IF(R168="","",ROUND(R168*Steuerungsdaten!$B$4*IFERROR(VLOOKUP(C168,Steuerungsdaten!$A$12:$H$33,8,FALSE),1),0))</f>
        <v>180</v>
      </c>
      <c r="K168" s="191">
        <f>IF(G168="","",ROUND(G168*Steuerungsdaten!$B$5,0))</f>
        <v>75</v>
      </c>
      <c r="L168" s="191">
        <f>IF(H168="","",ROUND(H168*Steuerungsdaten!$B$5,0))</f>
        <v>209</v>
      </c>
      <c r="M168" s="191">
        <f>IF(I168="","",ROUND(I168*Steuerungsdaten!$B$5,0))</f>
        <v>236</v>
      </c>
      <c r="N168" s="192">
        <f>IF(J168="","",ROUND(J168*Steuerungsdaten!$B$5,0))</f>
        <v>207</v>
      </c>
      <c r="O168" s="193">
        <v>87</v>
      </c>
      <c r="P168" s="193">
        <v>275</v>
      </c>
      <c r="Q168" s="193">
        <v>225</v>
      </c>
      <c r="R168" s="193">
        <v>237</v>
      </c>
    </row>
    <row r="169" spans="1:18" x14ac:dyDescent="0.25">
      <c r="A169" s="183">
        <v>3709</v>
      </c>
      <c r="B169" s="184" t="s">
        <v>90</v>
      </c>
      <c r="C169" s="184" t="s">
        <v>257</v>
      </c>
      <c r="D169" s="184" t="s">
        <v>267</v>
      </c>
      <c r="E169" s="185">
        <v>980</v>
      </c>
      <c r="F169" s="185">
        <v>580</v>
      </c>
      <c r="G169" s="186">
        <f>IF(O169="","",ROUND(O169*Steuerungsdaten!$B$4*IFERROR(VLOOKUP(C169,Steuerungsdaten!$A$12:$B$33,2,FALSE),1),0))</f>
        <v>83</v>
      </c>
      <c r="H169" s="186">
        <f>IF(P169="","",ROUND(P169*Steuerungsdaten!$B$4*IFERROR(VLOOKUP(C169,Steuerungsdaten!$A$12:$D$33,4,FALSE),1),0))</f>
        <v>234</v>
      </c>
      <c r="I169" s="186">
        <f>IF(Q169="","",ROUND(Q169*Steuerungsdaten!$B$4*IFERROR(VLOOKUP(C169,Steuerungsdaten!$A$12:$F$33,6,FALSE),1),0))</f>
        <v>260</v>
      </c>
      <c r="J169" s="186">
        <f>IF(R169="","",ROUND(R169*Steuerungsdaten!$B$4*IFERROR(VLOOKUP(C169,Steuerungsdaten!$A$12:$H$33,8,FALSE),1),0))</f>
        <v>210</v>
      </c>
      <c r="K169" s="186">
        <f>IF(G169="","",ROUND(G169*Steuerungsdaten!$B$5,0))</f>
        <v>95</v>
      </c>
      <c r="L169" s="186">
        <f>IF(H169="","",ROUND(H169*Steuerungsdaten!$B$5,0))</f>
        <v>269</v>
      </c>
      <c r="M169" s="186">
        <f>IF(I169="","",ROUND(I169*Steuerungsdaten!$B$5,0))</f>
        <v>299</v>
      </c>
      <c r="N169" s="187">
        <f>IF(J169="","",ROUND(J169*Steuerungsdaten!$B$5,0))</f>
        <v>242</v>
      </c>
      <c r="O169" s="193">
        <v>110</v>
      </c>
      <c r="P169" s="193">
        <v>355</v>
      </c>
      <c r="Q169" s="193">
        <v>286</v>
      </c>
      <c r="R169" s="193">
        <v>276</v>
      </c>
    </row>
    <row r="170" spans="1:18" x14ac:dyDescent="0.25">
      <c r="A170" s="188">
        <v>3710</v>
      </c>
      <c r="B170" s="189" t="s">
        <v>90</v>
      </c>
      <c r="C170" s="189" t="s">
        <v>257</v>
      </c>
      <c r="D170" s="189" t="s">
        <v>268</v>
      </c>
      <c r="E170" s="190">
        <v>780</v>
      </c>
      <c r="F170" s="190">
        <v>780</v>
      </c>
      <c r="G170" s="191">
        <f>IF(O170="","",ROUND(O170*Steuerungsdaten!$B$4*IFERROR(VLOOKUP(C170,Steuerungsdaten!$A$12:$B$33,2,FALSE),1),0))</f>
        <v>83</v>
      </c>
      <c r="H170" s="191">
        <f>IF(P170="","",ROUND(P170*Steuerungsdaten!$B$4*IFERROR(VLOOKUP(C170,Steuerungsdaten!$A$12:$D$33,4,FALSE),1),0))</f>
        <v>199</v>
      </c>
      <c r="I170" s="191">
        <f>IF(Q170="","",ROUND(Q170*Steuerungsdaten!$B$4*IFERROR(VLOOKUP(C170,Steuerungsdaten!$A$12:$F$33,6,FALSE),1),0))</f>
        <v>248</v>
      </c>
      <c r="J170" s="191">
        <f>IF(R170="","",ROUND(R170*Steuerungsdaten!$B$4*IFERROR(VLOOKUP(C170,Steuerungsdaten!$A$12:$H$33,8,FALSE),1),0))</f>
        <v>224</v>
      </c>
      <c r="K170" s="191">
        <f>IF(G170="","",ROUND(G170*Steuerungsdaten!$B$5,0))</f>
        <v>95</v>
      </c>
      <c r="L170" s="191">
        <f>IF(H170="","",ROUND(H170*Steuerungsdaten!$B$5,0))</f>
        <v>229</v>
      </c>
      <c r="M170" s="191">
        <f>IF(I170="","",ROUND(I170*Steuerungsdaten!$B$5,0))</f>
        <v>285</v>
      </c>
      <c r="N170" s="192">
        <f>IF(J170="","",ROUND(J170*Steuerungsdaten!$B$5,0))</f>
        <v>258</v>
      </c>
      <c r="O170" s="193">
        <v>110</v>
      </c>
      <c r="P170" s="193">
        <v>302</v>
      </c>
      <c r="Q170" s="193">
        <v>272</v>
      </c>
      <c r="R170" s="193">
        <v>295</v>
      </c>
    </row>
    <row r="171" spans="1:18" x14ac:dyDescent="0.25">
      <c r="A171" s="183">
        <v>3711</v>
      </c>
      <c r="B171" s="184" t="s">
        <v>90</v>
      </c>
      <c r="C171" s="184" t="s">
        <v>257</v>
      </c>
      <c r="D171" s="184" t="s">
        <v>269</v>
      </c>
      <c r="E171" s="185">
        <v>980</v>
      </c>
      <c r="F171" s="185">
        <v>780</v>
      </c>
      <c r="G171" s="186">
        <f>IF(O171="","",ROUND(O171*Steuerungsdaten!$B$4*IFERROR(VLOOKUP(C171,Steuerungsdaten!$A$12:$B$33,2,FALSE),1),0))</f>
        <v>104</v>
      </c>
      <c r="H171" s="186">
        <f>IF(P171="","",ROUND(P171*Steuerungsdaten!$B$4*IFERROR(VLOOKUP(C171,Steuerungsdaten!$A$12:$D$33,4,FALSE),1),0))</f>
        <v>180</v>
      </c>
      <c r="I171" s="186" t="str">
        <f>IF(Q171="","",ROUND(Q171*Steuerungsdaten!$B$4*IFERROR(VLOOKUP(C171,Steuerungsdaten!$A$12:$F$33,6,FALSE),1),0))</f>
        <v/>
      </c>
      <c r="J171" s="186" t="str">
        <f>IF(R171="","",ROUND(R171*Steuerungsdaten!$B$4*IFERROR(VLOOKUP(C171,Steuerungsdaten!$A$12:$H$33,8,FALSE),1),0))</f>
        <v/>
      </c>
      <c r="K171" s="186">
        <f>IF(G171="","",ROUND(G171*Steuerungsdaten!$B$5,0))</f>
        <v>120</v>
      </c>
      <c r="L171" s="186">
        <f>IF(H171="","",ROUND(H171*Steuerungsdaten!$B$5,0))</f>
        <v>207</v>
      </c>
      <c r="M171" s="186" t="str">
        <f>IF(I171="","",ROUND(I171*Steuerungsdaten!$B$5,0))</f>
        <v/>
      </c>
      <c r="N171" s="187" t="str">
        <f>IF(J171="","",ROUND(J171*Steuerungsdaten!$B$5,0))</f>
        <v/>
      </c>
      <c r="O171" s="193">
        <v>138</v>
      </c>
      <c r="P171" s="193">
        <v>272</v>
      </c>
      <c r="Q171" s="193"/>
      <c r="R171" s="193"/>
    </row>
    <row r="172" spans="1:18" x14ac:dyDescent="0.25">
      <c r="A172" s="188">
        <v>3712</v>
      </c>
      <c r="B172" s="189" t="s">
        <v>90</v>
      </c>
      <c r="C172" s="189" t="s">
        <v>257</v>
      </c>
      <c r="D172" s="189" t="s">
        <v>270</v>
      </c>
      <c r="E172" s="190">
        <v>980</v>
      </c>
      <c r="F172" s="190">
        <v>980</v>
      </c>
      <c r="G172" s="191">
        <f>IF(O172="","",ROUND(O172*Steuerungsdaten!$B$4*IFERROR(VLOOKUP(C172,Steuerungsdaten!$A$12:$B$33,2,FALSE),1),0))</f>
        <v>125</v>
      </c>
      <c r="H172" s="191">
        <f>IF(P172="","",ROUND(P172*Steuerungsdaten!$B$4*IFERROR(VLOOKUP(C172,Steuerungsdaten!$A$12:$D$33,4,FALSE),1),0))</f>
        <v>216</v>
      </c>
      <c r="I172" s="191" t="str">
        <f>IF(Q172="","",ROUND(Q172*Steuerungsdaten!$B$4*IFERROR(VLOOKUP(C172,Steuerungsdaten!$A$12:$F$33,6,FALSE),1),0))</f>
        <v/>
      </c>
      <c r="J172" s="191" t="str">
        <f>IF(R172="","",ROUND(R172*Steuerungsdaten!$B$4*IFERROR(VLOOKUP(C172,Steuerungsdaten!$A$12:$H$33,8,FALSE),1),0))</f>
        <v/>
      </c>
      <c r="K172" s="191">
        <f>IF(G172="","",ROUND(G172*Steuerungsdaten!$B$5,0))</f>
        <v>144</v>
      </c>
      <c r="L172" s="191">
        <f>IF(H172="","",ROUND(H172*Steuerungsdaten!$B$5,0))</f>
        <v>248</v>
      </c>
      <c r="M172" s="191" t="str">
        <f>IF(I172="","",ROUND(I172*Steuerungsdaten!$B$5,0))</f>
        <v/>
      </c>
      <c r="N172" s="192" t="str">
        <f>IF(J172="","",ROUND(J172*Steuerungsdaten!$B$5,0))</f>
        <v/>
      </c>
      <c r="O172" s="193">
        <v>166</v>
      </c>
      <c r="P172" s="193">
        <v>327</v>
      </c>
      <c r="Q172" s="193"/>
      <c r="R172" s="193"/>
    </row>
    <row r="173" spans="1:18" ht="21.95" customHeight="1" x14ac:dyDescent="0.25">
      <c r="A173" s="176" t="s">
        <v>271</v>
      </c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93"/>
      <c r="P173" s="193"/>
      <c r="Q173" s="193"/>
      <c r="R173" s="193"/>
    </row>
    <row r="174" spans="1:18" x14ac:dyDescent="0.25">
      <c r="A174" s="178">
        <v>3750</v>
      </c>
      <c r="B174" s="179" t="s">
        <v>90</v>
      </c>
      <c r="C174" s="179" t="s">
        <v>271</v>
      </c>
      <c r="D174" s="179" t="s">
        <v>272</v>
      </c>
      <c r="E174" s="180">
        <v>360</v>
      </c>
      <c r="F174" s="180">
        <v>360</v>
      </c>
      <c r="G174" s="181">
        <f>IF(O174="","",ROUND(O174*Steuerungsdaten!$B$4*IFERROR(VLOOKUP(C174,Steuerungsdaten!$A$12:$B$33,2,FALSE),1),0))</f>
        <v>26</v>
      </c>
      <c r="H174" s="181">
        <f>IF(P174="","",ROUND(P174*Steuerungsdaten!$B$4*IFERROR(VLOOKUP(C174,Steuerungsdaten!$A$12:$D$33,4,FALSE),1),0))</f>
        <v>75</v>
      </c>
      <c r="I174" s="181">
        <f>IF(Q174="","",ROUND(Q174*Steuerungsdaten!$B$4*IFERROR(VLOOKUP(C174,Steuerungsdaten!$A$12:$F$33,6,FALSE),1),0))</f>
        <v>81</v>
      </c>
      <c r="J174" s="181">
        <f>IF(R174="","",ROUND(R174*Steuerungsdaten!$B$4*IFERROR(VLOOKUP(C174,Steuerungsdaten!$A$12:$H$33,8,FALSE),1),0))</f>
        <v>135</v>
      </c>
      <c r="K174" s="181">
        <f>IF(G174="","",ROUND(G174*Steuerungsdaten!$B$5,0))</f>
        <v>30</v>
      </c>
      <c r="L174" s="181">
        <f>IF(H174="","",ROUND(H174*Steuerungsdaten!$B$5,0))</f>
        <v>86</v>
      </c>
      <c r="M174" s="181">
        <f>IF(I174="","",ROUND(I174*Steuerungsdaten!$B$5,0))</f>
        <v>93</v>
      </c>
      <c r="N174" s="182">
        <f>IF(J174="","",ROUND(J174*Steuerungsdaten!$B$5,0))</f>
        <v>155</v>
      </c>
      <c r="O174" s="193">
        <v>34</v>
      </c>
      <c r="P174" s="193">
        <v>114</v>
      </c>
      <c r="Q174" s="193">
        <v>89</v>
      </c>
      <c r="R174" s="193">
        <v>177</v>
      </c>
    </row>
    <row r="175" spans="1:18" x14ac:dyDescent="0.25">
      <c r="A175" s="183">
        <v>3751</v>
      </c>
      <c r="B175" s="184" t="s">
        <v>90</v>
      </c>
      <c r="C175" s="184" t="s">
        <v>271</v>
      </c>
      <c r="D175" s="184" t="s">
        <v>273</v>
      </c>
      <c r="E175" s="185">
        <v>420</v>
      </c>
      <c r="F175" s="185">
        <v>360</v>
      </c>
      <c r="G175" s="186">
        <f>IF(O175="","",ROUND(O175*Steuerungsdaten!$B$4*IFERROR(VLOOKUP(C175,Steuerungsdaten!$A$12:$B$33,2,FALSE),1),0))</f>
        <v>26</v>
      </c>
      <c r="H175" s="186">
        <f>IF(P175="","",ROUND(P175*Steuerungsdaten!$B$4*IFERROR(VLOOKUP(C175,Steuerungsdaten!$A$12:$D$33,4,FALSE),1),0))</f>
        <v>80</v>
      </c>
      <c r="I175" s="186">
        <f>IF(Q175="","",ROUND(Q175*Steuerungsdaten!$B$4*IFERROR(VLOOKUP(C175,Steuerungsdaten!$A$12:$F$33,6,FALSE),1),0))</f>
        <v>84</v>
      </c>
      <c r="J175" s="186">
        <f>IF(R175="","",ROUND(R175*Steuerungsdaten!$B$4*IFERROR(VLOOKUP(C175,Steuerungsdaten!$A$12:$H$33,8,FALSE),1),0))</f>
        <v>135</v>
      </c>
      <c r="K175" s="186">
        <f>IF(G175="","",ROUND(G175*Steuerungsdaten!$B$5,0))</f>
        <v>30</v>
      </c>
      <c r="L175" s="186">
        <f>IF(H175="","",ROUND(H175*Steuerungsdaten!$B$5,0))</f>
        <v>92</v>
      </c>
      <c r="M175" s="186">
        <f>IF(I175="","",ROUND(I175*Steuerungsdaten!$B$5,0))</f>
        <v>97</v>
      </c>
      <c r="N175" s="187">
        <f>IF(J175="","",ROUND(J175*Steuerungsdaten!$B$5,0))</f>
        <v>155</v>
      </c>
      <c r="O175" s="193">
        <v>34</v>
      </c>
      <c r="P175" s="193">
        <v>121</v>
      </c>
      <c r="Q175" s="193">
        <v>92</v>
      </c>
      <c r="R175" s="193">
        <v>178</v>
      </c>
    </row>
    <row r="176" spans="1:18" x14ac:dyDescent="0.25">
      <c r="A176" s="188">
        <v>3752</v>
      </c>
      <c r="B176" s="189" t="s">
        <v>90</v>
      </c>
      <c r="C176" s="189" t="s">
        <v>271</v>
      </c>
      <c r="D176" s="189" t="s">
        <v>274</v>
      </c>
      <c r="E176" s="190">
        <v>580</v>
      </c>
      <c r="F176" s="190">
        <v>360</v>
      </c>
      <c r="G176" s="191">
        <f>IF(O176="","",ROUND(O176*Steuerungsdaten!$B$4*IFERROR(VLOOKUP(C176,Steuerungsdaten!$A$12:$B$33,2,FALSE),1),0))</f>
        <v>32</v>
      </c>
      <c r="H176" s="191">
        <f>IF(P176="","",ROUND(P176*Steuerungsdaten!$B$4*IFERROR(VLOOKUP(C176,Steuerungsdaten!$A$12:$D$33,4,FALSE),1),0))</f>
        <v>106</v>
      </c>
      <c r="I176" s="191">
        <f>IF(Q176="","",ROUND(Q176*Steuerungsdaten!$B$4*IFERROR(VLOOKUP(C176,Steuerungsdaten!$A$12:$F$33,6,FALSE),1),0))</f>
        <v>118</v>
      </c>
      <c r="J176" s="191">
        <f>IF(R176="","",ROUND(R176*Steuerungsdaten!$B$4*IFERROR(VLOOKUP(C176,Steuerungsdaten!$A$12:$H$33,8,FALSE),1),0))</f>
        <v>141</v>
      </c>
      <c r="K176" s="191">
        <f>IF(G176="","",ROUND(G176*Steuerungsdaten!$B$5,0))</f>
        <v>37</v>
      </c>
      <c r="L176" s="191">
        <f>IF(H176="","",ROUND(H176*Steuerungsdaten!$B$5,0))</f>
        <v>122</v>
      </c>
      <c r="M176" s="191">
        <f>IF(I176="","",ROUND(I176*Steuerungsdaten!$B$5,0))</f>
        <v>136</v>
      </c>
      <c r="N176" s="192">
        <f>IF(J176="","",ROUND(J176*Steuerungsdaten!$B$5,0))</f>
        <v>162</v>
      </c>
      <c r="O176" s="193">
        <v>43</v>
      </c>
      <c r="P176" s="193">
        <v>161</v>
      </c>
      <c r="Q176" s="193">
        <v>130</v>
      </c>
      <c r="R176" s="193">
        <v>185</v>
      </c>
    </row>
    <row r="177" spans="1:18" x14ac:dyDescent="0.25">
      <c r="A177" s="183">
        <v>3753</v>
      </c>
      <c r="B177" s="184" t="s">
        <v>90</v>
      </c>
      <c r="C177" s="184" t="s">
        <v>271</v>
      </c>
      <c r="D177" s="184" t="s">
        <v>275</v>
      </c>
      <c r="E177" s="185">
        <v>780</v>
      </c>
      <c r="F177" s="185">
        <v>360</v>
      </c>
      <c r="G177" s="186">
        <f>IF(O177="","",ROUND(O177*Steuerungsdaten!$B$4*IFERROR(VLOOKUP(C177,Steuerungsdaten!$A$12:$B$33,2,FALSE),1),0))</f>
        <v>42</v>
      </c>
      <c r="H177" s="186">
        <f>IF(P177="","",ROUND(P177*Steuerungsdaten!$B$4*IFERROR(VLOOKUP(C177,Steuerungsdaten!$A$12:$D$33,4,FALSE),1),0))</f>
        <v>122</v>
      </c>
      <c r="I177" s="186">
        <f>IF(Q177="","",ROUND(Q177*Steuerungsdaten!$B$4*IFERROR(VLOOKUP(C177,Steuerungsdaten!$A$12:$F$33,6,FALSE),1),0))</f>
        <v>131</v>
      </c>
      <c r="J177" s="186">
        <f>IF(R177="","",ROUND(R177*Steuerungsdaten!$B$4*IFERROR(VLOOKUP(C177,Steuerungsdaten!$A$12:$H$33,8,FALSE),1),0))</f>
        <v>144</v>
      </c>
      <c r="K177" s="186">
        <f>IF(G177="","",ROUND(G177*Steuerungsdaten!$B$5,0))</f>
        <v>48</v>
      </c>
      <c r="L177" s="186">
        <f>IF(H177="","",ROUND(H177*Steuerungsdaten!$B$5,0))</f>
        <v>140</v>
      </c>
      <c r="M177" s="186">
        <f>IF(I177="","",ROUND(I177*Steuerungsdaten!$B$5,0))</f>
        <v>151</v>
      </c>
      <c r="N177" s="187">
        <f>IF(J177="","",ROUND(J177*Steuerungsdaten!$B$5,0))</f>
        <v>166</v>
      </c>
      <c r="O177" s="193">
        <v>56</v>
      </c>
      <c r="P177" s="193">
        <v>185</v>
      </c>
      <c r="Q177" s="193">
        <v>144</v>
      </c>
      <c r="R177" s="193">
        <v>190</v>
      </c>
    </row>
    <row r="178" spans="1:18" x14ac:dyDescent="0.25">
      <c r="A178" s="188">
        <v>3754</v>
      </c>
      <c r="B178" s="189" t="s">
        <v>90</v>
      </c>
      <c r="C178" s="189" t="s">
        <v>271</v>
      </c>
      <c r="D178" s="189" t="s">
        <v>276</v>
      </c>
      <c r="E178" s="190">
        <v>980</v>
      </c>
      <c r="F178" s="190">
        <v>360</v>
      </c>
      <c r="G178" s="191">
        <f>IF(O178="","",ROUND(O178*Steuerungsdaten!$B$4*IFERROR(VLOOKUP(C178,Steuerungsdaten!$A$12:$B$33,2,FALSE),1),0))</f>
        <v>53</v>
      </c>
      <c r="H178" s="191">
        <f>IF(P178="","",ROUND(P178*Steuerungsdaten!$B$4*IFERROR(VLOOKUP(C178,Steuerungsdaten!$A$12:$D$33,4,FALSE),1),0))</f>
        <v>147</v>
      </c>
      <c r="I178" s="191">
        <f>IF(Q178="","",ROUND(Q178*Steuerungsdaten!$B$4*IFERROR(VLOOKUP(C178,Steuerungsdaten!$A$12:$F$33,6,FALSE),1),0))</f>
        <v>158</v>
      </c>
      <c r="J178" s="191">
        <f>IF(R178="","",ROUND(R178*Steuerungsdaten!$B$4*IFERROR(VLOOKUP(C178,Steuerungsdaten!$A$12:$H$33,8,FALSE),1),0))</f>
        <v>159</v>
      </c>
      <c r="K178" s="191">
        <f>IF(G178="","",ROUND(G178*Steuerungsdaten!$B$5,0))</f>
        <v>61</v>
      </c>
      <c r="L178" s="191">
        <f>IF(H178="","",ROUND(H178*Steuerungsdaten!$B$5,0))</f>
        <v>169</v>
      </c>
      <c r="M178" s="191">
        <f>IF(I178="","",ROUND(I178*Steuerungsdaten!$B$5,0))</f>
        <v>182</v>
      </c>
      <c r="N178" s="192">
        <f>IF(J178="","",ROUND(J178*Steuerungsdaten!$B$5,0))</f>
        <v>183</v>
      </c>
      <c r="O178" s="193">
        <v>70</v>
      </c>
      <c r="P178" s="193">
        <v>223</v>
      </c>
      <c r="Q178" s="193">
        <v>174</v>
      </c>
      <c r="R178" s="193">
        <v>209</v>
      </c>
    </row>
    <row r="179" spans="1:18" x14ac:dyDescent="0.25">
      <c r="A179" s="183">
        <v>3755</v>
      </c>
      <c r="B179" s="184" t="s">
        <v>90</v>
      </c>
      <c r="C179" s="184" t="s">
        <v>271</v>
      </c>
      <c r="D179" s="184" t="s">
        <v>277</v>
      </c>
      <c r="E179" s="185">
        <v>360</v>
      </c>
      <c r="F179" s="185">
        <v>580</v>
      </c>
      <c r="G179" s="186">
        <f>IF(O179="","",ROUND(O179*Steuerungsdaten!$B$4*IFERROR(VLOOKUP(C179,Steuerungsdaten!$A$12:$B$33,2,FALSE),1),0))</f>
        <v>32</v>
      </c>
      <c r="H179" s="186">
        <f>IF(P179="","",ROUND(P179*Steuerungsdaten!$B$4*IFERROR(VLOOKUP(C179,Steuerungsdaten!$A$12:$D$33,4,FALSE),1),0))</f>
        <v>106</v>
      </c>
      <c r="I179" s="186">
        <f>IF(Q179="","",ROUND(Q179*Steuerungsdaten!$B$4*IFERROR(VLOOKUP(C179,Steuerungsdaten!$A$12:$F$33,6,FALSE),1),0))</f>
        <v>118</v>
      </c>
      <c r="J179" s="186">
        <f>IF(R179="","",ROUND(R179*Steuerungsdaten!$B$4*IFERROR(VLOOKUP(C179,Steuerungsdaten!$A$12:$H$33,8,FALSE),1),0))</f>
        <v>141</v>
      </c>
      <c r="K179" s="186">
        <f>IF(G179="","",ROUND(G179*Steuerungsdaten!$B$5,0))</f>
        <v>37</v>
      </c>
      <c r="L179" s="186">
        <f>IF(H179="","",ROUND(H179*Steuerungsdaten!$B$5,0))</f>
        <v>122</v>
      </c>
      <c r="M179" s="186">
        <f>IF(I179="","",ROUND(I179*Steuerungsdaten!$B$5,0))</f>
        <v>136</v>
      </c>
      <c r="N179" s="187">
        <f>IF(J179="","",ROUND(J179*Steuerungsdaten!$B$5,0))</f>
        <v>162</v>
      </c>
      <c r="O179" s="193">
        <v>43</v>
      </c>
      <c r="P179" s="193">
        <v>161</v>
      </c>
      <c r="Q179" s="193">
        <v>130</v>
      </c>
      <c r="R179" s="193">
        <v>185</v>
      </c>
    </row>
    <row r="180" spans="1:18" x14ac:dyDescent="0.25">
      <c r="A180" s="188">
        <v>3756</v>
      </c>
      <c r="B180" s="189" t="s">
        <v>90</v>
      </c>
      <c r="C180" s="189" t="s">
        <v>271</v>
      </c>
      <c r="D180" s="189" t="s">
        <v>278</v>
      </c>
      <c r="E180" s="190">
        <v>420</v>
      </c>
      <c r="F180" s="190">
        <v>580</v>
      </c>
      <c r="G180" s="191">
        <f>IF(O180="","",ROUND(O180*Steuerungsdaten!$B$4*IFERROR(VLOOKUP(C180,Steuerungsdaten!$A$12:$B$33,2,FALSE),1),0))</f>
        <v>37</v>
      </c>
      <c r="H180" s="191">
        <f>IF(P180="","",ROUND(P180*Steuerungsdaten!$B$4*IFERROR(VLOOKUP(C180,Steuerungsdaten!$A$12:$D$33,4,FALSE),1),0))</f>
        <v>119</v>
      </c>
      <c r="I180" s="191">
        <f>IF(Q180="","",ROUND(Q180*Steuerungsdaten!$B$4*IFERROR(VLOOKUP(C180,Steuerungsdaten!$A$12:$F$33,6,FALSE),1),0))</f>
        <v>134</v>
      </c>
      <c r="J180" s="191">
        <f>IF(R180="","",ROUND(R180*Steuerungsdaten!$B$4*IFERROR(VLOOKUP(C180,Steuerungsdaten!$A$12:$H$33,8,FALSE),1),0))</f>
        <v>141</v>
      </c>
      <c r="K180" s="191">
        <f>IF(G180="","",ROUND(G180*Steuerungsdaten!$B$5,0))</f>
        <v>43</v>
      </c>
      <c r="L180" s="191">
        <f>IF(H180="","",ROUND(H180*Steuerungsdaten!$B$5,0))</f>
        <v>137</v>
      </c>
      <c r="M180" s="191">
        <f>IF(I180="","",ROUND(I180*Steuerungsdaten!$B$5,0))</f>
        <v>154</v>
      </c>
      <c r="N180" s="192">
        <f>IF(J180="","",ROUND(J180*Steuerungsdaten!$B$5,0))</f>
        <v>162</v>
      </c>
      <c r="O180" s="193">
        <v>49</v>
      </c>
      <c r="P180" s="193">
        <v>181</v>
      </c>
      <c r="Q180" s="193">
        <v>147</v>
      </c>
      <c r="R180" s="193">
        <v>186</v>
      </c>
    </row>
    <row r="181" spans="1:18" x14ac:dyDescent="0.25">
      <c r="A181" s="183">
        <v>3757</v>
      </c>
      <c r="B181" s="184" t="s">
        <v>90</v>
      </c>
      <c r="C181" s="184" t="s">
        <v>271</v>
      </c>
      <c r="D181" s="184" t="s">
        <v>279</v>
      </c>
      <c r="E181" s="185">
        <v>580</v>
      </c>
      <c r="F181" s="185">
        <v>580</v>
      </c>
      <c r="G181" s="186">
        <f>IF(O181="","",ROUND(O181*Steuerungsdaten!$B$4*IFERROR(VLOOKUP(C181,Steuerungsdaten!$A$12:$B$33,2,FALSE),1),0))</f>
        <v>50</v>
      </c>
      <c r="H181" s="186">
        <f>IF(P181="","",ROUND(P181*Steuerungsdaten!$B$4*IFERROR(VLOOKUP(C181,Steuerungsdaten!$A$12:$D$33,4,FALSE),1),0))</f>
        <v>150</v>
      </c>
      <c r="I181" s="186">
        <f>IF(Q181="","",ROUND(Q181*Steuerungsdaten!$B$4*IFERROR(VLOOKUP(C181,Steuerungsdaten!$A$12:$F$33,6,FALSE),1),0))</f>
        <v>167</v>
      </c>
      <c r="J181" s="186">
        <f>IF(R181="","",ROUND(R181*Steuerungsdaten!$B$4*IFERROR(VLOOKUP(C181,Steuerungsdaten!$A$12:$H$33,8,FALSE),1),0))</f>
        <v>145</v>
      </c>
      <c r="K181" s="186">
        <f>IF(G181="","",ROUND(G181*Steuerungsdaten!$B$5,0))</f>
        <v>58</v>
      </c>
      <c r="L181" s="186">
        <f>IF(H181="","",ROUND(H181*Steuerungsdaten!$B$5,0))</f>
        <v>173</v>
      </c>
      <c r="M181" s="186">
        <f>IF(I181="","",ROUND(I181*Steuerungsdaten!$B$5,0))</f>
        <v>192</v>
      </c>
      <c r="N181" s="187">
        <f>IF(J181="","",ROUND(J181*Steuerungsdaten!$B$5,0))</f>
        <v>167</v>
      </c>
      <c r="O181" s="193">
        <v>67</v>
      </c>
      <c r="P181" s="193">
        <v>228</v>
      </c>
      <c r="Q181" s="193">
        <v>183</v>
      </c>
      <c r="R181" s="193">
        <v>191</v>
      </c>
    </row>
    <row r="182" spans="1:18" x14ac:dyDescent="0.25">
      <c r="A182" s="188">
        <v>3758</v>
      </c>
      <c r="B182" s="189" t="s">
        <v>90</v>
      </c>
      <c r="C182" s="189" t="s">
        <v>271</v>
      </c>
      <c r="D182" s="189" t="s">
        <v>280</v>
      </c>
      <c r="E182" s="190">
        <v>780</v>
      </c>
      <c r="F182" s="190">
        <v>580</v>
      </c>
      <c r="G182" s="191">
        <f>IF(O182="","",ROUND(O182*Steuerungsdaten!$B$4*IFERROR(VLOOKUP(C182,Steuerungsdaten!$A$12:$B$33,2,FALSE),1),0))</f>
        <v>65</v>
      </c>
      <c r="H182" s="191">
        <f>IF(P182="","",ROUND(P182*Steuerungsdaten!$B$4*IFERROR(VLOOKUP(C182,Steuerungsdaten!$A$12:$D$33,4,FALSE),1),0))</f>
        <v>182</v>
      </c>
      <c r="I182" s="191">
        <f>IF(Q182="","",ROUND(Q182*Steuerungsdaten!$B$4*IFERROR(VLOOKUP(C182,Steuerungsdaten!$A$12:$F$33,6,FALSE),1),0))</f>
        <v>205</v>
      </c>
      <c r="J182" s="191">
        <f>IF(R182="","",ROUND(R182*Steuerungsdaten!$B$4*IFERROR(VLOOKUP(C182,Steuerungsdaten!$A$12:$H$33,8,FALSE),1),0))</f>
        <v>180</v>
      </c>
      <c r="K182" s="191">
        <f>IF(G182="","",ROUND(G182*Steuerungsdaten!$B$5,0))</f>
        <v>75</v>
      </c>
      <c r="L182" s="191">
        <f>IF(H182="","",ROUND(H182*Steuerungsdaten!$B$5,0))</f>
        <v>209</v>
      </c>
      <c r="M182" s="191">
        <f>IF(I182="","",ROUND(I182*Steuerungsdaten!$B$5,0))</f>
        <v>236</v>
      </c>
      <c r="N182" s="192">
        <f>IF(J182="","",ROUND(J182*Steuerungsdaten!$B$5,0))</f>
        <v>207</v>
      </c>
      <c r="O182" s="193">
        <v>87</v>
      </c>
      <c r="P182" s="193">
        <v>275</v>
      </c>
      <c r="Q182" s="193">
        <v>225</v>
      </c>
      <c r="R182" s="193">
        <v>237</v>
      </c>
    </row>
    <row r="183" spans="1:18" x14ac:dyDescent="0.25">
      <c r="A183" s="183">
        <v>3759</v>
      </c>
      <c r="B183" s="184" t="s">
        <v>90</v>
      </c>
      <c r="C183" s="184" t="s">
        <v>271</v>
      </c>
      <c r="D183" s="184" t="s">
        <v>281</v>
      </c>
      <c r="E183" s="185">
        <v>980</v>
      </c>
      <c r="F183" s="185">
        <v>580</v>
      </c>
      <c r="G183" s="186">
        <f>IF(O183="","",ROUND(O183*Steuerungsdaten!$B$4*IFERROR(VLOOKUP(C183,Steuerungsdaten!$A$12:$B$33,2,FALSE),1),0))</f>
        <v>83</v>
      </c>
      <c r="H183" s="186">
        <f>IF(P183="","",ROUND(P183*Steuerungsdaten!$B$4*IFERROR(VLOOKUP(C183,Steuerungsdaten!$A$12:$D$33,4,FALSE),1),0))</f>
        <v>234</v>
      </c>
      <c r="I183" s="186">
        <f>IF(Q183="","",ROUND(Q183*Steuerungsdaten!$B$4*IFERROR(VLOOKUP(C183,Steuerungsdaten!$A$12:$F$33,6,FALSE),1),0))</f>
        <v>260</v>
      </c>
      <c r="J183" s="186">
        <f>IF(R183="","",ROUND(R183*Steuerungsdaten!$B$4*IFERROR(VLOOKUP(C183,Steuerungsdaten!$A$12:$H$33,8,FALSE),1),0))</f>
        <v>210</v>
      </c>
      <c r="K183" s="186">
        <f>IF(G183="","",ROUND(G183*Steuerungsdaten!$B$5,0))</f>
        <v>95</v>
      </c>
      <c r="L183" s="186">
        <f>IF(H183="","",ROUND(H183*Steuerungsdaten!$B$5,0))</f>
        <v>269</v>
      </c>
      <c r="M183" s="186">
        <f>IF(I183="","",ROUND(I183*Steuerungsdaten!$B$5,0))</f>
        <v>299</v>
      </c>
      <c r="N183" s="187">
        <f>IF(J183="","",ROUND(J183*Steuerungsdaten!$B$5,0))</f>
        <v>242</v>
      </c>
      <c r="O183" s="193">
        <v>110</v>
      </c>
      <c r="P183" s="193">
        <v>355</v>
      </c>
      <c r="Q183" s="193">
        <v>286</v>
      </c>
      <c r="R183" s="193">
        <v>276</v>
      </c>
    </row>
    <row r="184" spans="1:18" x14ac:dyDescent="0.25">
      <c r="A184" s="188">
        <v>3760</v>
      </c>
      <c r="B184" s="189" t="s">
        <v>90</v>
      </c>
      <c r="C184" s="189" t="s">
        <v>271</v>
      </c>
      <c r="D184" s="189" t="s">
        <v>282</v>
      </c>
      <c r="E184" s="190">
        <v>780</v>
      </c>
      <c r="F184" s="190">
        <v>780</v>
      </c>
      <c r="G184" s="191">
        <f>IF(O184="","",ROUND(O184*Steuerungsdaten!$B$4*IFERROR(VLOOKUP(C184,Steuerungsdaten!$A$12:$B$33,2,FALSE),1),0))</f>
        <v>95</v>
      </c>
      <c r="H184" s="191">
        <f>IF(P184="","",ROUND(P184*Steuerungsdaten!$B$4*IFERROR(VLOOKUP(C184,Steuerungsdaten!$A$12:$D$33,4,FALSE),1),0))</f>
        <v>199</v>
      </c>
      <c r="I184" s="191">
        <f>IF(Q184="","",ROUND(Q184*Steuerungsdaten!$B$4*IFERROR(VLOOKUP(C184,Steuerungsdaten!$A$12:$F$33,6,FALSE),1),0))</f>
        <v>248</v>
      </c>
      <c r="J184" s="191">
        <f>IF(R184="","",ROUND(R184*Steuerungsdaten!$B$4*IFERROR(VLOOKUP(C184,Steuerungsdaten!$A$12:$H$33,8,FALSE),1),0))</f>
        <v>224</v>
      </c>
      <c r="K184" s="191">
        <f>IF(G184="","",ROUND(G184*Steuerungsdaten!$B$5,0))</f>
        <v>109</v>
      </c>
      <c r="L184" s="191">
        <f>IF(H184="","",ROUND(H184*Steuerungsdaten!$B$5,0))</f>
        <v>229</v>
      </c>
      <c r="M184" s="191">
        <f>IF(I184="","",ROUND(I184*Steuerungsdaten!$B$5,0))</f>
        <v>285</v>
      </c>
      <c r="N184" s="192">
        <f>IF(J184="","",ROUND(J184*Steuerungsdaten!$B$5,0))</f>
        <v>258</v>
      </c>
      <c r="O184" s="193">
        <v>126</v>
      </c>
      <c r="P184" s="193">
        <v>302</v>
      </c>
      <c r="Q184" s="193">
        <v>272</v>
      </c>
      <c r="R184" s="193">
        <v>295</v>
      </c>
    </row>
    <row r="185" spans="1:18" x14ac:dyDescent="0.25">
      <c r="A185" s="183">
        <v>3761</v>
      </c>
      <c r="B185" s="184" t="s">
        <v>90</v>
      </c>
      <c r="C185" s="184" t="s">
        <v>271</v>
      </c>
      <c r="D185" s="184" t="s">
        <v>283</v>
      </c>
      <c r="E185" s="185">
        <v>980</v>
      </c>
      <c r="F185" s="185">
        <v>780</v>
      </c>
      <c r="G185" s="186">
        <f>IF(O185="","",ROUND(O185*Steuerungsdaten!$B$4*IFERROR(VLOOKUP(C185,Steuerungsdaten!$A$12:$B$33,2,FALSE),1),0))</f>
        <v>104</v>
      </c>
      <c r="H185" s="186">
        <f>IF(P185="","",ROUND(P185*Steuerungsdaten!$B$4*IFERROR(VLOOKUP(C185,Steuerungsdaten!$A$12:$D$33,4,FALSE),1),0))</f>
        <v>275</v>
      </c>
      <c r="I185" s="186" t="str">
        <f>IF(Q185="","",ROUND(Q185*Steuerungsdaten!$B$4*IFERROR(VLOOKUP(C185,Steuerungsdaten!$A$12:$F$33,6,FALSE),1),0))</f>
        <v/>
      </c>
      <c r="J185" s="186" t="str">
        <f>IF(R185="","",ROUND(R185*Steuerungsdaten!$B$4*IFERROR(VLOOKUP(C185,Steuerungsdaten!$A$12:$H$33,8,FALSE),1),0))</f>
        <v/>
      </c>
      <c r="K185" s="186">
        <f>IF(G185="","",ROUND(G185*Steuerungsdaten!$B$5,0))</f>
        <v>120</v>
      </c>
      <c r="L185" s="186">
        <f>IF(H185="","",ROUND(H185*Steuerungsdaten!$B$5,0))</f>
        <v>316</v>
      </c>
      <c r="M185" s="186" t="str">
        <f>IF(I185="","",ROUND(I185*Steuerungsdaten!$B$5,0))</f>
        <v/>
      </c>
      <c r="N185" s="187" t="str">
        <f>IF(J185="","",ROUND(J185*Steuerungsdaten!$B$5,0))</f>
        <v/>
      </c>
      <c r="O185" s="193">
        <v>139</v>
      </c>
      <c r="P185" s="193">
        <v>416</v>
      </c>
      <c r="Q185" s="193"/>
      <c r="R185" s="193"/>
    </row>
    <row r="186" spans="1:18" x14ac:dyDescent="0.25">
      <c r="A186" s="188">
        <v>3762</v>
      </c>
      <c r="B186" s="189" t="s">
        <v>90</v>
      </c>
      <c r="C186" s="189" t="s">
        <v>271</v>
      </c>
      <c r="D186" s="189" t="s">
        <v>284</v>
      </c>
      <c r="E186" s="190">
        <v>980</v>
      </c>
      <c r="F186" s="190">
        <v>980</v>
      </c>
      <c r="G186" s="191">
        <f>IF(O186="","",ROUND(O186*Steuerungsdaten!$B$4*IFERROR(VLOOKUP(C186,Steuerungsdaten!$A$12:$B$33,2,FALSE),1),0))</f>
        <v>135</v>
      </c>
      <c r="H186" s="191">
        <f>IF(P186="","",ROUND(P186*Steuerungsdaten!$B$4*IFERROR(VLOOKUP(C186,Steuerungsdaten!$A$12:$D$33,4,FALSE),1),0))</f>
        <v>234</v>
      </c>
      <c r="I186" s="191" t="str">
        <f>IF(Q186="","",ROUND(Q186*Steuerungsdaten!$B$4*IFERROR(VLOOKUP(C186,Steuerungsdaten!$A$12:$F$33,6,FALSE),1),0))</f>
        <v/>
      </c>
      <c r="J186" s="191" t="str">
        <f>IF(R186="","",ROUND(R186*Steuerungsdaten!$B$4*IFERROR(VLOOKUP(C186,Steuerungsdaten!$A$12:$H$33,8,FALSE),1),0))</f>
        <v/>
      </c>
      <c r="K186" s="191">
        <f>IF(G186="","",ROUND(G186*Steuerungsdaten!$B$5,0))</f>
        <v>155</v>
      </c>
      <c r="L186" s="191">
        <f>IF(H186="","",ROUND(H186*Steuerungsdaten!$B$5,0))</f>
        <v>269</v>
      </c>
      <c r="M186" s="191" t="str">
        <f>IF(I186="","",ROUND(I186*Steuerungsdaten!$B$5,0))</f>
        <v/>
      </c>
      <c r="N186" s="192" t="str">
        <f>IF(J186="","",ROUND(J186*Steuerungsdaten!$B$5,0))</f>
        <v/>
      </c>
      <c r="O186" s="193">
        <v>180</v>
      </c>
      <c r="P186" s="193">
        <v>354</v>
      </c>
      <c r="Q186" s="193"/>
      <c r="R186" s="193"/>
    </row>
    <row r="187" spans="1:18" ht="21.95" customHeight="1" x14ac:dyDescent="0.25">
      <c r="A187" s="176" t="s">
        <v>285</v>
      </c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93"/>
      <c r="P187" s="193"/>
      <c r="Q187" s="193"/>
      <c r="R187" s="193"/>
    </row>
    <row r="188" spans="1:18" x14ac:dyDescent="0.25">
      <c r="A188" s="178">
        <v>3800</v>
      </c>
      <c r="B188" s="179" t="s">
        <v>90</v>
      </c>
      <c r="C188" s="179" t="s">
        <v>285</v>
      </c>
      <c r="D188" s="179" t="s">
        <v>286</v>
      </c>
      <c r="E188" s="180">
        <v>360</v>
      </c>
      <c r="F188" s="180">
        <v>360</v>
      </c>
      <c r="G188" s="181">
        <f>IF(O188="","",ROUND(O188*Steuerungsdaten!$B$4*IFERROR(VLOOKUP(C188,Steuerungsdaten!$A$12:$B$33,2,FALSE),1),0))</f>
        <v>26</v>
      </c>
      <c r="H188" s="181">
        <f>IF(P188="","",ROUND(P188*Steuerungsdaten!$B$4*IFERROR(VLOOKUP(C188,Steuerungsdaten!$A$12:$D$33,4,FALSE),1),0))</f>
        <v>78</v>
      </c>
      <c r="I188" s="181">
        <f>IF(Q188="","",ROUND(Q188*Steuerungsdaten!$B$4*IFERROR(VLOOKUP(C188,Steuerungsdaten!$A$12:$F$33,6,FALSE),1),0))</f>
        <v>77</v>
      </c>
      <c r="J188" s="181">
        <f>IF(R188="","",ROUND(R188*Steuerungsdaten!$B$4*IFERROR(VLOOKUP(C188,Steuerungsdaten!$A$12:$H$33,8,FALSE),1),0))</f>
        <v>138</v>
      </c>
      <c r="K188" s="181">
        <f>IF(G188="","",ROUND(G188*Steuerungsdaten!$B$5,0))</f>
        <v>30</v>
      </c>
      <c r="L188" s="181">
        <f>IF(H188="","",ROUND(H188*Steuerungsdaten!$B$5,0))</f>
        <v>90</v>
      </c>
      <c r="M188" s="181">
        <f>IF(I188="","",ROUND(I188*Steuerungsdaten!$B$5,0))</f>
        <v>89</v>
      </c>
      <c r="N188" s="182">
        <f>IF(J188="","",ROUND(J188*Steuerungsdaten!$B$5,0))</f>
        <v>159</v>
      </c>
      <c r="O188" s="193">
        <v>34</v>
      </c>
      <c r="P188" s="193">
        <v>114</v>
      </c>
      <c r="Q188" s="193">
        <v>89</v>
      </c>
      <c r="R188" s="193">
        <v>177</v>
      </c>
    </row>
    <row r="189" spans="1:18" x14ac:dyDescent="0.25">
      <c r="A189" s="183">
        <v>3801</v>
      </c>
      <c r="B189" s="184" t="s">
        <v>90</v>
      </c>
      <c r="C189" s="184" t="s">
        <v>285</v>
      </c>
      <c r="D189" s="184" t="s">
        <v>287</v>
      </c>
      <c r="E189" s="185">
        <v>420</v>
      </c>
      <c r="F189" s="185">
        <v>360</v>
      </c>
      <c r="G189" s="186">
        <f>IF(O189="","",ROUND(O189*Steuerungsdaten!$B$4*IFERROR(VLOOKUP(C189,Steuerungsdaten!$A$12:$B$33,2,FALSE),1),0))</f>
        <v>26</v>
      </c>
      <c r="H189" s="186">
        <f>IF(P189="","",ROUND(P189*Steuerungsdaten!$B$4*IFERROR(VLOOKUP(C189,Steuerungsdaten!$A$12:$D$33,4,FALSE),1),0))</f>
        <v>82</v>
      </c>
      <c r="I189" s="186">
        <f>IF(Q189="","",ROUND(Q189*Steuerungsdaten!$B$4*IFERROR(VLOOKUP(C189,Steuerungsdaten!$A$12:$F$33,6,FALSE),1),0))</f>
        <v>79</v>
      </c>
      <c r="J189" s="186">
        <f>IF(R189="","",ROUND(R189*Steuerungsdaten!$B$4*IFERROR(VLOOKUP(C189,Steuerungsdaten!$A$12:$H$33,8,FALSE),1),0))</f>
        <v>139</v>
      </c>
      <c r="K189" s="186">
        <f>IF(G189="","",ROUND(G189*Steuerungsdaten!$B$5,0))</f>
        <v>30</v>
      </c>
      <c r="L189" s="186">
        <f>IF(H189="","",ROUND(H189*Steuerungsdaten!$B$5,0))</f>
        <v>94</v>
      </c>
      <c r="M189" s="186">
        <f>IF(I189="","",ROUND(I189*Steuerungsdaten!$B$5,0))</f>
        <v>91</v>
      </c>
      <c r="N189" s="187">
        <f>IF(J189="","",ROUND(J189*Steuerungsdaten!$B$5,0))</f>
        <v>160</v>
      </c>
      <c r="O189" s="193">
        <v>34</v>
      </c>
      <c r="P189" s="193">
        <v>121</v>
      </c>
      <c r="Q189" s="193">
        <v>92</v>
      </c>
      <c r="R189" s="193">
        <v>178</v>
      </c>
    </row>
    <row r="190" spans="1:18" x14ac:dyDescent="0.25">
      <c r="A190" s="188">
        <v>3802</v>
      </c>
      <c r="B190" s="189" t="s">
        <v>90</v>
      </c>
      <c r="C190" s="189" t="s">
        <v>285</v>
      </c>
      <c r="D190" s="189" t="s">
        <v>288</v>
      </c>
      <c r="E190" s="190">
        <v>580</v>
      </c>
      <c r="F190" s="190">
        <v>360</v>
      </c>
      <c r="G190" s="191">
        <f>IF(O190="","",ROUND(O190*Steuerungsdaten!$B$4*IFERROR(VLOOKUP(C190,Steuerungsdaten!$A$12:$B$33,2,FALSE),1),0))</f>
        <v>32</v>
      </c>
      <c r="H190" s="191">
        <f>IF(P190="","",ROUND(P190*Steuerungsdaten!$B$4*IFERROR(VLOOKUP(C190,Steuerungsdaten!$A$12:$D$33,4,FALSE),1),0))</f>
        <v>109</v>
      </c>
      <c r="I190" s="191">
        <f>IF(Q190="","",ROUND(Q190*Steuerungsdaten!$B$4*IFERROR(VLOOKUP(C190,Steuerungsdaten!$A$12:$F$33,6,FALSE),1),0))</f>
        <v>112</v>
      </c>
      <c r="J190" s="191">
        <f>IF(R190="","",ROUND(R190*Steuerungsdaten!$B$4*IFERROR(VLOOKUP(C190,Steuerungsdaten!$A$12:$H$33,8,FALSE),1),0))</f>
        <v>144</v>
      </c>
      <c r="K190" s="191">
        <f>IF(G190="","",ROUND(G190*Steuerungsdaten!$B$5,0))</f>
        <v>37</v>
      </c>
      <c r="L190" s="191">
        <f>IF(H190="","",ROUND(H190*Steuerungsdaten!$B$5,0))</f>
        <v>125</v>
      </c>
      <c r="M190" s="191">
        <f>IF(I190="","",ROUND(I190*Steuerungsdaten!$B$5,0))</f>
        <v>129</v>
      </c>
      <c r="N190" s="192">
        <f>IF(J190="","",ROUND(J190*Steuerungsdaten!$B$5,0))</f>
        <v>166</v>
      </c>
      <c r="O190" s="193">
        <v>43</v>
      </c>
      <c r="P190" s="193">
        <v>161</v>
      </c>
      <c r="Q190" s="193">
        <v>130</v>
      </c>
      <c r="R190" s="193">
        <v>185</v>
      </c>
    </row>
    <row r="191" spans="1:18" x14ac:dyDescent="0.25">
      <c r="A191" s="183">
        <v>3803</v>
      </c>
      <c r="B191" s="184" t="s">
        <v>90</v>
      </c>
      <c r="C191" s="184" t="s">
        <v>285</v>
      </c>
      <c r="D191" s="184" t="s">
        <v>289</v>
      </c>
      <c r="E191" s="185">
        <v>780</v>
      </c>
      <c r="F191" s="185">
        <v>360</v>
      </c>
      <c r="G191" s="186">
        <f>IF(O191="","",ROUND(O191*Steuerungsdaten!$B$4*IFERROR(VLOOKUP(C191,Steuerungsdaten!$A$12:$B$33,2,FALSE),1),0))</f>
        <v>42</v>
      </c>
      <c r="H191" s="186">
        <f>IF(P191="","",ROUND(P191*Steuerungsdaten!$B$4*IFERROR(VLOOKUP(C191,Steuerungsdaten!$A$12:$D$33,4,FALSE),1),0))</f>
        <v>126</v>
      </c>
      <c r="I191" s="186">
        <f>IF(Q191="","",ROUND(Q191*Steuerungsdaten!$B$4*IFERROR(VLOOKUP(C191,Steuerungsdaten!$A$12:$F$33,6,FALSE),1),0))</f>
        <v>124</v>
      </c>
      <c r="J191" s="186">
        <f>IF(R191="","",ROUND(R191*Steuerungsdaten!$B$4*IFERROR(VLOOKUP(C191,Steuerungsdaten!$A$12:$H$33,8,FALSE),1),0))</f>
        <v>148</v>
      </c>
      <c r="K191" s="186">
        <f>IF(G191="","",ROUND(G191*Steuerungsdaten!$B$5,0))</f>
        <v>48</v>
      </c>
      <c r="L191" s="186">
        <f>IF(H191="","",ROUND(H191*Steuerungsdaten!$B$5,0))</f>
        <v>145</v>
      </c>
      <c r="M191" s="186">
        <f>IF(I191="","",ROUND(I191*Steuerungsdaten!$B$5,0))</f>
        <v>143</v>
      </c>
      <c r="N191" s="187">
        <f>IF(J191="","",ROUND(J191*Steuerungsdaten!$B$5,0))</f>
        <v>170</v>
      </c>
      <c r="O191" s="193">
        <v>56</v>
      </c>
      <c r="P191" s="193">
        <v>185</v>
      </c>
      <c r="Q191" s="193">
        <v>144</v>
      </c>
      <c r="R191" s="193">
        <v>190</v>
      </c>
    </row>
    <row r="192" spans="1:18" x14ac:dyDescent="0.25">
      <c r="A192" s="188">
        <v>3804</v>
      </c>
      <c r="B192" s="189" t="s">
        <v>90</v>
      </c>
      <c r="C192" s="189" t="s">
        <v>285</v>
      </c>
      <c r="D192" s="189" t="s">
        <v>290</v>
      </c>
      <c r="E192" s="190">
        <v>980</v>
      </c>
      <c r="F192" s="190">
        <v>360</v>
      </c>
      <c r="G192" s="191">
        <f>IF(O192="","",ROUND(O192*Steuerungsdaten!$B$4*IFERROR(VLOOKUP(C192,Steuerungsdaten!$A$12:$B$33,2,FALSE),1),0))</f>
        <v>53</v>
      </c>
      <c r="H192" s="191">
        <f>IF(P192="","",ROUND(P192*Steuerungsdaten!$B$4*IFERROR(VLOOKUP(C192,Steuerungsdaten!$A$12:$D$33,4,FALSE),1),0))</f>
        <v>152</v>
      </c>
      <c r="I192" s="191">
        <f>IF(Q192="","",ROUND(Q192*Steuerungsdaten!$B$4*IFERROR(VLOOKUP(C192,Steuerungsdaten!$A$12:$F$33,6,FALSE),1),0))</f>
        <v>150</v>
      </c>
      <c r="J192" s="191">
        <f>IF(R192="","",ROUND(R192*Steuerungsdaten!$B$4*IFERROR(VLOOKUP(C192,Steuerungsdaten!$A$12:$H$33,8,FALSE),1),0))</f>
        <v>163</v>
      </c>
      <c r="K192" s="191">
        <f>IF(G192="","",ROUND(G192*Steuerungsdaten!$B$5,0))</f>
        <v>61</v>
      </c>
      <c r="L192" s="191">
        <f>IF(H192="","",ROUND(H192*Steuerungsdaten!$B$5,0))</f>
        <v>175</v>
      </c>
      <c r="M192" s="191">
        <f>IF(I192="","",ROUND(I192*Steuerungsdaten!$B$5,0))</f>
        <v>173</v>
      </c>
      <c r="N192" s="192">
        <f>IF(J192="","",ROUND(J192*Steuerungsdaten!$B$5,0))</f>
        <v>187</v>
      </c>
      <c r="O192" s="193">
        <v>70</v>
      </c>
      <c r="P192" s="193">
        <v>223</v>
      </c>
      <c r="Q192" s="193">
        <v>174</v>
      </c>
      <c r="R192" s="193">
        <v>209</v>
      </c>
    </row>
    <row r="193" spans="1:18" x14ac:dyDescent="0.25">
      <c r="A193" s="183">
        <v>3805</v>
      </c>
      <c r="B193" s="184" t="s">
        <v>90</v>
      </c>
      <c r="C193" s="184" t="s">
        <v>285</v>
      </c>
      <c r="D193" s="184" t="s">
        <v>291</v>
      </c>
      <c r="E193" s="185">
        <v>360</v>
      </c>
      <c r="F193" s="185">
        <v>580</v>
      </c>
      <c r="G193" s="186">
        <f>IF(O193="","",ROUND(O193*Steuerungsdaten!$B$4*IFERROR(VLOOKUP(C193,Steuerungsdaten!$A$12:$B$33,2,FALSE),1),0))</f>
        <v>32</v>
      </c>
      <c r="H193" s="186">
        <f>IF(P193="","",ROUND(P193*Steuerungsdaten!$B$4*IFERROR(VLOOKUP(C193,Steuerungsdaten!$A$12:$D$33,4,FALSE),1),0))</f>
        <v>109</v>
      </c>
      <c r="I193" s="186">
        <f>IF(Q193="","",ROUND(Q193*Steuerungsdaten!$B$4*IFERROR(VLOOKUP(C193,Steuerungsdaten!$A$12:$F$33,6,FALSE),1),0))</f>
        <v>112</v>
      </c>
      <c r="J193" s="186">
        <f>IF(R193="","",ROUND(R193*Steuerungsdaten!$B$4*IFERROR(VLOOKUP(C193,Steuerungsdaten!$A$12:$H$33,8,FALSE),1),0))</f>
        <v>144</v>
      </c>
      <c r="K193" s="186">
        <f>IF(G193="","",ROUND(G193*Steuerungsdaten!$B$5,0))</f>
        <v>37</v>
      </c>
      <c r="L193" s="186">
        <f>IF(H193="","",ROUND(H193*Steuerungsdaten!$B$5,0))</f>
        <v>125</v>
      </c>
      <c r="M193" s="186">
        <f>IF(I193="","",ROUND(I193*Steuerungsdaten!$B$5,0))</f>
        <v>129</v>
      </c>
      <c r="N193" s="187">
        <f>IF(J193="","",ROUND(J193*Steuerungsdaten!$B$5,0))</f>
        <v>166</v>
      </c>
      <c r="O193" s="193">
        <v>43</v>
      </c>
      <c r="P193" s="193">
        <v>161</v>
      </c>
      <c r="Q193" s="193">
        <v>130</v>
      </c>
      <c r="R193" s="193">
        <v>185</v>
      </c>
    </row>
    <row r="194" spans="1:18" x14ac:dyDescent="0.25">
      <c r="A194" s="188">
        <v>3806</v>
      </c>
      <c r="B194" s="189" t="s">
        <v>90</v>
      </c>
      <c r="C194" s="189" t="s">
        <v>285</v>
      </c>
      <c r="D194" s="189" t="s">
        <v>292</v>
      </c>
      <c r="E194" s="190">
        <v>420</v>
      </c>
      <c r="F194" s="190">
        <v>580</v>
      </c>
      <c r="G194" s="191">
        <f>IF(O194="","",ROUND(O194*Steuerungsdaten!$B$4*IFERROR(VLOOKUP(C194,Steuerungsdaten!$A$12:$B$33,2,FALSE),1),0))</f>
        <v>37</v>
      </c>
      <c r="H194" s="191">
        <f>IF(P194="","",ROUND(P194*Steuerungsdaten!$B$4*IFERROR(VLOOKUP(C194,Steuerungsdaten!$A$12:$D$33,4,FALSE),1),0))</f>
        <v>123</v>
      </c>
      <c r="I194" s="191">
        <f>IF(Q194="","",ROUND(Q194*Steuerungsdaten!$B$4*IFERROR(VLOOKUP(C194,Steuerungsdaten!$A$12:$F$33,6,FALSE),1),0))</f>
        <v>126</v>
      </c>
      <c r="J194" s="191">
        <f>IF(R194="","",ROUND(R194*Steuerungsdaten!$B$4*IFERROR(VLOOKUP(C194,Steuerungsdaten!$A$12:$H$33,8,FALSE),1),0))</f>
        <v>145</v>
      </c>
      <c r="K194" s="191">
        <f>IF(G194="","",ROUND(G194*Steuerungsdaten!$B$5,0))</f>
        <v>43</v>
      </c>
      <c r="L194" s="191">
        <f>IF(H194="","",ROUND(H194*Steuerungsdaten!$B$5,0))</f>
        <v>141</v>
      </c>
      <c r="M194" s="191">
        <f>IF(I194="","",ROUND(I194*Steuerungsdaten!$B$5,0))</f>
        <v>145</v>
      </c>
      <c r="N194" s="192">
        <f>IF(J194="","",ROUND(J194*Steuerungsdaten!$B$5,0))</f>
        <v>167</v>
      </c>
      <c r="O194" s="193">
        <v>49</v>
      </c>
      <c r="P194" s="193">
        <v>181</v>
      </c>
      <c r="Q194" s="193">
        <v>147</v>
      </c>
      <c r="R194" s="193">
        <v>186</v>
      </c>
    </row>
    <row r="195" spans="1:18" x14ac:dyDescent="0.25">
      <c r="A195" s="183">
        <v>3807</v>
      </c>
      <c r="B195" s="184" t="s">
        <v>90</v>
      </c>
      <c r="C195" s="184" t="s">
        <v>285</v>
      </c>
      <c r="D195" s="184" t="s">
        <v>293</v>
      </c>
      <c r="E195" s="185">
        <v>580</v>
      </c>
      <c r="F195" s="185">
        <v>580</v>
      </c>
      <c r="G195" s="186">
        <f>IF(O195="","",ROUND(O195*Steuerungsdaten!$B$4*IFERROR(VLOOKUP(C195,Steuerungsdaten!$A$12:$B$33,2,FALSE),1),0))</f>
        <v>50</v>
      </c>
      <c r="H195" s="186">
        <f>IF(P195="","",ROUND(P195*Steuerungsdaten!$B$4*IFERROR(VLOOKUP(C195,Steuerungsdaten!$A$12:$D$33,4,FALSE),1),0))</f>
        <v>155</v>
      </c>
      <c r="I195" s="186">
        <f>IF(Q195="","",ROUND(Q195*Steuerungsdaten!$B$4*IFERROR(VLOOKUP(C195,Steuerungsdaten!$A$12:$F$33,6,FALSE),1),0))</f>
        <v>157</v>
      </c>
      <c r="J195" s="186">
        <f>IF(R195="","",ROUND(R195*Steuerungsdaten!$B$4*IFERROR(VLOOKUP(C195,Steuerungsdaten!$A$12:$H$33,8,FALSE),1),0))</f>
        <v>149</v>
      </c>
      <c r="K195" s="186">
        <f>IF(G195="","",ROUND(G195*Steuerungsdaten!$B$5,0))</f>
        <v>58</v>
      </c>
      <c r="L195" s="186">
        <f>IF(H195="","",ROUND(H195*Steuerungsdaten!$B$5,0))</f>
        <v>178</v>
      </c>
      <c r="M195" s="186">
        <f>IF(I195="","",ROUND(I195*Steuerungsdaten!$B$5,0))</f>
        <v>181</v>
      </c>
      <c r="N195" s="187">
        <f>IF(J195="","",ROUND(J195*Steuerungsdaten!$B$5,0))</f>
        <v>171</v>
      </c>
      <c r="O195" s="193">
        <v>67</v>
      </c>
      <c r="P195" s="193">
        <v>228</v>
      </c>
      <c r="Q195" s="193">
        <v>183</v>
      </c>
      <c r="R195" s="193">
        <v>191</v>
      </c>
    </row>
    <row r="196" spans="1:18" x14ac:dyDescent="0.25">
      <c r="A196" s="188">
        <v>3808</v>
      </c>
      <c r="B196" s="189" t="s">
        <v>90</v>
      </c>
      <c r="C196" s="189" t="s">
        <v>285</v>
      </c>
      <c r="D196" s="189" t="s">
        <v>294</v>
      </c>
      <c r="E196" s="190">
        <v>780</v>
      </c>
      <c r="F196" s="190">
        <v>580</v>
      </c>
      <c r="G196" s="191">
        <f>IF(O196="","",ROUND(O196*Steuerungsdaten!$B$4*IFERROR(VLOOKUP(C196,Steuerungsdaten!$A$12:$B$33,2,FALSE),1),0))</f>
        <v>65</v>
      </c>
      <c r="H196" s="191">
        <f>IF(P196="","",ROUND(P196*Steuerungsdaten!$B$4*IFERROR(VLOOKUP(C196,Steuerungsdaten!$A$12:$D$33,4,FALSE),1),0))</f>
        <v>187</v>
      </c>
      <c r="I196" s="191">
        <f>IF(Q196="","",ROUND(Q196*Steuerungsdaten!$B$4*IFERROR(VLOOKUP(C196,Steuerungsdaten!$A$12:$F$33,6,FALSE),1),0))</f>
        <v>194</v>
      </c>
      <c r="J196" s="191">
        <f>IF(R196="","",ROUND(R196*Steuerungsdaten!$B$4*IFERROR(VLOOKUP(C196,Steuerungsdaten!$A$12:$H$33,8,FALSE),1),0))</f>
        <v>185</v>
      </c>
      <c r="K196" s="191">
        <f>IF(G196="","",ROUND(G196*Steuerungsdaten!$B$5,0))</f>
        <v>75</v>
      </c>
      <c r="L196" s="191">
        <f>IF(H196="","",ROUND(H196*Steuerungsdaten!$B$5,0))</f>
        <v>215</v>
      </c>
      <c r="M196" s="191">
        <f>IF(I196="","",ROUND(I196*Steuerungsdaten!$B$5,0))</f>
        <v>223</v>
      </c>
      <c r="N196" s="192">
        <f>IF(J196="","",ROUND(J196*Steuerungsdaten!$B$5,0))</f>
        <v>213</v>
      </c>
      <c r="O196" s="193">
        <v>87</v>
      </c>
      <c r="P196" s="193">
        <v>275</v>
      </c>
      <c r="Q196" s="193">
        <v>225</v>
      </c>
      <c r="R196" s="193">
        <v>237</v>
      </c>
    </row>
    <row r="197" spans="1:18" x14ac:dyDescent="0.25">
      <c r="A197" s="183">
        <v>3809</v>
      </c>
      <c r="B197" s="184" t="s">
        <v>90</v>
      </c>
      <c r="C197" s="184" t="s">
        <v>285</v>
      </c>
      <c r="D197" s="184" t="s">
        <v>295</v>
      </c>
      <c r="E197" s="185">
        <v>980</v>
      </c>
      <c r="F197" s="185">
        <v>580</v>
      </c>
      <c r="G197" s="186">
        <f>IF(O197="","",ROUND(O197*Steuerungsdaten!$B$4*IFERROR(VLOOKUP(C197,Steuerungsdaten!$A$12:$B$33,2,FALSE),1),0))</f>
        <v>83</v>
      </c>
      <c r="H197" s="186">
        <f>IF(P197="","",ROUND(P197*Steuerungsdaten!$B$4*IFERROR(VLOOKUP(C197,Steuerungsdaten!$A$12:$D$33,4,FALSE),1),0))</f>
        <v>241</v>
      </c>
      <c r="I197" s="186">
        <f>IF(Q197="","",ROUND(Q197*Steuerungsdaten!$B$4*IFERROR(VLOOKUP(C197,Steuerungsdaten!$A$12:$F$33,6,FALSE),1),0))</f>
        <v>246</v>
      </c>
      <c r="J197" s="186">
        <f>IF(R197="","",ROUND(R197*Steuerungsdaten!$B$4*IFERROR(VLOOKUP(C197,Steuerungsdaten!$A$12:$H$33,8,FALSE),1),0))</f>
        <v>215</v>
      </c>
      <c r="K197" s="186">
        <f>IF(G197="","",ROUND(G197*Steuerungsdaten!$B$5,0))</f>
        <v>95</v>
      </c>
      <c r="L197" s="186">
        <f>IF(H197="","",ROUND(H197*Steuerungsdaten!$B$5,0))</f>
        <v>277</v>
      </c>
      <c r="M197" s="186">
        <f>IF(I197="","",ROUND(I197*Steuerungsdaten!$B$5,0))</f>
        <v>283</v>
      </c>
      <c r="N197" s="187">
        <f>IF(J197="","",ROUND(J197*Steuerungsdaten!$B$5,0))</f>
        <v>247</v>
      </c>
      <c r="O197" s="193">
        <v>110</v>
      </c>
      <c r="P197" s="193">
        <v>355</v>
      </c>
      <c r="Q197" s="193">
        <v>286</v>
      </c>
      <c r="R197" s="193">
        <v>276</v>
      </c>
    </row>
    <row r="198" spans="1:18" x14ac:dyDescent="0.25">
      <c r="A198" s="188">
        <v>3810</v>
      </c>
      <c r="B198" s="189" t="s">
        <v>90</v>
      </c>
      <c r="C198" s="189" t="s">
        <v>285</v>
      </c>
      <c r="D198" s="189" t="s">
        <v>296</v>
      </c>
      <c r="E198" s="190">
        <v>420</v>
      </c>
      <c r="F198" s="190">
        <v>780</v>
      </c>
      <c r="G198" s="191">
        <f>IF(O198="","",ROUND(O198*Steuerungsdaten!$B$4*IFERROR(VLOOKUP(C198,Steuerungsdaten!$A$12:$B$33,2,FALSE),1),0))</f>
        <v>49</v>
      </c>
      <c r="H198" s="191">
        <f>IF(P198="","",ROUND(P198*Steuerungsdaten!$B$4*IFERROR(VLOOKUP(C198,Steuerungsdaten!$A$12:$D$33,4,FALSE),1),0))</f>
        <v>87</v>
      </c>
      <c r="I198" s="191" t="str">
        <f>IF(Q198="","",ROUND(Q198*Steuerungsdaten!$B$4*IFERROR(VLOOKUP(C198,Steuerungsdaten!$A$12:$F$33,6,FALSE),1),0))</f>
        <v/>
      </c>
      <c r="J198" s="191" t="str">
        <f>IF(R198="","",ROUND(R198*Steuerungsdaten!$B$4*IFERROR(VLOOKUP(C198,Steuerungsdaten!$A$12:$H$33,8,FALSE),1),0))</f>
        <v/>
      </c>
      <c r="K198" s="191">
        <f>IF(G198="","",ROUND(G198*Steuerungsdaten!$B$5,0))</f>
        <v>56</v>
      </c>
      <c r="L198" s="191">
        <f>IF(H198="","",ROUND(H198*Steuerungsdaten!$B$5,0))</f>
        <v>100</v>
      </c>
      <c r="M198" s="191" t="str">
        <f>IF(I198="","",ROUND(I198*Steuerungsdaten!$B$5,0))</f>
        <v/>
      </c>
      <c r="N198" s="192" t="str">
        <f>IF(J198="","",ROUND(J198*Steuerungsdaten!$B$5,0))</f>
        <v/>
      </c>
      <c r="O198" s="193">
        <v>65</v>
      </c>
      <c r="P198" s="193">
        <v>128</v>
      </c>
      <c r="Q198" s="193"/>
      <c r="R198" s="193"/>
    </row>
    <row r="199" spans="1:18" x14ac:dyDescent="0.25">
      <c r="A199" s="183">
        <v>3811</v>
      </c>
      <c r="B199" s="184" t="s">
        <v>90</v>
      </c>
      <c r="C199" s="184" t="s">
        <v>285</v>
      </c>
      <c r="D199" s="184" t="s">
        <v>297</v>
      </c>
      <c r="E199" s="185">
        <v>420</v>
      </c>
      <c r="F199" s="185">
        <v>980</v>
      </c>
      <c r="G199" s="186">
        <f>IF(O199="","",ROUND(O199*Steuerungsdaten!$B$4*IFERROR(VLOOKUP(C199,Steuerungsdaten!$A$12:$B$33,2,FALSE),1),0))</f>
        <v>59</v>
      </c>
      <c r="H199" s="186">
        <f>IF(P199="","",ROUND(P199*Steuerungsdaten!$B$4*IFERROR(VLOOKUP(C199,Steuerungsdaten!$A$12:$D$33,4,FALSE),1),0))</f>
        <v>105</v>
      </c>
      <c r="I199" s="186" t="str">
        <f>IF(Q199="","",ROUND(Q199*Steuerungsdaten!$B$4*IFERROR(VLOOKUP(C199,Steuerungsdaten!$A$12:$F$33,6,FALSE),1),0))</f>
        <v/>
      </c>
      <c r="J199" s="186" t="str">
        <f>IF(R199="","",ROUND(R199*Steuerungsdaten!$B$4*IFERROR(VLOOKUP(C199,Steuerungsdaten!$A$12:$H$33,8,FALSE),1),0))</f>
        <v/>
      </c>
      <c r="K199" s="186">
        <f>IF(G199="","",ROUND(G199*Steuerungsdaten!$B$5,0))</f>
        <v>68</v>
      </c>
      <c r="L199" s="186">
        <f>IF(H199="","",ROUND(H199*Steuerungsdaten!$B$5,0))</f>
        <v>121</v>
      </c>
      <c r="M199" s="186" t="str">
        <f>IF(I199="","",ROUND(I199*Steuerungsdaten!$B$5,0))</f>
        <v/>
      </c>
      <c r="N199" s="187" t="str">
        <f>IF(J199="","",ROUND(J199*Steuerungsdaten!$B$5,0))</f>
        <v/>
      </c>
      <c r="O199" s="193">
        <v>79</v>
      </c>
      <c r="P199" s="193">
        <v>155</v>
      </c>
      <c r="Q199" s="193"/>
      <c r="R199" s="193"/>
    </row>
    <row r="200" spans="1:18" x14ac:dyDescent="0.25">
      <c r="A200" s="188">
        <v>3812</v>
      </c>
      <c r="B200" s="189" t="s">
        <v>90</v>
      </c>
      <c r="C200" s="189" t="s">
        <v>285</v>
      </c>
      <c r="D200" s="189" t="s">
        <v>298</v>
      </c>
      <c r="E200" s="190">
        <v>780</v>
      </c>
      <c r="F200" s="190">
        <v>780</v>
      </c>
      <c r="G200" s="191">
        <f>IF(O200="","",ROUND(O200*Steuerungsdaten!$B$4*IFERROR(VLOOKUP(C200,Steuerungsdaten!$A$12:$B$33,2,FALSE),1),0))</f>
        <v>95</v>
      </c>
      <c r="H200" s="191">
        <f>IF(P200="","",ROUND(P200*Steuerungsdaten!$B$4*IFERROR(VLOOKUP(C200,Steuerungsdaten!$A$12:$D$33,4,FALSE),1),0))</f>
        <v>205</v>
      </c>
      <c r="I200" s="191">
        <f>IF(Q200="","",ROUND(Q200*Steuerungsdaten!$B$4*IFERROR(VLOOKUP(C200,Steuerungsdaten!$A$12:$F$33,6,FALSE),1),0))</f>
        <v>234</v>
      </c>
      <c r="J200" s="191">
        <f>IF(R200="","",ROUND(R200*Steuerungsdaten!$B$4*IFERROR(VLOOKUP(C200,Steuerungsdaten!$A$12:$H$33,8,FALSE),1),0))</f>
        <v>230</v>
      </c>
      <c r="K200" s="191">
        <f>IF(G200="","",ROUND(G200*Steuerungsdaten!$B$5,0))</f>
        <v>109</v>
      </c>
      <c r="L200" s="191">
        <f>IF(H200="","",ROUND(H200*Steuerungsdaten!$B$5,0))</f>
        <v>236</v>
      </c>
      <c r="M200" s="191">
        <f>IF(I200="","",ROUND(I200*Steuerungsdaten!$B$5,0))</f>
        <v>269</v>
      </c>
      <c r="N200" s="192">
        <f>IF(J200="","",ROUND(J200*Steuerungsdaten!$B$5,0))</f>
        <v>265</v>
      </c>
      <c r="O200" s="193">
        <v>126</v>
      </c>
      <c r="P200" s="193">
        <v>302</v>
      </c>
      <c r="Q200" s="193">
        <v>272</v>
      </c>
      <c r="R200" s="193">
        <v>295</v>
      </c>
    </row>
    <row r="201" spans="1:18" x14ac:dyDescent="0.25">
      <c r="A201" s="183">
        <v>3813</v>
      </c>
      <c r="B201" s="184" t="s">
        <v>90</v>
      </c>
      <c r="C201" s="184" t="s">
        <v>285</v>
      </c>
      <c r="D201" s="184" t="s">
        <v>299</v>
      </c>
      <c r="E201" s="185">
        <v>780</v>
      </c>
      <c r="F201" s="185">
        <v>980</v>
      </c>
      <c r="G201" s="186">
        <f>IF(O201="","",ROUND(O201*Steuerungsdaten!$B$4*IFERROR(VLOOKUP(C201,Steuerungsdaten!$A$12:$B$33,2,FALSE),1),0))</f>
        <v>104</v>
      </c>
      <c r="H201" s="186">
        <f>IF(P201="","",ROUND(P201*Steuerungsdaten!$B$4*IFERROR(VLOOKUP(C201,Steuerungsdaten!$A$12:$D$33,4,FALSE),1),0))</f>
        <v>283</v>
      </c>
      <c r="I201" s="186" t="str">
        <f>IF(Q201="","",ROUND(Q201*Steuerungsdaten!$B$4*IFERROR(VLOOKUP(C201,Steuerungsdaten!$A$12:$F$33,6,FALSE),1),0))</f>
        <v/>
      </c>
      <c r="J201" s="186" t="str">
        <f>IF(R201="","",ROUND(R201*Steuerungsdaten!$B$4*IFERROR(VLOOKUP(C201,Steuerungsdaten!$A$12:$H$33,8,FALSE),1),0))</f>
        <v/>
      </c>
      <c r="K201" s="186">
        <f>IF(G201="","",ROUND(G201*Steuerungsdaten!$B$5,0))</f>
        <v>120</v>
      </c>
      <c r="L201" s="186">
        <f>IF(H201="","",ROUND(H201*Steuerungsdaten!$B$5,0))</f>
        <v>325</v>
      </c>
      <c r="M201" s="186" t="str">
        <f>IF(I201="","",ROUND(I201*Steuerungsdaten!$B$5,0))</f>
        <v/>
      </c>
      <c r="N201" s="187" t="str">
        <f>IF(J201="","",ROUND(J201*Steuerungsdaten!$B$5,0))</f>
        <v/>
      </c>
      <c r="O201" s="193">
        <v>139</v>
      </c>
      <c r="P201" s="193">
        <v>416</v>
      </c>
      <c r="Q201" s="193"/>
      <c r="R201" s="193"/>
    </row>
    <row r="202" spans="1:18" x14ac:dyDescent="0.25">
      <c r="A202" s="188">
        <v>3814</v>
      </c>
      <c r="B202" s="189" t="s">
        <v>90</v>
      </c>
      <c r="C202" s="189" t="s">
        <v>285</v>
      </c>
      <c r="D202" s="189" t="s">
        <v>300</v>
      </c>
      <c r="E202" s="190">
        <v>980</v>
      </c>
      <c r="F202" s="190">
        <v>780</v>
      </c>
      <c r="G202" s="191">
        <f>IF(O202="","",ROUND(O202*Steuerungsdaten!$B$4*IFERROR(VLOOKUP(C202,Steuerungsdaten!$A$12:$B$33,2,FALSE),1),0))</f>
        <v>104</v>
      </c>
      <c r="H202" s="191">
        <f>IF(P202="","",ROUND(P202*Steuerungsdaten!$B$4*IFERROR(VLOOKUP(C202,Steuerungsdaten!$A$12:$D$33,4,FALSE),1),0))</f>
        <v>283</v>
      </c>
      <c r="I202" s="191" t="str">
        <f>IF(Q202="","",ROUND(Q202*Steuerungsdaten!$B$4*IFERROR(VLOOKUP(C202,Steuerungsdaten!$A$12:$F$33,6,FALSE),1),0))</f>
        <v/>
      </c>
      <c r="J202" s="191" t="str">
        <f>IF(R202="","",ROUND(R202*Steuerungsdaten!$B$4*IFERROR(VLOOKUP(C202,Steuerungsdaten!$A$12:$H$33,8,FALSE),1),0))</f>
        <v/>
      </c>
      <c r="K202" s="191">
        <f>IF(G202="","",ROUND(G202*Steuerungsdaten!$B$5,0))</f>
        <v>120</v>
      </c>
      <c r="L202" s="191">
        <f>IF(H202="","",ROUND(H202*Steuerungsdaten!$B$5,0))</f>
        <v>325</v>
      </c>
      <c r="M202" s="191" t="str">
        <f>IF(I202="","",ROUND(I202*Steuerungsdaten!$B$5,0))</f>
        <v/>
      </c>
      <c r="N202" s="192" t="str">
        <f>IF(J202="","",ROUND(J202*Steuerungsdaten!$B$5,0))</f>
        <v/>
      </c>
      <c r="O202" s="193">
        <v>139</v>
      </c>
      <c r="P202" s="193">
        <v>416</v>
      </c>
      <c r="Q202" s="193"/>
      <c r="R202" s="193"/>
    </row>
    <row r="203" spans="1:18" x14ac:dyDescent="0.25">
      <c r="A203" s="183">
        <v>3815</v>
      </c>
      <c r="B203" s="184" t="s">
        <v>90</v>
      </c>
      <c r="C203" s="184" t="s">
        <v>285</v>
      </c>
      <c r="D203" s="184" t="s">
        <v>301</v>
      </c>
      <c r="E203" s="185">
        <v>980</v>
      </c>
      <c r="F203" s="185">
        <v>980</v>
      </c>
      <c r="G203" s="186">
        <f>IF(O203="","",ROUND(O203*Steuerungsdaten!$B$4*IFERROR(VLOOKUP(C203,Steuerungsdaten!$A$12:$B$33,2,FALSE),1),0))</f>
        <v>135</v>
      </c>
      <c r="H203" s="186">
        <f>IF(P203="","",ROUND(P203*Steuerungsdaten!$B$4*IFERROR(VLOOKUP(C203,Steuerungsdaten!$A$12:$D$33,4,FALSE),1),0))</f>
        <v>241</v>
      </c>
      <c r="I203" s="186" t="str">
        <f>IF(Q203="","",ROUND(Q203*Steuerungsdaten!$B$4*IFERROR(VLOOKUP(C203,Steuerungsdaten!$A$12:$F$33,6,FALSE),1),0))</f>
        <v/>
      </c>
      <c r="J203" s="186" t="str">
        <f>IF(R203="","",ROUND(R203*Steuerungsdaten!$B$4*IFERROR(VLOOKUP(C203,Steuerungsdaten!$A$12:$H$33,8,FALSE),1),0))</f>
        <v/>
      </c>
      <c r="K203" s="186">
        <f>IF(G203="","",ROUND(G203*Steuerungsdaten!$B$5,0))</f>
        <v>155</v>
      </c>
      <c r="L203" s="186">
        <f>IF(H203="","",ROUND(H203*Steuerungsdaten!$B$5,0))</f>
        <v>277</v>
      </c>
      <c r="M203" s="186" t="str">
        <f>IF(I203="","",ROUND(I203*Steuerungsdaten!$B$5,0))</f>
        <v/>
      </c>
      <c r="N203" s="187" t="str">
        <f>IF(J203="","",ROUND(J203*Steuerungsdaten!$B$5,0))</f>
        <v/>
      </c>
      <c r="O203" s="193">
        <v>180</v>
      </c>
      <c r="P203" s="193">
        <v>354</v>
      </c>
      <c r="Q203" s="193"/>
      <c r="R203" s="193"/>
    </row>
    <row r="204" spans="1:18" ht="21.95" customHeight="1" x14ac:dyDescent="0.25">
      <c r="A204" s="176" t="s">
        <v>10</v>
      </c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93"/>
      <c r="P204" s="193"/>
      <c r="Q204" s="193"/>
      <c r="R204" s="193"/>
    </row>
    <row r="205" spans="1:18" x14ac:dyDescent="0.25">
      <c r="A205" s="178">
        <v>5000</v>
      </c>
      <c r="B205" s="179" t="s">
        <v>90</v>
      </c>
      <c r="C205" s="179" t="s">
        <v>10</v>
      </c>
      <c r="D205" s="179" t="s">
        <v>302</v>
      </c>
      <c r="E205" s="180">
        <v>420</v>
      </c>
      <c r="F205" s="180">
        <v>180</v>
      </c>
      <c r="G205" s="181">
        <f>IF(O205="","",ROUND(O205*Steuerungsdaten!$B$4*IFERROR(VLOOKUP(C205,Steuerungsdaten!$A$12:$B$33,2,FALSE),1),0))</f>
        <v>149</v>
      </c>
      <c r="H205" s="181">
        <f>IF(P205="","",ROUND(P205*Steuerungsdaten!$B$4*IFERROR(VLOOKUP(C205,Steuerungsdaten!$A$12:$D$33,4,FALSE),1),0))</f>
        <v>176</v>
      </c>
      <c r="I205" s="181">
        <f>IF(Q205="","",ROUND(Q205*Steuerungsdaten!$B$4*IFERROR(VLOOKUP(C205,Steuerungsdaten!$A$12:$F$33,6,FALSE),1),0))</f>
        <v>192</v>
      </c>
      <c r="J205" s="181">
        <f>IF(R205="","",ROUND(R205*Steuerungsdaten!$B$4*IFERROR(VLOOKUP(C205,Steuerungsdaten!$A$12:$H$33,8,FALSE),1),0))</f>
        <v>326</v>
      </c>
      <c r="K205" s="181">
        <f>IF(G205="","",ROUND(G205*Steuerungsdaten!$B$5,0))</f>
        <v>171</v>
      </c>
      <c r="L205" s="181">
        <f>IF(H205="","",ROUND(H205*Steuerungsdaten!$B$5,0))</f>
        <v>202</v>
      </c>
      <c r="M205" s="181">
        <f>IF(I205="","",ROUND(I205*Steuerungsdaten!$B$5,0))</f>
        <v>221</v>
      </c>
      <c r="N205" s="182">
        <f>IF(J205="","",ROUND(J205*Steuerungsdaten!$B$5,0))</f>
        <v>375</v>
      </c>
      <c r="O205" s="193">
        <v>169</v>
      </c>
      <c r="P205" s="193">
        <v>255</v>
      </c>
      <c r="Q205" s="193">
        <v>237</v>
      </c>
      <c r="R205" s="193">
        <v>446</v>
      </c>
    </row>
    <row r="206" spans="1:18" x14ac:dyDescent="0.25">
      <c r="A206" s="183">
        <v>5001</v>
      </c>
      <c r="B206" s="184" t="s">
        <v>90</v>
      </c>
      <c r="C206" s="184" t="s">
        <v>10</v>
      </c>
      <c r="D206" s="184" t="s">
        <v>303</v>
      </c>
      <c r="E206" s="185">
        <v>420</v>
      </c>
      <c r="F206" s="185">
        <v>360</v>
      </c>
      <c r="G206" s="186">
        <f>IF(O206="","",ROUND(O206*Steuerungsdaten!$B$4*IFERROR(VLOOKUP(C206,Steuerungsdaten!$A$12:$B$33,2,FALSE),1),0))</f>
        <v>149</v>
      </c>
      <c r="H206" s="186">
        <f>IF(P206="","",ROUND(P206*Steuerungsdaten!$B$4*IFERROR(VLOOKUP(C206,Steuerungsdaten!$A$12:$D$33,4,FALSE),1),0))</f>
        <v>176</v>
      </c>
      <c r="I206" s="186">
        <f>IF(Q206="","",ROUND(Q206*Steuerungsdaten!$B$4*IFERROR(VLOOKUP(C206,Steuerungsdaten!$A$12:$F$33,6,FALSE),1),0))</f>
        <v>192</v>
      </c>
      <c r="J206" s="186">
        <f>IF(R206="","",ROUND(R206*Steuerungsdaten!$B$4*IFERROR(VLOOKUP(C206,Steuerungsdaten!$A$12:$H$33,8,FALSE),1),0))</f>
        <v>326</v>
      </c>
      <c r="K206" s="186">
        <f>IF(G206="","",ROUND(G206*Steuerungsdaten!$B$5,0))</f>
        <v>171</v>
      </c>
      <c r="L206" s="186">
        <f>IF(H206="","",ROUND(H206*Steuerungsdaten!$B$5,0))</f>
        <v>202</v>
      </c>
      <c r="M206" s="186">
        <f>IF(I206="","",ROUND(I206*Steuerungsdaten!$B$5,0))</f>
        <v>221</v>
      </c>
      <c r="N206" s="187">
        <f>IF(J206="","",ROUND(J206*Steuerungsdaten!$B$5,0))</f>
        <v>375</v>
      </c>
      <c r="O206" s="193">
        <v>169</v>
      </c>
      <c r="P206" s="193">
        <v>255</v>
      </c>
      <c r="Q206" s="193">
        <v>237</v>
      </c>
      <c r="R206" s="193">
        <v>446</v>
      </c>
    </row>
    <row r="207" spans="1:18" x14ac:dyDescent="0.25">
      <c r="A207" s="188">
        <v>5002</v>
      </c>
      <c r="B207" s="189" t="s">
        <v>90</v>
      </c>
      <c r="C207" s="189" t="s">
        <v>10</v>
      </c>
      <c r="D207" s="189" t="s">
        <v>304</v>
      </c>
      <c r="E207" s="190">
        <v>580</v>
      </c>
      <c r="F207" s="190">
        <v>180</v>
      </c>
      <c r="G207" s="191">
        <f>IF(O207="","",ROUND(O207*Steuerungsdaten!$B$4*IFERROR(VLOOKUP(C207,Steuerungsdaten!$A$12:$B$33,2,FALSE),1),0))</f>
        <v>162</v>
      </c>
      <c r="H207" s="191">
        <f>IF(P207="","",ROUND(P207*Steuerungsdaten!$B$4*IFERROR(VLOOKUP(C207,Steuerungsdaten!$A$12:$D$33,4,FALSE),1),0))</f>
        <v>195</v>
      </c>
      <c r="I207" s="191">
        <f>IF(Q207="","",ROUND(Q207*Steuerungsdaten!$B$4*IFERROR(VLOOKUP(C207,Steuerungsdaten!$A$12:$F$33,6,FALSE),1),0))</f>
        <v>210</v>
      </c>
      <c r="J207" s="191">
        <f>IF(R207="","",ROUND(R207*Steuerungsdaten!$B$4*IFERROR(VLOOKUP(C207,Steuerungsdaten!$A$12:$H$33,8,FALSE),1),0))</f>
        <v>356</v>
      </c>
      <c r="K207" s="191">
        <f>IF(G207="","",ROUND(G207*Steuerungsdaten!$B$5,0))</f>
        <v>186</v>
      </c>
      <c r="L207" s="191">
        <f>IF(H207="","",ROUND(H207*Steuerungsdaten!$B$5,0))</f>
        <v>224</v>
      </c>
      <c r="M207" s="191">
        <f>IF(I207="","",ROUND(I207*Steuerungsdaten!$B$5,0))</f>
        <v>242</v>
      </c>
      <c r="N207" s="192">
        <f>IF(J207="","",ROUND(J207*Steuerungsdaten!$B$5,0))</f>
        <v>409</v>
      </c>
      <c r="O207" s="193">
        <v>184</v>
      </c>
      <c r="P207" s="193">
        <v>283</v>
      </c>
      <c r="Q207" s="193">
        <v>259</v>
      </c>
      <c r="R207" s="193">
        <v>487</v>
      </c>
    </row>
    <row r="208" spans="1:18" x14ac:dyDescent="0.25">
      <c r="A208" s="183">
        <v>5003</v>
      </c>
      <c r="B208" s="184" t="s">
        <v>90</v>
      </c>
      <c r="C208" s="184" t="s">
        <v>10</v>
      </c>
      <c r="D208" s="184" t="s">
        <v>305</v>
      </c>
      <c r="E208" s="185">
        <v>580</v>
      </c>
      <c r="F208" s="185">
        <v>360</v>
      </c>
      <c r="G208" s="186">
        <f>IF(O208="","",ROUND(O208*Steuerungsdaten!$B$4*IFERROR(VLOOKUP(C208,Steuerungsdaten!$A$12:$B$33,2,FALSE),1),0))</f>
        <v>162</v>
      </c>
      <c r="H208" s="186">
        <f>IF(P208="","",ROUND(P208*Steuerungsdaten!$B$4*IFERROR(VLOOKUP(C208,Steuerungsdaten!$A$12:$D$33,4,FALSE),1),0))</f>
        <v>195</v>
      </c>
      <c r="I208" s="186">
        <f>IF(Q208="","",ROUND(Q208*Steuerungsdaten!$B$4*IFERROR(VLOOKUP(C208,Steuerungsdaten!$A$12:$F$33,6,FALSE),1),0))</f>
        <v>210</v>
      </c>
      <c r="J208" s="186">
        <f>IF(R208="","",ROUND(R208*Steuerungsdaten!$B$4*IFERROR(VLOOKUP(C208,Steuerungsdaten!$A$12:$H$33,8,FALSE),1),0))</f>
        <v>356</v>
      </c>
      <c r="K208" s="186">
        <f>IF(G208="","",ROUND(G208*Steuerungsdaten!$B$5,0))</f>
        <v>186</v>
      </c>
      <c r="L208" s="186">
        <f>IF(H208="","",ROUND(H208*Steuerungsdaten!$B$5,0))</f>
        <v>224</v>
      </c>
      <c r="M208" s="186">
        <f>IF(I208="","",ROUND(I208*Steuerungsdaten!$B$5,0))</f>
        <v>242</v>
      </c>
      <c r="N208" s="187">
        <f>IF(J208="","",ROUND(J208*Steuerungsdaten!$B$5,0))</f>
        <v>409</v>
      </c>
      <c r="O208" s="193">
        <v>184</v>
      </c>
      <c r="P208" s="193">
        <v>283</v>
      </c>
      <c r="Q208" s="193">
        <v>259</v>
      </c>
      <c r="R208" s="193">
        <v>487</v>
      </c>
    </row>
    <row r="209" spans="1:18" x14ac:dyDescent="0.25">
      <c r="A209" s="188">
        <v>5004</v>
      </c>
      <c r="B209" s="189" t="s">
        <v>90</v>
      </c>
      <c r="C209" s="189" t="s">
        <v>10</v>
      </c>
      <c r="D209" s="189" t="s">
        <v>306</v>
      </c>
      <c r="E209" s="190">
        <v>780</v>
      </c>
      <c r="F209" s="190">
        <v>180</v>
      </c>
      <c r="G209" s="191">
        <f>IF(O209="","",ROUND(O209*Steuerungsdaten!$B$4*IFERROR(VLOOKUP(C209,Steuerungsdaten!$A$12:$B$33,2,FALSE),1),0))</f>
        <v>174</v>
      </c>
      <c r="H209" s="191">
        <f>IF(P209="","",ROUND(P209*Steuerungsdaten!$B$4*IFERROR(VLOOKUP(C209,Steuerungsdaten!$A$12:$D$33,4,FALSE),1),0))</f>
        <v>214</v>
      </c>
      <c r="I209" s="191">
        <f>IF(Q209="","",ROUND(Q209*Steuerungsdaten!$B$4*IFERROR(VLOOKUP(C209,Steuerungsdaten!$A$12:$F$33,6,FALSE),1),0))</f>
        <v>227</v>
      </c>
      <c r="J209" s="191">
        <f>IF(R209="","",ROUND(R209*Steuerungsdaten!$B$4*IFERROR(VLOOKUP(C209,Steuerungsdaten!$A$12:$H$33,8,FALSE),1),0))</f>
        <v>385</v>
      </c>
      <c r="K209" s="191">
        <f>IF(G209="","",ROUND(G209*Steuerungsdaten!$B$5,0))</f>
        <v>200</v>
      </c>
      <c r="L209" s="191">
        <f>IF(H209="","",ROUND(H209*Steuerungsdaten!$B$5,0))</f>
        <v>246</v>
      </c>
      <c r="M209" s="191">
        <f>IF(I209="","",ROUND(I209*Steuerungsdaten!$B$5,0))</f>
        <v>261</v>
      </c>
      <c r="N209" s="192">
        <f>IF(J209="","",ROUND(J209*Steuerungsdaten!$B$5,0))</f>
        <v>443</v>
      </c>
      <c r="O209" s="193">
        <v>198</v>
      </c>
      <c r="P209" s="193">
        <v>310</v>
      </c>
      <c r="Q209" s="193">
        <v>280</v>
      </c>
      <c r="R209" s="193">
        <v>527</v>
      </c>
    </row>
    <row r="210" spans="1:18" x14ac:dyDescent="0.25">
      <c r="A210" s="183">
        <v>5005</v>
      </c>
      <c r="B210" s="184" t="s">
        <v>90</v>
      </c>
      <c r="C210" s="184" t="s">
        <v>10</v>
      </c>
      <c r="D210" s="184" t="s">
        <v>307</v>
      </c>
      <c r="E210" s="185">
        <v>780</v>
      </c>
      <c r="F210" s="185">
        <v>360</v>
      </c>
      <c r="G210" s="186">
        <f>IF(O210="","",ROUND(O210*Steuerungsdaten!$B$4*IFERROR(VLOOKUP(C210,Steuerungsdaten!$A$12:$B$33,2,FALSE),1),0))</f>
        <v>174</v>
      </c>
      <c r="H210" s="186">
        <f>IF(P210="","",ROUND(P210*Steuerungsdaten!$B$4*IFERROR(VLOOKUP(C210,Steuerungsdaten!$A$12:$D$33,4,FALSE),1),0))</f>
        <v>214</v>
      </c>
      <c r="I210" s="186">
        <f>IF(Q210="","",ROUND(Q210*Steuerungsdaten!$B$4*IFERROR(VLOOKUP(C210,Steuerungsdaten!$A$12:$F$33,6,FALSE),1),0))</f>
        <v>227</v>
      </c>
      <c r="J210" s="186">
        <f>IF(R210="","",ROUND(R210*Steuerungsdaten!$B$4*IFERROR(VLOOKUP(C210,Steuerungsdaten!$A$12:$H$33,8,FALSE),1),0))</f>
        <v>385</v>
      </c>
      <c r="K210" s="186">
        <f>IF(G210="","",ROUND(G210*Steuerungsdaten!$B$5,0))</f>
        <v>200</v>
      </c>
      <c r="L210" s="186">
        <f>IF(H210="","",ROUND(H210*Steuerungsdaten!$B$5,0))</f>
        <v>246</v>
      </c>
      <c r="M210" s="186">
        <f>IF(I210="","",ROUND(I210*Steuerungsdaten!$B$5,0))</f>
        <v>261</v>
      </c>
      <c r="N210" s="187">
        <f>IF(J210="","",ROUND(J210*Steuerungsdaten!$B$5,0))</f>
        <v>443</v>
      </c>
      <c r="O210" s="193">
        <v>198</v>
      </c>
      <c r="P210" s="193">
        <v>310</v>
      </c>
      <c r="Q210" s="193">
        <v>280</v>
      </c>
      <c r="R210" s="193">
        <v>527</v>
      </c>
    </row>
    <row r="211" spans="1:18" x14ac:dyDescent="0.25">
      <c r="A211" s="188">
        <v>5006</v>
      </c>
      <c r="B211" s="189" t="s">
        <v>90</v>
      </c>
      <c r="C211" s="189" t="s">
        <v>10</v>
      </c>
      <c r="D211" s="189" t="s">
        <v>308</v>
      </c>
      <c r="E211" s="190">
        <v>980</v>
      </c>
      <c r="F211" s="190">
        <v>180</v>
      </c>
      <c r="G211" s="191">
        <f>IF(O211="","",ROUND(O211*Steuerungsdaten!$B$4*IFERROR(VLOOKUP(C211,Steuerungsdaten!$A$12:$B$33,2,FALSE),1),0))</f>
        <v>220</v>
      </c>
      <c r="H211" s="191">
        <f>IF(P211="","",ROUND(P211*Steuerungsdaten!$B$4*IFERROR(VLOOKUP(C211,Steuerungsdaten!$A$12:$D$33,4,FALSE),1),0))</f>
        <v>255</v>
      </c>
      <c r="I211" s="191">
        <f>IF(Q211="","",ROUND(Q211*Steuerungsdaten!$B$4*IFERROR(VLOOKUP(C211,Steuerungsdaten!$A$12:$F$33,6,FALSE),1),0))</f>
        <v>279</v>
      </c>
      <c r="J211" s="191">
        <f>IF(R211="","",ROUND(R211*Steuerungsdaten!$B$4*IFERROR(VLOOKUP(C211,Steuerungsdaten!$A$12:$H$33,8,FALSE),1),0))</f>
        <v>474</v>
      </c>
      <c r="K211" s="191">
        <f>IF(G211="","",ROUND(G211*Steuerungsdaten!$B$5,0))</f>
        <v>253</v>
      </c>
      <c r="L211" s="191">
        <f>IF(H211="","",ROUND(H211*Steuerungsdaten!$B$5,0))</f>
        <v>293</v>
      </c>
      <c r="M211" s="191">
        <f>IF(I211="","",ROUND(I211*Steuerungsdaten!$B$5,0))</f>
        <v>321</v>
      </c>
      <c r="N211" s="192">
        <f>IF(J211="","",ROUND(J211*Steuerungsdaten!$B$5,0))</f>
        <v>545</v>
      </c>
      <c r="O211" s="193">
        <v>250</v>
      </c>
      <c r="P211" s="193">
        <v>369</v>
      </c>
      <c r="Q211" s="193">
        <v>345</v>
      </c>
      <c r="R211" s="193">
        <v>649</v>
      </c>
    </row>
    <row r="212" spans="1:18" x14ac:dyDescent="0.25">
      <c r="A212" s="183">
        <v>5007</v>
      </c>
      <c r="B212" s="184" t="s">
        <v>90</v>
      </c>
      <c r="C212" s="184" t="s">
        <v>10</v>
      </c>
      <c r="D212" s="184" t="s">
        <v>309</v>
      </c>
      <c r="E212" s="185">
        <v>980</v>
      </c>
      <c r="F212" s="185">
        <v>360</v>
      </c>
      <c r="G212" s="186">
        <f>IF(O212="","",ROUND(O212*Steuerungsdaten!$B$4*IFERROR(VLOOKUP(C212,Steuerungsdaten!$A$12:$B$33,2,FALSE),1),0))</f>
        <v>220</v>
      </c>
      <c r="H212" s="186">
        <f>IF(P212="","",ROUND(P212*Steuerungsdaten!$B$4*IFERROR(VLOOKUP(C212,Steuerungsdaten!$A$12:$D$33,4,FALSE),1),0))</f>
        <v>255</v>
      </c>
      <c r="I212" s="186">
        <f>IF(Q212="","",ROUND(Q212*Steuerungsdaten!$B$4*IFERROR(VLOOKUP(C212,Steuerungsdaten!$A$12:$F$33,6,FALSE),1),0))</f>
        <v>279</v>
      </c>
      <c r="J212" s="186">
        <f>IF(R212="","",ROUND(R212*Steuerungsdaten!$B$4*IFERROR(VLOOKUP(C212,Steuerungsdaten!$A$12:$H$33,8,FALSE),1),0))</f>
        <v>474</v>
      </c>
      <c r="K212" s="186">
        <f>IF(G212="","",ROUND(G212*Steuerungsdaten!$B$5,0))</f>
        <v>253</v>
      </c>
      <c r="L212" s="186">
        <f>IF(H212="","",ROUND(H212*Steuerungsdaten!$B$5,0))</f>
        <v>293</v>
      </c>
      <c r="M212" s="186">
        <f>IF(I212="","",ROUND(I212*Steuerungsdaten!$B$5,0))</f>
        <v>321</v>
      </c>
      <c r="N212" s="187">
        <f>IF(J212="","",ROUND(J212*Steuerungsdaten!$B$5,0))</f>
        <v>545</v>
      </c>
      <c r="O212" s="193">
        <v>250</v>
      </c>
      <c r="P212" s="193">
        <v>369</v>
      </c>
      <c r="Q212" s="193">
        <v>345</v>
      </c>
      <c r="R212" s="193">
        <v>649</v>
      </c>
    </row>
    <row r="213" spans="1:18" x14ac:dyDescent="0.25">
      <c r="A213" s="188">
        <v>5009</v>
      </c>
      <c r="B213" s="189" t="s">
        <v>90</v>
      </c>
      <c r="C213" s="189" t="s">
        <v>10</v>
      </c>
      <c r="D213" s="189" t="s">
        <v>310</v>
      </c>
      <c r="E213" s="190">
        <v>360</v>
      </c>
      <c r="F213" s="190">
        <v>180</v>
      </c>
      <c r="G213" s="191">
        <f>IF(O213="","",ROUND(O213*Steuerungsdaten!$B$4*IFERROR(VLOOKUP(C213,Steuerungsdaten!$A$12:$B$33,2,FALSE),1),0))</f>
        <v>149</v>
      </c>
      <c r="H213" s="191">
        <f>IF(P213="","",ROUND(P213*Steuerungsdaten!$B$4*IFERROR(VLOOKUP(C213,Steuerungsdaten!$A$12:$D$33,4,FALSE),1),0))</f>
        <v>230</v>
      </c>
      <c r="I213" s="191">
        <f>IF(Q213="","",ROUND(Q213*Steuerungsdaten!$B$4*IFERROR(VLOOKUP(C213,Steuerungsdaten!$A$12:$F$33,6,FALSE),1),0))</f>
        <v>279</v>
      </c>
      <c r="J213" s="191">
        <f>IF(R213="","",ROUND(R213*Steuerungsdaten!$B$4*IFERROR(VLOOKUP(C213,Steuerungsdaten!$A$12:$H$33,8,FALSE),1),0))</f>
        <v>474</v>
      </c>
      <c r="K213" s="191">
        <f>IF(G213="","",ROUND(G213*Steuerungsdaten!$B$5,0))</f>
        <v>171</v>
      </c>
      <c r="L213" s="191">
        <f>IF(H213="","",ROUND(H213*Steuerungsdaten!$B$5,0))</f>
        <v>265</v>
      </c>
      <c r="M213" s="191">
        <f>IF(I213="","",ROUND(I213*Steuerungsdaten!$B$5,0))</f>
        <v>321</v>
      </c>
      <c r="N213" s="192">
        <f>IF(J213="","",ROUND(J213*Steuerungsdaten!$B$5,0))</f>
        <v>545</v>
      </c>
      <c r="O213" s="193">
        <v>169</v>
      </c>
      <c r="P213" s="193">
        <v>333</v>
      </c>
      <c r="Q213" s="193">
        <v>345</v>
      </c>
      <c r="R213" s="193">
        <v>649</v>
      </c>
    </row>
    <row r="214" spans="1:18" x14ac:dyDescent="0.25">
      <c r="A214" s="183">
        <v>5008</v>
      </c>
      <c r="B214" s="184" t="s">
        <v>90</v>
      </c>
      <c r="C214" s="184" t="s">
        <v>10</v>
      </c>
      <c r="D214" s="184" t="s">
        <v>311</v>
      </c>
      <c r="E214" s="185">
        <v>360</v>
      </c>
      <c r="F214" s="185">
        <v>360</v>
      </c>
      <c r="G214" s="186">
        <f>IF(O214="","",ROUND(O214*Steuerungsdaten!$B$4*IFERROR(VLOOKUP(C214,Steuerungsdaten!$A$12:$B$33,2,FALSE),1),0))</f>
        <v>149</v>
      </c>
      <c r="H214" s="186">
        <f>IF(P214="","",ROUND(P214*Steuerungsdaten!$B$4*IFERROR(VLOOKUP(C214,Steuerungsdaten!$A$12:$D$33,4,FALSE),1),0))</f>
        <v>230</v>
      </c>
      <c r="I214" s="186">
        <f>IF(Q214="","",ROUND(Q214*Steuerungsdaten!$B$4*IFERROR(VLOOKUP(C214,Steuerungsdaten!$A$12:$F$33,6,FALSE),1),0))</f>
        <v>279</v>
      </c>
      <c r="J214" s="186">
        <f>IF(R214="","",ROUND(R214*Steuerungsdaten!$B$4*IFERROR(VLOOKUP(C214,Steuerungsdaten!$A$12:$H$33,8,FALSE),1),0))</f>
        <v>474</v>
      </c>
      <c r="K214" s="186">
        <f>IF(G214="","",ROUND(G214*Steuerungsdaten!$B$5,0))</f>
        <v>171</v>
      </c>
      <c r="L214" s="186">
        <f>IF(H214="","",ROUND(H214*Steuerungsdaten!$B$5,0))</f>
        <v>265</v>
      </c>
      <c r="M214" s="186">
        <f>IF(I214="","",ROUND(I214*Steuerungsdaten!$B$5,0))</f>
        <v>321</v>
      </c>
      <c r="N214" s="187">
        <f>IF(J214="","",ROUND(J214*Steuerungsdaten!$B$5,0))</f>
        <v>545</v>
      </c>
      <c r="O214" s="193">
        <v>169</v>
      </c>
      <c r="P214" s="193">
        <v>333</v>
      </c>
      <c r="Q214" s="193">
        <v>345</v>
      </c>
      <c r="R214" s="193">
        <v>649</v>
      </c>
    </row>
    <row r="215" spans="1:18" x14ac:dyDescent="0.25">
      <c r="A215" s="188" t="s">
        <v>312</v>
      </c>
      <c r="B215" s="189" t="s">
        <v>90</v>
      </c>
      <c r="C215" s="189" t="s">
        <v>10</v>
      </c>
      <c r="D215" s="189" t="s">
        <v>313</v>
      </c>
      <c r="E215" s="190">
        <v>980</v>
      </c>
      <c r="F215" s="190">
        <v>420</v>
      </c>
      <c r="G215" s="191">
        <f>IF(O215="","",ROUND(O215*Steuerungsdaten!$B$4*IFERROR(VLOOKUP(C215,Steuerungsdaten!$A$12:$B$33,2,FALSE),1),0))</f>
        <v>224</v>
      </c>
      <c r="H215" s="191">
        <f>IF(P215="","",ROUND(P215*Steuerungsdaten!$B$4*IFERROR(VLOOKUP(C215,Steuerungsdaten!$A$12:$D$33,4,FALSE),1),0))</f>
        <v>346</v>
      </c>
      <c r="I215" s="191">
        <f>IF(Q215="","",ROUND(Q215*Steuerungsdaten!$B$4*IFERROR(VLOOKUP(C215,Steuerungsdaten!$A$12:$F$33,6,FALSE),1),0))</f>
        <v>279</v>
      </c>
      <c r="J215" s="191">
        <f>IF(R215="","",ROUND(R215*Steuerungsdaten!$B$4*IFERROR(VLOOKUP(C215,Steuerungsdaten!$A$12:$H$33,8,FALSE),1),0))</f>
        <v>474</v>
      </c>
      <c r="K215" s="191">
        <f>IF(G215="","",ROUND(G215*Steuerungsdaten!$B$5,0))</f>
        <v>258</v>
      </c>
      <c r="L215" s="191">
        <f>IF(H215="","",ROUND(H215*Steuerungsdaten!$B$5,0))</f>
        <v>398</v>
      </c>
      <c r="M215" s="191">
        <f>IF(I215="","",ROUND(I215*Steuerungsdaten!$B$5,0))</f>
        <v>321</v>
      </c>
      <c r="N215" s="192">
        <f>IF(J215="","",ROUND(J215*Steuerungsdaten!$B$5,0))</f>
        <v>545</v>
      </c>
      <c r="O215" s="193">
        <v>255</v>
      </c>
      <c r="P215" s="193">
        <v>502</v>
      </c>
      <c r="Q215" s="193">
        <v>345</v>
      </c>
      <c r="R215" s="193">
        <v>649</v>
      </c>
    </row>
    <row r="216" spans="1:18" ht="21.95" customHeight="1" x14ac:dyDescent="0.25">
      <c r="A216" s="176" t="s">
        <v>314</v>
      </c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93"/>
      <c r="P216" s="193"/>
      <c r="Q216" s="193"/>
      <c r="R216" s="193"/>
    </row>
    <row r="217" spans="1:18" x14ac:dyDescent="0.25">
      <c r="A217" s="178">
        <v>5100</v>
      </c>
      <c r="B217" s="179" t="s">
        <v>90</v>
      </c>
      <c r="C217" s="179" t="s">
        <v>314</v>
      </c>
      <c r="D217" s="179" t="s">
        <v>315</v>
      </c>
      <c r="E217" s="180">
        <v>420</v>
      </c>
      <c r="F217" s="180">
        <v>360</v>
      </c>
      <c r="G217" s="181">
        <f>IF(O217="","",ROUND(O217*Steuerungsdaten!$B$4*IFERROR(VLOOKUP(C217,Steuerungsdaten!$A$12:$B$33,2,FALSE),1),0))</f>
        <v>120</v>
      </c>
      <c r="H217" s="181">
        <f>IF(P217="","",ROUND(P217*Steuerungsdaten!$B$4*IFERROR(VLOOKUP(C217,Steuerungsdaten!$A$12:$D$33,4,FALSE),1),0))</f>
        <v>141</v>
      </c>
      <c r="I217" s="181">
        <f>IF(Q217="","",ROUND(Q217*Steuerungsdaten!$B$4*IFERROR(VLOOKUP(C217,Steuerungsdaten!$A$12:$F$33,6,FALSE),1),0))</f>
        <v>162</v>
      </c>
      <c r="J217" s="181">
        <f>IF(R217="","",ROUND(R217*Steuerungsdaten!$B$4*IFERROR(VLOOKUP(C217,Steuerungsdaten!$A$12:$H$33,8,FALSE),1),0))</f>
        <v>350</v>
      </c>
      <c r="K217" s="181">
        <f>IF(G217="","",ROUND(G217*Steuerungsdaten!$B$5,0))</f>
        <v>138</v>
      </c>
      <c r="L217" s="181">
        <f>IF(H217="","",ROUND(H217*Steuerungsdaten!$B$5,0))</f>
        <v>162</v>
      </c>
      <c r="M217" s="181">
        <f>IF(I217="","",ROUND(I217*Steuerungsdaten!$B$5,0))</f>
        <v>186</v>
      </c>
      <c r="N217" s="182">
        <f>IF(J217="","",ROUND(J217*Steuerungsdaten!$B$5,0))</f>
        <v>403</v>
      </c>
      <c r="O217" s="193">
        <v>136</v>
      </c>
      <c r="P217" s="193">
        <v>205</v>
      </c>
      <c r="Q217" s="193">
        <v>182</v>
      </c>
      <c r="R217" s="193">
        <v>479</v>
      </c>
    </row>
    <row r="218" spans="1:18" x14ac:dyDescent="0.25">
      <c r="A218" s="183">
        <v>5101</v>
      </c>
      <c r="B218" s="184" t="s">
        <v>90</v>
      </c>
      <c r="C218" s="184" t="s">
        <v>314</v>
      </c>
      <c r="D218" s="184" t="s">
        <v>316</v>
      </c>
      <c r="E218" s="185">
        <v>420</v>
      </c>
      <c r="F218" s="185">
        <v>720</v>
      </c>
      <c r="G218" s="186">
        <f>IF(O218="","",ROUND(O218*Steuerungsdaten!$B$4*IFERROR(VLOOKUP(C218,Steuerungsdaten!$A$12:$B$33,2,FALSE),1),0))</f>
        <v>140</v>
      </c>
      <c r="H218" s="186">
        <f>IF(P218="","",ROUND(P218*Steuerungsdaten!$B$4*IFERROR(VLOOKUP(C218,Steuerungsdaten!$A$12:$D$33,4,FALSE),1),0))</f>
        <v>186</v>
      </c>
      <c r="I218" s="186">
        <f>IF(Q218="","",ROUND(Q218*Steuerungsdaten!$B$4*IFERROR(VLOOKUP(C218,Steuerungsdaten!$A$12:$F$33,6,FALSE),1),0))</f>
        <v>205</v>
      </c>
      <c r="J218" s="186">
        <f>IF(R218="","",ROUND(R218*Steuerungsdaten!$B$4*IFERROR(VLOOKUP(C218,Steuerungsdaten!$A$12:$H$33,8,FALSE),1),0))</f>
        <v>397</v>
      </c>
      <c r="K218" s="186">
        <f>IF(G218="","",ROUND(G218*Steuerungsdaten!$B$5,0))</f>
        <v>161</v>
      </c>
      <c r="L218" s="186">
        <f>IF(H218="","",ROUND(H218*Steuerungsdaten!$B$5,0))</f>
        <v>214</v>
      </c>
      <c r="M218" s="186">
        <f>IF(I218="","",ROUND(I218*Steuerungsdaten!$B$5,0))</f>
        <v>236</v>
      </c>
      <c r="N218" s="187">
        <f>IF(J218="","",ROUND(J218*Steuerungsdaten!$B$5,0))</f>
        <v>457</v>
      </c>
      <c r="O218" s="193">
        <v>159</v>
      </c>
      <c r="P218" s="193">
        <v>270</v>
      </c>
      <c r="Q218" s="193">
        <v>230</v>
      </c>
      <c r="R218" s="193">
        <v>544</v>
      </c>
    </row>
    <row r="219" spans="1:18" x14ac:dyDescent="0.25">
      <c r="A219" s="188">
        <v>5102</v>
      </c>
      <c r="B219" s="189" t="s">
        <v>90</v>
      </c>
      <c r="C219" s="189" t="s">
        <v>314</v>
      </c>
      <c r="D219" s="189" t="s">
        <v>317</v>
      </c>
      <c r="E219" s="190">
        <v>420</v>
      </c>
      <c r="F219" s="190">
        <v>1080</v>
      </c>
      <c r="G219" s="191">
        <f>IF(O219="","",ROUND(O219*Steuerungsdaten!$B$4*IFERROR(VLOOKUP(C219,Steuerungsdaten!$A$12:$B$33,2,FALSE),1),0))</f>
        <v>207</v>
      </c>
      <c r="H219" s="191">
        <f>IF(P219="","",ROUND(P219*Steuerungsdaten!$B$4*IFERROR(VLOOKUP(C219,Steuerungsdaten!$A$12:$D$33,4,FALSE),1),0))</f>
        <v>257</v>
      </c>
      <c r="I219" s="191">
        <f>IF(Q219="","",ROUND(Q219*Steuerungsdaten!$B$4*IFERROR(VLOOKUP(C219,Steuerungsdaten!$A$12:$F$33,6,FALSE),1),0))</f>
        <v>302</v>
      </c>
      <c r="J219" s="191">
        <f>IF(R219="","",ROUND(R219*Steuerungsdaten!$B$4*IFERROR(VLOOKUP(C219,Steuerungsdaten!$A$12:$H$33,8,FALSE),1),0))</f>
        <v>469</v>
      </c>
      <c r="K219" s="191">
        <f>IF(G219="","",ROUND(G219*Steuerungsdaten!$B$5,0))</f>
        <v>238</v>
      </c>
      <c r="L219" s="191">
        <f>IF(H219="","",ROUND(H219*Steuerungsdaten!$B$5,0))</f>
        <v>296</v>
      </c>
      <c r="M219" s="191">
        <f>IF(I219="","",ROUND(I219*Steuerungsdaten!$B$5,0))</f>
        <v>347</v>
      </c>
      <c r="N219" s="192">
        <f>IF(J219="","",ROUND(J219*Steuerungsdaten!$B$5,0))</f>
        <v>539</v>
      </c>
      <c r="O219" s="193">
        <v>235</v>
      </c>
      <c r="P219" s="193">
        <v>373</v>
      </c>
      <c r="Q219" s="193">
        <v>339</v>
      </c>
      <c r="R219" s="193">
        <v>643</v>
      </c>
    </row>
    <row r="220" spans="1:18" x14ac:dyDescent="0.25">
      <c r="A220" s="183">
        <v>5103</v>
      </c>
      <c r="B220" s="184" t="s">
        <v>90</v>
      </c>
      <c r="C220" s="184" t="s">
        <v>314</v>
      </c>
      <c r="D220" s="184" t="s">
        <v>318</v>
      </c>
      <c r="E220" s="185">
        <v>420</v>
      </c>
      <c r="F220" s="185">
        <v>1440</v>
      </c>
      <c r="G220" s="186">
        <f>IF(O220="","",ROUND(O220*Steuerungsdaten!$B$4*IFERROR(VLOOKUP(C220,Steuerungsdaten!$A$12:$B$33,2,FALSE),1),0))</f>
        <v>226</v>
      </c>
      <c r="H220" s="186">
        <f>IF(P220="","",ROUND(P220*Steuerungsdaten!$B$4*IFERROR(VLOOKUP(C220,Steuerungsdaten!$A$12:$D$33,4,FALSE),1),0))</f>
        <v>326</v>
      </c>
      <c r="I220" s="186">
        <f>IF(Q220="","",ROUND(Q220*Steuerungsdaten!$B$4*IFERROR(VLOOKUP(C220,Steuerungsdaten!$A$12:$F$33,6,FALSE),1),0))</f>
        <v>358</v>
      </c>
      <c r="J220" s="186">
        <f>IF(R220="","",ROUND(R220*Steuerungsdaten!$B$4*IFERROR(VLOOKUP(C220,Steuerungsdaten!$A$12:$H$33,8,FALSE),1),0))</f>
        <v>520</v>
      </c>
      <c r="K220" s="186">
        <f>IF(G220="","",ROUND(G220*Steuerungsdaten!$B$5,0))</f>
        <v>260</v>
      </c>
      <c r="L220" s="186">
        <f>IF(H220="","",ROUND(H220*Steuerungsdaten!$B$5,0))</f>
        <v>375</v>
      </c>
      <c r="M220" s="186">
        <f>IF(I220="","",ROUND(I220*Steuerungsdaten!$B$5,0))</f>
        <v>412</v>
      </c>
      <c r="N220" s="187">
        <f>IF(J220="","",ROUND(J220*Steuerungsdaten!$B$5,0))</f>
        <v>598</v>
      </c>
      <c r="O220" s="193">
        <v>257</v>
      </c>
      <c r="P220" s="193">
        <v>472</v>
      </c>
      <c r="Q220" s="193">
        <v>402</v>
      </c>
      <c r="R220" s="193">
        <v>712</v>
      </c>
    </row>
    <row r="221" spans="1:18" x14ac:dyDescent="0.25">
      <c r="A221" s="188">
        <v>5104</v>
      </c>
      <c r="B221" s="189" t="s">
        <v>90</v>
      </c>
      <c r="C221" s="189" t="s">
        <v>314</v>
      </c>
      <c r="D221" s="189" t="s">
        <v>319</v>
      </c>
      <c r="E221" s="190">
        <v>420</v>
      </c>
      <c r="F221" s="190">
        <v>1800</v>
      </c>
      <c r="G221" s="191">
        <f>IF(O221="","",ROUND(O221*Steuerungsdaten!$B$4*IFERROR(VLOOKUP(C221,Steuerungsdaten!$A$12:$B$33,2,FALSE),1),0))</f>
        <v>299</v>
      </c>
      <c r="H221" s="191">
        <f>IF(P221="","",ROUND(P221*Steuerungsdaten!$B$4*IFERROR(VLOOKUP(C221,Steuerungsdaten!$A$12:$D$33,4,FALSE),1),0))</f>
        <v>462</v>
      </c>
      <c r="I221" s="191">
        <f>IF(Q221="","",ROUND(Q221*Steuerungsdaten!$B$4*IFERROR(VLOOKUP(C221,Steuerungsdaten!$A$12:$F$33,6,FALSE),1),0))</f>
        <v>440</v>
      </c>
      <c r="J221" s="191">
        <f>IF(R221="","",ROUND(R221*Steuerungsdaten!$B$4*IFERROR(VLOOKUP(C221,Steuerungsdaten!$A$12:$H$33,8,FALSE),1),0))</f>
        <v>609</v>
      </c>
      <c r="K221" s="191">
        <f>IF(G221="","",ROUND(G221*Steuerungsdaten!$B$5,0))</f>
        <v>344</v>
      </c>
      <c r="L221" s="191">
        <f>IF(H221="","",ROUND(H221*Steuerungsdaten!$B$5,0))</f>
        <v>531</v>
      </c>
      <c r="M221" s="191">
        <f>IF(I221="","",ROUND(I221*Steuerungsdaten!$B$5,0))</f>
        <v>506</v>
      </c>
      <c r="N221" s="192">
        <f>IF(J221="","",ROUND(J221*Steuerungsdaten!$B$5,0))</f>
        <v>700</v>
      </c>
      <c r="O221" s="193">
        <v>340</v>
      </c>
      <c r="P221" s="193">
        <v>669</v>
      </c>
      <c r="Q221" s="193">
        <v>494</v>
      </c>
      <c r="R221" s="193">
        <v>834</v>
      </c>
    </row>
    <row r="222" spans="1:18" x14ac:dyDescent="0.25">
      <c r="A222" s="183">
        <v>5105</v>
      </c>
      <c r="B222" s="184" t="s">
        <v>90</v>
      </c>
      <c r="C222" s="184" t="s">
        <v>314</v>
      </c>
      <c r="D222" s="184" t="s">
        <v>320</v>
      </c>
      <c r="E222" s="185">
        <v>580</v>
      </c>
      <c r="F222" s="185">
        <v>360</v>
      </c>
      <c r="G222" s="186">
        <f>IF(O222="","",ROUND(O222*Steuerungsdaten!$B$4*IFERROR(VLOOKUP(C222,Steuerungsdaten!$A$12:$B$33,2,FALSE),1),0))</f>
        <v>135</v>
      </c>
      <c r="H222" s="186">
        <f>IF(P222="","",ROUND(P222*Steuerungsdaten!$B$4*IFERROR(VLOOKUP(C222,Steuerungsdaten!$A$12:$D$33,4,FALSE),1),0))</f>
        <v>157</v>
      </c>
      <c r="I222" s="186">
        <f>IF(Q222="","",ROUND(Q222*Steuerungsdaten!$B$4*IFERROR(VLOOKUP(C222,Steuerungsdaten!$A$12:$F$33,6,FALSE),1),0))</f>
        <v>185</v>
      </c>
      <c r="J222" s="186">
        <f>IF(R222="","",ROUND(R222*Steuerungsdaten!$B$4*IFERROR(VLOOKUP(C222,Steuerungsdaten!$A$12:$H$33,8,FALSE),1),0))</f>
        <v>372</v>
      </c>
      <c r="K222" s="186">
        <f>IF(G222="","",ROUND(G222*Steuerungsdaten!$B$5,0))</f>
        <v>155</v>
      </c>
      <c r="L222" s="186">
        <f>IF(H222="","",ROUND(H222*Steuerungsdaten!$B$5,0))</f>
        <v>181</v>
      </c>
      <c r="M222" s="186">
        <f>IF(I222="","",ROUND(I222*Steuerungsdaten!$B$5,0))</f>
        <v>213</v>
      </c>
      <c r="N222" s="187">
        <f>IF(J222="","",ROUND(J222*Steuerungsdaten!$B$5,0))</f>
        <v>428</v>
      </c>
      <c r="O222" s="193">
        <v>153</v>
      </c>
      <c r="P222" s="193">
        <v>228</v>
      </c>
      <c r="Q222" s="193">
        <v>208</v>
      </c>
      <c r="R222" s="193">
        <v>509</v>
      </c>
    </row>
    <row r="223" spans="1:18" x14ac:dyDescent="0.25">
      <c r="A223" s="188">
        <v>5106</v>
      </c>
      <c r="B223" s="189" t="s">
        <v>90</v>
      </c>
      <c r="C223" s="189" t="s">
        <v>314</v>
      </c>
      <c r="D223" s="189" t="s">
        <v>321</v>
      </c>
      <c r="E223" s="190">
        <v>580</v>
      </c>
      <c r="F223" s="190">
        <v>720</v>
      </c>
      <c r="G223" s="191">
        <f>IF(O223="","",ROUND(O223*Steuerungsdaten!$B$4*IFERROR(VLOOKUP(C223,Steuerungsdaten!$A$12:$B$33,2,FALSE),1),0))</f>
        <v>185</v>
      </c>
      <c r="H223" s="191">
        <f>IF(P223="","",ROUND(P223*Steuerungsdaten!$B$4*IFERROR(VLOOKUP(C223,Steuerungsdaten!$A$12:$D$33,4,FALSE),1),0))</f>
        <v>229</v>
      </c>
      <c r="I223" s="191">
        <f>IF(Q223="","",ROUND(Q223*Steuerungsdaten!$B$4*IFERROR(VLOOKUP(C223,Steuerungsdaten!$A$12:$F$33,6,FALSE),1),0))</f>
        <v>272</v>
      </c>
      <c r="J223" s="191">
        <f>IF(R223="","",ROUND(R223*Steuerungsdaten!$B$4*IFERROR(VLOOKUP(C223,Steuerungsdaten!$A$12:$H$33,8,FALSE),1),0))</f>
        <v>427</v>
      </c>
      <c r="K223" s="191">
        <f>IF(G223="","",ROUND(G223*Steuerungsdaten!$B$5,0))</f>
        <v>213</v>
      </c>
      <c r="L223" s="191">
        <f>IF(H223="","",ROUND(H223*Steuerungsdaten!$B$5,0))</f>
        <v>263</v>
      </c>
      <c r="M223" s="191">
        <f>IF(I223="","",ROUND(I223*Steuerungsdaten!$B$5,0))</f>
        <v>313</v>
      </c>
      <c r="N223" s="192">
        <f>IF(J223="","",ROUND(J223*Steuerungsdaten!$B$5,0))</f>
        <v>491</v>
      </c>
      <c r="O223" s="193">
        <v>210</v>
      </c>
      <c r="P223" s="193">
        <v>332</v>
      </c>
      <c r="Q223" s="193">
        <v>306</v>
      </c>
      <c r="R223" s="193">
        <v>585</v>
      </c>
    </row>
    <row r="224" spans="1:18" x14ac:dyDescent="0.25">
      <c r="A224" s="183">
        <v>5107</v>
      </c>
      <c r="B224" s="184" t="s">
        <v>90</v>
      </c>
      <c r="C224" s="184" t="s">
        <v>314</v>
      </c>
      <c r="D224" s="184" t="s">
        <v>322</v>
      </c>
      <c r="E224" s="185">
        <v>580</v>
      </c>
      <c r="F224" s="185">
        <v>1080</v>
      </c>
      <c r="G224" s="186">
        <f>IF(O224="","",ROUND(O224*Steuerungsdaten!$B$4*IFERROR(VLOOKUP(C224,Steuerungsdaten!$A$12:$B$33,2,FALSE),1),0))</f>
        <v>245</v>
      </c>
      <c r="H224" s="186">
        <f>IF(P224="","",ROUND(P224*Steuerungsdaten!$B$4*IFERROR(VLOOKUP(C224,Steuerungsdaten!$A$12:$D$33,4,FALSE),1),0))</f>
        <v>317</v>
      </c>
      <c r="I224" s="186">
        <f>IF(Q224="","",ROUND(Q224*Steuerungsdaten!$B$4*IFERROR(VLOOKUP(C224,Steuerungsdaten!$A$12:$F$33,6,FALSE),1),0))</f>
        <v>369</v>
      </c>
      <c r="J224" s="186">
        <f>IF(R224="","",ROUND(R224*Steuerungsdaten!$B$4*IFERROR(VLOOKUP(C224,Steuerungsdaten!$A$12:$H$33,8,FALSE),1),0))</f>
        <v>518</v>
      </c>
      <c r="K224" s="186">
        <f>IF(G224="","",ROUND(G224*Steuerungsdaten!$B$5,0))</f>
        <v>282</v>
      </c>
      <c r="L224" s="186">
        <f>IF(H224="","",ROUND(H224*Steuerungsdaten!$B$5,0))</f>
        <v>365</v>
      </c>
      <c r="M224" s="186">
        <f>IF(I224="","",ROUND(I224*Steuerungsdaten!$B$5,0))</f>
        <v>424</v>
      </c>
      <c r="N224" s="187">
        <f>IF(J224="","",ROUND(J224*Steuerungsdaten!$B$5,0))</f>
        <v>596</v>
      </c>
      <c r="O224" s="193">
        <v>278</v>
      </c>
      <c r="P224" s="193">
        <v>459</v>
      </c>
      <c r="Q224" s="193">
        <v>415</v>
      </c>
      <c r="R224" s="193">
        <v>709</v>
      </c>
    </row>
    <row r="225" spans="1:18" x14ac:dyDescent="0.25">
      <c r="A225" s="188">
        <v>5108</v>
      </c>
      <c r="B225" s="189" t="s">
        <v>90</v>
      </c>
      <c r="C225" s="189" t="s">
        <v>314</v>
      </c>
      <c r="D225" s="189" t="s">
        <v>323</v>
      </c>
      <c r="E225" s="190">
        <v>580</v>
      </c>
      <c r="F225" s="190">
        <v>1440</v>
      </c>
      <c r="G225" s="191">
        <f>IF(O225="","",ROUND(O225*Steuerungsdaten!$B$4*IFERROR(VLOOKUP(C225,Steuerungsdaten!$A$12:$B$33,2,FALSE),1),0))</f>
        <v>297</v>
      </c>
      <c r="H225" s="191">
        <f>IF(P225="","",ROUND(P225*Steuerungsdaten!$B$4*IFERROR(VLOOKUP(C225,Steuerungsdaten!$A$12:$D$33,4,FALSE),1),0))</f>
        <v>386</v>
      </c>
      <c r="I225" s="191">
        <f>IF(Q225="","",ROUND(Q225*Steuerungsdaten!$B$4*IFERROR(VLOOKUP(C225,Steuerungsdaten!$A$12:$F$33,6,FALSE),1),0))</f>
        <v>448</v>
      </c>
      <c r="J225" s="191">
        <f>IF(R225="","",ROUND(R225*Steuerungsdaten!$B$4*IFERROR(VLOOKUP(C225,Steuerungsdaten!$A$12:$H$33,8,FALSE),1),0))</f>
        <v>691</v>
      </c>
      <c r="K225" s="191">
        <f>IF(G225="","",ROUND(G225*Steuerungsdaten!$B$5,0))</f>
        <v>342</v>
      </c>
      <c r="L225" s="191">
        <f>IF(H225="","",ROUND(H225*Steuerungsdaten!$B$5,0))</f>
        <v>444</v>
      </c>
      <c r="M225" s="191">
        <f>IF(I225="","",ROUND(I225*Steuerungsdaten!$B$5,0))</f>
        <v>515</v>
      </c>
      <c r="N225" s="192">
        <f>IF(J225="","",ROUND(J225*Steuerungsdaten!$B$5,0))</f>
        <v>795</v>
      </c>
      <c r="O225" s="193">
        <v>337</v>
      </c>
      <c r="P225" s="193">
        <v>560</v>
      </c>
      <c r="Q225" s="193">
        <v>503</v>
      </c>
      <c r="R225" s="193">
        <v>946</v>
      </c>
    </row>
    <row r="226" spans="1:18" x14ac:dyDescent="0.25">
      <c r="A226" s="183">
        <v>5109</v>
      </c>
      <c r="B226" s="184" t="s">
        <v>90</v>
      </c>
      <c r="C226" s="184" t="s">
        <v>314</v>
      </c>
      <c r="D226" s="184" t="s">
        <v>324</v>
      </c>
      <c r="E226" s="185">
        <v>580</v>
      </c>
      <c r="F226" s="185">
        <v>1800</v>
      </c>
      <c r="G226" s="186">
        <f>IF(O226="","",ROUND(O226*Steuerungsdaten!$B$4*IFERROR(VLOOKUP(C226,Steuerungsdaten!$A$12:$B$33,2,FALSE),1),0))</f>
        <v>367</v>
      </c>
      <c r="H226" s="186">
        <f>IF(P226="","",ROUND(P226*Steuerungsdaten!$B$4*IFERROR(VLOOKUP(C226,Steuerungsdaten!$A$12:$D$33,4,FALSE),1),0))</f>
        <v>566</v>
      </c>
      <c r="I226" s="186">
        <f>IF(Q226="","",ROUND(Q226*Steuerungsdaten!$B$4*IFERROR(VLOOKUP(C226,Steuerungsdaten!$A$12:$F$33,6,FALSE),1),0))</f>
        <v>551</v>
      </c>
      <c r="J226" s="186">
        <f>IF(R226="","",ROUND(R226*Steuerungsdaten!$B$4*IFERROR(VLOOKUP(C226,Steuerungsdaten!$A$12:$H$33,8,FALSE),1),0))</f>
        <v>850</v>
      </c>
      <c r="K226" s="186">
        <f>IF(G226="","",ROUND(G226*Steuerungsdaten!$B$5,0))</f>
        <v>422</v>
      </c>
      <c r="L226" s="186">
        <f>IF(H226="","",ROUND(H226*Steuerungsdaten!$B$5,0))</f>
        <v>651</v>
      </c>
      <c r="M226" s="186">
        <f>IF(I226="","",ROUND(I226*Steuerungsdaten!$B$5,0))</f>
        <v>634</v>
      </c>
      <c r="N226" s="187">
        <f>IF(J226="","",ROUND(J226*Steuerungsdaten!$B$5,0))</f>
        <v>978</v>
      </c>
      <c r="O226" s="193">
        <v>417</v>
      </c>
      <c r="P226" s="193">
        <v>821</v>
      </c>
      <c r="Q226" s="193">
        <v>619</v>
      </c>
      <c r="R226" s="193">
        <v>1164</v>
      </c>
    </row>
    <row r="227" spans="1:18" x14ac:dyDescent="0.25">
      <c r="A227" s="188">
        <v>5110</v>
      </c>
      <c r="B227" s="189" t="s">
        <v>90</v>
      </c>
      <c r="C227" s="189" t="s">
        <v>314</v>
      </c>
      <c r="D227" s="189" t="s">
        <v>325</v>
      </c>
      <c r="E227" s="190">
        <v>360</v>
      </c>
      <c r="F227" s="190">
        <v>360</v>
      </c>
      <c r="G227" s="191">
        <f>IF(O227="","",ROUND(O227*Steuerungsdaten!$B$4*IFERROR(VLOOKUP(C227,Steuerungsdaten!$A$12:$B$33,2,FALSE),1),0))</f>
        <v>120</v>
      </c>
      <c r="H227" s="191">
        <f>IF(P227="","",ROUND(P227*Steuerungsdaten!$B$4*IFERROR(VLOOKUP(C227,Steuerungsdaten!$A$12:$D$33,4,FALSE),1),0))</f>
        <v>185</v>
      </c>
      <c r="I227" s="191">
        <f>IF(Q227="","",ROUND(Q227*Steuerungsdaten!$B$4*IFERROR(VLOOKUP(C227,Steuerungsdaten!$A$12:$F$33,6,FALSE),1),0))</f>
        <v>211</v>
      </c>
      <c r="J227" s="191">
        <f>IF(R227="","",ROUND(R227*Steuerungsdaten!$B$4*IFERROR(VLOOKUP(C227,Steuerungsdaten!$A$12:$H$33,8,FALSE),1),0))</f>
        <v>326</v>
      </c>
      <c r="K227" s="191">
        <f>IF(G227="","",ROUND(G227*Steuerungsdaten!$B$5,0))</f>
        <v>138</v>
      </c>
      <c r="L227" s="191">
        <f>IF(H227="","",ROUND(H227*Steuerungsdaten!$B$5,0))</f>
        <v>213</v>
      </c>
      <c r="M227" s="191">
        <f>IF(I227="","",ROUND(I227*Steuerungsdaten!$B$5,0))</f>
        <v>243</v>
      </c>
      <c r="N227" s="192">
        <f>IF(J227="","",ROUND(J227*Steuerungsdaten!$B$5,0))</f>
        <v>375</v>
      </c>
      <c r="O227" s="193">
        <v>136</v>
      </c>
      <c r="P227" s="193">
        <v>268</v>
      </c>
      <c r="Q227" s="193">
        <v>237</v>
      </c>
      <c r="R227" s="193">
        <v>446</v>
      </c>
    </row>
    <row r="228" spans="1:18" x14ac:dyDescent="0.25">
      <c r="A228" s="183">
        <v>5111</v>
      </c>
      <c r="B228" s="184" t="s">
        <v>90</v>
      </c>
      <c r="C228" s="184" t="s">
        <v>314</v>
      </c>
      <c r="D228" s="184" t="s">
        <v>326</v>
      </c>
      <c r="E228" s="185">
        <v>780</v>
      </c>
      <c r="F228" s="185">
        <v>360</v>
      </c>
      <c r="G228" s="186" t="str">
        <f>IF(O228="","",ROUND(O228*Steuerungsdaten!$B$4*IFERROR(VLOOKUP(C228,Steuerungsdaten!$A$12:$B$33,2,FALSE),1),0))</f>
        <v/>
      </c>
      <c r="H228" s="186" t="str">
        <f>IF(P228="","",ROUND(P228*Steuerungsdaten!$B$4*IFERROR(VLOOKUP(C228,Steuerungsdaten!$A$12:$D$33,4,FALSE),1),0))</f>
        <v/>
      </c>
      <c r="I228" s="186">
        <f>IF(Q228="","",ROUND(Q228*Steuerungsdaten!$B$4*IFERROR(VLOOKUP(C228,Steuerungsdaten!$A$12:$F$33,6,FALSE),1),0))</f>
        <v>231</v>
      </c>
      <c r="J228" s="186">
        <f>IF(R228="","",ROUND(R228*Steuerungsdaten!$B$4*IFERROR(VLOOKUP(C228,Steuerungsdaten!$A$12:$H$33,8,FALSE),1),0))</f>
        <v>356</v>
      </c>
      <c r="K228" s="186" t="str">
        <f>IF(G228="","",ROUND(G228*Steuerungsdaten!$B$5,0))</f>
        <v/>
      </c>
      <c r="L228" s="186" t="str">
        <f>IF(H228="","",ROUND(H228*Steuerungsdaten!$B$5,0))</f>
        <v/>
      </c>
      <c r="M228" s="186">
        <f>IF(I228="","",ROUND(I228*Steuerungsdaten!$B$5,0))</f>
        <v>266</v>
      </c>
      <c r="N228" s="187">
        <f>IF(J228="","",ROUND(J228*Steuerungsdaten!$B$5,0))</f>
        <v>409</v>
      </c>
      <c r="O228" s="193"/>
      <c r="P228" s="193"/>
      <c r="Q228" s="193">
        <v>259</v>
      </c>
      <c r="R228" s="193">
        <v>487</v>
      </c>
    </row>
    <row r="229" spans="1:18" ht="21.95" customHeight="1" x14ac:dyDescent="0.25">
      <c r="A229" s="176" t="s">
        <v>327</v>
      </c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93"/>
      <c r="P229" s="193"/>
      <c r="Q229" s="193"/>
      <c r="R229" s="193"/>
    </row>
    <row r="230" spans="1:18" x14ac:dyDescent="0.25">
      <c r="A230" s="178">
        <v>5200</v>
      </c>
      <c r="B230" s="179" t="s">
        <v>90</v>
      </c>
      <c r="C230" s="179" t="s">
        <v>327</v>
      </c>
      <c r="D230" s="179" t="s">
        <v>328</v>
      </c>
      <c r="E230" s="180">
        <v>780</v>
      </c>
      <c r="F230" s="180">
        <v>360</v>
      </c>
      <c r="G230" s="181">
        <f>IF(O230="","",ROUND(O230*Steuerungsdaten!$B$4*IFERROR(VLOOKUP(C230,Steuerungsdaten!$A$12:$B$33,2,FALSE),1),0))</f>
        <v>224</v>
      </c>
      <c r="H230" s="181">
        <f>IF(P230="","",ROUND(P230*Steuerungsdaten!$B$4*IFERROR(VLOOKUP(C230,Steuerungsdaten!$A$12:$D$33,4,FALSE),1),0))</f>
        <v>264</v>
      </c>
      <c r="I230" s="181">
        <f>IF(Q230="","",ROUND(Q230*Steuerungsdaten!$B$4*IFERROR(VLOOKUP(C230,Steuerungsdaten!$A$12:$F$33,6,FALSE),1),0))</f>
        <v>301</v>
      </c>
      <c r="J230" s="181">
        <f>IF(R230="","",ROUND(R230*Steuerungsdaten!$B$4*IFERROR(VLOOKUP(C230,Steuerungsdaten!$A$12:$H$33,8,FALSE),1),0))</f>
        <v>642</v>
      </c>
      <c r="K230" s="181">
        <f>IF(G230="","",ROUND(G230*Steuerungsdaten!$B$5,0))</f>
        <v>258</v>
      </c>
      <c r="L230" s="181">
        <f>IF(H230="","",ROUND(H230*Steuerungsdaten!$B$5,0))</f>
        <v>304</v>
      </c>
      <c r="M230" s="181">
        <f>IF(I230="","",ROUND(I230*Steuerungsdaten!$B$5,0))</f>
        <v>346</v>
      </c>
      <c r="N230" s="182">
        <f>IF(J230="","",ROUND(J230*Steuerungsdaten!$B$5,0))</f>
        <v>738</v>
      </c>
      <c r="O230" s="193">
        <v>255</v>
      </c>
      <c r="P230" s="193">
        <v>367</v>
      </c>
      <c r="Q230" s="193">
        <v>334</v>
      </c>
      <c r="R230" s="193">
        <v>867</v>
      </c>
    </row>
    <row r="231" spans="1:18" x14ac:dyDescent="0.25">
      <c r="A231" s="183">
        <v>5210</v>
      </c>
      <c r="B231" s="184" t="s">
        <v>90</v>
      </c>
      <c r="C231" s="184" t="s">
        <v>327</v>
      </c>
      <c r="D231" s="184" t="s">
        <v>329</v>
      </c>
      <c r="E231" s="185">
        <v>780</v>
      </c>
      <c r="F231" s="185">
        <v>660</v>
      </c>
      <c r="G231" s="186">
        <f>IF(O231="","",ROUND(O231*Steuerungsdaten!$B$4*IFERROR(VLOOKUP(C231,Steuerungsdaten!$A$12:$B$33,2,FALSE),1),0))</f>
        <v>276</v>
      </c>
      <c r="H231" s="186">
        <f>IF(P231="","",ROUND(P231*Steuerungsdaten!$B$4*IFERROR(VLOOKUP(C231,Steuerungsdaten!$A$12:$D$33,4,FALSE),1),0))</f>
        <v>445</v>
      </c>
      <c r="I231" s="186">
        <f>IF(Q231="","",ROUND(Q231*Steuerungsdaten!$B$4*IFERROR(VLOOKUP(C231,Steuerungsdaten!$A$12:$F$33,6,FALSE),1),0))</f>
        <v>381</v>
      </c>
      <c r="J231" s="186">
        <f>IF(R231="","",ROUND(R231*Steuerungsdaten!$B$4*IFERROR(VLOOKUP(C231,Steuerungsdaten!$A$12:$H$33,8,FALSE),1),0))</f>
        <v>589</v>
      </c>
      <c r="K231" s="186">
        <f>IF(G231="","",ROUND(G231*Steuerungsdaten!$B$5,0))</f>
        <v>317</v>
      </c>
      <c r="L231" s="186">
        <f>IF(H231="","",ROUND(H231*Steuerungsdaten!$B$5,0))</f>
        <v>512</v>
      </c>
      <c r="M231" s="186">
        <f>IF(I231="","",ROUND(I231*Steuerungsdaten!$B$5,0))</f>
        <v>438</v>
      </c>
      <c r="N231" s="187">
        <f>IF(J231="","",ROUND(J231*Steuerungsdaten!$B$5,0))</f>
        <v>677</v>
      </c>
      <c r="O231" s="193">
        <v>314</v>
      </c>
      <c r="P231" s="193">
        <v>618</v>
      </c>
      <c r="Q231" s="193">
        <v>423</v>
      </c>
      <c r="R231" s="193">
        <v>796</v>
      </c>
    </row>
    <row r="232" spans="1:18" x14ac:dyDescent="0.25">
      <c r="A232" s="188">
        <v>5201</v>
      </c>
      <c r="B232" s="189" t="s">
        <v>90</v>
      </c>
      <c r="C232" s="189" t="s">
        <v>327</v>
      </c>
      <c r="D232" s="189" t="s">
        <v>330</v>
      </c>
      <c r="E232" s="190">
        <v>780</v>
      </c>
      <c r="F232" s="190">
        <v>720</v>
      </c>
      <c r="G232" s="191">
        <f>IF(O232="","",ROUND(O232*Steuerungsdaten!$B$4*IFERROR(VLOOKUP(C232,Steuerungsdaten!$A$12:$B$33,2,FALSE),1),0))</f>
        <v>276</v>
      </c>
      <c r="H232" s="191">
        <f>IF(P232="","",ROUND(P232*Steuerungsdaten!$B$4*IFERROR(VLOOKUP(C232,Steuerungsdaten!$A$12:$D$33,4,FALSE),1),0))</f>
        <v>348</v>
      </c>
      <c r="I232" s="191">
        <f>IF(Q232="","",ROUND(Q232*Steuerungsdaten!$B$4*IFERROR(VLOOKUP(C232,Steuerungsdaten!$A$12:$F$33,6,FALSE),1),0))</f>
        <v>381</v>
      </c>
      <c r="J232" s="191">
        <f>IF(R232="","",ROUND(R232*Steuerungsdaten!$B$4*IFERROR(VLOOKUP(C232,Steuerungsdaten!$A$12:$H$33,8,FALSE),1),0))</f>
        <v>667</v>
      </c>
      <c r="K232" s="191">
        <f>IF(G232="","",ROUND(G232*Steuerungsdaten!$B$5,0))</f>
        <v>317</v>
      </c>
      <c r="L232" s="191">
        <f>IF(H232="","",ROUND(H232*Steuerungsdaten!$B$5,0))</f>
        <v>400</v>
      </c>
      <c r="M232" s="191">
        <f>IF(I232="","",ROUND(I232*Steuerungsdaten!$B$5,0))</f>
        <v>438</v>
      </c>
      <c r="N232" s="192">
        <f>IF(J232="","",ROUND(J232*Steuerungsdaten!$B$5,0))</f>
        <v>767</v>
      </c>
      <c r="O232" s="193">
        <v>314</v>
      </c>
      <c r="P232" s="193">
        <v>484</v>
      </c>
      <c r="Q232" s="193">
        <v>423</v>
      </c>
      <c r="R232" s="193">
        <v>902</v>
      </c>
    </row>
    <row r="233" spans="1:18" x14ac:dyDescent="0.25">
      <c r="A233" s="183">
        <v>5202</v>
      </c>
      <c r="B233" s="184" t="s">
        <v>90</v>
      </c>
      <c r="C233" s="184" t="s">
        <v>327</v>
      </c>
      <c r="D233" s="184" t="s">
        <v>331</v>
      </c>
      <c r="E233" s="185">
        <v>780</v>
      </c>
      <c r="F233" s="185">
        <v>1080</v>
      </c>
      <c r="G233" s="186">
        <f>IF(O233="","",ROUND(O233*Steuerungsdaten!$B$4*IFERROR(VLOOKUP(C233,Steuerungsdaten!$A$12:$B$33,2,FALSE),1),0))</f>
        <v>408</v>
      </c>
      <c r="H233" s="186">
        <f>IF(P233="","",ROUND(P233*Steuerungsdaten!$B$4*IFERROR(VLOOKUP(C233,Steuerungsdaten!$A$12:$D$33,4,FALSE),1),0))</f>
        <v>516</v>
      </c>
      <c r="I233" s="186">
        <f>IF(Q233="","",ROUND(Q233*Steuerungsdaten!$B$4*IFERROR(VLOOKUP(C233,Steuerungsdaten!$A$12:$F$33,6,FALSE),1),0))</f>
        <v>562</v>
      </c>
      <c r="J233" s="186">
        <f>IF(R233="","",ROUND(R233*Steuerungsdaten!$B$4*IFERROR(VLOOKUP(C233,Steuerungsdaten!$A$12:$H$33,8,FALSE),1),0))</f>
        <v>843</v>
      </c>
      <c r="K233" s="186">
        <f>IF(G233="","",ROUND(G233*Steuerungsdaten!$B$5,0))</f>
        <v>469</v>
      </c>
      <c r="L233" s="186">
        <f>IF(H233="","",ROUND(H233*Steuerungsdaten!$B$5,0))</f>
        <v>593</v>
      </c>
      <c r="M233" s="186">
        <f>IF(I233="","",ROUND(I233*Steuerungsdaten!$B$5,0))</f>
        <v>646</v>
      </c>
      <c r="N233" s="187">
        <f>IF(J233="","",ROUND(J233*Steuerungsdaten!$B$5,0))</f>
        <v>969</v>
      </c>
      <c r="O233" s="193">
        <v>464</v>
      </c>
      <c r="P233" s="193">
        <v>716</v>
      </c>
      <c r="Q233" s="193">
        <v>624</v>
      </c>
      <c r="R233" s="193">
        <v>1139</v>
      </c>
    </row>
    <row r="234" spans="1:18" x14ac:dyDescent="0.25">
      <c r="A234" s="188">
        <v>5203</v>
      </c>
      <c r="B234" s="189" t="s">
        <v>90</v>
      </c>
      <c r="C234" s="189" t="s">
        <v>327</v>
      </c>
      <c r="D234" s="189" t="s">
        <v>332</v>
      </c>
      <c r="E234" s="190">
        <v>780</v>
      </c>
      <c r="F234" s="190">
        <v>1440</v>
      </c>
      <c r="G234" s="191">
        <f>IF(O234="","",ROUND(O234*Steuerungsdaten!$B$4*IFERROR(VLOOKUP(C234,Steuerungsdaten!$A$12:$B$33,2,FALSE),1),0))</f>
        <v>477</v>
      </c>
      <c r="H234" s="191">
        <f>IF(P234="","",ROUND(P234*Steuerungsdaten!$B$4*IFERROR(VLOOKUP(C234,Steuerungsdaten!$A$12:$D$33,4,FALSE),1),0))</f>
        <v>621</v>
      </c>
      <c r="I234" s="191">
        <f>IF(Q234="","",ROUND(Q234*Steuerungsdaten!$B$4*IFERROR(VLOOKUP(C234,Steuerungsdaten!$A$12:$F$33,6,FALSE),1),0))</f>
        <v>671</v>
      </c>
      <c r="J234" s="191">
        <f>IF(R234="","",ROUND(R234*Steuerungsdaten!$B$4*IFERROR(VLOOKUP(C234,Steuerungsdaten!$A$12:$H$33,8,FALSE),1),0))</f>
        <v>936</v>
      </c>
      <c r="K234" s="191">
        <f>IF(G234="","",ROUND(G234*Steuerungsdaten!$B$5,0))</f>
        <v>549</v>
      </c>
      <c r="L234" s="191">
        <f>IF(H234="","",ROUND(H234*Steuerungsdaten!$B$5,0))</f>
        <v>714</v>
      </c>
      <c r="M234" s="191">
        <f>IF(I234="","",ROUND(I234*Steuerungsdaten!$B$5,0))</f>
        <v>772</v>
      </c>
      <c r="N234" s="192">
        <f>IF(J234="","",ROUND(J234*Steuerungsdaten!$B$5,0))</f>
        <v>1076</v>
      </c>
      <c r="O234" s="193">
        <v>542</v>
      </c>
      <c r="P234" s="193">
        <v>863</v>
      </c>
      <c r="Q234" s="193">
        <v>746</v>
      </c>
      <c r="R234" s="193">
        <v>1265</v>
      </c>
    </row>
    <row r="235" spans="1:18" x14ac:dyDescent="0.25">
      <c r="A235" s="183">
        <v>5204</v>
      </c>
      <c r="B235" s="184" t="s">
        <v>90</v>
      </c>
      <c r="C235" s="184" t="s">
        <v>327</v>
      </c>
      <c r="D235" s="184" t="s">
        <v>333</v>
      </c>
      <c r="E235" s="185">
        <v>780</v>
      </c>
      <c r="F235" s="185">
        <v>1800</v>
      </c>
      <c r="G235" s="186">
        <f>IF(O235="","",ROUND(O235*Steuerungsdaten!$B$4*IFERROR(VLOOKUP(C235,Steuerungsdaten!$A$12:$B$33,2,FALSE),1),0))</f>
        <v>588</v>
      </c>
      <c r="H235" s="186">
        <f>IF(P235="","",ROUND(P235*Steuerungsdaten!$B$4*IFERROR(VLOOKUP(C235,Steuerungsdaten!$A$12:$D$33,4,FALSE),1),0))</f>
        <v>947</v>
      </c>
      <c r="I235" s="186">
        <f>IF(Q235="","",ROUND(Q235*Steuerungsdaten!$B$4*IFERROR(VLOOKUP(C235,Steuerungsdaten!$A$12:$F$33,6,FALSE),1),0))</f>
        <v>825</v>
      </c>
      <c r="J235" s="186">
        <f>IF(R235="","",ROUND(R235*Steuerungsdaten!$B$4*IFERROR(VLOOKUP(C235,Steuerungsdaten!$A$12:$H$33,8,FALSE),1),0))</f>
        <v>1107</v>
      </c>
      <c r="K235" s="186">
        <f>IF(G235="","",ROUND(G235*Steuerungsdaten!$B$5,0))</f>
        <v>676</v>
      </c>
      <c r="L235" s="186">
        <f>IF(H235="","",ROUND(H235*Steuerungsdaten!$B$5,0))</f>
        <v>1089</v>
      </c>
      <c r="M235" s="186">
        <f>IF(I235="","",ROUND(I235*Steuerungsdaten!$B$5,0))</f>
        <v>949</v>
      </c>
      <c r="N235" s="187">
        <f>IF(J235="","",ROUND(J235*Steuerungsdaten!$B$5,0))</f>
        <v>1273</v>
      </c>
      <c r="O235" s="193">
        <v>668</v>
      </c>
      <c r="P235" s="193">
        <v>1315</v>
      </c>
      <c r="Q235" s="193">
        <v>917</v>
      </c>
      <c r="R235" s="193">
        <v>1496</v>
      </c>
    </row>
    <row r="236" spans="1:18" x14ac:dyDescent="0.25">
      <c r="A236" s="188">
        <v>5205</v>
      </c>
      <c r="B236" s="189" t="s">
        <v>90</v>
      </c>
      <c r="C236" s="189" t="s">
        <v>327</v>
      </c>
      <c r="D236" s="189" t="s">
        <v>334</v>
      </c>
      <c r="E236" s="190">
        <v>980</v>
      </c>
      <c r="F236" s="190">
        <v>360</v>
      </c>
      <c r="G236" s="191">
        <f>IF(O236="","",ROUND(O236*Steuerungsdaten!$B$4*IFERROR(VLOOKUP(C236,Steuerungsdaten!$A$12:$B$33,2,FALSE),1),0))</f>
        <v>237</v>
      </c>
      <c r="H236" s="191">
        <f>IF(P236="","",ROUND(P236*Steuerungsdaten!$B$4*IFERROR(VLOOKUP(C236,Steuerungsdaten!$A$12:$D$33,4,FALSE),1),0))</f>
        <v>292</v>
      </c>
      <c r="I236" s="191">
        <f>IF(Q236="","",ROUND(Q236*Steuerungsdaten!$B$4*IFERROR(VLOOKUP(C236,Steuerungsdaten!$A$12:$F$33,6,FALSE),1),0))</f>
        <v>327</v>
      </c>
      <c r="J236" s="191">
        <f>IF(R236="","",ROUND(R236*Steuerungsdaten!$B$4*IFERROR(VLOOKUP(C236,Steuerungsdaten!$A$12:$H$33,8,FALSE),1),0))</f>
        <v>657</v>
      </c>
      <c r="K236" s="191">
        <f>IF(G236="","",ROUND(G236*Steuerungsdaten!$B$5,0))</f>
        <v>273</v>
      </c>
      <c r="L236" s="191">
        <f>IF(H236="","",ROUND(H236*Steuerungsdaten!$B$5,0))</f>
        <v>336</v>
      </c>
      <c r="M236" s="191">
        <f>IF(I236="","",ROUND(I236*Steuerungsdaten!$B$5,0))</f>
        <v>376</v>
      </c>
      <c r="N236" s="192">
        <f>IF(J236="","",ROUND(J236*Steuerungsdaten!$B$5,0))</f>
        <v>756</v>
      </c>
      <c r="O236" s="193">
        <v>269</v>
      </c>
      <c r="P236" s="193">
        <v>406</v>
      </c>
      <c r="Q236" s="193">
        <v>363</v>
      </c>
      <c r="R236" s="193">
        <v>888</v>
      </c>
    </row>
    <row r="237" spans="1:18" x14ac:dyDescent="0.25">
      <c r="A237" s="183">
        <v>5206</v>
      </c>
      <c r="B237" s="184" t="s">
        <v>90</v>
      </c>
      <c r="C237" s="184" t="s">
        <v>327</v>
      </c>
      <c r="D237" s="184" t="s">
        <v>335</v>
      </c>
      <c r="E237" s="185">
        <v>980</v>
      </c>
      <c r="F237" s="185">
        <v>720</v>
      </c>
      <c r="G237" s="186">
        <f>IF(O237="","",ROUND(O237*Steuerungsdaten!$B$4*IFERROR(VLOOKUP(C237,Steuerungsdaten!$A$12:$B$33,2,FALSE),1),0))</f>
        <v>330</v>
      </c>
      <c r="H237" s="186">
        <f>IF(P237="","",ROUND(P237*Steuerungsdaten!$B$4*IFERROR(VLOOKUP(C237,Steuerungsdaten!$A$12:$D$33,4,FALSE),1),0))</f>
        <v>423</v>
      </c>
      <c r="I237" s="186">
        <f>IF(Q237="","",ROUND(Q237*Steuerungsdaten!$B$4*IFERROR(VLOOKUP(C237,Steuerungsdaten!$A$12:$F$33,6,FALSE),1),0))</f>
        <v>465</v>
      </c>
      <c r="J237" s="186">
        <f>IF(R237="","",ROUND(R237*Steuerungsdaten!$B$4*IFERROR(VLOOKUP(C237,Steuerungsdaten!$A$12:$H$33,8,FALSE),1),0))</f>
        <v>699</v>
      </c>
      <c r="K237" s="186">
        <f>IF(G237="","",ROUND(G237*Steuerungsdaten!$B$5,0))</f>
        <v>380</v>
      </c>
      <c r="L237" s="186">
        <f>IF(H237="","",ROUND(H237*Steuerungsdaten!$B$5,0))</f>
        <v>486</v>
      </c>
      <c r="M237" s="186">
        <f>IF(I237="","",ROUND(I237*Steuerungsdaten!$B$5,0))</f>
        <v>535</v>
      </c>
      <c r="N237" s="187">
        <f>IF(J237="","",ROUND(J237*Steuerungsdaten!$B$5,0))</f>
        <v>804</v>
      </c>
      <c r="O237" s="193">
        <v>375</v>
      </c>
      <c r="P237" s="193">
        <v>587</v>
      </c>
      <c r="Q237" s="193">
        <v>517</v>
      </c>
      <c r="R237" s="193">
        <v>944</v>
      </c>
    </row>
    <row r="238" spans="1:18" x14ac:dyDescent="0.25">
      <c r="A238" s="188">
        <v>5207</v>
      </c>
      <c r="B238" s="189" t="s">
        <v>90</v>
      </c>
      <c r="C238" s="189" t="s">
        <v>327</v>
      </c>
      <c r="D238" s="189" t="s">
        <v>336</v>
      </c>
      <c r="E238" s="190">
        <v>980</v>
      </c>
      <c r="F238" s="190">
        <v>1080</v>
      </c>
      <c r="G238" s="191">
        <f>IF(O238="","",ROUND(O238*Steuerungsdaten!$B$4*IFERROR(VLOOKUP(C238,Steuerungsdaten!$A$12:$B$33,2,FALSE),1),0))</f>
        <v>460</v>
      </c>
      <c r="H238" s="191">
        <f>IF(P238="","",ROUND(P238*Steuerungsdaten!$B$4*IFERROR(VLOOKUP(C238,Steuerungsdaten!$A$12:$D$33,4,FALSE),1),0))</f>
        <v>588</v>
      </c>
      <c r="I238" s="191">
        <f>IF(Q238="","",ROUND(Q238*Steuerungsdaten!$B$4*IFERROR(VLOOKUP(C238,Steuerungsdaten!$A$12:$F$33,6,FALSE),1),0))</f>
        <v>645</v>
      </c>
      <c r="J238" s="191">
        <f>IF(R238="","",ROUND(R238*Steuerungsdaten!$B$4*IFERROR(VLOOKUP(C238,Steuerungsdaten!$A$12:$H$33,8,FALSE),1),0))</f>
        <v>998</v>
      </c>
      <c r="K238" s="191">
        <f>IF(G238="","",ROUND(G238*Steuerungsdaten!$B$5,0))</f>
        <v>529</v>
      </c>
      <c r="L238" s="191">
        <f>IF(H238="","",ROUND(H238*Steuerungsdaten!$B$5,0))</f>
        <v>676</v>
      </c>
      <c r="M238" s="191">
        <f>IF(I238="","",ROUND(I238*Steuerungsdaten!$B$5,0))</f>
        <v>742</v>
      </c>
      <c r="N238" s="192">
        <f>IF(J238="","",ROUND(J238*Steuerungsdaten!$B$5,0))</f>
        <v>1148</v>
      </c>
      <c r="O238" s="193">
        <v>523</v>
      </c>
      <c r="P238" s="193">
        <v>817</v>
      </c>
      <c r="Q238" s="193">
        <v>717</v>
      </c>
      <c r="R238" s="193">
        <v>1349</v>
      </c>
    </row>
    <row r="239" spans="1:18" x14ac:dyDescent="0.25">
      <c r="A239" s="183">
        <v>5208</v>
      </c>
      <c r="B239" s="184" t="s">
        <v>90</v>
      </c>
      <c r="C239" s="184" t="s">
        <v>327</v>
      </c>
      <c r="D239" s="184" t="s">
        <v>337</v>
      </c>
      <c r="E239" s="185">
        <v>980</v>
      </c>
      <c r="F239" s="185">
        <v>1440</v>
      </c>
      <c r="G239" s="186">
        <f>IF(O239="","",ROUND(O239*Steuerungsdaten!$B$4*IFERROR(VLOOKUP(C239,Steuerungsdaten!$A$12:$B$33,2,FALSE),1),0))</f>
        <v>550</v>
      </c>
      <c r="H239" s="186">
        <f>IF(P239="","",ROUND(P239*Steuerungsdaten!$B$4*IFERROR(VLOOKUP(C239,Steuerungsdaten!$A$12:$D$33,4,FALSE),1),0))</f>
        <v>719</v>
      </c>
      <c r="I239" s="186">
        <f>IF(Q239="","",ROUND(Q239*Steuerungsdaten!$B$4*IFERROR(VLOOKUP(C239,Steuerungsdaten!$A$12:$F$33,6,FALSE),1),0))</f>
        <v>782</v>
      </c>
      <c r="J239" s="186">
        <f>IF(R239="","",ROUND(R239*Steuerungsdaten!$B$4*IFERROR(VLOOKUP(C239,Steuerungsdaten!$A$12:$H$33,8,FALSE),1),0))</f>
        <v>1210</v>
      </c>
      <c r="K239" s="186">
        <f>IF(G239="","",ROUND(G239*Steuerungsdaten!$B$5,0))</f>
        <v>633</v>
      </c>
      <c r="L239" s="186">
        <f>IF(H239="","",ROUND(H239*Steuerungsdaten!$B$5,0))</f>
        <v>827</v>
      </c>
      <c r="M239" s="186">
        <f>IF(I239="","",ROUND(I239*Steuerungsdaten!$B$5,0))</f>
        <v>899</v>
      </c>
      <c r="N239" s="187">
        <f>IF(J239="","",ROUND(J239*Steuerungsdaten!$B$5,0))</f>
        <v>1392</v>
      </c>
      <c r="O239" s="193">
        <v>625</v>
      </c>
      <c r="P239" s="193">
        <v>998</v>
      </c>
      <c r="Q239" s="193">
        <v>869</v>
      </c>
      <c r="R239" s="193">
        <v>1635</v>
      </c>
    </row>
    <row r="240" spans="1:18" x14ac:dyDescent="0.25">
      <c r="A240" s="188">
        <v>5209</v>
      </c>
      <c r="B240" s="189" t="s">
        <v>90</v>
      </c>
      <c r="C240" s="189" t="s">
        <v>327</v>
      </c>
      <c r="D240" s="189" t="s">
        <v>338</v>
      </c>
      <c r="E240" s="190">
        <v>980</v>
      </c>
      <c r="F240" s="190">
        <v>1800</v>
      </c>
      <c r="G240" s="191">
        <f>IF(O240="","",ROUND(O240*Steuerungsdaten!$B$4*IFERROR(VLOOKUP(C240,Steuerungsdaten!$A$12:$B$33,2,FALSE),1),0))</f>
        <v>677</v>
      </c>
      <c r="H240" s="191">
        <f>IF(P240="","",ROUND(P240*Steuerungsdaten!$B$4*IFERROR(VLOOKUP(C240,Steuerungsdaten!$A$12:$D$33,4,FALSE),1),0))</f>
        <v>1090</v>
      </c>
      <c r="I240" s="191">
        <f>IF(Q240="","",ROUND(Q240*Steuerungsdaten!$B$4*IFERROR(VLOOKUP(C240,Steuerungsdaten!$A$12:$F$33,6,FALSE),1),0))</f>
        <v>965</v>
      </c>
      <c r="J240" s="191">
        <f>IF(R240="","",ROUND(R240*Steuerungsdaten!$B$4*IFERROR(VLOOKUP(C240,Steuerungsdaten!$A$12:$H$33,8,FALSE),1),0))</f>
        <v>1493</v>
      </c>
      <c r="K240" s="191">
        <f>IF(G240="","",ROUND(G240*Steuerungsdaten!$B$5,0))</f>
        <v>779</v>
      </c>
      <c r="L240" s="191">
        <f>IF(H240="","",ROUND(H240*Steuerungsdaten!$B$5,0))</f>
        <v>1254</v>
      </c>
      <c r="M240" s="191">
        <f>IF(I240="","",ROUND(I240*Steuerungsdaten!$B$5,0))</f>
        <v>1110</v>
      </c>
      <c r="N240" s="192">
        <f>IF(J240="","",ROUND(J240*Steuerungsdaten!$B$5,0))</f>
        <v>1717</v>
      </c>
      <c r="O240" s="193">
        <v>769</v>
      </c>
      <c r="P240" s="193">
        <v>1514</v>
      </c>
      <c r="Q240" s="193">
        <v>1072</v>
      </c>
      <c r="R240" s="193">
        <v>2017</v>
      </c>
    </row>
    <row r="241" spans="1:18" ht="21.95" customHeight="1" x14ac:dyDescent="0.25">
      <c r="A241" s="176" t="s">
        <v>12</v>
      </c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93"/>
      <c r="P241" s="193"/>
      <c r="Q241" s="193"/>
      <c r="R241" s="193"/>
    </row>
    <row r="242" spans="1:18" x14ac:dyDescent="0.25">
      <c r="A242" s="178">
        <v>5300</v>
      </c>
      <c r="B242" s="179" t="s">
        <v>90</v>
      </c>
      <c r="C242" s="179" t="s">
        <v>12</v>
      </c>
      <c r="D242" s="179" t="s">
        <v>339</v>
      </c>
      <c r="E242" s="180">
        <v>420</v>
      </c>
      <c r="F242" s="180">
        <v>180</v>
      </c>
      <c r="G242" s="181">
        <f>IF(O242="","",ROUND(O242*Steuerungsdaten!$B$4*IFERROR(VLOOKUP(C242,Steuerungsdaten!$A$12:$B$33,2,FALSE),1),0))</f>
        <v>257</v>
      </c>
      <c r="H242" s="181">
        <f>IF(P242="","",ROUND(P242*Steuerungsdaten!$B$4*IFERROR(VLOOKUP(C242,Steuerungsdaten!$A$12:$D$33,4,FALSE),1),0))</f>
        <v>248</v>
      </c>
      <c r="I242" s="181">
        <f>IF(Q242="","",ROUND(Q242*Steuerungsdaten!$B$4*IFERROR(VLOOKUP(C242,Steuerungsdaten!$A$12:$F$33,6,FALSE),1),0))</f>
        <v>253</v>
      </c>
      <c r="J242" s="181">
        <f>IF(R242="","",ROUND(R242*Steuerungsdaten!$B$4*IFERROR(VLOOKUP(C242,Steuerungsdaten!$A$12:$H$33,8,FALSE),1),0))</f>
        <v>464</v>
      </c>
      <c r="K242" s="181">
        <f>IF(G242="","",ROUND(G242*Steuerungsdaten!$B$5,0))</f>
        <v>296</v>
      </c>
      <c r="L242" s="181">
        <f>IF(H242="","",ROUND(H242*Steuerungsdaten!$B$5,0))</f>
        <v>285</v>
      </c>
      <c r="M242" s="181">
        <f>IF(I242="","",ROUND(I242*Steuerungsdaten!$B$5,0))</f>
        <v>291</v>
      </c>
      <c r="N242" s="182">
        <f>IF(J242="","",ROUND(J242*Steuerungsdaten!$B$5,0))</f>
        <v>534</v>
      </c>
      <c r="O242" s="193">
        <v>285</v>
      </c>
      <c r="P242" s="193">
        <v>345</v>
      </c>
      <c r="Q242" s="193">
        <v>329</v>
      </c>
      <c r="R242" s="193">
        <v>619</v>
      </c>
    </row>
    <row r="243" spans="1:18" x14ac:dyDescent="0.25">
      <c r="A243" s="183">
        <v>5301</v>
      </c>
      <c r="B243" s="184" t="s">
        <v>90</v>
      </c>
      <c r="C243" s="184" t="s">
        <v>12</v>
      </c>
      <c r="D243" s="184" t="s">
        <v>340</v>
      </c>
      <c r="E243" s="185">
        <v>420</v>
      </c>
      <c r="F243" s="185">
        <v>360</v>
      </c>
      <c r="G243" s="186">
        <f>IF(O243="","",ROUND(O243*Steuerungsdaten!$B$4*IFERROR(VLOOKUP(C243,Steuerungsdaten!$A$12:$B$33,2,FALSE),1),0))</f>
        <v>317</v>
      </c>
      <c r="H243" s="186">
        <f>IF(P243="","",ROUND(P243*Steuerungsdaten!$B$4*IFERROR(VLOOKUP(C243,Steuerungsdaten!$A$12:$D$33,4,FALSE),1),0))</f>
        <v>316</v>
      </c>
      <c r="I243" s="186">
        <f>IF(Q243="","",ROUND(Q243*Steuerungsdaten!$B$4*IFERROR(VLOOKUP(C243,Steuerungsdaten!$A$12:$F$33,6,FALSE),1),0))</f>
        <v>323</v>
      </c>
      <c r="J243" s="186">
        <f>IF(R243="","",ROUND(R243*Steuerungsdaten!$B$4*IFERROR(VLOOKUP(C243,Steuerungsdaten!$A$12:$H$33,8,FALSE),1),0))</f>
        <v>322</v>
      </c>
      <c r="K243" s="186">
        <f>IF(G243="","",ROUND(G243*Steuerungsdaten!$B$5,0))</f>
        <v>365</v>
      </c>
      <c r="L243" s="186">
        <f>IF(H243="","",ROUND(H243*Steuerungsdaten!$B$5,0))</f>
        <v>363</v>
      </c>
      <c r="M243" s="186">
        <f>IF(I243="","",ROUND(I243*Steuerungsdaten!$B$5,0))</f>
        <v>371</v>
      </c>
      <c r="N243" s="187">
        <f>IF(J243="","",ROUND(J243*Steuerungsdaten!$B$5,0))</f>
        <v>370</v>
      </c>
      <c r="O243" s="193">
        <v>352</v>
      </c>
      <c r="P243" s="193">
        <v>439</v>
      </c>
      <c r="Q243" s="193">
        <v>420</v>
      </c>
      <c r="R243" s="193">
        <v>429</v>
      </c>
    </row>
    <row r="244" spans="1:18" x14ac:dyDescent="0.25">
      <c r="A244" s="188">
        <v>5302</v>
      </c>
      <c r="B244" s="189" t="s">
        <v>90</v>
      </c>
      <c r="C244" s="189" t="s">
        <v>12</v>
      </c>
      <c r="D244" s="189" t="s">
        <v>341</v>
      </c>
      <c r="E244" s="190">
        <v>580</v>
      </c>
      <c r="F244" s="190">
        <v>180</v>
      </c>
      <c r="G244" s="191">
        <f>IF(O244="","",ROUND(O244*Steuerungsdaten!$B$4*IFERROR(VLOOKUP(C244,Steuerungsdaten!$A$12:$B$33,2,FALSE),1),0))</f>
        <v>268</v>
      </c>
      <c r="H244" s="191">
        <f>IF(P244="","",ROUND(P244*Steuerungsdaten!$B$4*IFERROR(VLOOKUP(C244,Steuerungsdaten!$A$12:$D$33,4,FALSE),1),0))</f>
        <v>265</v>
      </c>
      <c r="I244" s="191">
        <f>IF(Q244="","",ROUND(Q244*Steuerungsdaten!$B$4*IFERROR(VLOOKUP(C244,Steuerungsdaten!$A$12:$F$33,6,FALSE),1),0))</f>
        <v>270</v>
      </c>
      <c r="J244" s="191">
        <f>IF(R244="","",ROUND(R244*Steuerungsdaten!$B$4*IFERROR(VLOOKUP(C244,Steuerungsdaten!$A$12:$H$33,8,FALSE),1),0))</f>
        <v>269</v>
      </c>
      <c r="K244" s="191">
        <f>IF(G244="","",ROUND(G244*Steuerungsdaten!$B$5,0))</f>
        <v>308</v>
      </c>
      <c r="L244" s="191">
        <f>IF(H244="","",ROUND(H244*Steuerungsdaten!$B$5,0))</f>
        <v>305</v>
      </c>
      <c r="M244" s="191">
        <f>IF(I244="","",ROUND(I244*Steuerungsdaten!$B$5,0))</f>
        <v>311</v>
      </c>
      <c r="N244" s="192">
        <f>IF(J244="","",ROUND(J244*Steuerungsdaten!$B$5,0))</f>
        <v>309</v>
      </c>
      <c r="O244" s="193">
        <v>298</v>
      </c>
      <c r="P244" s="193">
        <v>368</v>
      </c>
      <c r="Q244" s="193">
        <v>351</v>
      </c>
      <c r="R244" s="193">
        <v>358</v>
      </c>
    </row>
    <row r="245" spans="1:18" x14ac:dyDescent="0.25">
      <c r="A245" s="183">
        <v>5303</v>
      </c>
      <c r="B245" s="184" t="s">
        <v>90</v>
      </c>
      <c r="C245" s="184" t="s">
        <v>12</v>
      </c>
      <c r="D245" s="184" t="s">
        <v>342</v>
      </c>
      <c r="E245" s="185">
        <v>580</v>
      </c>
      <c r="F245" s="185">
        <v>360</v>
      </c>
      <c r="G245" s="186">
        <f>IF(O245="","",ROUND(O245*Steuerungsdaten!$B$4*IFERROR(VLOOKUP(C245,Steuerungsdaten!$A$12:$B$33,2,FALSE),1),0))</f>
        <v>318</v>
      </c>
      <c r="H245" s="186">
        <f>IF(P245="","",ROUND(P245*Steuerungsdaten!$B$4*IFERROR(VLOOKUP(C245,Steuerungsdaten!$A$12:$D$33,4,FALSE),1),0))</f>
        <v>338</v>
      </c>
      <c r="I245" s="186">
        <f>IF(Q245="","",ROUND(Q245*Steuerungsdaten!$B$4*IFERROR(VLOOKUP(C245,Steuerungsdaten!$A$12:$F$33,6,FALSE),1),0))</f>
        <v>343</v>
      </c>
      <c r="J245" s="186">
        <f>IF(R245="","",ROUND(R245*Steuerungsdaten!$B$4*IFERROR(VLOOKUP(C245,Steuerungsdaten!$A$12:$H$33,8,FALSE),1),0))</f>
        <v>345</v>
      </c>
      <c r="K245" s="186">
        <f>IF(G245="","",ROUND(G245*Steuerungsdaten!$B$5,0))</f>
        <v>366</v>
      </c>
      <c r="L245" s="186">
        <f>IF(H245="","",ROUND(H245*Steuerungsdaten!$B$5,0))</f>
        <v>389</v>
      </c>
      <c r="M245" s="186">
        <f>IF(I245="","",ROUND(I245*Steuerungsdaten!$B$5,0))</f>
        <v>394</v>
      </c>
      <c r="N245" s="187">
        <f>IF(J245="","",ROUND(J245*Steuerungsdaten!$B$5,0))</f>
        <v>397</v>
      </c>
      <c r="O245" s="193">
        <v>353</v>
      </c>
      <c r="P245" s="193">
        <v>470</v>
      </c>
      <c r="Q245" s="193">
        <v>445</v>
      </c>
      <c r="R245" s="193">
        <v>460</v>
      </c>
    </row>
    <row r="246" spans="1:18" x14ac:dyDescent="0.25">
      <c r="A246" s="188">
        <v>5304</v>
      </c>
      <c r="B246" s="189" t="s">
        <v>90</v>
      </c>
      <c r="C246" s="189" t="s">
        <v>12</v>
      </c>
      <c r="D246" s="189" t="s">
        <v>343</v>
      </c>
      <c r="E246" s="190">
        <v>780</v>
      </c>
      <c r="F246" s="190">
        <v>180</v>
      </c>
      <c r="G246" s="191">
        <f>IF(O246="","",ROUND(O246*Steuerungsdaten!$B$4*IFERROR(VLOOKUP(C246,Steuerungsdaten!$A$12:$B$33,2,FALSE),1),0))</f>
        <v>278</v>
      </c>
      <c r="H246" s="191">
        <f>IF(P246="","",ROUND(P246*Steuerungsdaten!$B$4*IFERROR(VLOOKUP(C246,Steuerungsdaten!$A$12:$D$33,4,FALSE),1),0))</f>
        <v>282</v>
      </c>
      <c r="I246" s="191">
        <f>IF(Q246="","",ROUND(Q246*Steuerungsdaten!$B$4*IFERROR(VLOOKUP(C246,Steuerungsdaten!$A$12:$F$33,6,FALSE),1),0))</f>
        <v>286</v>
      </c>
      <c r="J246" s="191">
        <f>IF(R246="","",ROUND(R246*Steuerungsdaten!$B$4*IFERROR(VLOOKUP(C246,Steuerungsdaten!$A$12:$H$33,8,FALSE),1),0))</f>
        <v>286</v>
      </c>
      <c r="K246" s="191">
        <f>IF(G246="","",ROUND(G246*Steuerungsdaten!$B$5,0))</f>
        <v>320</v>
      </c>
      <c r="L246" s="191">
        <f>IF(H246="","",ROUND(H246*Steuerungsdaten!$B$5,0))</f>
        <v>324</v>
      </c>
      <c r="M246" s="191">
        <f>IF(I246="","",ROUND(I246*Steuerungsdaten!$B$5,0))</f>
        <v>329</v>
      </c>
      <c r="N246" s="192">
        <f>IF(J246="","",ROUND(J246*Steuerungsdaten!$B$5,0))</f>
        <v>329</v>
      </c>
      <c r="O246" s="193">
        <v>309</v>
      </c>
      <c r="P246" s="193">
        <v>391</v>
      </c>
      <c r="Q246" s="193">
        <v>372</v>
      </c>
      <c r="R246" s="193">
        <v>381</v>
      </c>
    </row>
    <row r="247" spans="1:18" x14ac:dyDescent="0.25">
      <c r="A247" s="183">
        <v>5305</v>
      </c>
      <c r="B247" s="184" t="s">
        <v>90</v>
      </c>
      <c r="C247" s="184" t="s">
        <v>12</v>
      </c>
      <c r="D247" s="184" t="s">
        <v>344</v>
      </c>
      <c r="E247" s="185">
        <v>780</v>
      </c>
      <c r="F247" s="185">
        <v>360</v>
      </c>
      <c r="G247" s="186">
        <f>IF(O247="","",ROUND(O247*Steuerungsdaten!$B$4*IFERROR(VLOOKUP(C247,Steuerungsdaten!$A$12:$B$33,2,FALSE),1),0))</f>
        <v>320</v>
      </c>
      <c r="H247" s="186">
        <f>IF(P247="","",ROUND(P247*Steuerungsdaten!$B$4*IFERROR(VLOOKUP(C247,Steuerungsdaten!$A$12:$D$33,4,FALSE),1),0))</f>
        <v>361</v>
      </c>
      <c r="I247" s="186">
        <f>IF(Q247="","",ROUND(Q247*Steuerungsdaten!$B$4*IFERROR(VLOOKUP(C247,Steuerungsdaten!$A$12:$F$33,6,FALSE),1),0))</f>
        <v>363</v>
      </c>
      <c r="J247" s="186">
        <f>IF(R247="","",ROUND(R247*Steuerungsdaten!$B$4*IFERROR(VLOOKUP(C247,Steuerungsdaten!$A$12:$H$33,8,FALSE),1),0))</f>
        <v>368</v>
      </c>
      <c r="K247" s="186">
        <f>IF(G247="","",ROUND(G247*Steuerungsdaten!$B$5,0))</f>
        <v>368</v>
      </c>
      <c r="L247" s="186">
        <f>IF(H247="","",ROUND(H247*Steuerungsdaten!$B$5,0))</f>
        <v>415</v>
      </c>
      <c r="M247" s="186">
        <f>IF(I247="","",ROUND(I247*Steuerungsdaten!$B$5,0))</f>
        <v>417</v>
      </c>
      <c r="N247" s="187">
        <f>IF(J247="","",ROUND(J247*Steuerungsdaten!$B$5,0))</f>
        <v>423</v>
      </c>
      <c r="O247" s="193">
        <v>356</v>
      </c>
      <c r="P247" s="193">
        <v>501</v>
      </c>
      <c r="Q247" s="193">
        <v>471</v>
      </c>
      <c r="R247" s="193">
        <v>491</v>
      </c>
    </row>
    <row r="248" spans="1:18" x14ac:dyDescent="0.25">
      <c r="A248" s="188">
        <v>5306</v>
      </c>
      <c r="B248" s="189" t="s">
        <v>90</v>
      </c>
      <c r="C248" s="189" t="s">
        <v>12</v>
      </c>
      <c r="D248" s="189" t="s">
        <v>345</v>
      </c>
      <c r="E248" s="190">
        <v>980</v>
      </c>
      <c r="F248" s="190">
        <v>180</v>
      </c>
      <c r="G248" s="191">
        <f>IF(O248="","",ROUND(O248*Steuerungsdaten!$B$4*IFERROR(VLOOKUP(C248,Steuerungsdaten!$A$12:$B$33,2,FALSE),1),0))</f>
        <v>313</v>
      </c>
      <c r="H248" s="191">
        <f>IF(P248="","",ROUND(P248*Steuerungsdaten!$B$4*IFERROR(VLOOKUP(C248,Steuerungsdaten!$A$12:$D$33,4,FALSE),1),0))</f>
        <v>341</v>
      </c>
      <c r="I248" s="191">
        <f>IF(Q248="","",ROUND(Q248*Steuerungsdaten!$B$4*IFERROR(VLOOKUP(C248,Steuerungsdaten!$A$12:$F$33,6,FALSE),1),0))</f>
        <v>321</v>
      </c>
      <c r="J248" s="191">
        <f>IF(R248="","",ROUND(R248*Steuerungsdaten!$B$4*IFERROR(VLOOKUP(C248,Steuerungsdaten!$A$12:$H$33,8,FALSE),1),0))</f>
        <v>348</v>
      </c>
      <c r="K248" s="191">
        <f>IF(G248="","",ROUND(G248*Steuerungsdaten!$B$5,0))</f>
        <v>360</v>
      </c>
      <c r="L248" s="191">
        <f>IF(H248="","",ROUND(H248*Steuerungsdaten!$B$5,0))</f>
        <v>392</v>
      </c>
      <c r="M248" s="191">
        <f>IF(I248="","",ROUND(I248*Steuerungsdaten!$B$5,0))</f>
        <v>369</v>
      </c>
      <c r="N248" s="192">
        <f>IF(J248="","",ROUND(J248*Steuerungsdaten!$B$5,0))</f>
        <v>400</v>
      </c>
      <c r="O248" s="193">
        <v>348</v>
      </c>
      <c r="P248" s="193">
        <v>474</v>
      </c>
      <c r="Q248" s="193">
        <v>417</v>
      </c>
      <c r="R248" s="193">
        <v>464</v>
      </c>
    </row>
    <row r="249" spans="1:18" x14ac:dyDescent="0.25">
      <c r="A249" s="183">
        <v>5307</v>
      </c>
      <c r="B249" s="184" t="s">
        <v>90</v>
      </c>
      <c r="C249" s="184" t="s">
        <v>12</v>
      </c>
      <c r="D249" s="184" t="s">
        <v>346</v>
      </c>
      <c r="E249" s="185">
        <v>980</v>
      </c>
      <c r="F249" s="185">
        <v>360</v>
      </c>
      <c r="G249" s="186">
        <f>IF(O249="","",ROUND(O249*Steuerungsdaten!$B$4*IFERROR(VLOOKUP(C249,Steuerungsdaten!$A$12:$B$33,2,FALSE),1),0))</f>
        <v>386</v>
      </c>
      <c r="H249" s="186">
        <f>IF(P249="","",ROUND(P249*Steuerungsdaten!$B$4*IFERROR(VLOOKUP(C249,Steuerungsdaten!$A$12:$D$33,4,FALSE),1),0))</f>
        <v>439</v>
      </c>
      <c r="I249" s="186">
        <f>IF(Q249="","",ROUND(Q249*Steuerungsdaten!$B$4*IFERROR(VLOOKUP(C249,Steuerungsdaten!$A$12:$F$33,6,FALSE),1),0))</f>
        <v>426</v>
      </c>
      <c r="J249" s="186">
        <f>IF(R249="","",ROUND(R249*Steuerungsdaten!$B$4*IFERROR(VLOOKUP(C249,Steuerungsdaten!$A$12:$H$33,8,FALSE),1),0))</f>
        <v>450</v>
      </c>
      <c r="K249" s="186">
        <f>IF(G249="","",ROUND(G249*Steuerungsdaten!$B$5,0))</f>
        <v>444</v>
      </c>
      <c r="L249" s="186">
        <f>IF(H249="","",ROUND(H249*Steuerungsdaten!$B$5,0))</f>
        <v>505</v>
      </c>
      <c r="M249" s="186">
        <f>IF(I249="","",ROUND(I249*Steuerungsdaten!$B$5,0))</f>
        <v>490</v>
      </c>
      <c r="N249" s="187">
        <f>IF(J249="","",ROUND(J249*Steuerungsdaten!$B$5,0))</f>
        <v>518</v>
      </c>
      <c r="O249" s="193">
        <v>429</v>
      </c>
      <c r="P249" s="193">
        <v>610</v>
      </c>
      <c r="Q249" s="193">
        <v>553</v>
      </c>
      <c r="R249" s="193">
        <v>600</v>
      </c>
    </row>
    <row r="250" spans="1:18" x14ac:dyDescent="0.25">
      <c r="A250" s="188" t="s">
        <v>347</v>
      </c>
      <c r="B250" s="189" t="s">
        <v>90</v>
      </c>
      <c r="C250" s="189" t="s">
        <v>348</v>
      </c>
      <c r="D250" s="189" t="s">
        <v>349</v>
      </c>
      <c r="E250" s="190">
        <v>780</v>
      </c>
      <c r="F250" s="190">
        <v>180</v>
      </c>
      <c r="G250" s="191">
        <f>IF(O250="","",ROUND(O250*Steuerungsdaten!$B$4*IFERROR(VLOOKUP(C250,Steuerungsdaten!$A$12:$B$33,2,FALSE),1),0))</f>
        <v>309</v>
      </c>
      <c r="H250" s="191">
        <f>IF(P250="","",ROUND(P250*Steuerungsdaten!$B$4*IFERROR(VLOOKUP(C250,Steuerungsdaten!$A$12:$D$33,4,FALSE),1),0))</f>
        <v>608</v>
      </c>
      <c r="I250" s="191">
        <f>IF(Q250="","",ROUND(Q250*Steuerungsdaten!$B$4*IFERROR(VLOOKUP(C250,Steuerungsdaten!$A$12:$F$33,6,FALSE),1),0))</f>
        <v>372</v>
      </c>
      <c r="J250" s="191" t="str">
        <f>IF(R250="","",ROUND(R250*Steuerungsdaten!$B$4*IFERROR(VLOOKUP(C250,Steuerungsdaten!$A$12:$H$33,8,FALSE),1),0))</f>
        <v/>
      </c>
      <c r="K250" s="191">
        <f>IF(G250="","",ROUND(G250*Steuerungsdaten!$B$5,0))</f>
        <v>355</v>
      </c>
      <c r="L250" s="191">
        <f>IF(H250="","",ROUND(H250*Steuerungsdaten!$B$5,0))</f>
        <v>699</v>
      </c>
      <c r="M250" s="191">
        <f>IF(I250="","",ROUND(I250*Steuerungsdaten!$B$5,0))</f>
        <v>428</v>
      </c>
      <c r="N250" s="192" t="str">
        <f>IF(J250="","",ROUND(J250*Steuerungsdaten!$B$5,0))</f>
        <v/>
      </c>
      <c r="O250" s="193">
        <v>309</v>
      </c>
      <c r="P250" s="193">
        <v>608</v>
      </c>
      <c r="Q250" s="193">
        <v>372</v>
      </c>
      <c r="R250" s="193"/>
    </row>
    <row r="251" spans="1:18" x14ac:dyDescent="0.25">
      <c r="A251" s="183" t="s">
        <v>350</v>
      </c>
      <c r="B251" s="184" t="s">
        <v>90</v>
      </c>
      <c r="C251" s="184" t="s">
        <v>12</v>
      </c>
      <c r="D251" s="184" t="s">
        <v>351</v>
      </c>
      <c r="E251" s="185">
        <v>420</v>
      </c>
      <c r="F251" s="185">
        <v>134</v>
      </c>
      <c r="G251" s="186">
        <f>IF(O251="","",ROUND(O251*Steuerungsdaten!$B$4*IFERROR(VLOOKUP(C251,Steuerungsdaten!$A$12:$B$33,2,FALSE),1),0))</f>
        <v>257</v>
      </c>
      <c r="H251" s="186">
        <f>IF(P251="","",ROUND(P251*Steuerungsdaten!$B$4*IFERROR(VLOOKUP(C251,Steuerungsdaten!$A$12:$D$33,4,FALSE),1),0))</f>
        <v>404</v>
      </c>
      <c r="I251" s="186" t="str">
        <f>IF(Q251="","",ROUND(Q251*Steuerungsdaten!$B$4*IFERROR(VLOOKUP(C251,Steuerungsdaten!$A$12:$F$33,6,FALSE),1),0))</f>
        <v/>
      </c>
      <c r="J251" s="186" t="str">
        <f>IF(R251="","",ROUND(R251*Steuerungsdaten!$B$4*IFERROR(VLOOKUP(C251,Steuerungsdaten!$A$12:$H$33,8,FALSE),1),0))</f>
        <v/>
      </c>
      <c r="K251" s="186">
        <f>IF(G251="","",ROUND(G251*Steuerungsdaten!$B$5,0))</f>
        <v>296</v>
      </c>
      <c r="L251" s="186">
        <f>IF(H251="","",ROUND(H251*Steuerungsdaten!$B$5,0))</f>
        <v>465</v>
      </c>
      <c r="M251" s="186" t="str">
        <f>IF(I251="","",ROUND(I251*Steuerungsdaten!$B$5,0))</f>
        <v/>
      </c>
      <c r="N251" s="187" t="str">
        <f>IF(J251="","",ROUND(J251*Steuerungsdaten!$B$5,0))</f>
        <v/>
      </c>
      <c r="O251" s="193">
        <v>285</v>
      </c>
      <c r="P251" s="193">
        <v>561</v>
      </c>
      <c r="Q251" s="193"/>
      <c r="R251" s="193"/>
    </row>
    <row r="252" spans="1:18" x14ac:dyDescent="0.25">
      <c r="A252" s="188" t="s">
        <v>353</v>
      </c>
      <c r="B252" s="189" t="s">
        <v>90</v>
      </c>
      <c r="C252" s="189" t="s">
        <v>12</v>
      </c>
      <c r="D252" s="189" t="s">
        <v>354</v>
      </c>
      <c r="E252" s="190">
        <v>420</v>
      </c>
      <c r="F252" s="190">
        <v>220</v>
      </c>
      <c r="G252" s="191">
        <f>IF(O252="","",ROUND(O252*Steuerungsdaten!$B$4*IFERROR(VLOOKUP(C252,Steuerungsdaten!$A$12:$B$33,2,FALSE),1),0))</f>
        <v>257</v>
      </c>
      <c r="H252" s="191">
        <f>IF(P252="","",ROUND(P252*Steuerungsdaten!$B$4*IFERROR(VLOOKUP(C252,Steuerungsdaten!$A$12:$D$33,4,FALSE),1),0))</f>
        <v>404</v>
      </c>
      <c r="I252" s="191" t="str">
        <f>IF(Q252="","",ROUND(Q252*Steuerungsdaten!$B$4*IFERROR(VLOOKUP(C252,Steuerungsdaten!$A$12:$F$33,6,FALSE),1),0))</f>
        <v/>
      </c>
      <c r="J252" s="191" t="str">
        <f>IF(R252="","",ROUND(R252*Steuerungsdaten!$B$4*IFERROR(VLOOKUP(C252,Steuerungsdaten!$A$12:$H$33,8,FALSE),1),0))</f>
        <v/>
      </c>
      <c r="K252" s="191">
        <f>IF(G252="","",ROUND(G252*Steuerungsdaten!$B$5,0))</f>
        <v>296</v>
      </c>
      <c r="L252" s="191">
        <f>IF(H252="","",ROUND(H252*Steuerungsdaten!$B$5,0))</f>
        <v>465</v>
      </c>
      <c r="M252" s="191" t="str">
        <f>IF(I252="","",ROUND(I252*Steuerungsdaten!$B$5,0))</f>
        <v/>
      </c>
      <c r="N252" s="192" t="str">
        <f>IF(J252="","",ROUND(J252*Steuerungsdaten!$B$5,0))</f>
        <v/>
      </c>
      <c r="O252" s="193">
        <v>285</v>
      </c>
      <c r="P252" s="193">
        <v>561</v>
      </c>
      <c r="Q252" s="193"/>
      <c r="R252" s="193"/>
    </row>
    <row r="253" spans="1:18" x14ac:dyDescent="0.25">
      <c r="A253" s="183" t="s">
        <v>355</v>
      </c>
      <c r="B253" s="184" t="s">
        <v>90</v>
      </c>
      <c r="C253" s="184" t="s">
        <v>12</v>
      </c>
      <c r="D253" s="184" t="s">
        <v>356</v>
      </c>
      <c r="E253" s="185">
        <v>412</v>
      </c>
      <c r="F253" s="185">
        <v>121</v>
      </c>
      <c r="G253" s="186">
        <f>IF(O253="","",ROUND(O253*Steuerungsdaten!$B$4*IFERROR(VLOOKUP(C253,Steuerungsdaten!$A$12:$B$33,2,FALSE),1),0))</f>
        <v>257</v>
      </c>
      <c r="H253" s="186">
        <f>IF(P253="","",ROUND(P253*Steuerungsdaten!$B$4*IFERROR(VLOOKUP(C253,Steuerungsdaten!$A$12:$D$33,4,FALSE),1),0))</f>
        <v>404</v>
      </c>
      <c r="I253" s="186" t="str">
        <f>IF(Q253="","",ROUND(Q253*Steuerungsdaten!$B$4*IFERROR(VLOOKUP(C253,Steuerungsdaten!$A$12:$F$33,6,FALSE),1),0))</f>
        <v/>
      </c>
      <c r="J253" s="186" t="str">
        <f>IF(R253="","",ROUND(R253*Steuerungsdaten!$B$4*IFERROR(VLOOKUP(C253,Steuerungsdaten!$A$12:$H$33,8,FALSE),1),0))</f>
        <v/>
      </c>
      <c r="K253" s="186">
        <f>IF(G253="","",ROUND(G253*Steuerungsdaten!$B$5,0))</f>
        <v>296</v>
      </c>
      <c r="L253" s="186">
        <f>IF(H253="","",ROUND(H253*Steuerungsdaten!$B$5,0))</f>
        <v>465</v>
      </c>
      <c r="M253" s="186" t="str">
        <f>IF(I253="","",ROUND(I253*Steuerungsdaten!$B$5,0))</f>
        <v/>
      </c>
      <c r="N253" s="187" t="str">
        <f>IF(J253="","",ROUND(J253*Steuerungsdaten!$B$5,0))</f>
        <v/>
      </c>
      <c r="O253" s="193">
        <v>285</v>
      </c>
      <c r="P253" s="193">
        <v>561</v>
      </c>
      <c r="Q253" s="193"/>
      <c r="R253" s="193"/>
    </row>
    <row r="254" spans="1:18" x14ac:dyDescent="0.25">
      <c r="A254" s="188" t="s">
        <v>357</v>
      </c>
      <c r="B254" s="189" t="s">
        <v>90</v>
      </c>
      <c r="C254" s="189" t="s">
        <v>12</v>
      </c>
      <c r="D254" s="189" t="s">
        <v>358</v>
      </c>
      <c r="E254" s="190">
        <v>412</v>
      </c>
      <c r="F254" s="190">
        <v>400</v>
      </c>
      <c r="G254" s="191">
        <f>IF(O254="","",ROUND(O254*Steuerungsdaten!$B$4*IFERROR(VLOOKUP(C254,Steuerungsdaten!$A$12:$B$33,2,FALSE),1),0))</f>
        <v>317</v>
      </c>
      <c r="H254" s="191">
        <f>IF(P254="","",ROUND(P254*Steuerungsdaten!$B$4*IFERROR(VLOOKUP(C254,Steuerungsdaten!$A$12:$D$33,4,FALSE),1),0))</f>
        <v>499</v>
      </c>
      <c r="I254" s="191" t="str">
        <f>IF(Q254="","",ROUND(Q254*Steuerungsdaten!$B$4*IFERROR(VLOOKUP(C254,Steuerungsdaten!$A$12:$F$33,6,FALSE),1),0))</f>
        <v/>
      </c>
      <c r="J254" s="191" t="str">
        <f>IF(R254="","",ROUND(R254*Steuerungsdaten!$B$4*IFERROR(VLOOKUP(C254,Steuerungsdaten!$A$12:$H$33,8,FALSE),1),0))</f>
        <v/>
      </c>
      <c r="K254" s="191">
        <f>IF(G254="","",ROUND(G254*Steuerungsdaten!$B$5,0))</f>
        <v>365</v>
      </c>
      <c r="L254" s="191">
        <f>IF(H254="","",ROUND(H254*Steuerungsdaten!$B$5,0))</f>
        <v>574</v>
      </c>
      <c r="M254" s="191" t="str">
        <f>IF(I254="","",ROUND(I254*Steuerungsdaten!$B$5,0))</f>
        <v/>
      </c>
      <c r="N254" s="192" t="str">
        <f>IF(J254="","",ROUND(J254*Steuerungsdaten!$B$5,0))</f>
        <v/>
      </c>
      <c r="O254" s="193">
        <v>352</v>
      </c>
      <c r="P254" s="193">
        <v>693</v>
      </c>
      <c r="Q254" s="193"/>
      <c r="R254" s="193"/>
    </row>
    <row r="255" spans="1:18" x14ac:dyDescent="0.25">
      <c r="A255" s="183" t="s">
        <v>359</v>
      </c>
      <c r="B255" s="184" t="s">
        <v>90</v>
      </c>
      <c r="C255" s="184" t="s">
        <v>12</v>
      </c>
      <c r="D255" s="184" t="s">
        <v>360</v>
      </c>
      <c r="E255" s="185">
        <v>420</v>
      </c>
      <c r="F255" s="185">
        <v>145</v>
      </c>
      <c r="G255" s="186">
        <f>IF(O255="","",ROUND(O255*Steuerungsdaten!$B$4*IFERROR(VLOOKUP(C255,Steuerungsdaten!$A$12:$B$33,2,FALSE),1),0))</f>
        <v>257</v>
      </c>
      <c r="H255" s="186">
        <f>IF(P255="","",ROUND(P255*Steuerungsdaten!$B$4*IFERROR(VLOOKUP(C255,Steuerungsdaten!$A$12:$D$33,4,FALSE),1),0))</f>
        <v>404</v>
      </c>
      <c r="I255" s="186" t="str">
        <f>IF(Q255="","",ROUND(Q255*Steuerungsdaten!$B$4*IFERROR(VLOOKUP(C255,Steuerungsdaten!$A$12:$F$33,6,FALSE),1),0))</f>
        <v/>
      </c>
      <c r="J255" s="186" t="str">
        <f>IF(R255="","",ROUND(R255*Steuerungsdaten!$B$4*IFERROR(VLOOKUP(C255,Steuerungsdaten!$A$12:$H$33,8,FALSE),1),0))</f>
        <v/>
      </c>
      <c r="K255" s="186">
        <f>IF(G255="","",ROUND(G255*Steuerungsdaten!$B$5,0))</f>
        <v>296</v>
      </c>
      <c r="L255" s="186">
        <f>IF(H255="","",ROUND(H255*Steuerungsdaten!$B$5,0))</f>
        <v>465</v>
      </c>
      <c r="M255" s="186" t="str">
        <f>IF(I255="","",ROUND(I255*Steuerungsdaten!$B$5,0))</f>
        <v/>
      </c>
      <c r="N255" s="187" t="str">
        <f>IF(J255="","",ROUND(J255*Steuerungsdaten!$B$5,0))</f>
        <v/>
      </c>
      <c r="O255" s="193">
        <v>285</v>
      </c>
      <c r="P255" s="193">
        <v>561</v>
      </c>
      <c r="Q255" s="193"/>
      <c r="R255" s="193"/>
    </row>
    <row r="256" spans="1:18" x14ac:dyDescent="0.25">
      <c r="A256" s="188" t="s">
        <v>361</v>
      </c>
      <c r="B256" s="189" t="s">
        <v>90</v>
      </c>
      <c r="C256" s="189" t="s">
        <v>12</v>
      </c>
      <c r="D256" s="189" t="s">
        <v>362</v>
      </c>
      <c r="E256" s="190">
        <v>420</v>
      </c>
      <c r="F256" s="190">
        <v>293</v>
      </c>
      <c r="G256" s="191">
        <f>IF(O256="","",ROUND(O256*Steuerungsdaten!$B$4*IFERROR(VLOOKUP(C256,Steuerungsdaten!$A$12:$B$33,2,FALSE),1),0))</f>
        <v>317</v>
      </c>
      <c r="H256" s="191">
        <f>IF(P256="","",ROUND(P256*Steuerungsdaten!$B$4*IFERROR(VLOOKUP(C256,Steuerungsdaten!$A$12:$D$33,4,FALSE),1),0))</f>
        <v>499</v>
      </c>
      <c r="I256" s="191" t="str">
        <f>IF(Q256="","",ROUND(Q256*Steuerungsdaten!$B$4*IFERROR(VLOOKUP(C256,Steuerungsdaten!$A$12:$F$33,6,FALSE),1),0))</f>
        <v/>
      </c>
      <c r="J256" s="191" t="str">
        <f>IF(R256="","",ROUND(R256*Steuerungsdaten!$B$4*IFERROR(VLOOKUP(C256,Steuerungsdaten!$A$12:$H$33,8,FALSE),1),0))</f>
        <v/>
      </c>
      <c r="K256" s="191">
        <f>IF(G256="","",ROUND(G256*Steuerungsdaten!$B$5,0))</f>
        <v>365</v>
      </c>
      <c r="L256" s="191">
        <f>IF(H256="","",ROUND(H256*Steuerungsdaten!$B$5,0))</f>
        <v>574</v>
      </c>
      <c r="M256" s="191" t="str">
        <f>IF(I256="","",ROUND(I256*Steuerungsdaten!$B$5,0))</f>
        <v/>
      </c>
      <c r="N256" s="192" t="str">
        <f>IF(J256="","",ROUND(J256*Steuerungsdaten!$B$5,0))</f>
        <v/>
      </c>
      <c r="O256" s="193">
        <v>352</v>
      </c>
      <c r="P256" s="193">
        <v>693</v>
      </c>
      <c r="Q256" s="193"/>
      <c r="R256" s="193"/>
    </row>
    <row r="257" spans="1:18" x14ac:dyDescent="0.25">
      <c r="A257" s="183" t="s">
        <v>363</v>
      </c>
      <c r="B257" s="184" t="s">
        <v>90</v>
      </c>
      <c r="C257" s="184" t="s">
        <v>12</v>
      </c>
      <c r="D257" s="184" t="s">
        <v>364</v>
      </c>
      <c r="E257" s="185">
        <v>420</v>
      </c>
      <c r="F257" s="185">
        <v>67</v>
      </c>
      <c r="G257" s="186">
        <f>IF(O257="","",ROUND(O257*Steuerungsdaten!$B$4*IFERROR(VLOOKUP(C257,Steuerungsdaten!$A$12:$B$33,2,FALSE),1),0))</f>
        <v>257</v>
      </c>
      <c r="H257" s="186">
        <f>IF(P257="","",ROUND(P257*Steuerungsdaten!$B$4*IFERROR(VLOOKUP(C257,Steuerungsdaten!$A$12:$D$33,4,FALSE),1),0))</f>
        <v>404</v>
      </c>
      <c r="I257" s="186" t="str">
        <f>IF(Q257="","",ROUND(Q257*Steuerungsdaten!$B$4*IFERROR(VLOOKUP(C257,Steuerungsdaten!$A$12:$F$33,6,FALSE),1),0))</f>
        <v/>
      </c>
      <c r="J257" s="186" t="str">
        <f>IF(R257="","",ROUND(R257*Steuerungsdaten!$B$4*IFERROR(VLOOKUP(C257,Steuerungsdaten!$A$12:$H$33,8,FALSE),1),0))</f>
        <v/>
      </c>
      <c r="K257" s="186">
        <f>IF(G257="","",ROUND(G257*Steuerungsdaten!$B$5,0))</f>
        <v>296</v>
      </c>
      <c r="L257" s="186">
        <f>IF(H257="","",ROUND(H257*Steuerungsdaten!$B$5,0))</f>
        <v>465</v>
      </c>
      <c r="M257" s="186" t="str">
        <f>IF(I257="","",ROUND(I257*Steuerungsdaten!$B$5,0))</f>
        <v/>
      </c>
      <c r="N257" s="187" t="str">
        <f>IF(J257="","",ROUND(J257*Steuerungsdaten!$B$5,0))</f>
        <v/>
      </c>
      <c r="O257" s="193">
        <v>285</v>
      </c>
      <c r="P257" s="193">
        <v>561</v>
      </c>
      <c r="Q257" s="193"/>
      <c r="R257" s="193"/>
    </row>
    <row r="258" spans="1:18" x14ac:dyDescent="0.25">
      <c r="A258" s="188" t="s">
        <v>365</v>
      </c>
      <c r="B258" s="189" t="s">
        <v>90</v>
      </c>
      <c r="C258" s="189" t="s">
        <v>12</v>
      </c>
      <c r="D258" s="189" t="s">
        <v>366</v>
      </c>
      <c r="E258" s="190">
        <v>420</v>
      </c>
      <c r="F258" s="190">
        <v>142</v>
      </c>
      <c r="G258" s="191">
        <f>IF(O258="","",ROUND(O258*Steuerungsdaten!$B$4*IFERROR(VLOOKUP(C258,Steuerungsdaten!$A$12:$B$33,2,FALSE),1),0))</f>
        <v>257</v>
      </c>
      <c r="H258" s="191">
        <f>IF(P258="","",ROUND(P258*Steuerungsdaten!$B$4*IFERROR(VLOOKUP(C258,Steuerungsdaten!$A$12:$D$33,4,FALSE),1),0))</f>
        <v>404</v>
      </c>
      <c r="I258" s="191" t="str">
        <f>IF(Q258="","",ROUND(Q258*Steuerungsdaten!$B$4*IFERROR(VLOOKUP(C258,Steuerungsdaten!$A$12:$F$33,6,FALSE),1),0))</f>
        <v/>
      </c>
      <c r="J258" s="191" t="str">
        <f>IF(R258="","",ROUND(R258*Steuerungsdaten!$B$4*IFERROR(VLOOKUP(C258,Steuerungsdaten!$A$12:$H$33,8,FALSE),1),0))</f>
        <v/>
      </c>
      <c r="K258" s="191">
        <f>IF(G258="","",ROUND(G258*Steuerungsdaten!$B$5,0))</f>
        <v>296</v>
      </c>
      <c r="L258" s="191">
        <f>IF(H258="","",ROUND(H258*Steuerungsdaten!$B$5,0))</f>
        <v>465</v>
      </c>
      <c r="M258" s="191" t="str">
        <f>IF(I258="","",ROUND(I258*Steuerungsdaten!$B$5,0))</f>
        <v/>
      </c>
      <c r="N258" s="192" t="str">
        <f>IF(J258="","",ROUND(J258*Steuerungsdaten!$B$5,0))</f>
        <v/>
      </c>
      <c r="O258" s="193">
        <v>285</v>
      </c>
      <c r="P258" s="193">
        <v>561</v>
      </c>
      <c r="Q258" s="193"/>
      <c r="R258" s="193"/>
    </row>
    <row r="259" spans="1:18" x14ac:dyDescent="0.25">
      <c r="A259" s="183" t="s">
        <v>367</v>
      </c>
      <c r="B259" s="184" t="s">
        <v>90</v>
      </c>
      <c r="C259" s="184" t="s">
        <v>12</v>
      </c>
      <c r="D259" s="184" t="s">
        <v>368</v>
      </c>
      <c r="E259" s="185">
        <v>420</v>
      </c>
      <c r="F259" s="185">
        <v>280</v>
      </c>
      <c r="G259" s="186">
        <f>IF(O259="","",ROUND(O259*Steuerungsdaten!$B$4*IFERROR(VLOOKUP(C259,Steuerungsdaten!$A$12:$B$33,2,FALSE),1),0))</f>
        <v>257</v>
      </c>
      <c r="H259" s="186">
        <f>IF(P259="","",ROUND(P259*Steuerungsdaten!$B$4*IFERROR(VLOOKUP(C259,Steuerungsdaten!$A$12:$D$33,4,FALSE),1),0))</f>
        <v>404</v>
      </c>
      <c r="I259" s="186" t="str">
        <f>IF(Q259="","",ROUND(Q259*Steuerungsdaten!$B$4*IFERROR(VLOOKUP(C259,Steuerungsdaten!$A$12:$F$33,6,FALSE),1),0))</f>
        <v/>
      </c>
      <c r="J259" s="186" t="str">
        <f>IF(R259="","",ROUND(R259*Steuerungsdaten!$B$4*IFERROR(VLOOKUP(C259,Steuerungsdaten!$A$12:$H$33,8,FALSE),1),0))</f>
        <v/>
      </c>
      <c r="K259" s="186">
        <f>IF(G259="","",ROUND(G259*Steuerungsdaten!$B$5,0))</f>
        <v>296</v>
      </c>
      <c r="L259" s="186">
        <f>IF(H259="","",ROUND(H259*Steuerungsdaten!$B$5,0))</f>
        <v>465</v>
      </c>
      <c r="M259" s="186" t="str">
        <f>IF(I259="","",ROUND(I259*Steuerungsdaten!$B$5,0))</f>
        <v/>
      </c>
      <c r="N259" s="187" t="str">
        <f>IF(J259="","",ROUND(J259*Steuerungsdaten!$B$5,0))</f>
        <v/>
      </c>
      <c r="O259" s="193">
        <v>285</v>
      </c>
      <c r="P259" s="193">
        <v>561</v>
      </c>
      <c r="Q259" s="193"/>
      <c r="R259" s="193"/>
    </row>
    <row r="260" spans="1:18" x14ac:dyDescent="0.25">
      <c r="A260" s="188" t="s">
        <v>369</v>
      </c>
      <c r="B260" s="189" t="s">
        <v>90</v>
      </c>
      <c r="C260" s="189" t="s">
        <v>12</v>
      </c>
      <c r="D260" s="189" t="s">
        <v>370</v>
      </c>
      <c r="E260" s="190">
        <v>420</v>
      </c>
      <c r="F260" s="190">
        <v>141</v>
      </c>
      <c r="G260" s="191">
        <f>IF(O260="","",ROUND(O260*Steuerungsdaten!$B$4*IFERROR(VLOOKUP(C260,Steuerungsdaten!$A$12:$B$33,2,FALSE),1),0))</f>
        <v>257</v>
      </c>
      <c r="H260" s="191">
        <f>IF(P260="","",ROUND(P260*Steuerungsdaten!$B$4*IFERROR(VLOOKUP(C260,Steuerungsdaten!$A$12:$D$33,4,FALSE),1),0))</f>
        <v>404</v>
      </c>
      <c r="I260" s="191" t="str">
        <f>IF(Q260="","",ROUND(Q260*Steuerungsdaten!$B$4*IFERROR(VLOOKUP(C260,Steuerungsdaten!$A$12:$F$33,6,FALSE),1),0))</f>
        <v/>
      </c>
      <c r="J260" s="191" t="str">
        <f>IF(R260="","",ROUND(R260*Steuerungsdaten!$B$4*IFERROR(VLOOKUP(C260,Steuerungsdaten!$A$12:$H$33,8,FALSE),1),0))</f>
        <v/>
      </c>
      <c r="K260" s="191">
        <f>IF(G260="","",ROUND(G260*Steuerungsdaten!$B$5,0))</f>
        <v>296</v>
      </c>
      <c r="L260" s="191">
        <f>IF(H260="","",ROUND(H260*Steuerungsdaten!$B$5,0))</f>
        <v>465</v>
      </c>
      <c r="M260" s="191" t="str">
        <f>IF(I260="","",ROUND(I260*Steuerungsdaten!$B$5,0))</f>
        <v/>
      </c>
      <c r="N260" s="192" t="str">
        <f>IF(J260="","",ROUND(J260*Steuerungsdaten!$B$5,0))</f>
        <v/>
      </c>
      <c r="O260" s="193">
        <v>285</v>
      </c>
      <c r="P260" s="193">
        <v>561</v>
      </c>
      <c r="Q260" s="193"/>
      <c r="R260" s="193"/>
    </row>
    <row r="261" spans="1:18" ht="21.95" customHeight="1" x14ac:dyDescent="0.25">
      <c r="A261" s="177" t="s">
        <v>371</v>
      </c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93"/>
      <c r="P261" s="193"/>
      <c r="Q261" s="193"/>
      <c r="R261" s="193"/>
    </row>
    <row r="262" spans="1:18" x14ac:dyDescent="0.25">
      <c r="A262" s="178">
        <v>5400</v>
      </c>
      <c r="B262" s="179" t="s">
        <v>90</v>
      </c>
      <c r="C262" s="179" t="s">
        <v>371</v>
      </c>
      <c r="D262" s="179" t="s">
        <v>372</v>
      </c>
      <c r="E262" s="180">
        <v>420</v>
      </c>
      <c r="F262" s="180">
        <v>180</v>
      </c>
      <c r="G262" s="181">
        <f>IF(O262="","",ROUND(O262*Steuerungsdaten!$B$4*IFERROR(VLOOKUP(C262,Steuerungsdaten!$A$12:$B$33,2,FALSE),1),0))</f>
        <v>257</v>
      </c>
      <c r="H262" s="181">
        <f>IF(P262="","",ROUND(P262*Steuerungsdaten!$B$4*IFERROR(VLOOKUP(C262,Steuerungsdaten!$A$12:$D$33,4,FALSE),1),0))</f>
        <v>248</v>
      </c>
      <c r="I262" s="181">
        <f>IF(Q262="","",ROUND(Q262*Steuerungsdaten!$B$4*IFERROR(VLOOKUP(C262,Steuerungsdaten!$A$12:$F$33,6,FALSE),1),0))</f>
        <v>253</v>
      </c>
      <c r="J262" s="181">
        <f>IF(R262="","",ROUND(R262*Steuerungsdaten!$B$4*IFERROR(VLOOKUP(C262,Steuerungsdaten!$A$12:$H$33,8,FALSE),1),0))</f>
        <v>251</v>
      </c>
      <c r="K262" s="181">
        <f>IF(G262="","",ROUND(G262*Steuerungsdaten!$B$5,0))</f>
        <v>296</v>
      </c>
      <c r="L262" s="181">
        <f>IF(H262="","",ROUND(H262*Steuerungsdaten!$B$5,0))</f>
        <v>285</v>
      </c>
      <c r="M262" s="181">
        <f>IF(I262="","",ROUND(I262*Steuerungsdaten!$B$5,0))</f>
        <v>291</v>
      </c>
      <c r="N262" s="182">
        <f>IF(J262="","",ROUND(J262*Steuerungsdaten!$B$5,0))</f>
        <v>289</v>
      </c>
      <c r="O262" s="193">
        <v>285</v>
      </c>
      <c r="P262" s="193">
        <v>345</v>
      </c>
      <c r="Q262" s="193">
        <v>329</v>
      </c>
      <c r="R262" s="193">
        <v>335</v>
      </c>
    </row>
    <row r="263" spans="1:18" x14ac:dyDescent="0.25">
      <c r="A263" s="183">
        <v>5401</v>
      </c>
      <c r="B263" s="184" t="s">
        <v>90</v>
      </c>
      <c r="C263" s="184" t="s">
        <v>371</v>
      </c>
      <c r="D263" s="184" t="s">
        <v>373</v>
      </c>
      <c r="E263" s="185">
        <v>420</v>
      </c>
      <c r="F263" s="185">
        <v>360</v>
      </c>
      <c r="G263" s="186">
        <f>IF(O263="","",ROUND(O263*Steuerungsdaten!$B$4*IFERROR(VLOOKUP(C263,Steuerungsdaten!$A$12:$B$33,2,FALSE),1),0))</f>
        <v>317</v>
      </c>
      <c r="H263" s="186">
        <f>IF(P263="","",ROUND(P263*Steuerungsdaten!$B$4*IFERROR(VLOOKUP(C263,Steuerungsdaten!$A$12:$D$33,4,FALSE),1),0))</f>
        <v>316</v>
      </c>
      <c r="I263" s="186">
        <f>IF(Q263="","",ROUND(Q263*Steuerungsdaten!$B$4*IFERROR(VLOOKUP(C263,Steuerungsdaten!$A$12:$F$33,6,FALSE),1),0))</f>
        <v>323</v>
      </c>
      <c r="J263" s="186">
        <f>IF(R263="","",ROUND(R263*Steuerungsdaten!$B$4*IFERROR(VLOOKUP(C263,Steuerungsdaten!$A$12:$H$33,8,FALSE),1),0))</f>
        <v>322</v>
      </c>
      <c r="K263" s="186">
        <f>IF(G263="","",ROUND(G263*Steuerungsdaten!$B$5,0))</f>
        <v>365</v>
      </c>
      <c r="L263" s="186">
        <f>IF(H263="","",ROUND(H263*Steuerungsdaten!$B$5,0))</f>
        <v>363</v>
      </c>
      <c r="M263" s="186">
        <f>IF(I263="","",ROUND(I263*Steuerungsdaten!$B$5,0))</f>
        <v>371</v>
      </c>
      <c r="N263" s="187">
        <f>IF(J263="","",ROUND(J263*Steuerungsdaten!$B$5,0))</f>
        <v>370</v>
      </c>
      <c r="O263" s="193">
        <v>352</v>
      </c>
      <c r="P263" s="193">
        <v>439</v>
      </c>
      <c r="Q263" s="193">
        <v>420</v>
      </c>
      <c r="R263" s="193">
        <v>429</v>
      </c>
    </row>
    <row r="264" spans="1:18" x14ac:dyDescent="0.25">
      <c r="A264" s="188">
        <v>5402</v>
      </c>
      <c r="B264" s="189" t="s">
        <v>90</v>
      </c>
      <c r="C264" s="189" t="s">
        <v>371</v>
      </c>
      <c r="D264" s="189" t="s">
        <v>374</v>
      </c>
      <c r="E264" s="190">
        <v>580</v>
      </c>
      <c r="F264" s="190">
        <v>180</v>
      </c>
      <c r="G264" s="191">
        <f>IF(O264="","",ROUND(O264*Steuerungsdaten!$B$4*IFERROR(VLOOKUP(C264,Steuerungsdaten!$A$12:$B$33,2,FALSE),1),0))</f>
        <v>268</v>
      </c>
      <c r="H264" s="191">
        <f>IF(P264="","",ROUND(P264*Steuerungsdaten!$B$4*IFERROR(VLOOKUP(C264,Steuerungsdaten!$A$12:$D$33,4,FALSE),1),0))</f>
        <v>265</v>
      </c>
      <c r="I264" s="191">
        <f>IF(Q264="","",ROUND(Q264*Steuerungsdaten!$B$4*IFERROR(VLOOKUP(C264,Steuerungsdaten!$A$12:$F$33,6,FALSE),1),0))</f>
        <v>270</v>
      </c>
      <c r="J264" s="191">
        <f>IF(R264="","",ROUND(R264*Steuerungsdaten!$B$4*IFERROR(VLOOKUP(C264,Steuerungsdaten!$A$12:$H$33,8,FALSE),1),0))</f>
        <v>269</v>
      </c>
      <c r="K264" s="191">
        <f>IF(G264="","",ROUND(G264*Steuerungsdaten!$B$5,0))</f>
        <v>308</v>
      </c>
      <c r="L264" s="191">
        <f>IF(H264="","",ROUND(H264*Steuerungsdaten!$B$5,0))</f>
        <v>305</v>
      </c>
      <c r="M264" s="191">
        <f>IF(I264="","",ROUND(I264*Steuerungsdaten!$B$5,0))</f>
        <v>311</v>
      </c>
      <c r="N264" s="192">
        <f>IF(J264="","",ROUND(J264*Steuerungsdaten!$B$5,0))</f>
        <v>309</v>
      </c>
      <c r="O264" s="193">
        <v>298</v>
      </c>
      <c r="P264" s="193">
        <v>368</v>
      </c>
      <c r="Q264" s="193">
        <v>351</v>
      </c>
      <c r="R264" s="193">
        <v>358</v>
      </c>
    </row>
    <row r="265" spans="1:18" x14ac:dyDescent="0.25">
      <c r="A265" s="183">
        <v>5403</v>
      </c>
      <c r="B265" s="184" t="s">
        <v>90</v>
      </c>
      <c r="C265" s="184" t="s">
        <v>371</v>
      </c>
      <c r="D265" s="184" t="s">
        <v>375</v>
      </c>
      <c r="E265" s="185">
        <v>580</v>
      </c>
      <c r="F265" s="185">
        <v>360</v>
      </c>
      <c r="G265" s="186">
        <f>IF(O265="","",ROUND(O265*Steuerungsdaten!$B$4*IFERROR(VLOOKUP(C265,Steuerungsdaten!$A$12:$B$33,2,FALSE),1),0))</f>
        <v>318</v>
      </c>
      <c r="H265" s="186">
        <f>IF(P265="","",ROUND(P265*Steuerungsdaten!$B$4*IFERROR(VLOOKUP(C265,Steuerungsdaten!$A$12:$D$33,4,FALSE),1),0))</f>
        <v>338</v>
      </c>
      <c r="I265" s="186">
        <f>IF(Q265="","",ROUND(Q265*Steuerungsdaten!$B$4*IFERROR(VLOOKUP(C265,Steuerungsdaten!$A$12:$F$33,6,FALSE),1),0))</f>
        <v>343</v>
      </c>
      <c r="J265" s="186">
        <f>IF(R265="","",ROUND(R265*Steuerungsdaten!$B$4*IFERROR(VLOOKUP(C265,Steuerungsdaten!$A$12:$H$33,8,FALSE),1),0))</f>
        <v>345</v>
      </c>
      <c r="K265" s="186">
        <f>IF(G265="","",ROUND(G265*Steuerungsdaten!$B$5,0))</f>
        <v>366</v>
      </c>
      <c r="L265" s="186">
        <f>IF(H265="","",ROUND(H265*Steuerungsdaten!$B$5,0))</f>
        <v>389</v>
      </c>
      <c r="M265" s="186">
        <f>IF(I265="","",ROUND(I265*Steuerungsdaten!$B$5,0))</f>
        <v>394</v>
      </c>
      <c r="N265" s="187">
        <f>IF(J265="","",ROUND(J265*Steuerungsdaten!$B$5,0))</f>
        <v>397</v>
      </c>
      <c r="O265" s="193">
        <v>353</v>
      </c>
      <c r="P265" s="193">
        <v>470</v>
      </c>
      <c r="Q265" s="193">
        <v>445</v>
      </c>
      <c r="R265" s="193">
        <v>460</v>
      </c>
    </row>
    <row r="266" spans="1:18" x14ac:dyDescent="0.25">
      <c r="A266" s="188">
        <v>5404</v>
      </c>
      <c r="B266" s="189" t="s">
        <v>90</v>
      </c>
      <c r="C266" s="189" t="s">
        <v>371</v>
      </c>
      <c r="D266" s="189" t="s">
        <v>376</v>
      </c>
      <c r="E266" s="190">
        <v>780</v>
      </c>
      <c r="F266" s="190">
        <v>180</v>
      </c>
      <c r="G266" s="191">
        <f>IF(O266="","",ROUND(O266*Steuerungsdaten!$B$4*IFERROR(VLOOKUP(C266,Steuerungsdaten!$A$12:$B$33,2,FALSE),1),0))</f>
        <v>278</v>
      </c>
      <c r="H266" s="191">
        <f>IF(P266="","",ROUND(P266*Steuerungsdaten!$B$4*IFERROR(VLOOKUP(C266,Steuerungsdaten!$A$12:$D$33,4,FALSE),1),0))</f>
        <v>282</v>
      </c>
      <c r="I266" s="191">
        <f>IF(Q266="","",ROUND(Q266*Steuerungsdaten!$B$4*IFERROR(VLOOKUP(C266,Steuerungsdaten!$A$12:$F$33,6,FALSE),1),0))</f>
        <v>286</v>
      </c>
      <c r="J266" s="191">
        <f>IF(R266="","",ROUND(R266*Steuerungsdaten!$B$4*IFERROR(VLOOKUP(C266,Steuerungsdaten!$A$12:$H$33,8,FALSE),1),0))</f>
        <v>286</v>
      </c>
      <c r="K266" s="191">
        <f>IF(G266="","",ROUND(G266*Steuerungsdaten!$B$5,0))</f>
        <v>320</v>
      </c>
      <c r="L266" s="191">
        <f>IF(H266="","",ROUND(H266*Steuerungsdaten!$B$5,0))</f>
        <v>324</v>
      </c>
      <c r="M266" s="191">
        <f>IF(I266="","",ROUND(I266*Steuerungsdaten!$B$5,0))</f>
        <v>329</v>
      </c>
      <c r="N266" s="192">
        <f>IF(J266="","",ROUND(J266*Steuerungsdaten!$B$5,0))</f>
        <v>329</v>
      </c>
      <c r="O266" s="193">
        <v>309</v>
      </c>
      <c r="P266" s="193">
        <v>391</v>
      </c>
      <c r="Q266" s="193">
        <v>372</v>
      </c>
      <c r="R266" s="193">
        <v>381</v>
      </c>
    </row>
    <row r="267" spans="1:18" x14ac:dyDescent="0.25">
      <c r="A267" s="183">
        <v>5405</v>
      </c>
      <c r="B267" s="184" t="s">
        <v>90</v>
      </c>
      <c r="C267" s="184" t="s">
        <v>371</v>
      </c>
      <c r="D267" s="184" t="s">
        <v>377</v>
      </c>
      <c r="E267" s="185">
        <v>780</v>
      </c>
      <c r="F267" s="185">
        <v>360</v>
      </c>
      <c r="G267" s="186">
        <f>IF(O267="","",ROUND(O267*Steuerungsdaten!$B$4*IFERROR(VLOOKUP(C267,Steuerungsdaten!$A$12:$B$33,2,FALSE),1),0))</f>
        <v>320</v>
      </c>
      <c r="H267" s="186">
        <f>IF(P267="","",ROUND(P267*Steuerungsdaten!$B$4*IFERROR(VLOOKUP(C267,Steuerungsdaten!$A$12:$D$33,4,FALSE),1),0))</f>
        <v>361</v>
      </c>
      <c r="I267" s="186">
        <f>IF(Q267="","",ROUND(Q267*Steuerungsdaten!$B$4*IFERROR(VLOOKUP(C267,Steuerungsdaten!$A$12:$F$33,6,FALSE),1),0))</f>
        <v>363</v>
      </c>
      <c r="J267" s="186">
        <f>IF(R267="","",ROUND(R267*Steuerungsdaten!$B$4*IFERROR(VLOOKUP(C267,Steuerungsdaten!$A$12:$H$33,8,FALSE),1),0))</f>
        <v>368</v>
      </c>
      <c r="K267" s="186">
        <f>IF(G267="","",ROUND(G267*Steuerungsdaten!$B$5,0))</f>
        <v>368</v>
      </c>
      <c r="L267" s="186">
        <f>IF(H267="","",ROUND(H267*Steuerungsdaten!$B$5,0))</f>
        <v>415</v>
      </c>
      <c r="M267" s="186">
        <f>IF(I267="","",ROUND(I267*Steuerungsdaten!$B$5,0))</f>
        <v>417</v>
      </c>
      <c r="N267" s="187">
        <f>IF(J267="","",ROUND(J267*Steuerungsdaten!$B$5,0))</f>
        <v>423</v>
      </c>
      <c r="O267" s="193">
        <v>356</v>
      </c>
      <c r="P267" s="193">
        <v>501</v>
      </c>
      <c r="Q267" s="193">
        <v>471</v>
      </c>
      <c r="R267" s="193">
        <v>491</v>
      </c>
    </row>
    <row r="268" spans="1:18" x14ac:dyDescent="0.25">
      <c r="A268" s="188">
        <v>5406</v>
      </c>
      <c r="B268" s="189" t="s">
        <v>90</v>
      </c>
      <c r="C268" s="189" t="s">
        <v>371</v>
      </c>
      <c r="D268" s="189" t="s">
        <v>378</v>
      </c>
      <c r="E268" s="190">
        <v>980</v>
      </c>
      <c r="F268" s="190">
        <v>180</v>
      </c>
      <c r="G268" s="191">
        <f>IF(O268="","",ROUND(O268*Steuerungsdaten!$B$4*IFERROR(VLOOKUP(C268,Steuerungsdaten!$A$12:$B$33,2,FALSE),1),0))</f>
        <v>313</v>
      </c>
      <c r="H268" s="191">
        <f>IF(P268="","",ROUND(P268*Steuerungsdaten!$B$4*IFERROR(VLOOKUP(C268,Steuerungsdaten!$A$12:$D$33,4,FALSE),1),0))</f>
        <v>341</v>
      </c>
      <c r="I268" s="191">
        <f>IF(Q268="","",ROUND(Q268*Steuerungsdaten!$B$4*IFERROR(VLOOKUP(C268,Steuerungsdaten!$A$12:$F$33,6,FALSE),1),0))</f>
        <v>321</v>
      </c>
      <c r="J268" s="191">
        <f>IF(R268="","",ROUND(R268*Steuerungsdaten!$B$4*IFERROR(VLOOKUP(C268,Steuerungsdaten!$A$12:$H$33,8,FALSE),1),0))</f>
        <v>348</v>
      </c>
      <c r="K268" s="191">
        <f>IF(G268="","",ROUND(G268*Steuerungsdaten!$B$5,0))</f>
        <v>360</v>
      </c>
      <c r="L268" s="191">
        <f>IF(H268="","",ROUND(H268*Steuerungsdaten!$B$5,0))</f>
        <v>392</v>
      </c>
      <c r="M268" s="191">
        <f>IF(I268="","",ROUND(I268*Steuerungsdaten!$B$5,0))</f>
        <v>369</v>
      </c>
      <c r="N268" s="192">
        <f>IF(J268="","",ROUND(J268*Steuerungsdaten!$B$5,0))</f>
        <v>400</v>
      </c>
      <c r="O268" s="193">
        <v>348</v>
      </c>
      <c r="P268" s="193">
        <v>474</v>
      </c>
      <c r="Q268" s="193">
        <v>417</v>
      </c>
      <c r="R268" s="193">
        <v>464</v>
      </c>
    </row>
    <row r="269" spans="1:18" x14ac:dyDescent="0.25">
      <c r="A269" s="183">
        <v>5407</v>
      </c>
      <c r="B269" s="184" t="s">
        <v>90</v>
      </c>
      <c r="C269" s="184" t="s">
        <v>371</v>
      </c>
      <c r="D269" s="184" t="s">
        <v>379</v>
      </c>
      <c r="E269" s="185">
        <v>980</v>
      </c>
      <c r="F269" s="185">
        <v>360</v>
      </c>
      <c r="G269" s="186">
        <f>IF(O269="","",ROUND(O269*Steuerungsdaten!$B$4*IFERROR(VLOOKUP(C269,Steuerungsdaten!$A$12:$B$33,2,FALSE),1),0))</f>
        <v>386</v>
      </c>
      <c r="H269" s="186">
        <f>IF(P269="","",ROUND(P269*Steuerungsdaten!$B$4*IFERROR(VLOOKUP(C269,Steuerungsdaten!$A$12:$D$33,4,FALSE),1),0))</f>
        <v>439</v>
      </c>
      <c r="I269" s="186">
        <f>IF(Q269="","",ROUND(Q269*Steuerungsdaten!$B$4*IFERROR(VLOOKUP(C269,Steuerungsdaten!$A$12:$F$33,6,FALSE),1),0))</f>
        <v>426</v>
      </c>
      <c r="J269" s="186">
        <f>IF(R269="","",ROUND(R269*Steuerungsdaten!$B$4*IFERROR(VLOOKUP(C269,Steuerungsdaten!$A$12:$H$33,8,FALSE),1),0))</f>
        <v>450</v>
      </c>
      <c r="K269" s="186">
        <f>IF(G269="","",ROUND(G269*Steuerungsdaten!$B$5,0))</f>
        <v>444</v>
      </c>
      <c r="L269" s="186">
        <f>IF(H269="","",ROUND(H269*Steuerungsdaten!$B$5,0))</f>
        <v>505</v>
      </c>
      <c r="M269" s="186">
        <f>IF(I269="","",ROUND(I269*Steuerungsdaten!$B$5,0))</f>
        <v>490</v>
      </c>
      <c r="N269" s="187">
        <f>IF(J269="","",ROUND(J269*Steuerungsdaten!$B$5,0))</f>
        <v>518</v>
      </c>
      <c r="O269" s="193">
        <v>429</v>
      </c>
      <c r="P269" s="193">
        <v>610</v>
      </c>
      <c r="Q269" s="193">
        <v>553</v>
      </c>
      <c r="R269" s="193">
        <v>600</v>
      </c>
    </row>
    <row r="270" spans="1:18" ht="21.95" customHeight="1" x14ac:dyDescent="0.25">
      <c r="A270" s="176" t="s">
        <v>380</v>
      </c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93"/>
      <c r="P270" s="193"/>
      <c r="Q270" s="193"/>
      <c r="R270" s="193"/>
    </row>
    <row r="271" spans="1:18" x14ac:dyDescent="0.25">
      <c r="A271" s="178">
        <v>5500</v>
      </c>
      <c r="B271" s="179" t="s">
        <v>90</v>
      </c>
      <c r="C271" s="179" t="s">
        <v>380</v>
      </c>
      <c r="D271" s="179" t="s">
        <v>381</v>
      </c>
      <c r="E271" s="180">
        <v>420</v>
      </c>
      <c r="F271" s="180">
        <v>180</v>
      </c>
      <c r="G271" s="181">
        <f>IF(O271="","",ROUND(O271*Steuerungsdaten!$B$4*IFERROR(VLOOKUP(C271,Steuerungsdaten!$A$12:$B$33,2,FALSE),1),0))</f>
        <v>257</v>
      </c>
      <c r="H271" s="181">
        <f>IF(P271="","",ROUND(P271*Steuerungsdaten!$B$4*IFERROR(VLOOKUP(C271,Steuerungsdaten!$A$12:$D$33,4,FALSE),1),0))</f>
        <v>248</v>
      </c>
      <c r="I271" s="181">
        <f>IF(Q271="","",ROUND(Q271*Steuerungsdaten!$B$4*IFERROR(VLOOKUP(C271,Steuerungsdaten!$A$12:$F$33,6,FALSE),1),0))</f>
        <v>253</v>
      </c>
      <c r="J271" s="181">
        <f>IF(R271="","",ROUND(R271*Steuerungsdaten!$B$4*IFERROR(VLOOKUP(C271,Steuerungsdaten!$A$12:$H$33,8,FALSE),1),0))</f>
        <v>251</v>
      </c>
      <c r="K271" s="181">
        <f>IF(G271="","",ROUND(G271*Steuerungsdaten!$B$5,0))</f>
        <v>296</v>
      </c>
      <c r="L271" s="181">
        <f>IF(H271="","",ROUND(H271*Steuerungsdaten!$B$5,0))</f>
        <v>285</v>
      </c>
      <c r="M271" s="181">
        <f>IF(I271="","",ROUND(I271*Steuerungsdaten!$B$5,0))</f>
        <v>291</v>
      </c>
      <c r="N271" s="182">
        <f>IF(J271="","",ROUND(J271*Steuerungsdaten!$B$5,0))</f>
        <v>289</v>
      </c>
      <c r="O271" s="193">
        <v>285</v>
      </c>
      <c r="P271" s="193">
        <v>345</v>
      </c>
      <c r="Q271" s="193">
        <v>329</v>
      </c>
      <c r="R271" s="193">
        <v>335</v>
      </c>
    </row>
    <row r="272" spans="1:18" x14ac:dyDescent="0.25">
      <c r="A272" s="183">
        <v>5501</v>
      </c>
      <c r="B272" s="184" t="s">
        <v>90</v>
      </c>
      <c r="C272" s="184" t="s">
        <v>380</v>
      </c>
      <c r="D272" s="184" t="s">
        <v>382</v>
      </c>
      <c r="E272" s="185">
        <v>420</v>
      </c>
      <c r="F272" s="185">
        <v>360</v>
      </c>
      <c r="G272" s="186">
        <f>IF(O272="","",ROUND(O272*Steuerungsdaten!$B$4*IFERROR(VLOOKUP(C272,Steuerungsdaten!$A$12:$B$33,2,FALSE),1),0))</f>
        <v>317</v>
      </c>
      <c r="H272" s="186">
        <f>IF(P272="","",ROUND(P272*Steuerungsdaten!$B$4*IFERROR(VLOOKUP(C272,Steuerungsdaten!$A$12:$D$33,4,FALSE),1),0))</f>
        <v>316</v>
      </c>
      <c r="I272" s="186">
        <f>IF(Q272="","",ROUND(Q272*Steuerungsdaten!$B$4*IFERROR(VLOOKUP(C272,Steuerungsdaten!$A$12:$F$33,6,FALSE),1),0))</f>
        <v>323</v>
      </c>
      <c r="J272" s="186">
        <f>IF(R272="","",ROUND(R272*Steuerungsdaten!$B$4*IFERROR(VLOOKUP(C272,Steuerungsdaten!$A$12:$H$33,8,FALSE),1),0))</f>
        <v>322</v>
      </c>
      <c r="K272" s="186">
        <f>IF(G272="","",ROUND(G272*Steuerungsdaten!$B$5,0))</f>
        <v>365</v>
      </c>
      <c r="L272" s="186">
        <f>IF(H272="","",ROUND(H272*Steuerungsdaten!$B$5,0))</f>
        <v>363</v>
      </c>
      <c r="M272" s="186">
        <f>IF(I272="","",ROUND(I272*Steuerungsdaten!$B$5,0))</f>
        <v>371</v>
      </c>
      <c r="N272" s="187">
        <f>IF(J272="","",ROUND(J272*Steuerungsdaten!$B$5,0))</f>
        <v>370</v>
      </c>
      <c r="O272" s="193">
        <v>352</v>
      </c>
      <c r="P272" s="193">
        <v>439</v>
      </c>
      <c r="Q272" s="193">
        <v>420</v>
      </c>
      <c r="R272" s="193">
        <v>429</v>
      </c>
    </row>
    <row r="273" spans="1:18" x14ac:dyDescent="0.25">
      <c r="A273" s="188">
        <v>5502</v>
      </c>
      <c r="B273" s="189" t="s">
        <v>90</v>
      </c>
      <c r="C273" s="189" t="s">
        <v>380</v>
      </c>
      <c r="D273" s="189" t="s">
        <v>383</v>
      </c>
      <c r="E273" s="190">
        <v>580</v>
      </c>
      <c r="F273" s="190">
        <v>180</v>
      </c>
      <c r="G273" s="191">
        <f>IF(O273="","",ROUND(O273*Steuerungsdaten!$B$4*IFERROR(VLOOKUP(C273,Steuerungsdaten!$A$12:$B$33,2,FALSE),1),0))</f>
        <v>268</v>
      </c>
      <c r="H273" s="191">
        <f>IF(P273="","",ROUND(P273*Steuerungsdaten!$B$4*IFERROR(VLOOKUP(C273,Steuerungsdaten!$A$12:$D$33,4,FALSE),1),0))</f>
        <v>265</v>
      </c>
      <c r="I273" s="191">
        <f>IF(Q273="","",ROUND(Q273*Steuerungsdaten!$B$4*IFERROR(VLOOKUP(C273,Steuerungsdaten!$A$12:$F$33,6,FALSE),1),0))</f>
        <v>270</v>
      </c>
      <c r="J273" s="191">
        <f>IF(R273="","",ROUND(R273*Steuerungsdaten!$B$4*IFERROR(VLOOKUP(C273,Steuerungsdaten!$A$12:$H$33,8,FALSE),1),0))</f>
        <v>269</v>
      </c>
      <c r="K273" s="191">
        <f>IF(G273="","",ROUND(G273*Steuerungsdaten!$B$5,0))</f>
        <v>308</v>
      </c>
      <c r="L273" s="191">
        <f>IF(H273="","",ROUND(H273*Steuerungsdaten!$B$5,0))</f>
        <v>305</v>
      </c>
      <c r="M273" s="191">
        <f>IF(I273="","",ROUND(I273*Steuerungsdaten!$B$5,0))</f>
        <v>311</v>
      </c>
      <c r="N273" s="192">
        <f>IF(J273="","",ROUND(J273*Steuerungsdaten!$B$5,0))</f>
        <v>309</v>
      </c>
      <c r="O273" s="193">
        <v>298</v>
      </c>
      <c r="P273" s="193">
        <v>368</v>
      </c>
      <c r="Q273" s="193">
        <v>351</v>
      </c>
      <c r="R273" s="193">
        <v>358</v>
      </c>
    </row>
    <row r="274" spans="1:18" x14ac:dyDescent="0.25">
      <c r="A274" s="183">
        <v>5503</v>
      </c>
      <c r="B274" s="184" t="s">
        <v>90</v>
      </c>
      <c r="C274" s="184" t="s">
        <v>380</v>
      </c>
      <c r="D274" s="184" t="s">
        <v>384</v>
      </c>
      <c r="E274" s="185">
        <v>580</v>
      </c>
      <c r="F274" s="185">
        <v>360</v>
      </c>
      <c r="G274" s="186">
        <f>IF(O274="","",ROUND(O274*Steuerungsdaten!$B$4*IFERROR(VLOOKUP(C274,Steuerungsdaten!$A$12:$B$33,2,FALSE),1),0))</f>
        <v>318</v>
      </c>
      <c r="H274" s="186">
        <f>IF(P274="","",ROUND(P274*Steuerungsdaten!$B$4*IFERROR(VLOOKUP(C274,Steuerungsdaten!$A$12:$D$33,4,FALSE),1),0))</f>
        <v>338</v>
      </c>
      <c r="I274" s="186">
        <f>IF(Q274="","",ROUND(Q274*Steuerungsdaten!$B$4*IFERROR(VLOOKUP(C274,Steuerungsdaten!$A$12:$F$33,6,FALSE),1),0))</f>
        <v>343</v>
      </c>
      <c r="J274" s="186">
        <f>IF(R274="","",ROUND(R274*Steuerungsdaten!$B$4*IFERROR(VLOOKUP(C274,Steuerungsdaten!$A$12:$H$33,8,FALSE),1),0))</f>
        <v>345</v>
      </c>
      <c r="K274" s="186">
        <f>IF(G274="","",ROUND(G274*Steuerungsdaten!$B$5,0))</f>
        <v>366</v>
      </c>
      <c r="L274" s="186">
        <f>IF(H274="","",ROUND(H274*Steuerungsdaten!$B$5,0))</f>
        <v>389</v>
      </c>
      <c r="M274" s="186">
        <f>IF(I274="","",ROUND(I274*Steuerungsdaten!$B$5,0))</f>
        <v>394</v>
      </c>
      <c r="N274" s="187">
        <f>IF(J274="","",ROUND(J274*Steuerungsdaten!$B$5,0))</f>
        <v>397</v>
      </c>
      <c r="O274" s="193">
        <v>353</v>
      </c>
      <c r="P274" s="193">
        <v>470</v>
      </c>
      <c r="Q274" s="193">
        <v>445</v>
      </c>
      <c r="R274" s="193">
        <v>460</v>
      </c>
    </row>
    <row r="275" spans="1:18" x14ac:dyDescent="0.25">
      <c r="A275" s="188">
        <v>5504</v>
      </c>
      <c r="B275" s="189" t="s">
        <v>90</v>
      </c>
      <c r="C275" s="189" t="s">
        <v>380</v>
      </c>
      <c r="D275" s="189" t="s">
        <v>385</v>
      </c>
      <c r="E275" s="190">
        <v>780</v>
      </c>
      <c r="F275" s="190">
        <v>180</v>
      </c>
      <c r="G275" s="191">
        <f>IF(O275="","",ROUND(O275*Steuerungsdaten!$B$4*IFERROR(VLOOKUP(C275,Steuerungsdaten!$A$12:$B$33,2,FALSE),1),0))</f>
        <v>278</v>
      </c>
      <c r="H275" s="191">
        <f>IF(P275="","",ROUND(P275*Steuerungsdaten!$B$4*IFERROR(VLOOKUP(C275,Steuerungsdaten!$A$12:$D$33,4,FALSE),1),0))</f>
        <v>282</v>
      </c>
      <c r="I275" s="191">
        <f>IF(Q275="","",ROUND(Q275*Steuerungsdaten!$B$4*IFERROR(VLOOKUP(C275,Steuerungsdaten!$A$12:$F$33,6,FALSE),1),0))</f>
        <v>286</v>
      </c>
      <c r="J275" s="191">
        <f>IF(R275="","",ROUND(R275*Steuerungsdaten!$B$4*IFERROR(VLOOKUP(C275,Steuerungsdaten!$A$12:$H$33,8,FALSE),1),0))</f>
        <v>286</v>
      </c>
      <c r="K275" s="191">
        <f>IF(G275="","",ROUND(G275*Steuerungsdaten!$B$5,0))</f>
        <v>320</v>
      </c>
      <c r="L275" s="191">
        <f>IF(H275="","",ROUND(H275*Steuerungsdaten!$B$5,0))</f>
        <v>324</v>
      </c>
      <c r="M275" s="191">
        <f>IF(I275="","",ROUND(I275*Steuerungsdaten!$B$5,0))</f>
        <v>329</v>
      </c>
      <c r="N275" s="192">
        <f>IF(J275="","",ROUND(J275*Steuerungsdaten!$B$5,0))</f>
        <v>329</v>
      </c>
      <c r="O275" s="193">
        <v>309</v>
      </c>
      <c r="P275" s="193">
        <v>391</v>
      </c>
      <c r="Q275" s="193">
        <v>372</v>
      </c>
      <c r="R275" s="193">
        <v>381</v>
      </c>
    </row>
    <row r="276" spans="1:18" x14ac:dyDescent="0.25">
      <c r="A276" s="183">
        <v>5505</v>
      </c>
      <c r="B276" s="184" t="s">
        <v>90</v>
      </c>
      <c r="C276" s="184" t="s">
        <v>380</v>
      </c>
      <c r="D276" s="184" t="s">
        <v>386</v>
      </c>
      <c r="E276" s="185">
        <v>780</v>
      </c>
      <c r="F276" s="185">
        <v>360</v>
      </c>
      <c r="G276" s="186">
        <f>IF(O276="","",ROUND(O276*Steuerungsdaten!$B$4*IFERROR(VLOOKUP(C276,Steuerungsdaten!$A$12:$B$33,2,FALSE),1),0))</f>
        <v>320</v>
      </c>
      <c r="H276" s="186">
        <f>IF(P276="","",ROUND(P276*Steuerungsdaten!$B$4*IFERROR(VLOOKUP(C276,Steuerungsdaten!$A$12:$D$33,4,FALSE),1),0))</f>
        <v>361</v>
      </c>
      <c r="I276" s="186">
        <f>IF(Q276="","",ROUND(Q276*Steuerungsdaten!$B$4*IFERROR(VLOOKUP(C276,Steuerungsdaten!$A$12:$F$33,6,FALSE),1),0))</f>
        <v>363</v>
      </c>
      <c r="J276" s="186">
        <f>IF(R276="","",ROUND(R276*Steuerungsdaten!$B$4*IFERROR(VLOOKUP(C276,Steuerungsdaten!$A$12:$H$33,8,FALSE),1),0))</f>
        <v>368</v>
      </c>
      <c r="K276" s="186">
        <f>IF(G276="","",ROUND(G276*Steuerungsdaten!$B$5,0))</f>
        <v>368</v>
      </c>
      <c r="L276" s="186">
        <f>IF(H276="","",ROUND(H276*Steuerungsdaten!$B$5,0))</f>
        <v>415</v>
      </c>
      <c r="M276" s="186">
        <f>IF(I276="","",ROUND(I276*Steuerungsdaten!$B$5,0))</f>
        <v>417</v>
      </c>
      <c r="N276" s="187">
        <f>IF(J276="","",ROUND(J276*Steuerungsdaten!$B$5,0))</f>
        <v>423</v>
      </c>
      <c r="O276" s="193">
        <v>356</v>
      </c>
      <c r="P276" s="193">
        <v>501</v>
      </c>
      <c r="Q276" s="193">
        <v>471</v>
      </c>
      <c r="R276" s="193">
        <v>491</v>
      </c>
    </row>
    <row r="277" spans="1:18" x14ac:dyDescent="0.25">
      <c r="A277" s="188">
        <v>5506</v>
      </c>
      <c r="B277" s="189" t="s">
        <v>90</v>
      </c>
      <c r="C277" s="189" t="s">
        <v>380</v>
      </c>
      <c r="D277" s="189" t="s">
        <v>387</v>
      </c>
      <c r="E277" s="190">
        <v>980</v>
      </c>
      <c r="F277" s="190">
        <v>180</v>
      </c>
      <c r="G277" s="191">
        <f>IF(O277="","",ROUND(O277*Steuerungsdaten!$B$4*IFERROR(VLOOKUP(C277,Steuerungsdaten!$A$12:$B$33,2,FALSE),1),0))</f>
        <v>313</v>
      </c>
      <c r="H277" s="191">
        <f>IF(P277="","",ROUND(P277*Steuerungsdaten!$B$4*IFERROR(VLOOKUP(C277,Steuerungsdaten!$A$12:$D$33,4,FALSE),1),0))</f>
        <v>341</v>
      </c>
      <c r="I277" s="191">
        <f>IF(Q277="","",ROUND(Q277*Steuerungsdaten!$B$4*IFERROR(VLOOKUP(C277,Steuerungsdaten!$A$12:$F$33,6,FALSE),1),0))</f>
        <v>321</v>
      </c>
      <c r="J277" s="191">
        <f>IF(R277="","",ROUND(R277*Steuerungsdaten!$B$4*IFERROR(VLOOKUP(C277,Steuerungsdaten!$A$12:$H$33,8,FALSE),1),0))</f>
        <v>348</v>
      </c>
      <c r="K277" s="191">
        <f>IF(G277="","",ROUND(G277*Steuerungsdaten!$B$5,0))</f>
        <v>360</v>
      </c>
      <c r="L277" s="191">
        <f>IF(H277="","",ROUND(H277*Steuerungsdaten!$B$5,0))</f>
        <v>392</v>
      </c>
      <c r="M277" s="191">
        <f>IF(I277="","",ROUND(I277*Steuerungsdaten!$B$5,0))</f>
        <v>369</v>
      </c>
      <c r="N277" s="192">
        <f>IF(J277="","",ROUND(J277*Steuerungsdaten!$B$5,0))</f>
        <v>400</v>
      </c>
      <c r="O277" s="193">
        <v>348</v>
      </c>
      <c r="P277" s="193">
        <v>474</v>
      </c>
      <c r="Q277" s="193">
        <v>417</v>
      </c>
      <c r="R277" s="193">
        <v>464</v>
      </c>
    </row>
    <row r="278" spans="1:18" x14ac:dyDescent="0.25">
      <c r="A278" s="183">
        <v>5507</v>
      </c>
      <c r="B278" s="184" t="s">
        <v>90</v>
      </c>
      <c r="C278" s="184" t="s">
        <v>380</v>
      </c>
      <c r="D278" s="184" t="s">
        <v>388</v>
      </c>
      <c r="E278" s="185">
        <v>980</v>
      </c>
      <c r="F278" s="185">
        <v>360</v>
      </c>
      <c r="G278" s="186">
        <f>IF(O278="","",ROUND(O278*Steuerungsdaten!$B$4*IFERROR(VLOOKUP(C278,Steuerungsdaten!$A$12:$B$33,2,FALSE),1),0))</f>
        <v>386</v>
      </c>
      <c r="H278" s="186">
        <f>IF(P278="","",ROUND(P278*Steuerungsdaten!$B$4*IFERROR(VLOOKUP(C278,Steuerungsdaten!$A$12:$D$33,4,FALSE),1),0))</f>
        <v>439</v>
      </c>
      <c r="I278" s="186">
        <f>IF(Q278="","",ROUND(Q278*Steuerungsdaten!$B$4*IFERROR(VLOOKUP(C278,Steuerungsdaten!$A$12:$F$33,6,FALSE),1),0))</f>
        <v>426</v>
      </c>
      <c r="J278" s="186">
        <f>IF(R278="","",ROUND(R278*Steuerungsdaten!$B$4*IFERROR(VLOOKUP(C278,Steuerungsdaten!$A$12:$H$33,8,FALSE),1),0))</f>
        <v>450</v>
      </c>
      <c r="K278" s="186">
        <f>IF(G278="","",ROUND(G278*Steuerungsdaten!$B$5,0))</f>
        <v>444</v>
      </c>
      <c r="L278" s="186">
        <f>IF(H278="","",ROUND(H278*Steuerungsdaten!$B$5,0))</f>
        <v>505</v>
      </c>
      <c r="M278" s="186">
        <f>IF(I278="","",ROUND(I278*Steuerungsdaten!$B$5,0))</f>
        <v>490</v>
      </c>
      <c r="N278" s="187">
        <f>IF(J278="","",ROUND(J278*Steuerungsdaten!$B$5,0))</f>
        <v>518</v>
      </c>
      <c r="O278" s="193">
        <v>429</v>
      </c>
      <c r="P278" s="193">
        <v>610</v>
      </c>
      <c r="Q278" s="193">
        <v>553</v>
      </c>
      <c r="R278" s="193">
        <v>600</v>
      </c>
    </row>
    <row r="279" spans="1:18" ht="21.95" customHeight="1" x14ac:dyDescent="0.25">
      <c r="A279" s="176" t="s">
        <v>391</v>
      </c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93"/>
      <c r="P279" s="193"/>
      <c r="Q279" s="193"/>
      <c r="R279" s="193"/>
    </row>
    <row r="280" spans="1:18" x14ac:dyDescent="0.25">
      <c r="A280" s="178">
        <v>1000</v>
      </c>
      <c r="B280" s="179" t="s">
        <v>391</v>
      </c>
      <c r="C280" s="179"/>
      <c r="D280" s="179" t="s">
        <v>392</v>
      </c>
      <c r="E280" s="180"/>
      <c r="F280" s="180"/>
      <c r="G280" s="181">
        <f>IF(O280="","",ROUND(O280*Steuerungsdaten!$B$4*IFERROR(VLOOKUP(C280,Steuerungsdaten!$A$12:$B$33,2,FALSE),1),0))</f>
        <v>6</v>
      </c>
      <c r="H280" s="181" t="str">
        <f>IF(P280="","",ROUND(P280*Steuerungsdaten!$B$4*IFERROR(VLOOKUP(C280,Steuerungsdaten!$A$12:$D$33,4,FALSE),1),0))</f>
        <v/>
      </c>
      <c r="I280" s="181" t="str">
        <f>IF(Q280="","",ROUND(Q280*Steuerungsdaten!$B$4*IFERROR(VLOOKUP(C280,Steuerungsdaten!$A$12:$F$33,6,FALSE),1),0))</f>
        <v/>
      </c>
      <c r="J280" s="181" t="str">
        <f>IF(R280="","",ROUND(R280*Steuerungsdaten!$B$4*IFERROR(VLOOKUP(C280,Steuerungsdaten!$A$12:$H$33,8,FALSE),1),0))</f>
        <v/>
      </c>
      <c r="K280" s="181">
        <f>IF(G280="","",ROUND(G280*Steuerungsdaten!$B$5,0))</f>
        <v>7</v>
      </c>
      <c r="L280" s="181" t="str">
        <f>IF(H280="","",ROUND(H280*Steuerungsdaten!$B$5,0))</f>
        <v/>
      </c>
      <c r="M280" s="181" t="str">
        <f>IF(I280="","",ROUND(I280*Steuerungsdaten!$B$5,0))</f>
        <v/>
      </c>
      <c r="N280" s="182" t="str">
        <f>IF(J280="","",ROUND(J280*Steuerungsdaten!$B$5,0))</f>
        <v/>
      </c>
      <c r="O280" s="193">
        <v>6</v>
      </c>
      <c r="P280" s="193"/>
      <c r="Q280" s="193"/>
      <c r="R280" s="193"/>
    </row>
    <row r="281" spans="1:18" x14ac:dyDescent="0.25">
      <c r="A281" s="183">
        <v>1001</v>
      </c>
      <c r="B281" s="184" t="s">
        <v>391</v>
      </c>
      <c r="C281" s="184"/>
      <c r="D281" s="184" t="s">
        <v>392</v>
      </c>
      <c r="E281" s="185"/>
      <c r="F281" s="185"/>
      <c r="G281" s="186">
        <f>IF(O281="","",ROUND(O281*Steuerungsdaten!$B$4*IFERROR(VLOOKUP(C281,Steuerungsdaten!$A$12:$B$33,2,FALSE),1),0))</f>
        <v>6</v>
      </c>
      <c r="H281" s="186" t="str">
        <f>IF(P281="","",ROUND(P281*Steuerungsdaten!$B$4*IFERROR(VLOOKUP(C281,Steuerungsdaten!$A$12:$D$33,4,FALSE),1),0))</f>
        <v/>
      </c>
      <c r="I281" s="186" t="str">
        <f>IF(Q281="","",ROUND(Q281*Steuerungsdaten!$B$4*IFERROR(VLOOKUP(C281,Steuerungsdaten!$A$12:$F$33,6,FALSE),1),0))</f>
        <v/>
      </c>
      <c r="J281" s="186" t="str">
        <f>IF(R281="","",ROUND(R281*Steuerungsdaten!$B$4*IFERROR(VLOOKUP(C281,Steuerungsdaten!$A$12:$H$33,8,FALSE),1),0))</f>
        <v/>
      </c>
      <c r="K281" s="186">
        <f>IF(G281="","",ROUND(G281*Steuerungsdaten!$B$5,0))</f>
        <v>7</v>
      </c>
      <c r="L281" s="186" t="str">
        <f>IF(H281="","",ROUND(H281*Steuerungsdaten!$B$5,0))</f>
        <v/>
      </c>
      <c r="M281" s="186" t="str">
        <f>IF(I281="","",ROUND(I281*Steuerungsdaten!$B$5,0))</f>
        <v/>
      </c>
      <c r="N281" s="187" t="str">
        <f>IF(J281="","",ROUND(J281*Steuerungsdaten!$B$5,0))</f>
        <v/>
      </c>
      <c r="O281" s="193">
        <v>6</v>
      </c>
      <c r="P281" s="193"/>
      <c r="Q281" s="193"/>
      <c r="R281" s="193"/>
    </row>
    <row r="282" spans="1:18" x14ac:dyDescent="0.25">
      <c r="A282" s="188">
        <v>1002</v>
      </c>
      <c r="B282" s="189" t="s">
        <v>391</v>
      </c>
      <c r="C282" s="189"/>
      <c r="D282" s="189" t="s">
        <v>392</v>
      </c>
      <c r="E282" s="190"/>
      <c r="F282" s="190"/>
      <c r="G282" s="191">
        <f>IF(O282="","",ROUND(O282*Steuerungsdaten!$B$4*IFERROR(VLOOKUP(C282,Steuerungsdaten!$A$12:$B$33,2,FALSE),1),0))</f>
        <v>6</v>
      </c>
      <c r="H282" s="191" t="str">
        <f>IF(P282="","",ROUND(P282*Steuerungsdaten!$B$4*IFERROR(VLOOKUP(C282,Steuerungsdaten!$A$12:$D$33,4,FALSE),1),0))</f>
        <v/>
      </c>
      <c r="I282" s="191" t="str">
        <f>IF(Q282="","",ROUND(Q282*Steuerungsdaten!$B$4*IFERROR(VLOOKUP(C282,Steuerungsdaten!$A$12:$F$33,6,FALSE),1),0))</f>
        <v/>
      </c>
      <c r="J282" s="191" t="str">
        <f>IF(R282="","",ROUND(R282*Steuerungsdaten!$B$4*IFERROR(VLOOKUP(C282,Steuerungsdaten!$A$12:$H$33,8,FALSE),1),0))</f>
        <v/>
      </c>
      <c r="K282" s="191">
        <f>IF(G282="","",ROUND(G282*Steuerungsdaten!$B$5,0))</f>
        <v>7</v>
      </c>
      <c r="L282" s="191" t="str">
        <f>IF(H282="","",ROUND(H282*Steuerungsdaten!$B$5,0))</f>
        <v/>
      </c>
      <c r="M282" s="191" t="str">
        <f>IF(I282="","",ROUND(I282*Steuerungsdaten!$B$5,0))</f>
        <v/>
      </c>
      <c r="N282" s="192" t="str">
        <f>IF(J282="","",ROUND(J282*Steuerungsdaten!$B$5,0))</f>
        <v/>
      </c>
      <c r="O282" s="193">
        <v>6</v>
      </c>
      <c r="P282" s="193"/>
      <c r="Q282" s="193"/>
      <c r="R282" s="193"/>
    </row>
    <row r="283" spans="1:18" x14ac:dyDescent="0.25">
      <c r="A283" s="183">
        <v>1100</v>
      </c>
      <c r="B283" s="184" t="s">
        <v>391</v>
      </c>
      <c r="C283" s="184"/>
      <c r="D283" s="184" t="s">
        <v>393</v>
      </c>
      <c r="E283" s="185"/>
      <c r="F283" s="185"/>
      <c r="G283" s="186">
        <f>IF(O283="","",ROUND(O283*Steuerungsdaten!$B$4*IFERROR(VLOOKUP(C283,Steuerungsdaten!$A$12:$B$33,2,FALSE),1),0))</f>
        <v>6</v>
      </c>
      <c r="H283" s="186" t="str">
        <f>IF(P283="","",ROUND(P283*Steuerungsdaten!$B$4*IFERROR(VLOOKUP(C283,Steuerungsdaten!$A$12:$D$33,4,FALSE),1),0))</f>
        <v/>
      </c>
      <c r="I283" s="186" t="str">
        <f>IF(Q283="","",ROUND(Q283*Steuerungsdaten!$B$4*IFERROR(VLOOKUP(C283,Steuerungsdaten!$A$12:$F$33,6,FALSE),1),0))</f>
        <v/>
      </c>
      <c r="J283" s="186" t="str">
        <f>IF(R283="","",ROUND(R283*Steuerungsdaten!$B$4*IFERROR(VLOOKUP(C283,Steuerungsdaten!$A$12:$H$33,8,FALSE),1),0))</f>
        <v/>
      </c>
      <c r="K283" s="186">
        <f>IF(G283="","",ROUND(G283*Steuerungsdaten!$B$5,0))</f>
        <v>7</v>
      </c>
      <c r="L283" s="186" t="str">
        <f>IF(H283="","",ROUND(H283*Steuerungsdaten!$B$5,0))</f>
        <v/>
      </c>
      <c r="M283" s="186" t="str">
        <f>IF(I283="","",ROUND(I283*Steuerungsdaten!$B$5,0))</f>
        <v/>
      </c>
      <c r="N283" s="187" t="str">
        <f>IF(J283="","",ROUND(J283*Steuerungsdaten!$B$5,0))</f>
        <v/>
      </c>
      <c r="O283" s="193">
        <v>6</v>
      </c>
      <c r="P283" s="193"/>
      <c r="Q283" s="193"/>
      <c r="R283" s="193"/>
    </row>
    <row r="284" spans="1:18" x14ac:dyDescent="0.25">
      <c r="A284" s="188">
        <v>1101</v>
      </c>
      <c r="B284" s="189" t="s">
        <v>391</v>
      </c>
      <c r="C284" s="189"/>
      <c r="D284" s="189" t="s">
        <v>393</v>
      </c>
      <c r="E284" s="190"/>
      <c r="F284" s="190"/>
      <c r="G284" s="191">
        <f>IF(O284="","",ROUND(O284*Steuerungsdaten!$B$4*IFERROR(VLOOKUP(C284,Steuerungsdaten!$A$12:$B$33,2,FALSE),1),0))</f>
        <v>6</v>
      </c>
      <c r="H284" s="191" t="str">
        <f>IF(P284="","",ROUND(P284*Steuerungsdaten!$B$4*IFERROR(VLOOKUP(C284,Steuerungsdaten!$A$12:$D$33,4,FALSE),1),0))</f>
        <v/>
      </c>
      <c r="I284" s="191" t="str">
        <f>IF(Q284="","",ROUND(Q284*Steuerungsdaten!$B$4*IFERROR(VLOOKUP(C284,Steuerungsdaten!$A$12:$F$33,6,FALSE),1),0))</f>
        <v/>
      </c>
      <c r="J284" s="191" t="str">
        <f>IF(R284="","",ROUND(R284*Steuerungsdaten!$B$4*IFERROR(VLOOKUP(C284,Steuerungsdaten!$A$12:$H$33,8,FALSE),1),0))</f>
        <v/>
      </c>
      <c r="K284" s="191">
        <f>IF(G284="","",ROUND(G284*Steuerungsdaten!$B$5,0))</f>
        <v>7</v>
      </c>
      <c r="L284" s="191" t="str">
        <f>IF(H284="","",ROUND(H284*Steuerungsdaten!$B$5,0))</f>
        <v/>
      </c>
      <c r="M284" s="191" t="str">
        <f>IF(I284="","",ROUND(I284*Steuerungsdaten!$B$5,0))</f>
        <v/>
      </c>
      <c r="N284" s="192" t="str">
        <f>IF(J284="","",ROUND(J284*Steuerungsdaten!$B$5,0))</f>
        <v/>
      </c>
      <c r="O284" s="193">
        <v>6</v>
      </c>
      <c r="P284" s="193"/>
      <c r="Q284" s="193"/>
      <c r="R284" s="193"/>
    </row>
    <row r="285" spans="1:18" x14ac:dyDescent="0.25">
      <c r="A285" s="183">
        <v>1102</v>
      </c>
      <c r="B285" s="184" t="s">
        <v>391</v>
      </c>
      <c r="C285" s="184"/>
      <c r="D285" s="184" t="s">
        <v>393</v>
      </c>
      <c r="E285" s="185"/>
      <c r="F285" s="185"/>
      <c r="G285" s="186">
        <f>IF(O285="","",ROUND(O285*Steuerungsdaten!$B$4*IFERROR(VLOOKUP(C285,Steuerungsdaten!$A$12:$B$33,2,FALSE),1),0))</f>
        <v>6</v>
      </c>
      <c r="H285" s="186" t="str">
        <f>IF(P285="","",ROUND(P285*Steuerungsdaten!$B$4*IFERROR(VLOOKUP(C285,Steuerungsdaten!$A$12:$D$33,4,FALSE),1),0))</f>
        <v/>
      </c>
      <c r="I285" s="186" t="str">
        <f>IF(Q285="","",ROUND(Q285*Steuerungsdaten!$B$4*IFERROR(VLOOKUP(C285,Steuerungsdaten!$A$12:$F$33,6,FALSE),1),0))</f>
        <v/>
      </c>
      <c r="J285" s="186" t="str">
        <f>IF(R285="","",ROUND(R285*Steuerungsdaten!$B$4*IFERROR(VLOOKUP(C285,Steuerungsdaten!$A$12:$H$33,8,FALSE),1),0))</f>
        <v/>
      </c>
      <c r="K285" s="186">
        <f>IF(G285="","",ROUND(G285*Steuerungsdaten!$B$5,0))</f>
        <v>7</v>
      </c>
      <c r="L285" s="186" t="str">
        <f>IF(H285="","",ROUND(H285*Steuerungsdaten!$B$5,0))</f>
        <v/>
      </c>
      <c r="M285" s="186" t="str">
        <f>IF(I285="","",ROUND(I285*Steuerungsdaten!$B$5,0))</f>
        <v/>
      </c>
      <c r="N285" s="187" t="str">
        <f>IF(J285="","",ROUND(J285*Steuerungsdaten!$B$5,0))</f>
        <v/>
      </c>
      <c r="O285" s="193">
        <v>6</v>
      </c>
      <c r="P285" s="193"/>
      <c r="Q285" s="193"/>
      <c r="R285" s="193"/>
    </row>
    <row r="286" spans="1:18" x14ac:dyDescent="0.25">
      <c r="A286" s="188">
        <v>2000</v>
      </c>
      <c r="B286" s="189" t="s">
        <v>391</v>
      </c>
      <c r="C286" s="189" t="s">
        <v>394</v>
      </c>
      <c r="D286" s="189" t="s">
        <v>395</v>
      </c>
      <c r="E286" s="190"/>
      <c r="F286" s="190"/>
      <c r="G286" s="191">
        <f>IF(O286="","",ROUND(O286*Steuerungsdaten!$B$4*IFERROR(VLOOKUP(C286,Steuerungsdaten!$A$12:$B$33,2,FALSE),1),0))</f>
        <v>60</v>
      </c>
      <c r="H286" s="191" t="str">
        <f>IF(P286="","",ROUND(P286*Steuerungsdaten!$B$4*IFERROR(VLOOKUP(C286,Steuerungsdaten!$A$12:$D$33,4,FALSE),1),0))</f>
        <v/>
      </c>
      <c r="I286" s="191" t="str">
        <f>IF(Q286="","",ROUND(Q286*Steuerungsdaten!$B$4*IFERROR(VLOOKUP(C286,Steuerungsdaten!$A$12:$F$33,6,FALSE),1),0))</f>
        <v/>
      </c>
      <c r="J286" s="191" t="str">
        <f>IF(R286="","",ROUND(R286*Steuerungsdaten!$B$4*IFERROR(VLOOKUP(C286,Steuerungsdaten!$A$12:$H$33,8,FALSE),1),0))</f>
        <v/>
      </c>
      <c r="K286" s="191">
        <f>IF(G286="","",ROUND(G286*Steuerungsdaten!$B$5,0))</f>
        <v>69</v>
      </c>
      <c r="L286" s="191" t="str">
        <f>IF(H286="","",ROUND(H286*Steuerungsdaten!$B$5,0))</f>
        <v/>
      </c>
      <c r="M286" s="191" t="str">
        <f>IF(I286="","",ROUND(I286*Steuerungsdaten!$B$5,0))</f>
        <v/>
      </c>
      <c r="N286" s="192" t="str">
        <f>IF(J286="","",ROUND(J286*Steuerungsdaten!$B$5,0))</f>
        <v/>
      </c>
      <c r="O286" s="193">
        <v>80</v>
      </c>
      <c r="P286" s="193"/>
      <c r="Q286" s="193"/>
      <c r="R286" s="193"/>
    </row>
    <row r="287" spans="1:18" x14ac:dyDescent="0.25">
      <c r="A287" s="183">
        <v>2001</v>
      </c>
      <c r="B287" s="184" t="s">
        <v>391</v>
      </c>
      <c r="C287" s="184" t="s">
        <v>394</v>
      </c>
      <c r="D287" s="184" t="s">
        <v>395</v>
      </c>
      <c r="E287" s="185"/>
      <c r="F287" s="185"/>
      <c r="G287" s="186">
        <f>IF(O287="","",ROUND(O287*Steuerungsdaten!$B$4*IFERROR(VLOOKUP(C287,Steuerungsdaten!$A$12:$B$33,2,FALSE),1),0))</f>
        <v>30</v>
      </c>
      <c r="H287" s="186" t="str">
        <f>IF(P287="","",ROUND(P287*Steuerungsdaten!$B$4*IFERROR(VLOOKUP(C287,Steuerungsdaten!$A$12:$D$33,4,FALSE),1),0))</f>
        <v/>
      </c>
      <c r="I287" s="186" t="str">
        <f>IF(Q287="","",ROUND(Q287*Steuerungsdaten!$B$4*IFERROR(VLOOKUP(C287,Steuerungsdaten!$A$12:$F$33,6,FALSE),1),0))</f>
        <v/>
      </c>
      <c r="J287" s="186" t="str">
        <f>IF(R287="","",ROUND(R287*Steuerungsdaten!$B$4*IFERROR(VLOOKUP(C287,Steuerungsdaten!$A$12:$H$33,8,FALSE),1),0))</f>
        <v/>
      </c>
      <c r="K287" s="186">
        <f>IF(G287="","",ROUND(G287*Steuerungsdaten!$B$5,0))</f>
        <v>35</v>
      </c>
      <c r="L287" s="186" t="str">
        <f>IF(H287="","",ROUND(H287*Steuerungsdaten!$B$5,0))</f>
        <v/>
      </c>
      <c r="M287" s="186" t="str">
        <f>IF(I287="","",ROUND(I287*Steuerungsdaten!$B$5,0))</f>
        <v/>
      </c>
      <c r="N287" s="187" t="str">
        <f>IF(J287="","",ROUND(J287*Steuerungsdaten!$B$5,0))</f>
        <v/>
      </c>
      <c r="O287" s="193">
        <v>40</v>
      </c>
      <c r="P287" s="193"/>
      <c r="Q287" s="193"/>
      <c r="R287" s="193"/>
    </row>
    <row r="288" spans="1:18" x14ac:dyDescent="0.25">
      <c r="A288" s="188">
        <v>2005</v>
      </c>
      <c r="B288" s="189" t="s">
        <v>391</v>
      </c>
      <c r="C288" s="189" t="s">
        <v>394</v>
      </c>
      <c r="D288" s="189" t="s">
        <v>396</v>
      </c>
      <c r="E288" s="190"/>
      <c r="F288" s="190"/>
      <c r="G288" s="191">
        <f>IF(O288="","",ROUND(O288*Steuerungsdaten!$B$4*IFERROR(VLOOKUP(C288,Steuerungsdaten!$A$12:$B$33,2,FALSE),1),0))</f>
        <v>15</v>
      </c>
      <c r="H288" s="191" t="str">
        <f>IF(P288="","",ROUND(P288*Steuerungsdaten!$B$4*IFERROR(VLOOKUP(C288,Steuerungsdaten!$A$12:$D$33,4,FALSE),1),0))</f>
        <v/>
      </c>
      <c r="I288" s="191" t="str">
        <f>IF(Q288="","",ROUND(Q288*Steuerungsdaten!$B$4*IFERROR(VLOOKUP(C288,Steuerungsdaten!$A$12:$F$33,6,FALSE),1),0))</f>
        <v/>
      </c>
      <c r="J288" s="191" t="str">
        <f>IF(R288="","",ROUND(R288*Steuerungsdaten!$B$4*IFERROR(VLOOKUP(C288,Steuerungsdaten!$A$12:$H$33,8,FALSE),1),0))</f>
        <v/>
      </c>
      <c r="K288" s="191">
        <f>IF(G288="","",ROUND(G288*Steuerungsdaten!$B$5,0))</f>
        <v>17</v>
      </c>
      <c r="L288" s="191" t="str">
        <f>IF(H288="","",ROUND(H288*Steuerungsdaten!$B$5,0))</f>
        <v/>
      </c>
      <c r="M288" s="191" t="str">
        <f>IF(I288="","",ROUND(I288*Steuerungsdaten!$B$5,0))</f>
        <v/>
      </c>
      <c r="N288" s="192" t="str">
        <f>IF(J288="","",ROUND(J288*Steuerungsdaten!$B$5,0))</f>
        <v/>
      </c>
      <c r="O288" s="193">
        <v>20</v>
      </c>
      <c r="P288" s="193"/>
      <c r="Q288" s="193"/>
      <c r="R288" s="193"/>
    </row>
    <row r="289" spans="1:18" x14ac:dyDescent="0.25">
      <c r="A289" s="183">
        <v>2010</v>
      </c>
      <c r="B289" s="184" t="s">
        <v>391</v>
      </c>
      <c r="C289" s="184" t="s">
        <v>394</v>
      </c>
      <c r="D289" s="184" t="s">
        <v>397</v>
      </c>
      <c r="E289" s="185"/>
      <c r="F289" s="185"/>
      <c r="G289" s="186">
        <f>IF(O289="","",ROUND(O289*Steuerungsdaten!$B$4*IFERROR(VLOOKUP(C289,Steuerungsdaten!$A$12:$B$33,2,FALSE),1),0))</f>
        <v>15</v>
      </c>
      <c r="H289" s="186" t="str">
        <f>IF(P289="","",ROUND(P289*Steuerungsdaten!$B$4*IFERROR(VLOOKUP(C289,Steuerungsdaten!$A$12:$D$33,4,FALSE),1),0))</f>
        <v/>
      </c>
      <c r="I289" s="186" t="str">
        <f>IF(Q289="","",ROUND(Q289*Steuerungsdaten!$B$4*IFERROR(VLOOKUP(C289,Steuerungsdaten!$A$12:$F$33,6,FALSE),1),0))</f>
        <v/>
      </c>
      <c r="J289" s="186" t="str">
        <f>IF(R289="","",ROUND(R289*Steuerungsdaten!$B$4*IFERROR(VLOOKUP(C289,Steuerungsdaten!$A$12:$H$33,8,FALSE),1),0))</f>
        <v/>
      </c>
      <c r="K289" s="186">
        <f>IF(G289="","",ROUND(G289*Steuerungsdaten!$B$5,0))</f>
        <v>17</v>
      </c>
      <c r="L289" s="186" t="str">
        <f>IF(H289="","",ROUND(H289*Steuerungsdaten!$B$5,0))</f>
        <v/>
      </c>
      <c r="M289" s="186" t="str">
        <f>IF(I289="","",ROUND(I289*Steuerungsdaten!$B$5,0))</f>
        <v/>
      </c>
      <c r="N289" s="187" t="str">
        <f>IF(J289="","",ROUND(J289*Steuerungsdaten!$B$5,0))</f>
        <v/>
      </c>
      <c r="O289" s="193">
        <v>20</v>
      </c>
      <c r="P289" s="193"/>
      <c r="Q289" s="193"/>
      <c r="R289" s="193"/>
    </row>
    <row r="290" spans="1:18" x14ac:dyDescent="0.25">
      <c r="A290" s="188">
        <v>2015</v>
      </c>
      <c r="B290" s="189" t="s">
        <v>391</v>
      </c>
      <c r="C290" s="189" t="s">
        <v>394</v>
      </c>
      <c r="D290" s="189" t="s">
        <v>398</v>
      </c>
      <c r="E290" s="190"/>
      <c r="F290" s="190"/>
      <c r="G290" s="191">
        <f>IF(O290="","",ROUND(O290*Steuerungsdaten!$B$4*IFERROR(VLOOKUP(C290,Steuerungsdaten!$A$12:$B$33,2,FALSE),1),0))</f>
        <v>15</v>
      </c>
      <c r="H290" s="191" t="str">
        <f>IF(P290="","",ROUND(P290*Steuerungsdaten!$B$4*IFERROR(VLOOKUP(C290,Steuerungsdaten!$A$12:$D$33,4,FALSE),1),0))</f>
        <v/>
      </c>
      <c r="I290" s="191" t="str">
        <f>IF(Q290="","",ROUND(Q290*Steuerungsdaten!$B$4*IFERROR(VLOOKUP(C290,Steuerungsdaten!$A$12:$F$33,6,FALSE),1),0))</f>
        <v/>
      </c>
      <c r="J290" s="191" t="str">
        <f>IF(R290="","",ROUND(R290*Steuerungsdaten!$B$4*IFERROR(VLOOKUP(C290,Steuerungsdaten!$A$12:$H$33,8,FALSE),1),0))</f>
        <v/>
      </c>
      <c r="K290" s="191">
        <f>IF(G290="","",ROUND(G290*Steuerungsdaten!$B$5,0))</f>
        <v>17</v>
      </c>
      <c r="L290" s="191" t="str">
        <f>IF(H290="","",ROUND(H290*Steuerungsdaten!$B$5,0))</f>
        <v/>
      </c>
      <c r="M290" s="191" t="str">
        <f>IF(I290="","",ROUND(I290*Steuerungsdaten!$B$5,0))</f>
        <v/>
      </c>
      <c r="N290" s="192" t="str">
        <f>IF(J290="","",ROUND(J290*Steuerungsdaten!$B$5,0))</f>
        <v/>
      </c>
      <c r="O290" s="193">
        <v>20</v>
      </c>
      <c r="P290" s="193"/>
      <c r="Q290" s="193"/>
      <c r="R290" s="193"/>
    </row>
    <row r="291" spans="1:18" x14ac:dyDescent="0.25">
      <c r="A291" s="183">
        <v>2020</v>
      </c>
      <c r="B291" s="184" t="s">
        <v>391</v>
      </c>
      <c r="C291" s="184" t="s">
        <v>394</v>
      </c>
      <c r="D291" s="184" t="s">
        <v>399</v>
      </c>
      <c r="E291" s="185"/>
      <c r="F291" s="185"/>
      <c r="G291" s="186">
        <f>IF(O291="","",ROUND(O291*Steuerungsdaten!$B$4*IFERROR(VLOOKUP(C291,Steuerungsdaten!$A$12:$B$33,2,FALSE),1),0))</f>
        <v>17</v>
      </c>
      <c r="H291" s="186" t="str">
        <f>IF(P291="","",ROUND(P291*Steuerungsdaten!$B$4*IFERROR(VLOOKUP(C291,Steuerungsdaten!$A$12:$D$33,4,FALSE),1),0))</f>
        <v/>
      </c>
      <c r="I291" s="186" t="str">
        <f>IF(Q291="","",ROUND(Q291*Steuerungsdaten!$B$4*IFERROR(VLOOKUP(C291,Steuerungsdaten!$A$12:$F$33,6,FALSE),1),0))</f>
        <v/>
      </c>
      <c r="J291" s="186" t="str">
        <f>IF(R291="","",ROUND(R291*Steuerungsdaten!$B$4*IFERROR(VLOOKUP(C291,Steuerungsdaten!$A$12:$H$33,8,FALSE),1),0))</f>
        <v/>
      </c>
      <c r="K291" s="186">
        <f>IF(G291="","",ROUND(G291*Steuerungsdaten!$B$5,0))</f>
        <v>20</v>
      </c>
      <c r="L291" s="186" t="str">
        <f>IF(H291="","",ROUND(H291*Steuerungsdaten!$B$5,0))</f>
        <v/>
      </c>
      <c r="M291" s="186" t="str">
        <f>IF(I291="","",ROUND(I291*Steuerungsdaten!$B$5,0))</f>
        <v/>
      </c>
      <c r="N291" s="187" t="str">
        <f>IF(J291="","",ROUND(J291*Steuerungsdaten!$B$5,0))</f>
        <v/>
      </c>
      <c r="O291" s="193">
        <v>22</v>
      </c>
      <c r="P291" s="193"/>
      <c r="Q291" s="193"/>
      <c r="R291" s="193"/>
    </row>
    <row r="292" spans="1:18" x14ac:dyDescent="0.25">
      <c r="A292" s="188">
        <v>2021</v>
      </c>
      <c r="B292" s="189" t="s">
        <v>391</v>
      </c>
      <c r="C292" s="189" t="s">
        <v>394</v>
      </c>
      <c r="D292" s="189" t="s">
        <v>400</v>
      </c>
      <c r="E292" s="190"/>
      <c r="F292" s="190"/>
      <c r="G292" s="191">
        <f>IF(O292="","",ROUND(O292*Steuerungsdaten!$B$4*IFERROR(VLOOKUP(C292,Steuerungsdaten!$A$12:$B$33,2,FALSE),1),0))</f>
        <v>17</v>
      </c>
      <c r="H292" s="191" t="str">
        <f>IF(P292="","",ROUND(P292*Steuerungsdaten!$B$4*IFERROR(VLOOKUP(C292,Steuerungsdaten!$A$12:$D$33,4,FALSE),1),0))</f>
        <v/>
      </c>
      <c r="I292" s="191" t="str">
        <f>IF(Q292="","",ROUND(Q292*Steuerungsdaten!$B$4*IFERROR(VLOOKUP(C292,Steuerungsdaten!$A$12:$F$33,6,FALSE),1),0))</f>
        <v/>
      </c>
      <c r="J292" s="191" t="str">
        <f>IF(R292="","",ROUND(R292*Steuerungsdaten!$B$4*IFERROR(VLOOKUP(C292,Steuerungsdaten!$A$12:$H$33,8,FALSE),1),0))</f>
        <v/>
      </c>
      <c r="K292" s="191">
        <f>IF(G292="","",ROUND(G292*Steuerungsdaten!$B$5,0))</f>
        <v>20</v>
      </c>
      <c r="L292" s="191" t="str">
        <f>IF(H292="","",ROUND(H292*Steuerungsdaten!$B$5,0))</f>
        <v/>
      </c>
      <c r="M292" s="191" t="str">
        <f>IF(I292="","",ROUND(I292*Steuerungsdaten!$B$5,0))</f>
        <v/>
      </c>
      <c r="N292" s="192" t="str">
        <f>IF(J292="","",ROUND(J292*Steuerungsdaten!$B$5,0))</f>
        <v/>
      </c>
      <c r="O292" s="193">
        <v>22</v>
      </c>
      <c r="P292" s="193"/>
      <c r="Q292" s="193"/>
      <c r="R292" s="193"/>
    </row>
    <row r="293" spans="1:18" x14ac:dyDescent="0.25">
      <c r="A293" s="183">
        <v>2025</v>
      </c>
      <c r="B293" s="184" t="s">
        <v>391</v>
      </c>
      <c r="C293" s="184" t="s">
        <v>394</v>
      </c>
      <c r="D293" s="184" t="s">
        <v>401</v>
      </c>
      <c r="E293" s="185"/>
      <c r="F293" s="185"/>
      <c r="G293" s="186">
        <f>IF(O293="","",ROUND(O293*Steuerungsdaten!$B$4*IFERROR(VLOOKUP(C293,Steuerungsdaten!$A$12:$B$33,2,FALSE),1),0))</f>
        <v>19</v>
      </c>
      <c r="H293" s="186" t="str">
        <f>IF(P293="","",ROUND(P293*Steuerungsdaten!$B$4*IFERROR(VLOOKUP(C293,Steuerungsdaten!$A$12:$D$33,4,FALSE),1),0))</f>
        <v/>
      </c>
      <c r="I293" s="186" t="str">
        <f>IF(Q293="","",ROUND(Q293*Steuerungsdaten!$B$4*IFERROR(VLOOKUP(C293,Steuerungsdaten!$A$12:$F$33,6,FALSE),1),0))</f>
        <v/>
      </c>
      <c r="J293" s="186" t="str">
        <f>IF(R293="","",ROUND(R293*Steuerungsdaten!$B$4*IFERROR(VLOOKUP(C293,Steuerungsdaten!$A$12:$H$33,8,FALSE),1),0))</f>
        <v/>
      </c>
      <c r="K293" s="186">
        <f>IF(G293="","",ROUND(G293*Steuerungsdaten!$B$5,0))</f>
        <v>22</v>
      </c>
      <c r="L293" s="186" t="str">
        <f>IF(H293="","",ROUND(H293*Steuerungsdaten!$B$5,0))</f>
        <v/>
      </c>
      <c r="M293" s="186" t="str">
        <f>IF(I293="","",ROUND(I293*Steuerungsdaten!$B$5,0))</f>
        <v/>
      </c>
      <c r="N293" s="187" t="str">
        <f>IF(J293="","",ROUND(J293*Steuerungsdaten!$B$5,0))</f>
        <v/>
      </c>
      <c r="O293" s="193">
        <v>25</v>
      </c>
      <c r="P293" s="193"/>
      <c r="Q293" s="193"/>
      <c r="R293" s="193"/>
    </row>
    <row r="294" spans="1:18" x14ac:dyDescent="0.25">
      <c r="A294" s="188">
        <v>2030</v>
      </c>
      <c r="B294" s="189" t="s">
        <v>391</v>
      </c>
      <c r="C294" s="189" t="s">
        <v>394</v>
      </c>
      <c r="D294" s="189" t="s">
        <v>402</v>
      </c>
      <c r="E294" s="190"/>
      <c r="F294" s="190"/>
      <c r="G294" s="191">
        <f>IF(O294="","",ROUND(O294*Steuerungsdaten!$B$4*IFERROR(VLOOKUP(C294,Steuerungsdaten!$A$12:$B$33,2,FALSE),1),0))</f>
        <v>19</v>
      </c>
      <c r="H294" s="191" t="str">
        <f>IF(P294="","",ROUND(P294*Steuerungsdaten!$B$4*IFERROR(VLOOKUP(C294,Steuerungsdaten!$A$12:$D$33,4,FALSE),1),0))</f>
        <v/>
      </c>
      <c r="I294" s="191" t="str">
        <f>IF(Q294="","",ROUND(Q294*Steuerungsdaten!$B$4*IFERROR(VLOOKUP(C294,Steuerungsdaten!$A$12:$F$33,6,FALSE),1),0))</f>
        <v/>
      </c>
      <c r="J294" s="191" t="str">
        <f>IF(R294="","",ROUND(R294*Steuerungsdaten!$B$4*IFERROR(VLOOKUP(C294,Steuerungsdaten!$A$12:$H$33,8,FALSE),1),0))</f>
        <v/>
      </c>
      <c r="K294" s="191">
        <f>IF(G294="","",ROUND(G294*Steuerungsdaten!$B$5,0))</f>
        <v>22</v>
      </c>
      <c r="L294" s="191" t="str">
        <f>IF(H294="","",ROUND(H294*Steuerungsdaten!$B$5,0))</f>
        <v/>
      </c>
      <c r="M294" s="191" t="str">
        <f>IF(I294="","",ROUND(I294*Steuerungsdaten!$B$5,0))</f>
        <v/>
      </c>
      <c r="N294" s="192" t="str">
        <f>IF(J294="","",ROUND(J294*Steuerungsdaten!$B$5,0))</f>
        <v/>
      </c>
      <c r="O294" s="193">
        <v>25</v>
      </c>
      <c r="P294" s="193"/>
      <c r="Q294" s="193"/>
      <c r="R294" s="193"/>
    </row>
    <row r="295" spans="1:18" x14ac:dyDescent="0.25">
      <c r="A295" s="183">
        <v>2035</v>
      </c>
      <c r="B295" s="184" t="s">
        <v>391</v>
      </c>
      <c r="C295" s="184" t="s">
        <v>394</v>
      </c>
      <c r="D295" s="184" t="s">
        <v>403</v>
      </c>
      <c r="E295" s="185"/>
      <c r="F295" s="185"/>
      <c r="G295" s="186">
        <f>IF(O295="","",ROUND(O295*Steuerungsdaten!$B$4*IFERROR(VLOOKUP(C295,Steuerungsdaten!$A$12:$B$33,2,FALSE),1),0))</f>
        <v>20</v>
      </c>
      <c r="H295" s="186" t="str">
        <f>IF(P295="","",ROUND(P295*Steuerungsdaten!$B$4*IFERROR(VLOOKUP(C295,Steuerungsdaten!$A$12:$D$33,4,FALSE),1),0))</f>
        <v/>
      </c>
      <c r="I295" s="186" t="str">
        <f>IF(Q295="","",ROUND(Q295*Steuerungsdaten!$B$4*IFERROR(VLOOKUP(C295,Steuerungsdaten!$A$12:$F$33,6,FALSE),1),0))</f>
        <v/>
      </c>
      <c r="J295" s="186" t="str">
        <f>IF(R295="","",ROUND(R295*Steuerungsdaten!$B$4*IFERROR(VLOOKUP(C295,Steuerungsdaten!$A$12:$H$33,8,FALSE),1),0))</f>
        <v/>
      </c>
      <c r="K295" s="186">
        <f>IF(G295="","",ROUND(G295*Steuerungsdaten!$B$5,0))</f>
        <v>23</v>
      </c>
      <c r="L295" s="186" t="str">
        <f>IF(H295="","",ROUND(H295*Steuerungsdaten!$B$5,0))</f>
        <v/>
      </c>
      <c r="M295" s="186" t="str">
        <f>IF(I295="","",ROUND(I295*Steuerungsdaten!$B$5,0))</f>
        <v/>
      </c>
      <c r="N295" s="187" t="str">
        <f>IF(J295="","",ROUND(J295*Steuerungsdaten!$B$5,0))</f>
        <v/>
      </c>
      <c r="O295" s="193">
        <v>27</v>
      </c>
      <c r="P295" s="193"/>
      <c r="Q295" s="193"/>
      <c r="R295" s="193"/>
    </row>
    <row r="296" spans="1:18" x14ac:dyDescent="0.25">
      <c r="A296" s="188">
        <v>2040</v>
      </c>
      <c r="B296" s="189" t="s">
        <v>391</v>
      </c>
      <c r="C296" s="189" t="s">
        <v>394</v>
      </c>
      <c r="D296" s="189" t="s">
        <v>404</v>
      </c>
      <c r="E296" s="190"/>
      <c r="F296" s="190"/>
      <c r="G296" s="191">
        <f>IF(O296="","",ROUND(O296*Steuerungsdaten!$B$4*IFERROR(VLOOKUP(C296,Steuerungsdaten!$A$12:$B$33,2,FALSE),1),0))</f>
        <v>22</v>
      </c>
      <c r="H296" s="191" t="str">
        <f>IF(P296="","",ROUND(P296*Steuerungsdaten!$B$4*IFERROR(VLOOKUP(C296,Steuerungsdaten!$A$12:$D$33,4,FALSE),1),0))</f>
        <v/>
      </c>
      <c r="I296" s="191" t="str">
        <f>IF(Q296="","",ROUND(Q296*Steuerungsdaten!$B$4*IFERROR(VLOOKUP(C296,Steuerungsdaten!$A$12:$F$33,6,FALSE),1),0))</f>
        <v/>
      </c>
      <c r="J296" s="191" t="str">
        <f>IF(R296="","",ROUND(R296*Steuerungsdaten!$B$4*IFERROR(VLOOKUP(C296,Steuerungsdaten!$A$12:$H$33,8,FALSE),1),0))</f>
        <v/>
      </c>
      <c r="K296" s="191">
        <f>IF(G296="","",ROUND(G296*Steuerungsdaten!$B$5,0))</f>
        <v>25</v>
      </c>
      <c r="L296" s="191" t="str">
        <f>IF(H296="","",ROUND(H296*Steuerungsdaten!$B$5,0))</f>
        <v/>
      </c>
      <c r="M296" s="191" t="str">
        <f>IF(I296="","",ROUND(I296*Steuerungsdaten!$B$5,0))</f>
        <v/>
      </c>
      <c r="N296" s="192" t="str">
        <f>IF(J296="","",ROUND(J296*Steuerungsdaten!$B$5,0))</f>
        <v/>
      </c>
      <c r="O296" s="193">
        <v>29</v>
      </c>
      <c r="P296" s="193"/>
      <c r="Q296" s="193"/>
      <c r="R296" s="193"/>
    </row>
    <row r="297" spans="1:18" x14ac:dyDescent="0.25">
      <c r="A297" s="183">
        <v>2045</v>
      </c>
      <c r="B297" s="184" t="s">
        <v>391</v>
      </c>
      <c r="C297" s="184" t="s">
        <v>394</v>
      </c>
      <c r="D297" s="184" t="s">
        <v>405</v>
      </c>
      <c r="E297" s="185"/>
      <c r="F297" s="185"/>
      <c r="G297" s="186">
        <f>IF(O297="","",ROUND(O297*Steuerungsdaten!$B$4*IFERROR(VLOOKUP(C297,Steuerungsdaten!$A$12:$B$33,2,FALSE),1),0))</f>
        <v>26</v>
      </c>
      <c r="H297" s="186" t="str">
        <f>IF(P297="","",ROUND(P297*Steuerungsdaten!$B$4*IFERROR(VLOOKUP(C297,Steuerungsdaten!$A$12:$D$33,4,FALSE),1),0))</f>
        <v/>
      </c>
      <c r="I297" s="186" t="str">
        <f>IF(Q297="","",ROUND(Q297*Steuerungsdaten!$B$4*IFERROR(VLOOKUP(C297,Steuerungsdaten!$A$12:$F$33,6,FALSE),1),0))</f>
        <v/>
      </c>
      <c r="J297" s="186" t="str">
        <f>IF(R297="","",ROUND(R297*Steuerungsdaten!$B$4*IFERROR(VLOOKUP(C297,Steuerungsdaten!$A$12:$H$33,8,FALSE),1),0))</f>
        <v/>
      </c>
      <c r="K297" s="186">
        <f>IF(G297="","",ROUND(G297*Steuerungsdaten!$B$5,0))</f>
        <v>30</v>
      </c>
      <c r="L297" s="186" t="str">
        <f>IF(H297="","",ROUND(H297*Steuerungsdaten!$B$5,0))</f>
        <v/>
      </c>
      <c r="M297" s="186" t="str">
        <f>IF(I297="","",ROUND(I297*Steuerungsdaten!$B$5,0))</f>
        <v/>
      </c>
      <c r="N297" s="187" t="str">
        <f>IF(J297="","",ROUND(J297*Steuerungsdaten!$B$5,0))</f>
        <v/>
      </c>
      <c r="O297" s="193">
        <v>35</v>
      </c>
      <c r="P297" s="193"/>
      <c r="Q297" s="193"/>
      <c r="R297" s="193"/>
    </row>
    <row r="298" spans="1:18" x14ac:dyDescent="0.25">
      <c r="A298" s="188">
        <v>2050</v>
      </c>
      <c r="B298" s="189" t="s">
        <v>391</v>
      </c>
      <c r="C298" s="189" t="s">
        <v>394</v>
      </c>
      <c r="D298" s="189" t="s">
        <v>406</v>
      </c>
      <c r="E298" s="190"/>
      <c r="F298" s="190"/>
      <c r="G298" s="191">
        <f>IF(O298="","",ROUND(O298*Steuerungsdaten!$B$4*IFERROR(VLOOKUP(C298,Steuerungsdaten!$A$12:$B$33,2,FALSE),1),0))</f>
        <v>29</v>
      </c>
      <c r="H298" s="191" t="str">
        <f>IF(P298="","",ROUND(P298*Steuerungsdaten!$B$4*IFERROR(VLOOKUP(C298,Steuerungsdaten!$A$12:$D$33,4,FALSE),1),0))</f>
        <v/>
      </c>
      <c r="I298" s="191" t="str">
        <f>IF(Q298="","",ROUND(Q298*Steuerungsdaten!$B$4*IFERROR(VLOOKUP(C298,Steuerungsdaten!$A$12:$F$33,6,FALSE),1),0))</f>
        <v/>
      </c>
      <c r="J298" s="191" t="str">
        <f>IF(R298="","",ROUND(R298*Steuerungsdaten!$B$4*IFERROR(VLOOKUP(C298,Steuerungsdaten!$A$12:$H$33,8,FALSE),1),0))</f>
        <v/>
      </c>
      <c r="K298" s="191">
        <f>IF(G298="","",ROUND(G298*Steuerungsdaten!$B$5,0))</f>
        <v>33</v>
      </c>
      <c r="L298" s="191" t="str">
        <f>IF(H298="","",ROUND(H298*Steuerungsdaten!$B$5,0))</f>
        <v/>
      </c>
      <c r="M298" s="191" t="str">
        <f>IF(I298="","",ROUND(I298*Steuerungsdaten!$B$5,0))</f>
        <v/>
      </c>
      <c r="N298" s="192" t="str">
        <f>IF(J298="","",ROUND(J298*Steuerungsdaten!$B$5,0))</f>
        <v/>
      </c>
      <c r="O298" s="193">
        <v>39</v>
      </c>
      <c r="P298" s="193"/>
      <c r="Q298" s="193"/>
      <c r="R298" s="193"/>
    </row>
    <row r="299" spans="1:18" x14ac:dyDescent="0.25">
      <c r="A299" s="183">
        <v>2300</v>
      </c>
      <c r="B299" s="184" t="s">
        <v>391</v>
      </c>
      <c r="C299" s="184" t="s">
        <v>394</v>
      </c>
      <c r="D299" s="184" t="s">
        <v>407</v>
      </c>
      <c r="E299" s="185"/>
      <c r="F299" s="185"/>
      <c r="G299" s="186">
        <f>IF(O299="","",ROUND(O299*Steuerungsdaten!$B$4*IFERROR(VLOOKUP(C299,Steuerungsdaten!$A$12:$B$33,2,FALSE),1),0))</f>
        <v>75</v>
      </c>
      <c r="H299" s="186" t="str">
        <f>IF(P299="","",ROUND(P299*Steuerungsdaten!$B$4*IFERROR(VLOOKUP(C299,Steuerungsdaten!$A$12:$D$33,4,FALSE),1),0))</f>
        <v/>
      </c>
      <c r="I299" s="186" t="str">
        <f>IF(Q299="","",ROUND(Q299*Steuerungsdaten!$B$4*IFERROR(VLOOKUP(C299,Steuerungsdaten!$A$12:$F$33,6,FALSE),1),0))</f>
        <v/>
      </c>
      <c r="J299" s="186" t="str">
        <f>IF(R299="","",ROUND(R299*Steuerungsdaten!$B$4*IFERROR(VLOOKUP(C299,Steuerungsdaten!$A$12:$H$33,8,FALSE),1),0))</f>
        <v/>
      </c>
      <c r="K299" s="186">
        <f>IF(G299="","",ROUND(G299*Steuerungsdaten!$B$5,0))</f>
        <v>86</v>
      </c>
      <c r="L299" s="186" t="str">
        <f>IF(H299="","",ROUND(H299*Steuerungsdaten!$B$5,0))</f>
        <v/>
      </c>
      <c r="M299" s="186" t="str">
        <f>IF(I299="","",ROUND(I299*Steuerungsdaten!$B$5,0))</f>
        <v/>
      </c>
      <c r="N299" s="187" t="str">
        <f>IF(J299="","",ROUND(J299*Steuerungsdaten!$B$5,0))</f>
        <v/>
      </c>
      <c r="O299" s="193">
        <v>100</v>
      </c>
      <c r="P299" s="193"/>
      <c r="Q299" s="193"/>
      <c r="R299" s="193"/>
    </row>
    <row r="300" spans="1:18" x14ac:dyDescent="0.25">
      <c r="A300" s="188">
        <v>8140</v>
      </c>
      <c r="B300" s="189" t="s">
        <v>391</v>
      </c>
      <c r="C300" s="189" t="s">
        <v>408</v>
      </c>
      <c r="D300" s="189" t="s">
        <v>409</v>
      </c>
      <c r="E300" s="190"/>
      <c r="F300" s="190"/>
      <c r="G300" s="191">
        <f>IF(O300="","",ROUND(O300*Steuerungsdaten!$B$4*IFERROR(VLOOKUP(C300,Steuerungsdaten!$A$12:$B$33,2,FALSE),1),0))</f>
        <v>144</v>
      </c>
      <c r="H300" s="191" t="str">
        <f>IF(P300="","",ROUND(P300*Steuerungsdaten!$B$4*IFERROR(VLOOKUP(C300,Steuerungsdaten!$A$12:$D$33,4,FALSE),1),0))</f>
        <v/>
      </c>
      <c r="I300" s="191" t="str">
        <f>IF(Q300="","",ROUND(Q300*Steuerungsdaten!$B$4*IFERROR(VLOOKUP(C300,Steuerungsdaten!$A$12:$F$33,6,FALSE),1),0))</f>
        <v/>
      </c>
      <c r="J300" s="191" t="str">
        <f>IF(R300="","",ROUND(R300*Steuerungsdaten!$B$4*IFERROR(VLOOKUP(C300,Steuerungsdaten!$A$12:$H$33,8,FALSE),1),0))</f>
        <v/>
      </c>
      <c r="K300" s="191">
        <f>IF(G300="","",ROUND(G300*Steuerungsdaten!$B$5,0))</f>
        <v>166</v>
      </c>
      <c r="L300" s="191" t="str">
        <f>IF(H300="","",ROUND(H300*Steuerungsdaten!$B$5,0))</f>
        <v/>
      </c>
      <c r="M300" s="191" t="str">
        <f>IF(I300="","",ROUND(I300*Steuerungsdaten!$B$5,0))</f>
        <v/>
      </c>
      <c r="N300" s="192" t="str">
        <f>IF(J300="","",ROUND(J300*Steuerungsdaten!$B$5,0))</f>
        <v/>
      </c>
      <c r="O300" s="193">
        <v>180</v>
      </c>
      <c r="P300" s="193"/>
      <c r="Q300" s="193"/>
      <c r="R300" s="193"/>
    </row>
    <row r="301" spans="1:18" x14ac:dyDescent="0.25">
      <c r="A301" s="183">
        <v>8300</v>
      </c>
      <c r="B301" s="184" t="s">
        <v>391</v>
      </c>
      <c r="C301" s="184" t="s">
        <v>410</v>
      </c>
      <c r="D301" s="184" t="s">
        <v>411</v>
      </c>
      <c r="E301" s="185"/>
      <c r="F301" s="185"/>
      <c r="G301" s="186">
        <f>IF(O301="","",ROUND(O301*Steuerungsdaten!$B$4*IFERROR(VLOOKUP(C301,Steuerungsdaten!$A$12:$B$33,2,FALSE),1),0))</f>
        <v>20</v>
      </c>
      <c r="H301" s="186" t="str">
        <f>IF(P301="","",ROUND(P301*Steuerungsdaten!$B$4*IFERROR(VLOOKUP(C301,Steuerungsdaten!$A$12:$D$33,4,FALSE),1),0))</f>
        <v/>
      </c>
      <c r="I301" s="186" t="str">
        <f>IF(Q301="","",ROUND(Q301*Steuerungsdaten!$B$4*IFERROR(VLOOKUP(C301,Steuerungsdaten!$A$12:$F$33,6,FALSE),1),0))</f>
        <v/>
      </c>
      <c r="J301" s="186" t="str">
        <f>IF(R301="","",ROUND(R301*Steuerungsdaten!$B$4*IFERROR(VLOOKUP(C301,Steuerungsdaten!$A$12:$H$33,8,FALSE),1),0))</f>
        <v/>
      </c>
      <c r="K301" s="186">
        <f>IF(G301="","",ROUND(G301*Steuerungsdaten!$B$5,0))</f>
        <v>23</v>
      </c>
      <c r="L301" s="186" t="str">
        <f>IF(H301="","",ROUND(H301*Steuerungsdaten!$B$5,0))</f>
        <v/>
      </c>
      <c r="M301" s="186" t="str">
        <f>IF(I301="","",ROUND(I301*Steuerungsdaten!$B$5,0))</f>
        <v/>
      </c>
      <c r="N301" s="187" t="str">
        <f>IF(J301="","",ROUND(J301*Steuerungsdaten!$B$5,0))</f>
        <v/>
      </c>
      <c r="O301" s="193">
        <v>25</v>
      </c>
      <c r="P301" s="193"/>
      <c r="Q301" s="193"/>
      <c r="R301" s="193"/>
    </row>
    <row r="302" spans="1:18" x14ac:dyDescent="0.25">
      <c r="A302" s="188">
        <v>8301</v>
      </c>
      <c r="B302" s="189" t="s">
        <v>391</v>
      </c>
      <c r="C302" s="189" t="s">
        <v>410</v>
      </c>
      <c r="D302" s="189" t="s">
        <v>412</v>
      </c>
      <c r="E302" s="190"/>
      <c r="F302" s="190"/>
      <c r="G302" s="191">
        <f>IF(O302="","",ROUND(O302*Steuerungsdaten!$B$4*IFERROR(VLOOKUP(C302,Steuerungsdaten!$A$12:$B$33,2,FALSE),1),0))</f>
        <v>23</v>
      </c>
      <c r="H302" s="191" t="str">
        <f>IF(P302="","",ROUND(P302*Steuerungsdaten!$B$4*IFERROR(VLOOKUP(C302,Steuerungsdaten!$A$12:$D$33,4,FALSE),1),0))</f>
        <v/>
      </c>
      <c r="I302" s="191" t="str">
        <f>IF(Q302="","",ROUND(Q302*Steuerungsdaten!$B$4*IFERROR(VLOOKUP(C302,Steuerungsdaten!$A$12:$F$33,6,FALSE),1),0))</f>
        <v/>
      </c>
      <c r="J302" s="191" t="str">
        <f>IF(R302="","",ROUND(R302*Steuerungsdaten!$B$4*IFERROR(VLOOKUP(C302,Steuerungsdaten!$A$12:$H$33,8,FALSE),1),0))</f>
        <v/>
      </c>
      <c r="K302" s="191">
        <f>IF(G302="","",ROUND(G302*Steuerungsdaten!$B$5,0))</f>
        <v>26</v>
      </c>
      <c r="L302" s="191" t="str">
        <f>IF(H302="","",ROUND(H302*Steuerungsdaten!$B$5,0))</f>
        <v/>
      </c>
      <c r="M302" s="191" t="str">
        <f>IF(I302="","",ROUND(I302*Steuerungsdaten!$B$5,0))</f>
        <v/>
      </c>
      <c r="N302" s="192" t="str">
        <f>IF(J302="","",ROUND(J302*Steuerungsdaten!$B$5,0))</f>
        <v/>
      </c>
      <c r="O302" s="193">
        <v>29</v>
      </c>
      <c r="P302" s="193"/>
      <c r="Q302" s="193"/>
      <c r="R302" s="193"/>
    </row>
    <row r="303" spans="1:18" x14ac:dyDescent="0.25">
      <c r="A303" s="183">
        <v>8302</v>
      </c>
      <c r="B303" s="184" t="s">
        <v>391</v>
      </c>
      <c r="C303" s="184" t="s">
        <v>410</v>
      </c>
      <c r="D303" s="184" t="s">
        <v>413</v>
      </c>
      <c r="E303" s="185"/>
      <c r="F303" s="185"/>
      <c r="G303" s="186">
        <f>IF(O303="","",ROUND(O303*Steuerungsdaten!$B$4*IFERROR(VLOOKUP(C303,Steuerungsdaten!$A$12:$B$33,2,FALSE),1),0))</f>
        <v>14</v>
      </c>
      <c r="H303" s="186" t="str">
        <f>IF(P303="","",ROUND(P303*Steuerungsdaten!$B$4*IFERROR(VLOOKUP(C303,Steuerungsdaten!$A$12:$D$33,4,FALSE),1),0))</f>
        <v/>
      </c>
      <c r="I303" s="186" t="str">
        <f>IF(Q303="","",ROUND(Q303*Steuerungsdaten!$B$4*IFERROR(VLOOKUP(C303,Steuerungsdaten!$A$12:$F$33,6,FALSE),1),0))</f>
        <v/>
      </c>
      <c r="J303" s="186" t="str">
        <f>IF(R303="","",ROUND(R303*Steuerungsdaten!$B$4*IFERROR(VLOOKUP(C303,Steuerungsdaten!$A$12:$H$33,8,FALSE),1),0))</f>
        <v/>
      </c>
      <c r="K303" s="186">
        <f>IF(G303="","",ROUND(G303*Steuerungsdaten!$B$5,0))</f>
        <v>16</v>
      </c>
      <c r="L303" s="186" t="str">
        <f>IF(H303="","",ROUND(H303*Steuerungsdaten!$B$5,0))</f>
        <v/>
      </c>
      <c r="M303" s="186" t="str">
        <f>IF(I303="","",ROUND(I303*Steuerungsdaten!$B$5,0))</f>
        <v/>
      </c>
      <c r="N303" s="187" t="str">
        <f>IF(J303="","",ROUND(J303*Steuerungsdaten!$B$5,0))</f>
        <v/>
      </c>
      <c r="O303" s="193">
        <v>17</v>
      </c>
      <c r="P303" s="193"/>
      <c r="Q303" s="193"/>
      <c r="R303" s="193"/>
    </row>
    <row r="304" spans="1:18" x14ac:dyDescent="0.25">
      <c r="A304" s="188">
        <v>8303</v>
      </c>
      <c r="B304" s="189" t="s">
        <v>391</v>
      </c>
      <c r="C304" s="189" t="s">
        <v>410</v>
      </c>
      <c r="D304" s="189" t="s">
        <v>414</v>
      </c>
      <c r="E304" s="190"/>
      <c r="F304" s="190"/>
      <c r="G304" s="191">
        <f>IF(O304="","",ROUND(O304*Steuerungsdaten!$B$4*IFERROR(VLOOKUP(C304,Steuerungsdaten!$A$12:$B$33,2,FALSE),1),0))</f>
        <v>8</v>
      </c>
      <c r="H304" s="191" t="str">
        <f>IF(P304="","",ROUND(P304*Steuerungsdaten!$B$4*IFERROR(VLOOKUP(C304,Steuerungsdaten!$A$12:$D$33,4,FALSE),1),0))</f>
        <v/>
      </c>
      <c r="I304" s="191" t="str">
        <f>IF(Q304="","",ROUND(Q304*Steuerungsdaten!$B$4*IFERROR(VLOOKUP(C304,Steuerungsdaten!$A$12:$F$33,6,FALSE),1),0))</f>
        <v/>
      </c>
      <c r="J304" s="191" t="str">
        <f>IF(R304="","",ROUND(R304*Steuerungsdaten!$B$4*IFERROR(VLOOKUP(C304,Steuerungsdaten!$A$12:$H$33,8,FALSE),1),0))</f>
        <v/>
      </c>
      <c r="K304" s="191">
        <f>IF(G304="","",ROUND(G304*Steuerungsdaten!$B$5,0))</f>
        <v>9</v>
      </c>
      <c r="L304" s="191" t="str">
        <f>IF(H304="","",ROUND(H304*Steuerungsdaten!$B$5,0))</f>
        <v/>
      </c>
      <c r="M304" s="191" t="str">
        <f>IF(I304="","",ROUND(I304*Steuerungsdaten!$B$5,0))</f>
        <v/>
      </c>
      <c r="N304" s="192" t="str">
        <f>IF(J304="","",ROUND(J304*Steuerungsdaten!$B$5,0))</f>
        <v/>
      </c>
      <c r="O304" s="193">
        <v>10</v>
      </c>
      <c r="P304" s="193"/>
      <c r="Q304" s="193"/>
      <c r="R304" s="193"/>
    </row>
    <row r="305" spans="1:18" x14ac:dyDescent="0.25">
      <c r="A305" s="183">
        <v>8304</v>
      </c>
      <c r="B305" s="184" t="s">
        <v>391</v>
      </c>
      <c r="C305" s="184" t="s">
        <v>410</v>
      </c>
      <c r="D305" s="184" t="s">
        <v>415</v>
      </c>
      <c r="E305" s="185"/>
      <c r="F305" s="185"/>
      <c r="G305" s="186">
        <f>IF(O305="","",ROUND(O305*Steuerungsdaten!$B$4*IFERROR(VLOOKUP(C305,Steuerungsdaten!$A$12:$B$33,2,FALSE),1),0))</f>
        <v>23</v>
      </c>
      <c r="H305" s="186" t="str">
        <f>IF(P305="","",ROUND(P305*Steuerungsdaten!$B$4*IFERROR(VLOOKUP(C305,Steuerungsdaten!$A$12:$D$33,4,FALSE),1),0))</f>
        <v/>
      </c>
      <c r="I305" s="186" t="str">
        <f>IF(Q305="","",ROUND(Q305*Steuerungsdaten!$B$4*IFERROR(VLOOKUP(C305,Steuerungsdaten!$A$12:$F$33,6,FALSE),1),0))</f>
        <v/>
      </c>
      <c r="J305" s="186" t="str">
        <f>IF(R305="","",ROUND(R305*Steuerungsdaten!$B$4*IFERROR(VLOOKUP(C305,Steuerungsdaten!$A$12:$H$33,8,FALSE),1),0))</f>
        <v/>
      </c>
      <c r="K305" s="186">
        <f>IF(G305="","",ROUND(G305*Steuerungsdaten!$B$5,0))</f>
        <v>26</v>
      </c>
      <c r="L305" s="186" t="str">
        <f>IF(H305="","",ROUND(H305*Steuerungsdaten!$B$5,0))</f>
        <v/>
      </c>
      <c r="M305" s="186" t="str">
        <f>IF(I305="","",ROUND(I305*Steuerungsdaten!$B$5,0))</f>
        <v/>
      </c>
      <c r="N305" s="187" t="str">
        <f>IF(J305="","",ROUND(J305*Steuerungsdaten!$B$5,0))</f>
        <v/>
      </c>
      <c r="O305" s="193">
        <v>29</v>
      </c>
      <c r="P305" s="193"/>
      <c r="Q305" s="193"/>
      <c r="R305" s="193"/>
    </row>
    <row r="306" spans="1:18" x14ac:dyDescent="0.25">
      <c r="A306" s="188">
        <v>8305</v>
      </c>
      <c r="B306" s="189" t="s">
        <v>391</v>
      </c>
      <c r="C306" s="189" t="s">
        <v>410</v>
      </c>
      <c r="D306" s="189" t="s">
        <v>416</v>
      </c>
      <c r="E306" s="190"/>
      <c r="F306" s="190"/>
      <c r="G306" s="191">
        <f>IF(O306="","",ROUND(O306*Steuerungsdaten!$B$4*IFERROR(VLOOKUP(C306,Steuerungsdaten!$A$12:$B$33,2,FALSE),1),0))</f>
        <v>33</v>
      </c>
      <c r="H306" s="191" t="str">
        <f>IF(P306="","",ROUND(P306*Steuerungsdaten!$B$4*IFERROR(VLOOKUP(C306,Steuerungsdaten!$A$12:$D$33,4,FALSE),1),0))</f>
        <v/>
      </c>
      <c r="I306" s="191" t="str">
        <f>IF(Q306="","",ROUND(Q306*Steuerungsdaten!$B$4*IFERROR(VLOOKUP(C306,Steuerungsdaten!$A$12:$F$33,6,FALSE),1),0))</f>
        <v/>
      </c>
      <c r="J306" s="191" t="str">
        <f>IF(R306="","",ROUND(R306*Steuerungsdaten!$B$4*IFERROR(VLOOKUP(C306,Steuerungsdaten!$A$12:$H$33,8,FALSE),1),0))</f>
        <v/>
      </c>
      <c r="K306" s="191">
        <f>IF(G306="","",ROUND(G306*Steuerungsdaten!$B$5,0))</f>
        <v>38</v>
      </c>
      <c r="L306" s="191" t="str">
        <f>IF(H306="","",ROUND(H306*Steuerungsdaten!$B$5,0))</f>
        <v/>
      </c>
      <c r="M306" s="191" t="str">
        <f>IF(I306="","",ROUND(I306*Steuerungsdaten!$B$5,0))</f>
        <v/>
      </c>
      <c r="N306" s="192" t="str">
        <f>IF(J306="","",ROUND(J306*Steuerungsdaten!$B$5,0))</f>
        <v/>
      </c>
      <c r="O306" s="193">
        <v>41</v>
      </c>
      <c r="P306" s="193"/>
      <c r="Q306" s="193"/>
      <c r="R306" s="193"/>
    </row>
    <row r="307" spans="1:18" x14ac:dyDescent="0.25">
      <c r="A307" s="183">
        <v>8306</v>
      </c>
      <c r="B307" s="184" t="s">
        <v>391</v>
      </c>
      <c r="C307" s="184" t="s">
        <v>410</v>
      </c>
      <c r="D307" s="184" t="s">
        <v>417</v>
      </c>
      <c r="E307" s="185"/>
      <c r="F307" s="185"/>
      <c r="G307" s="186">
        <f>IF(O307="","",ROUND(O307*Steuerungsdaten!$B$4*IFERROR(VLOOKUP(C307,Steuerungsdaten!$A$12:$B$33,2,FALSE),1),0))</f>
        <v>15</v>
      </c>
      <c r="H307" s="186" t="str">
        <f>IF(P307="","",ROUND(P307*Steuerungsdaten!$B$4*IFERROR(VLOOKUP(C307,Steuerungsdaten!$A$12:$D$33,4,FALSE),1),0))</f>
        <v/>
      </c>
      <c r="I307" s="186" t="str">
        <f>IF(Q307="","",ROUND(Q307*Steuerungsdaten!$B$4*IFERROR(VLOOKUP(C307,Steuerungsdaten!$A$12:$F$33,6,FALSE),1),0))</f>
        <v/>
      </c>
      <c r="J307" s="186" t="str">
        <f>IF(R307="","",ROUND(R307*Steuerungsdaten!$B$4*IFERROR(VLOOKUP(C307,Steuerungsdaten!$A$12:$H$33,8,FALSE),1),0))</f>
        <v/>
      </c>
      <c r="K307" s="186">
        <f>IF(G307="","",ROUND(G307*Steuerungsdaten!$B$5,0))</f>
        <v>17</v>
      </c>
      <c r="L307" s="186" t="str">
        <f>IF(H307="","",ROUND(H307*Steuerungsdaten!$B$5,0))</f>
        <v/>
      </c>
      <c r="M307" s="186" t="str">
        <f>IF(I307="","",ROUND(I307*Steuerungsdaten!$B$5,0))</f>
        <v/>
      </c>
      <c r="N307" s="187" t="str">
        <f>IF(J307="","",ROUND(J307*Steuerungsdaten!$B$5,0))</f>
        <v/>
      </c>
      <c r="O307" s="193">
        <v>19</v>
      </c>
      <c r="P307" s="193"/>
      <c r="Q307" s="193"/>
      <c r="R307" s="193"/>
    </row>
    <row r="308" spans="1:18" x14ac:dyDescent="0.25">
      <c r="A308" s="188">
        <v>8307</v>
      </c>
      <c r="B308" s="189" t="s">
        <v>391</v>
      </c>
      <c r="C308" s="189" t="s">
        <v>410</v>
      </c>
      <c r="D308" s="189" t="s">
        <v>418</v>
      </c>
      <c r="E308" s="190"/>
      <c r="F308" s="190"/>
      <c r="G308" s="191">
        <f>IF(O308="","",ROUND(O308*Steuerungsdaten!$B$4*IFERROR(VLOOKUP(C308,Steuerungsdaten!$A$12:$B$33,2,FALSE),1),0))</f>
        <v>10</v>
      </c>
      <c r="H308" s="191" t="str">
        <f>IF(P308="","",ROUND(P308*Steuerungsdaten!$B$4*IFERROR(VLOOKUP(C308,Steuerungsdaten!$A$12:$D$33,4,FALSE),1),0))</f>
        <v/>
      </c>
      <c r="I308" s="191" t="str">
        <f>IF(Q308="","",ROUND(Q308*Steuerungsdaten!$B$4*IFERROR(VLOOKUP(C308,Steuerungsdaten!$A$12:$F$33,6,FALSE),1),0))</f>
        <v/>
      </c>
      <c r="J308" s="191" t="str">
        <f>IF(R308="","",ROUND(R308*Steuerungsdaten!$B$4*IFERROR(VLOOKUP(C308,Steuerungsdaten!$A$12:$H$33,8,FALSE),1),0))</f>
        <v/>
      </c>
      <c r="K308" s="191">
        <f>IF(G308="","",ROUND(G308*Steuerungsdaten!$B$5,0))</f>
        <v>12</v>
      </c>
      <c r="L308" s="191" t="str">
        <f>IF(H308="","",ROUND(H308*Steuerungsdaten!$B$5,0))</f>
        <v/>
      </c>
      <c r="M308" s="191" t="str">
        <f>IF(I308="","",ROUND(I308*Steuerungsdaten!$B$5,0))</f>
        <v/>
      </c>
      <c r="N308" s="192" t="str">
        <f>IF(J308="","",ROUND(J308*Steuerungsdaten!$B$5,0))</f>
        <v/>
      </c>
      <c r="O308" s="193">
        <v>12</v>
      </c>
      <c r="P308" s="193"/>
      <c r="Q308" s="193"/>
      <c r="R308" s="193"/>
    </row>
    <row r="309" spans="1:18" x14ac:dyDescent="0.25">
      <c r="A309" s="183">
        <v>8308</v>
      </c>
      <c r="B309" s="184" t="s">
        <v>391</v>
      </c>
      <c r="C309" s="184" t="s">
        <v>410</v>
      </c>
      <c r="D309" s="184" t="s">
        <v>419</v>
      </c>
      <c r="E309" s="185"/>
      <c r="F309" s="185"/>
      <c r="G309" s="186">
        <f>IF(O309="","",ROUND(O309*Steuerungsdaten!$B$4*IFERROR(VLOOKUP(C309,Steuerungsdaten!$A$12:$B$33,2,FALSE),1),0))</f>
        <v>12</v>
      </c>
      <c r="H309" s="186" t="str">
        <f>IF(P309="","",ROUND(P309*Steuerungsdaten!$B$4*IFERROR(VLOOKUP(C309,Steuerungsdaten!$A$12:$D$33,4,FALSE),1),0))</f>
        <v/>
      </c>
      <c r="I309" s="186" t="str">
        <f>IF(Q309="","",ROUND(Q309*Steuerungsdaten!$B$4*IFERROR(VLOOKUP(C309,Steuerungsdaten!$A$12:$F$33,6,FALSE),1),0))</f>
        <v/>
      </c>
      <c r="J309" s="186" t="str">
        <f>IF(R309="","",ROUND(R309*Steuerungsdaten!$B$4*IFERROR(VLOOKUP(C309,Steuerungsdaten!$A$12:$H$33,8,FALSE),1),0))</f>
        <v/>
      </c>
      <c r="K309" s="186">
        <f>IF(G309="","",ROUND(G309*Steuerungsdaten!$B$5,0))</f>
        <v>14</v>
      </c>
      <c r="L309" s="186" t="str">
        <f>IF(H309="","",ROUND(H309*Steuerungsdaten!$B$5,0))</f>
        <v/>
      </c>
      <c r="M309" s="186" t="str">
        <f>IF(I309="","",ROUND(I309*Steuerungsdaten!$B$5,0))</f>
        <v/>
      </c>
      <c r="N309" s="187" t="str">
        <f>IF(J309="","",ROUND(J309*Steuerungsdaten!$B$5,0))</f>
        <v/>
      </c>
      <c r="O309" s="193">
        <v>15</v>
      </c>
      <c r="P309" s="193"/>
      <c r="Q309" s="193"/>
      <c r="R309" s="193"/>
    </row>
    <row r="310" spans="1:18" x14ac:dyDescent="0.25">
      <c r="A310" s="188">
        <v>8309</v>
      </c>
      <c r="B310" s="189" t="s">
        <v>391</v>
      </c>
      <c r="C310" s="189" t="s">
        <v>410</v>
      </c>
      <c r="D310" s="189" t="s">
        <v>420</v>
      </c>
      <c r="E310" s="190"/>
      <c r="F310" s="190"/>
      <c r="G310" s="191">
        <f>IF(O310="","",ROUND(O310*Steuerungsdaten!$B$4*IFERROR(VLOOKUP(C310,Steuerungsdaten!$A$12:$B$33,2,FALSE),1),0))</f>
        <v>14</v>
      </c>
      <c r="H310" s="191" t="str">
        <f>IF(P310="","",ROUND(P310*Steuerungsdaten!$B$4*IFERROR(VLOOKUP(C310,Steuerungsdaten!$A$12:$D$33,4,FALSE),1),0))</f>
        <v/>
      </c>
      <c r="I310" s="191" t="str">
        <f>IF(Q310="","",ROUND(Q310*Steuerungsdaten!$B$4*IFERROR(VLOOKUP(C310,Steuerungsdaten!$A$12:$F$33,6,FALSE),1),0))</f>
        <v/>
      </c>
      <c r="J310" s="191" t="str">
        <f>IF(R310="","",ROUND(R310*Steuerungsdaten!$B$4*IFERROR(VLOOKUP(C310,Steuerungsdaten!$A$12:$H$33,8,FALSE),1),0))</f>
        <v/>
      </c>
      <c r="K310" s="191">
        <f>IF(G310="","",ROUND(G310*Steuerungsdaten!$B$5,0))</f>
        <v>16</v>
      </c>
      <c r="L310" s="191" t="str">
        <f>IF(H310="","",ROUND(H310*Steuerungsdaten!$B$5,0))</f>
        <v/>
      </c>
      <c r="M310" s="191" t="str">
        <f>IF(I310="","",ROUND(I310*Steuerungsdaten!$B$5,0))</f>
        <v/>
      </c>
      <c r="N310" s="192" t="str">
        <f>IF(J310="","",ROUND(J310*Steuerungsdaten!$B$5,0))</f>
        <v/>
      </c>
      <c r="O310" s="193">
        <v>18</v>
      </c>
      <c r="P310" s="193"/>
      <c r="Q310" s="193"/>
      <c r="R310" s="193"/>
    </row>
    <row r="311" spans="1:18" x14ac:dyDescent="0.25">
      <c r="A311" s="183">
        <v>8310</v>
      </c>
      <c r="B311" s="184" t="s">
        <v>391</v>
      </c>
      <c r="C311" s="184" t="s">
        <v>410</v>
      </c>
      <c r="D311" s="184" t="s">
        <v>421</v>
      </c>
      <c r="E311" s="185"/>
      <c r="F311" s="185"/>
      <c r="G311" s="186">
        <f>IF(O311="","",ROUND(O311*Steuerungsdaten!$B$4*IFERROR(VLOOKUP(C311,Steuerungsdaten!$A$12:$B$33,2,FALSE),1),0))</f>
        <v>31</v>
      </c>
      <c r="H311" s="186" t="str">
        <f>IF(P311="","",ROUND(P311*Steuerungsdaten!$B$4*IFERROR(VLOOKUP(C311,Steuerungsdaten!$A$12:$D$33,4,FALSE),1),0))</f>
        <v/>
      </c>
      <c r="I311" s="186" t="str">
        <f>IF(Q311="","",ROUND(Q311*Steuerungsdaten!$B$4*IFERROR(VLOOKUP(C311,Steuerungsdaten!$A$12:$F$33,6,FALSE),1),0))</f>
        <v/>
      </c>
      <c r="J311" s="186" t="str">
        <f>IF(R311="","",ROUND(R311*Steuerungsdaten!$B$4*IFERROR(VLOOKUP(C311,Steuerungsdaten!$A$12:$H$33,8,FALSE),1),0))</f>
        <v/>
      </c>
      <c r="K311" s="186">
        <f>IF(G311="","",ROUND(G311*Steuerungsdaten!$B$5,0))</f>
        <v>36</v>
      </c>
      <c r="L311" s="186" t="str">
        <f>IF(H311="","",ROUND(H311*Steuerungsdaten!$B$5,0))</f>
        <v/>
      </c>
      <c r="M311" s="186" t="str">
        <f>IF(I311="","",ROUND(I311*Steuerungsdaten!$B$5,0))</f>
        <v/>
      </c>
      <c r="N311" s="187" t="str">
        <f>IF(J311="","",ROUND(J311*Steuerungsdaten!$B$5,0))</f>
        <v/>
      </c>
      <c r="O311" s="193">
        <v>39</v>
      </c>
      <c r="P311" s="193"/>
      <c r="Q311" s="193"/>
      <c r="R311" s="193"/>
    </row>
    <row r="312" spans="1:18" x14ac:dyDescent="0.25">
      <c r="A312" s="188">
        <v>8311</v>
      </c>
      <c r="B312" s="189" t="s">
        <v>391</v>
      </c>
      <c r="C312" s="189" t="s">
        <v>410</v>
      </c>
      <c r="D312" s="189" t="s">
        <v>422</v>
      </c>
      <c r="E312" s="190"/>
      <c r="F312" s="190"/>
      <c r="G312" s="191">
        <f>IF(O312="","",ROUND(O312*Steuerungsdaten!$B$4*IFERROR(VLOOKUP(C312,Steuerungsdaten!$A$12:$B$33,2,FALSE),1),0))</f>
        <v>35</v>
      </c>
      <c r="H312" s="191" t="str">
        <f>IF(P312="","",ROUND(P312*Steuerungsdaten!$B$4*IFERROR(VLOOKUP(C312,Steuerungsdaten!$A$12:$D$33,4,FALSE),1),0))</f>
        <v/>
      </c>
      <c r="I312" s="191" t="str">
        <f>IF(Q312="","",ROUND(Q312*Steuerungsdaten!$B$4*IFERROR(VLOOKUP(C312,Steuerungsdaten!$A$12:$F$33,6,FALSE),1),0))</f>
        <v/>
      </c>
      <c r="J312" s="191" t="str">
        <f>IF(R312="","",ROUND(R312*Steuerungsdaten!$B$4*IFERROR(VLOOKUP(C312,Steuerungsdaten!$A$12:$H$33,8,FALSE),1),0))</f>
        <v/>
      </c>
      <c r="K312" s="191">
        <f>IF(G312="","",ROUND(G312*Steuerungsdaten!$B$5,0))</f>
        <v>40</v>
      </c>
      <c r="L312" s="191" t="str">
        <f>IF(H312="","",ROUND(H312*Steuerungsdaten!$B$5,0))</f>
        <v/>
      </c>
      <c r="M312" s="191" t="str">
        <f>IF(I312="","",ROUND(I312*Steuerungsdaten!$B$5,0))</f>
        <v/>
      </c>
      <c r="N312" s="192" t="str">
        <f>IF(J312="","",ROUND(J312*Steuerungsdaten!$B$5,0))</f>
        <v/>
      </c>
      <c r="O312" s="193">
        <v>44</v>
      </c>
      <c r="P312" s="193"/>
      <c r="Q312" s="193"/>
      <c r="R312" s="193"/>
    </row>
    <row r="313" spans="1:18" x14ac:dyDescent="0.25">
      <c r="A313" s="183">
        <v>8312</v>
      </c>
      <c r="B313" s="184" t="s">
        <v>391</v>
      </c>
      <c r="C313" s="184" t="s">
        <v>410</v>
      </c>
      <c r="D313" s="184" t="s">
        <v>423</v>
      </c>
      <c r="E313" s="185"/>
      <c r="F313" s="185"/>
      <c r="G313" s="186">
        <f>IF(O313="","",ROUND(O313*Steuerungsdaten!$B$4*IFERROR(VLOOKUP(C313,Steuerungsdaten!$A$12:$B$33,2,FALSE),1),0))</f>
        <v>30</v>
      </c>
      <c r="H313" s="186" t="str">
        <f>IF(P313="","",ROUND(P313*Steuerungsdaten!$B$4*IFERROR(VLOOKUP(C313,Steuerungsdaten!$A$12:$D$33,4,FALSE),1),0))</f>
        <v/>
      </c>
      <c r="I313" s="186" t="str">
        <f>IF(Q313="","",ROUND(Q313*Steuerungsdaten!$B$4*IFERROR(VLOOKUP(C313,Steuerungsdaten!$A$12:$F$33,6,FALSE),1),0))</f>
        <v/>
      </c>
      <c r="J313" s="186" t="str">
        <f>IF(R313="","",ROUND(R313*Steuerungsdaten!$B$4*IFERROR(VLOOKUP(C313,Steuerungsdaten!$A$12:$H$33,8,FALSE),1),0))</f>
        <v/>
      </c>
      <c r="K313" s="186">
        <f>IF(G313="","",ROUND(G313*Steuerungsdaten!$B$5,0))</f>
        <v>35</v>
      </c>
      <c r="L313" s="186" t="str">
        <f>IF(H313="","",ROUND(H313*Steuerungsdaten!$B$5,0))</f>
        <v/>
      </c>
      <c r="M313" s="186" t="str">
        <f>IF(I313="","",ROUND(I313*Steuerungsdaten!$B$5,0))</f>
        <v/>
      </c>
      <c r="N313" s="187" t="str">
        <f>IF(J313="","",ROUND(J313*Steuerungsdaten!$B$5,0))</f>
        <v/>
      </c>
      <c r="O313" s="193">
        <v>38</v>
      </c>
      <c r="P313" s="193"/>
      <c r="Q313" s="193"/>
      <c r="R313" s="193"/>
    </row>
    <row r="314" spans="1:18" x14ac:dyDescent="0.25">
      <c r="A314" s="188">
        <v>8313</v>
      </c>
      <c r="B314" s="189" t="s">
        <v>391</v>
      </c>
      <c r="C314" s="189" t="s">
        <v>410</v>
      </c>
      <c r="D314" s="189" t="s">
        <v>424</v>
      </c>
      <c r="E314" s="190"/>
      <c r="F314" s="190"/>
      <c r="G314" s="191">
        <f>IF(O314="","",ROUND(O314*Steuerungsdaten!$B$4*IFERROR(VLOOKUP(C314,Steuerungsdaten!$A$12:$B$33,2,FALSE),1),0))</f>
        <v>15</v>
      </c>
      <c r="H314" s="191" t="str">
        <f>IF(P314="","",ROUND(P314*Steuerungsdaten!$B$4*IFERROR(VLOOKUP(C314,Steuerungsdaten!$A$12:$D$33,4,FALSE),1),0))</f>
        <v/>
      </c>
      <c r="I314" s="191" t="str">
        <f>IF(Q314="","",ROUND(Q314*Steuerungsdaten!$B$4*IFERROR(VLOOKUP(C314,Steuerungsdaten!$A$12:$F$33,6,FALSE),1),0))</f>
        <v/>
      </c>
      <c r="J314" s="191" t="str">
        <f>IF(R314="","",ROUND(R314*Steuerungsdaten!$B$4*IFERROR(VLOOKUP(C314,Steuerungsdaten!$A$12:$H$33,8,FALSE),1),0))</f>
        <v/>
      </c>
      <c r="K314" s="191">
        <f>IF(G314="","",ROUND(G314*Steuerungsdaten!$B$5,0))</f>
        <v>17</v>
      </c>
      <c r="L314" s="191" t="str">
        <f>IF(H314="","",ROUND(H314*Steuerungsdaten!$B$5,0))</f>
        <v/>
      </c>
      <c r="M314" s="191" t="str">
        <f>IF(I314="","",ROUND(I314*Steuerungsdaten!$B$5,0))</f>
        <v/>
      </c>
      <c r="N314" s="192" t="str">
        <f>IF(J314="","",ROUND(J314*Steuerungsdaten!$B$5,0))</f>
        <v/>
      </c>
      <c r="O314" s="193">
        <v>19</v>
      </c>
      <c r="P314" s="193"/>
      <c r="Q314" s="193"/>
      <c r="R314" s="193"/>
    </row>
    <row r="315" spans="1:18" x14ac:dyDescent="0.25">
      <c r="A315" s="183">
        <v>8314</v>
      </c>
      <c r="B315" s="184" t="s">
        <v>391</v>
      </c>
      <c r="C315" s="184" t="s">
        <v>410</v>
      </c>
      <c r="D315" s="184" t="s">
        <v>425</v>
      </c>
      <c r="E315" s="185"/>
      <c r="F315" s="185"/>
      <c r="G315" s="186">
        <f>IF(O315="","",ROUND(O315*Steuerungsdaten!$B$4*IFERROR(VLOOKUP(C315,Steuerungsdaten!$A$12:$B$33,2,FALSE),1),0))</f>
        <v>18</v>
      </c>
      <c r="H315" s="186" t="str">
        <f>IF(P315="","",ROUND(P315*Steuerungsdaten!$B$4*IFERROR(VLOOKUP(C315,Steuerungsdaten!$A$12:$D$33,4,FALSE),1),0))</f>
        <v/>
      </c>
      <c r="I315" s="186" t="str">
        <f>IF(Q315="","",ROUND(Q315*Steuerungsdaten!$B$4*IFERROR(VLOOKUP(C315,Steuerungsdaten!$A$12:$F$33,6,FALSE),1),0))</f>
        <v/>
      </c>
      <c r="J315" s="186" t="str">
        <f>IF(R315="","",ROUND(R315*Steuerungsdaten!$B$4*IFERROR(VLOOKUP(C315,Steuerungsdaten!$A$12:$H$33,8,FALSE),1),0))</f>
        <v/>
      </c>
      <c r="K315" s="186">
        <f>IF(G315="","",ROUND(G315*Steuerungsdaten!$B$5,0))</f>
        <v>21</v>
      </c>
      <c r="L315" s="186" t="str">
        <f>IF(H315="","",ROUND(H315*Steuerungsdaten!$B$5,0))</f>
        <v/>
      </c>
      <c r="M315" s="186" t="str">
        <f>IF(I315="","",ROUND(I315*Steuerungsdaten!$B$5,0))</f>
        <v/>
      </c>
      <c r="N315" s="187" t="str">
        <f>IF(J315="","",ROUND(J315*Steuerungsdaten!$B$5,0))</f>
        <v/>
      </c>
      <c r="O315" s="193">
        <v>22</v>
      </c>
      <c r="P315" s="193"/>
      <c r="Q315" s="193"/>
      <c r="R315" s="193"/>
    </row>
    <row r="316" spans="1:18" x14ac:dyDescent="0.25">
      <c r="A316" s="188">
        <v>8315</v>
      </c>
      <c r="B316" s="189" t="s">
        <v>391</v>
      </c>
      <c r="C316" s="189" t="s">
        <v>410</v>
      </c>
      <c r="D316" s="189" t="s">
        <v>426</v>
      </c>
      <c r="E316" s="190"/>
      <c r="F316" s="190"/>
      <c r="G316" s="191">
        <f>IF(O316="","",ROUND(O316*Steuerungsdaten!$B$4*IFERROR(VLOOKUP(C316,Steuerungsdaten!$A$12:$B$33,2,FALSE),1),0))</f>
        <v>23</v>
      </c>
      <c r="H316" s="191" t="str">
        <f>IF(P316="","",ROUND(P316*Steuerungsdaten!$B$4*IFERROR(VLOOKUP(C316,Steuerungsdaten!$A$12:$D$33,4,FALSE),1),0))</f>
        <v/>
      </c>
      <c r="I316" s="191" t="str">
        <f>IF(Q316="","",ROUND(Q316*Steuerungsdaten!$B$4*IFERROR(VLOOKUP(C316,Steuerungsdaten!$A$12:$F$33,6,FALSE),1),0))</f>
        <v/>
      </c>
      <c r="J316" s="191" t="str">
        <f>IF(R316="","",ROUND(R316*Steuerungsdaten!$B$4*IFERROR(VLOOKUP(C316,Steuerungsdaten!$A$12:$H$33,8,FALSE),1),0))</f>
        <v/>
      </c>
      <c r="K316" s="191">
        <f>IF(G316="","",ROUND(G316*Steuerungsdaten!$B$5,0))</f>
        <v>26</v>
      </c>
      <c r="L316" s="191" t="str">
        <f>IF(H316="","",ROUND(H316*Steuerungsdaten!$B$5,0))</f>
        <v/>
      </c>
      <c r="M316" s="191" t="str">
        <f>IF(I316="","",ROUND(I316*Steuerungsdaten!$B$5,0))</f>
        <v/>
      </c>
      <c r="N316" s="192" t="str">
        <f>IF(J316="","",ROUND(J316*Steuerungsdaten!$B$5,0))</f>
        <v/>
      </c>
      <c r="O316" s="193">
        <v>29</v>
      </c>
      <c r="P316" s="193"/>
      <c r="Q316" s="193"/>
      <c r="R316" s="193"/>
    </row>
    <row r="317" spans="1:18" x14ac:dyDescent="0.25">
      <c r="A317" s="183">
        <v>8503</v>
      </c>
      <c r="B317" s="184" t="s">
        <v>391</v>
      </c>
      <c r="C317" s="184" t="s">
        <v>427</v>
      </c>
      <c r="D317" s="184" t="s">
        <v>427</v>
      </c>
      <c r="E317" s="185"/>
      <c r="F317" s="185"/>
      <c r="G317" s="186">
        <f>IF(O317="","",ROUND(O317*Steuerungsdaten!$B$4*IFERROR(VLOOKUP(C317,Steuerungsdaten!$A$12:$B$33,2,FALSE),1),0))</f>
        <v>210</v>
      </c>
      <c r="H317" s="186" t="str">
        <f>IF(P317="","",ROUND(P317*Steuerungsdaten!$B$4*IFERROR(VLOOKUP(C317,Steuerungsdaten!$A$12:$D$33,4,FALSE),1),0))</f>
        <v/>
      </c>
      <c r="I317" s="186" t="str">
        <f>IF(Q317="","",ROUND(Q317*Steuerungsdaten!$B$4*IFERROR(VLOOKUP(C317,Steuerungsdaten!$A$12:$F$33,6,FALSE),1),0))</f>
        <v/>
      </c>
      <c r="J317" s="186" t="str">
        <f>IF(R317="","",ROUND(R317*Steuerungsdaten!$B$4*IFERROR(VLOOKUP(C317,Steuerungsdaten!$A$12:$H$33,8,FALSE),1),0))</f>
        <v/>
      </c>
      <c r="K317" s="186">
        <f>IF(G317="","",ROUND(G317*Steuerungsdaten!$B$5,0))</f>
        <v>242</v>
      </c>
      <c r="L317" s="186" t="str">
        <f>IF(H317="","",ROUND(H317*Steuerungsdaten!$B$5,0))</f>
        <v/>
      </c>
      <c r="M317" s="186" t="str">
        <f>IF(I317="","",ROUND(I317*Steuerungsdaten!$B$5,0))</f>
        <v/>
      </c>
      <c r="N317" s="187" t="str">
        <f>IF(J317="","",ROUND(J317*Steuerungsdaten!$B$5,0))</f>
        <v/>
      </c>
      <c r="O317" s="193">
        <v>262</v>
      </c>
      <c r="P317" s="193"/>
      <c r="Q317" s="193"/>
      <c r="R317" s="193"/>
    </row>
    <row r="318" spans="1:18" x14ac:dyDescent="0.25">
      <c r="A318" s="188">
        <v>8504</v>
      </c>
      <c r="B318" s="189" t="s">
        <v>391</v>
      </c>
      <c r="C318" s="189" t="s">
        <v>427</v>
      </c>
      <c r="D318" s="189" t="s">
        <v>427</v>
      </c>
      <c r="E318" s="190"/>
      <c r="F318" s="190"/>
      <c r="G318" s="191">
        <f>IF(O318="","",ROUND(O318*Steuerungsdaten!$B$4*IFERROR(VLOOKUP(C318,Steuerungsdaten!$A$12:$B$33,2,FALSE),1),0))</f>
        <v>210</v>
      </c>
      <c r="H318" s="191" t="str">
        <f>IF(P318="","",ROUND(P318*Steuerungsdaten!$B$4*IFERROR(VLOOKUP(C318,Steuerungsdaten!$A$12:$D$33,4,FALSE),1),0))</f>
        <v/>
      </c>
      <c r="I318" s="191" t="str">
        <f>IF(Q318="","",ROUND(Q318*Steuerungsdaten!$B$4*IFERROR(VLOOKUP(C318,Steuerungsdaten!$A$12:$F$33,6,FALSE),1),0))</f>
        <v/>
      </c>
      <c r="J318" s="191" t="str">
        <f>IF(R318="","",ROUND(R318*Steuerungsdaten!$B$4*IFERROR(VLOOKUP(C318,Steuerungsdaten!$A$12:$H$33,8,FALSE),1),0))</f>
        <v/>
      </c>
      <c r="K318" s="191">
        <f>IF(G318="","",ROUND(G318*Steuerungsdaten!$B$5,0))</f>
        <v>242</v>
      </c>
      <c r="L318" s="191" t="str">
        <f>IF(H318="","",ROUND(H318*Steuerungsdaten!$B$5,0))</f>
        <v/>
      </c>
      <c r="M318" s="191" t="str">
        <f>IF(I318="","",ROUND(I318*Steuerungsdaten!$B$5,0))</f>
        <v/>
      </c>
      <c r="N318" s="192" t="str">
        <f>IF(J318="","",ROUND(J318*Steuerungsdaten!$B$5,0))</f>
        <v/>
      </c>
      <c r="O318" s="193">
        <v>263</v>
      </c>
      <c r="P318" s="193"/>
      <c r="Q318" s="193"/>
      <c r="R318" s="193"/>
    </row>
    <row r="319" spans="1:18" x14ac:dyDescent="0.25">
      <c r="A319" s="183">
        <v>8505</v>
      </c>
      <c r="B319" s="184" t="s">
        <v>391</v>
      </c>
      <c r="C319" s="184" t="s">
        <v>427</v>
      </c>
      <c r="D319" s="184" t="s">
        <v>427</v>
      </c>
      <c r="E319" s="185"/>
      <c r="F319" s="185"/>
      <c r="G319" s="186">
        <f>IF(O319="","",ROUND(O319*Steuerungsdaten!$B$4*IFERROR(VLOOKUP(C319,Steuerungsdaten!$A$12:$B$33,2,FALSE),1),0))</f>
        <v>212</v>
      </c>
      <c r="H319" s="186" t="str">
        <f>IF(P319="","",ROUND(P319*Steuerungsdaten!$B$4*IFERROR(VLOOKUP(C319,Steuerungsdaten!$A$12:$D$33,4,FALSE),1),0))</f>
        <v/>
      </c>
      <c r="I319" s="186" t="str">
        <f>IF(Q319="","",ROUND(Q319*Steuerungsdaten!$B$4*IFERROR(VLOOKUP(C319,Steuerungsdaten!$A$12:$F$33,6,FALSE),1),0))</f>
        <v/>
      </c>
      <c r="J319" s="186" t="str">
        <f>IF(R319="","",ROUND(R319*Steuerungsdaten!$B$4*IFERROR(VLOOKUP(C319,Steuerungsdaten!$A$12:$H$33,8,FALSE),1),0))</f>
        <v/>
      </c>
      <c r="K319" s="186">
        <f>IF(G319="","",ROUND(G319*Steuerungsdaten!$B$5,0))</f>
        <v>244</v>
      </c>
      <c r="L319" s="186" t="str">
        <f>IF(H319="","",ROUND(H319*Steuerungsdaten!$B$5,0))</f>
        <v/>
      </c>
      <c r="M319" s="186" t="str">
        <f>IF(I319="","",ROUND(I319*Steuerungsdaten!$B$5,0))</f>
        <v/>
      </c>
      <c r="N319" s="187" t="str">
        <f>IF(J319="","",ROUND(J319*Steuerungsdaten!$B$5,0))</f>
        <v/>
      </c>
      <c r="O319" s="193">
        <v>265</v>
      </c>
      <c r="P319" s="193"/>
      <c r="Q319" s="193"/>
      <c r="R319" s="193"/>
    </row>
    <row r="320" spans="1:18" x14ac:dyDescent="0.25">
      <c r="A320" s="188">
        <v>8506</v>
      </c>
      <c r="B320" s="189" t="s">
        <v>391</v>
      </c>
      <c r="C320" s="189" t="s">
        <v>427</v>
      </c>
      <c r="D320" s="189" t="s">
        <v>427</v>
      </c>
      <c r="E320" s="190"/>
      <c r="F320" s="190"/>
      <c r="G320" s="191">
        <f>IF(O320="","",ROUND(O320*Steuerungsdaten!$B$4*IFERROR(VLOOKUP(C320,Steuerungsdaten!$A$12:$B$33,2,FALSE),1),0))</f>
        <v>255</v>
      </c>
      <c r="H320" s="191" t="str">
        <f>IF(P320="","",ROUND(P320*Steuerungsdaten!$B$4*IFERROR(VLOOKUP(C320,Steuerungsdaten!$A$12:$D$33,4,FALSE),1),0))</f>
        <v/>
      </c>
      <c r="I320" s="191" t="str">
        <f>IF(Q320="","",ROUND(Q320*Steuerungsdaten!$B$4*IFERROR(VLOOKUP(C320,Steuerungsdaten!$A$12:$F$33,6,FALSE),1),0))</f>
        <v/>
      </c>
      <c r="J320" s="191" t="str">
        <f>IF(R320="","",ROUND(R320*Steuerungsdaten!$B$4*IFERROR(VLOOKUP(C320,Steuerungsdaten!$A$12:$H$33,8,FALSE),1),0))</f>
        <v/>
      </c>
      <c r="K320" s="191">
        <f>IF(G320="","",ROUND(G320*Steuerungsdaten!$B$5,0))</f>
        <v>293</v>
      </c>
      <c r="L320" s="191" t="str">
        <f>IF(H320="","",ROUND(H320*Steuerungsdaten!$B$5,0))</f>
        <v/>
      </c>
      <c r="M320" s="191" t="str">
        <f>IF(I320="","",ROUND(I320*Steuerungsdaten!$B$5,0))</f>
        <v/>
      </c>
      <c r="N320" s="192" t="str">
        <f>IF(J320="","",ROUND(J320*Steuerungsdaten!$B$5,0))</f>
        <v/>
      </c>
      <c r="O320" s="193">
        <v>319</v>
      </c>
      <c r="P320" s="193"/>
      <c r="Q320" s="193"/>
      <c r="R320" s="193"/>
    </row>
    <row r="321" spans="1:18" x14ac:dyDescent="0.25">
      <c r="A321" s="183">
        <v>8050</v>
      </c>
      <c r="B321" s="184" t="s">
        <v>391</v>
      </c>
      <c r="C321" s="184" t="s">
        <v>428</v>
      </c>
      <c r="D321" s="184" t="s">
        <v>429</v>
      </c>
      <c r="E321" s="185"/>
      <c r="F321" s="185"/>
      <c r="G321" s="186">
        <f>IF(O321="","",ROUND(O321*Steuerungsdaten!$B$4*IFERROR(VLOOKUP(C321,Steuerungsdaten!$A$12:$B$33,2,FALSE),1),0))</f>
        <v>4</v>
      </c>
      <c r="H321" s="186" t="str">
        <f>IF(P321="","",ROUND(P321*Steuerungsdaten!$B$4*IFERROR(VLOOKUP(C321,Steuerungsdaten!$A$12:$D$33,4,FALSE),1),0))</f>
        <v/>
      </c>
      <c r="I321" s="186" t="str">
        <f>IF(Q321="","",ROUND(Q321*Steuerungsdaten!$B$4*IFERROR(VLOOKUP(C321,Steuerungsdaten!$A$12:$F$33,6,FALSE),1),0))</f>
        <v/>
      </c>
      <c r="J321" s="186" t="str">
        <f>IF(R321="","",ROUND(R321*Steuerungsdaten!$B$4*IFERROR(VLOOKUP(C321,Steuerungsdaten!$A$12:$H$33,8,FALSE),1),0))</f>
        <v/>
      </c>
      <c r="K321" s="186">
        <f>IF(G321="","",ROUND(G321*Steuerungsdaten!$B$5,0))</f>
        <v>5</v>
      </c>
      <c r="L321" s="186" t="str">
        <f>IF(H321="","",ROUND(H321*Steuerungsdaten!$B$5,0))</f>
        <v/>
      </c>
      <c r="M321" s="186" t="str">
        <f>IF(I321="","",ROUND(I321*Steuerungsdaten!$B$5,0))</f>
        <v/>
      </c>
      <c r="N321" s="187" t="str">
        <f>IF(J321="","",ROUND(J321*Steuerungsdaten!$B$5,0))</f>
        <v/>
      </c>
      <c r="O321" s="193">
        <v>5</v>
      </c>
      <c r="P321" s="193"/>
      <c r="Q321" s="193"/>
      <c r="R321" s="193"/>
    </row>
    <row r="322" spans="1:18" x14ac:dyDescent="0.25">
      <c r="A322" s="188">
        <v>8051</v>
      </c>
      <c r="B322" s="189" t="s">
        <v>391</v>
      </c>
      <c r="C322" s="189" t="s">
        <v>428</v>
      </c>
      <c r="D322" s="189" t="s">
        <v>430</v>
      </c>
      <c r="E322" s="190"/>
      <c r="F322" s="190"/>
      <c r="G322" s="191">
        <f>IF(O322="","",ROUND(O322*Steuerungsdaten!$B$4*IFERROR(VLOOKUP(C322,Steuerungsdaten!$A$12:$B$33,2,FALSE),1),0))</f>
        <v>4</v>
      </c>
      <c r="H322" s="191" t="str">
        <f>IF(P322="","",ROUND(P322*Steuerungsdaten!$B$4*IFERROR(VLOOKUP(C322,Steuerungsdaten!$A$12:$D$33,4,FALSE),1),0))</f>
        <v/>
      </c>
      <c r="I322" s="191" t="str">
        <f>IF(Q322="","",ROUND(Q322*Steuerungsdaten!$B$4*IFERROR(VLOOKUP(C322,Steuerungsdaten!$A$12:$F$33,6,FALSE),1),0))</f>
        <v/>
      </c>
      <c r="J322" s="191" t="str">
        <f>IF(R322="","",ROUND(R322*Steuerungsdaten!$B$4*IFERROR(VLOOKUP(C322,Steuerungsdaten!$A$12:$H$33,8,FALSE),1),0))</f>
        <v/>
      </c>
      <c r="K322" s="191">
        <f>IF(G322="","",ROUND(G322*Steuerungsdaten!$B$5,0))</f>
        <v>5</v>
      </c>
      <c r="L322" s="191" t="str">
        <f>IF(H322="","",ROUND(H322*Steuerungsdaten!$B$5,0))</f>
        <v/>
      </c>
      <c r="M322" s="191" t="str">
        <f>IF(I322="","",ROUND(I322*Steuerungsdaten!$B$5,0))</f>
        <v/>
      </c>
      <c r="N322" s="192" t="str">
        <f>IF(J322="","",ROUND(J322*Steuerungsdaten!$B$5,0))</f>
        <v/>
      </c>
      <c r="O322" s="193">
        <v>5</v>
      </c>
      <c r="P322" s="193"/>
      <c r="Q322" s="193"/>
      <c r="R322" s="193"/>
    </row>
    <row r="323" spans="1:18" x14ac:dyDescent="0.25">
      <c r="A323" s="183">
        <v>8080</v>
      </c>
      <c r="B323" s="184" t="s">
        <v>391</v>
      </c>
      <c r="C323" s="184" t="s">
        <v>428</v>
      </c>
      <c r="D323" s="184" t="s">
        <v>431</v>
      </c>
      <c r="E323" s="185"/>
      <c r="F323" s="185"/>
      <c r="G323" s="186">
        <f>IF(O323="","",ROUND(O323*Steuerungsdaten!$B$4*IFERROR(VLOOKUP(C323,Steuerungsdaten!$A$12:$B$33,2,FALSE),1),0))</f>
        <v>6</v>
      </c>
      <c r="H323" s="186" t="str">
        <f>IF(P323="","",ROUND(P323*Steuerungsdaten!$B$4*IFERROR(VLOOKUP(C323,Steuerungsdaten!$A$12:$D$33,4,FALSE),1),0))</f>
        <v/>
      </c>
      <c r="I323" s="186" t="str">
        <f>IF(Q323="","",ROUND(Q323*Steuerungsdaten!$B$4*IFERROR(VLOOKUP(C323,Steuerungsdaten!$A$12:$F$33,6,FALSE),1),0))</f>
        <v/>
      </c>
      <c r="J323" s="186" t="str">
        <f>IF(R323="","",ROUND(R323*Steuerungsdaten!$B$4*IFERROR(VLOOKUP(C323,Steuerungsdaten!$A$12:$H$33,8,FALSE),1),0))</f>
        <v/>
      </c>
      <c r="K323" s="186">
        <f>IF(G323="","",ROUND(G323*Steuerungsdaten!$B$5,0))</f>
        <v>7</v>
      </c>
      <c r="L323" s="186" t="str">
        <f>IF(H323="","",ROUND(H323*Steuerungsdaten!$B$5,0))</f>
        <v/>
      </c>
      <c r="M323" s="186" t="str">
        <f>IF(I323="","",ROUND(I323*Steuerungsdaten!$B$5,0))</f>
        <v/>
      </c>
      <c r="N323" s="187" t="str">
        <f>IF(J323="","",ROUND(J323*Steuerungsdaten!$B$5,0))</f>
        <v/>
      </c>
      <c r="O323" s="193">
        <v>8</v>
      </c>
      <c r="P323" s="193"/>
      <c r="Q323" s="193"/>
      <c r="R323" s="193"/>
    </row>
    <row r="324" spans="1:18" x14ac:dyDescent="0.25">
      <c r="A324" s="188">
        <v>8081</v>
      </c>
      <c r="B324" s="189" t="s">
        <v>391</v>
      </c>
      <c r="C324" s="189" t="s">
        <v>428</v>
      </c>
      <c r="D324" s="189" t="s">
        <v>432</v>
      </c>
      <c r="E324" s="190"/>
      <c r="F324" s="190"/>
      <c r="G324" s="191">
        <f>IF(O324="","",ROUND(O324*Steuerungsdaten!$B$4*IFERROR(VLOOKUP(C324,Steuerungsdaten!$A$12:$B$33,2,FALSE),1),0))</f>
        <v>5</v>
      </c>
      <c r="H324" s="191" t="str">
        <f>IF(P324="","",ROUND(P324*Steuerungsdaten!$B$4*IFERROR(VLOOKUP(C324,Steuerungsdaten!$A$12:$D$33,4,FALSE),1),0))</f>
        <v/>
      </c>
      <c r="I324" s="191" t="str">
        <f>IF(Q324="","",ROUND(Q324*Steuerungsdaten!$B$4*IFERROR(VLOOKUP(C324,Steuerungsdaten!$A$12:$F$33,6,FALSE),1),0))</f>
        <v/>
      </c>
      <c r="J324" s="191" t="str">
        <f>IF(R324="","",ROUND(R324*Steuerungsdaten!$B$4*IFERROR(VLOOKUP(C324,Steuerungsdaten!$A$12:$H$33,8,FALSE),1),0))</f>
        <v/>
      </c>
      <c r="K324" s="191">
        <f>IF(G324="","",ROUND(G324*Steuerungsdaten!$B$5,0))</f>
        <v>6</v>
      </c>
      <c r="L324" s="191" t="str">
        <f>IF(H324="","",ROUND(H324*Steuerungsdaten!$B$5,0))</f>
        <v/>
      </c>
      <c r="M324" s="191" t="str">
        <f>IF(I324="","",ROUND(I324*Steuerungsdaten!$B$5,0))</f>
        <v/>
      </c>
      <c r="N324" s="192" t="str">
        <f>IF(J324="","",ROUND(J324*Steuerungsdaten!$B$5,0))</f>
        <v/>
      </c>
      <c r="O324" s="193">
        <v>6</v>
      </c>
      <c r="P324" s="193"/>
      <c r="Q324" s="193"/>
      <c r="R324" s="193"/>
    </row>
    <row r="325" spans="1:18" x14ac:dyDescent="0.25">
      <c r="A325" s="183">
        <v>8152</v>
      </c>
      <c r="B325" s="184" t="s">
        <v>391</v>
      </c>
      <c r="C325" s="184" t="s">
        <v>428</v>
      </c>
      <c r="D325" s="184" t="s">
        <v>433</v>
      </c>
      <c r="E325" s="185"/>
      <c r="F325" s="185"/>
      <c r="G325" s="186">
        <f>IF(O325="","",ROUND(O325*Steuerungsdaten!$B$4*IFERROR(VLOOKUP(C325,Steuerungsdaten!$A$12:$B$33,2,FALSE),1),0))</f>
        <v>56</v>
      </c>
      <c r="H325" s="186" t="str">
        <f>IF(P325="","",ROUND(P325*Steuerungsdaten!$B$4*IFERROR(VLOOKUP(C325,Steuerungsdaten!$A$12:$D$33,4,FALSE),1),0))</f>
        <v/>
      </c>
      <c r="I325" s="186" t="str">
        <f>IF(Q325="","",ROUND(Q325*Steuerungsdaten!$B$4*IFERROR(VLOOKUP(C325,Steuerungsdaten!$A$12:$F$33,6,FALSE),1),0))</f>
        <v/>
      </c>
      <c r="J325" s="186" t="str">
        <f>IF(R325="","",ROUND(R325*Steuerungsdaten!$B$4*IFERROR(VLOOKUP(C325,Steuerungsdaten!$A$12:$H$33,8,FALSE),1),0))</f>
        <v/>
      </c>
      <c r="K325" s="186">
        <f>IF(G325="","",ROUND(G325*Steuerungsdaten!$B$5,0))</f>
        <v>64</v>
      </c>
      <c r="L325" s="186" t="str">
        <f>IF(H325="","",ROUND(H325*Steuerungsdaten!$B$5,0))</f>
        <v/>
      </c>
      <c r="M325" s="186" t="str">
        <f>IF(I325="","",ROUND(I325*Steuerungsdaten!$B$5,0))</f>
        <v/>
      </c>
      <c r="N325" s="187" t="str">
        <f>IF(J325="","",ROUND(J325*Steuerungsdaten!$B$5,0))</f>
        <v/>
      </c>
      <c r="O325" s="193">
        <v>70</v>
      </c>
      <c r="P325" s="193"/>
      <c r="Q325" s="193"/>
      <c r="R325" s="193"/>
    </row>
    <row r="326" spans="1:18" x14ac:dyDescent="0.25">
      <c r="A326" s="188">
        <v>8411</v>
      </c>
      <c r="B326" s="189" t="s">
        <v>391</v>
      </c>
      <c r="C326" s="189" t="s">
        <v>434</v>
      </c>
      <c r="D326" s="189" t="s">
        <v>435</v>
      </c>
      <c r="E326" s="190"/>
      <c r="F326" s="190"/>
      <c r="G326" s="191">
        <f>IF(O326="","",ROUND(O326*Steuerungsdaten!$B$4*IFERROR(VLOOKUP(C326,Steuerungsdaten!$A$12:$B$33,2,FALSE),1),0))</f>
        <v>400</v>
      </c>
      <c r="H326" s="191" t="str">
        <f>IF(P326="","",ROUND(P326*Steuerungsdaten!$B$4*IFERROR(VLOOKUP(C326,Steuerungsdaten!$A$12:$D$33,4,FALSE),1),0))</f>
        <v/>
      </c>
      <c r="I326" s="191" t="str">
        <f>IF(Q326="","",ROUND(Q326*Steuerungsdaten!$B$4*IFERROR(VLOOKUP(C326,Steuerungsdaten!$A$12:$F$33,6,FALSE),1),0))</f>
        <v/>
      </c>
      <c r="J326" s="191" t="str">
        <f>IF(R326="","",ROUND(R326*Steuerungsdaten!$B$4*IFERROR(VLOOKUP(C326,Steuerungsdaten!$A$12:$H$33,8,FALSE),1),0))</f>
        <v/>
      </c>
      <c r="K326" s="191">
        <f>IF(G326="","",ROUND(G326*Steuerungsdaten!$B$5,0))</f>
        <v>460</v>
      </c>
      <c r="L326" s="191" t="str">
        <f>IF(H326="","",ROUND(H326*Steuerungsdaten!$B$5,0))</f>
        <v/>
      </c>
      <c r="M326" s="191" t="str">
        <f>IF(I326="","",ROUND(I326*Steuerungsdaten!$B$5,0))</f>
        <v/>
      </c>
      <c r="N326" s="192" t="str">
        <f>IF(J326="","",ROUND(J326*Steuerungsdaten!$B$5,0))</f>
        <v/>
      </c>
      <c r="O326" s="193">
        <v>500</v>
      </c>
      <c r="P326" s="193"/>
      <c r="Q326" s="193"/>
      <c r="R326" s="193"/>
    </row>
  </sheetData>
  <mergeCells count="22">
    <mergeCell ref="A261:N261"/>
    <mergeCell ref="A270:N270"/>
    <mergeCell ref="A279:N279"/>
    <mergeCell ref="A173:N173"/>
    <mergeCell ref="A187:N187"/>
    <mergeCell ref="A204:N204"/>
    <mergeCell ref="A216:N216"/>
    <mergeCell ref="A229:N229"/>
    <mergeCell ref="A241:N241"/>
    <mergeCell ref="A49:N49"/>
    <mergeCell ref="A72:N72"/>
    <mergeCell ref="A103:N103"/>
    <mergeCell ref="A129:N129"/>
    <mergeCell ref="A148:N148"/>
    <mergeCell ref="A159:N159"/>
    <mergeCell ref="A1:N1"/>
    <mergeCell ref="A2:N2"/>
    <mergeCell ref="A3:F3"/>
    <mergeCell ref="G3:J3"/>
    <mergeCell ref="K3:N3"/>
    <mergeCell ref="A5:N5"/>
    <mergeCell ref="A22:N2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DF2E-096E-4560-AF88-3C6D1C911E7B}">
  <dimension ref="A1:V30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27" sqref="P27"/>
    </sheetView>
  </sheetViews>
  <sheetFormatPr baseColWidth="10" defaultRowHeight="15" x14ac:dyDescent="0.25"/>
  <cols>
    <col min="1" max="1" width="13.28515625" customWidth="1"/>
    <col min="3" max="3" width="26.7109375" customWidth="1"/>
    <col min="4" max="4" width="38.140625" customWidth="1"/>
    <col min="5" max="6" width="13.28515625" customWidth="1"/>
    <col min="7" max="14" width="14.85546875" customWidth="1"/>
    <col min="15" max="18" width="16" customWidth="1"/>
    <col min="19" max="22" width="14.28515625" customWidth="1"/>
  </cols>
  <sheetData>
    <row r="1" spans="1:22" ht="24.95" customHeight="1" x14ac:dyDescent="0.25">
      <c r="A1" s="87" t="s">
        <v>74</v>
      </c>
      <c r="B1" s="87" t="s">
        <v>75</v>
      </c>
      <c r="C1" s="87" t="s">
        <v>76</v>
      </c>
      <c r="D1" s="87" t="s">
        <v>77</v>
      </c>
      <c r="E1" s="87" t="s">
        <v>78</v>
      </c>
      <c r="F1" s="87" t="s">
        <v>79</v>
      </c>
      <c r="G1" s="99" t="s">
        <v>486</v>
      </c>
      <c r="H1" s="99" t="s">
        <v>487</v>
      </c>
      <c r="I1" s="99" t="s">
        <v>488</v>
      </c>
      <c r="J1" s="99" t="s">
        <v>489</v>
      </c>
      <c r="K1" s="99" t="s">
        <v>490</v>
      </c>
      <c r="L1" s="99" t="s">
        <v>491</v>
      </c>
      <c r="M1" s="99" t="s">
        <v>492</v>
      </c>
      <c r="N1" s="99" t="s">
        <v>493</v>
      </c>
      <c r="O1" s="87" t="s">
        <v>494</v>
      </c>
      <c r="P1" s="87" t="s">
        <v>495</v>
      </c>
      <c r="Q1" s="87" t="s">
        <v>496</v>
      </c>
      <c r="R1" s="87" t="s">
        <v>497</v>
      </c>
      <c r="S1" s="100" t="s">
        <v>498</v>
      </c>
      <c r="T1" s="100" t="s">
        <v>499</v>
      </c>
      <c r="U1" s="100" t="s">
        <v>500</v>
      </c>
      <c r="V1" s="100" t="s">
        <v>501</v>
      </c>
    </row>
    <row r="2" spans="1:22" x14ac:dyDescent="0.25">
      <c r="A2">
        <v>3000</v>
      </c>
      <c r="B2" t="s">
        <v>90</v>
      </c>
      <c r="C2" t="s">
        <v>91</v>
      </c>
      <c r="D2" t="s">
        <v>92</v>
      </c>
      <c r="E2">
        <v>360</v>
      </c>
      <c r="F2">
        <v>360</v>
      </c>
      <c r="G2" s="101">
        <v>34</v>
      </c>
      <c r="H2" s="101">
        <v>114</v>
      </c>
      <c r="I2" s="101">
        <v>89</v>
      </c>
      <c r="J2" s="101">
        <v>177</v>
      </c>
      <c r="K2" s="101">
        <v>39</v>
      </c>
      <c r="L2" s="101">
        <v>131</v>
      </c>
      <c r="M2" s="101">
        <v>102</v>
      </c>
      <c r="N2" s="101">
        <v>204</v>
      </c>
      <c r="O2" s="102">
        <f>Aktiv!G6</f>
        <v>26</v>
      </c>
      <c r="P2" s="102">
        <f>Aktiv!H6</f>
        <v>75</v>
      </c>
      <c r="Q2" s="102">
        <f>Aktiv!I6</f>
        <v>81</v>
      </c>
      <c r="R2" s="102">
        <f>Aktiv!J6</f>
        <v>135</v>
      </c>
      <c r="S2" s="103">
        <f>IF(OR(G2="",G2=0,O2=""),"",O2/G2-1)</f>
        <v>-0.23529411764705888</v>
      </c>
      <c r="T2" s="103">
        <f>IF(OR(H2="",H2=0,P2=""),"",P2/H2-1)</f>
        <v>-0.34210526315789469</v>
      </c>
      <c r="U2" s="103">
        <f>IF(OR(I2="",I2=0,Q2=""),"",Q2/I2-1)</f>
        <v>-8.98876404494382E-2</v>
      </c>
      <c r="V2" s="103">
        <f>IF(OR(J2="",J2=0,R2=""),"",R2/J2-1)</f>
        <v>-0.23728813559322037</v>
      </c>
    </row>
    <row r="3" spans="1:22" x14ac:dyDescent="0.25">
      <c r="A3">
        <v>3001</v>
      </c>
      <c r="B3" t="s">
        <v>90</v>
      </c>
      <c r="C3" t="s">
        <v>91</v>
      </c>
      <c r="D3" t="s">
        <v>95</v>
      </c>
      <c r="E3">
        <v>420</v>
      </c>
      <c r="F3">
        <v>360</v>
      </c>
      <c r="G3" s="101">
        <v>34</v>
      </c>
      <c r="H3" s="101">
        <v>121</v>
      </c>
      <c r="I3" s="101">
        <v>92</v>
      </c>
      <c r="J3" s="101">
        <v>178</v>
      </c>
      <c r="K3" s="101">
        <v>39</v>
      </c>
      <c r="L3" s="101">
        <v>139</v>
      </c>
      <c r="M3" s="101">
        <v>106</v>
      </c>
      <c r="N3" s="101">
        <v>205</v>
      </c>
      <c r="O3" s="102">
        <f>Aktiv!G7</f>
        <v>26</v>
      </c>
      <c r="P3" s="102">
        <f>Aktiv!H7</f>
        <v>80</v>
      </c>
      <c r="Q3" s="102">
        <f>Aktiv!I7</f>
        <v>84</v>
      </c>
      <c r="R3" s="102">
        <f>Aktiv!J7</f>
        <v>135</v>
      </c>
      <c r="S3" s="103">
        <f t="shared" ref="S3:S66" si="0">IF(OR(G3="",G3=0,O3=""),"",O3/G3-1)</f>
        <v>-0.23529411764705888</v>
      </c>
      <c r="T3" s="103">
        <f t="shared" ref="T3:T66" si="1">IF(OR(H3="",H3=0,P3=""),"",P3/H3-1)</f>
        <v>-0.33884297520661155</v>
      </c>
      <c r="U3" s="103">
        <f t="shared" ref="U3:U66" si="2">IF(OR(I3="",I3=0,Q3=""),"",Q3/I3-1)</f>
        <v>-8.6956521739130488E-2</v>
      </c>
      <c r="V3" s="103">
        <f t="shared" ref="V3:V66" si="3">IF(OR(J3="",J3=0,R3=""),"",R3/J3-1)</f>
        <v>-0.2415730337078652</v>
      </c>
    </row>
    <row r="4" spans="1:22" x14ac:dyDescent="0.25">
      <c r="A4">
        <v>3002</v>
      </c>
      <c r="B4" t="s">
        <v>90</v>
      </c>
      <c r="C4" t="s">
        <v>91</v>
      </c>
      <c r="D4" t="s">
        <v>97</v>
      </c>
      <c r="E4">
        <v>580</v>
      </c>
      <c r="F4">
        <v>360</v>
      </c>
      <c r="G4" s="101">
        <v>43</v>
      </c>
      <c r="H4" s="101">
        <v>161</v>
      </c>
      <c r="I4" s="101">
        <v>130</v>
      </c>
      <c r="J4" s="101">
        <v>185</v>
      </c>
      <c r="K4" s="101">
        <v>49</v>
      </c>
      <c r="L4" s="101">
        <v>185</v>
      </c>
      <c r="M4" s="101">
        <v>150</v>
      </c>
      <c r="N4" s="101">
        <v>213</v>
      </c>
      <c r="O4" s="102">
        <f>Aktiv!G8</f>
        <v>32</v>
      </c>
      <c r="P4" s="102">
        <f>Aktiv!H8</f>
        <v>106</v>
      </c>
      <c r="Q4" s="102">
        <f>Aktiv!I8</f>
        <v>118</v>
      </c>
      <c r="R4" s="102">
        <f>Aktiv!J8</f>
        <v>141</v>
      </c>
      <c r="S4" s="103">
        <f t="shared" si="0"/>
        <v>-0.2558139534883721</v>
      </c>
      <c r="T4" s="103">
        <f t="shared" si="1"/>
        <v>-0.34161490683229812</v>
      </c>
      <c r="U4" s="103">
        <f t="shared" si="2"/>
        <v>-9.2307692307692313E-2</v>
      </c>
      <c r="V4" s="103">
        <f t="shared" si="3"/>
        <v>-0.23783783783783785</v>
      </c>
    </row>
    <row r="5" spans="1:22" x14ac:dyDescent="0.25">
      <c r="A5">
        <v>3003</v>
      </c>
      <c r="B5" t="s">
        <v>90</v>
      </c>
      <c r="C5" t="s">
        <v>91</v>
      </c>
      <c r="D5" t="s">
        <v>99</v>
      </c>
      <c r="E5">
        <v>780</v>
      </c>
      <c r="F5">
        <v>360</v>
      </c>
      <c r="G5" s="101">
        <v>56</v>
      </c>
      <c r="H5" s="101">
        <v>185</v>
      </c>
      <c r="I5" s="101">
        <v>144</v>
      </c>
      <c r="J5" s="101">
        <v>190</v>
      </c>
      <c r="K5" s="101">
        <v>64</v>
      </c>
      <c r="L5" s="101">
        <v>213</v>
      </c>
      <c r="M5" s="101">
        <v>166</v>
      </c>
      <c r="N5" s="101">
        <v>219</v>
      </c>
      <c r="O5" s="102">
        <f>Aktiv!G9</f>
        <v>42</v>
      </c>
      <c r="P5" s="102">
        <f>Aktiv!H9</f>
        <v>122</v>
      </c>
      <c r="Q5" s="102">
        <f>Aktiv!I9</f>
        <v>131</v>
      </c>
      <c r="R5" s="102">
        <f>Aktiv!J9</f>
        <v>144</v>
      </c>
      <c r="S5" s="103">
        <f t="shared" si="0"/>
        <v>-0.25</v>
      </c>
      <c r="T5" s="103">
        <f t="shared" si="1"/>
        <v>-0.3405405405405405</v>
      </c>
      <c r="U5" s="103">
        <f t="shared" si="2"/>
        <v>-9.027777777777779E-2</v>
      </c>
      <c r="V5" s="103">
        <f t="shared" si="3"/>
        <v>-0.24210526315789471</v>
      </c>
    </row>
    <row r="6" spans="1:22" x14ac:dyDescent="0.25">
      <c r="A6">
        <v>3004</v>
      </c>
      <c r="B6" t="s">
        <v>90</v>
      </c>
      <c r="C6" t="s">
        <v>91</v>
      </c>
      <c r="D6" t="s">
        <v>102</v>
      </c>
      <c r="E6">
        <v>980</v>
      </c>
      <c r="F6">
        <v>360</v>
      </c>
      <c r="G6" s="101">
        <v>70</v>
      </c>
      <c r="H6" s="101">
        <v>223</v>
      </c>
      <c r="I6" s="101">
        <v>174</v>
      </c>
      <c r="J6" s="101">
        <v>209</v>
      </c>
      <c r="K6" s="101">
        <v>81</v>
      </c>
      <c r="L6" s="101">
        <v>256</v>
      </c>
      <c r="M6" s="101">
        <v>200</v>
      </c>
      <c r="N6" s="101">
        <v>240</v>
      </c>
      <c r="O6" s="102">
        <f>Aktiv!G10</f>
        <v>53</v>
      </c>
      <c r="P6" s="102">
        <f>Aktiv!H10</f>
        <v>147</v>
      </c>
      <c r="Q6" s="102">
        <f>Aktiv!I10</f>
        <v>158</v>
      </c>
      <c r="R6" s="102">
        <f>Aktiv!J10</f>
        <v>159</v>
      </c>
      <c r="S6" s="103">
        <f t="shared" si="0"/>
        <v>-0.24285714285714288</v>
      </c>
      <c r="T6" s="103">
        <f t="shared" si="1"/>
        <v>-0.34080717488789236</v>
      </c>
      <c r="U6" s="103">
        <f t="shared" si="2"/>
        <v>-9.1954022988505746E-2</v>
      </c>
      <c r="V6" s="103">
        <f t="shared" si="3"/>
        <v>-0.23923444976076558</v>
      </c>
    </row>
    <row r="7" spans="1:22" x14ac:dyDescent="0.25">
      <c r="A7">
        <v>3005</v>
      </c>
      <c r="B7" t="s">
        <v>90</v>
      </c>
      <c r="C7" t="s">
        <v>91</v>
      </c>
      <c r="D7" t="s">
        <v>104</v>
      </c>
      <c r="E7">
        <v>360</v>
      </c>
      <c r="F7">
        <v>580</v>
      </c>
      <c r="G7" s="101">
        <v>43</v>
      </c>
      <c r="H7" s="101">
        <v>161</v>
      </c>
      <c r="I7" s="101">
        <v>130</v>
      </c>
      <c r="J7" s="101">
        <v>185</v>
      </c>
      <c r="K7" s="101">
        <v>49</v>
      </c>
      <c r="L7" s="101">
        <v>185</v>
      </c>
      <c r="M7" s="101">
        <v>150</v>
      </c>
      <c r="N7" s="101">
        <v>213</v>
      </c>
      <c r="O7" s="102">
        <f>Aktiv!G11</f>
        <v>32</v>
      </c>
      <c r="P7" s="102">
        <f>Aktiv!H11</f>
        <v>106</v>
      </c>
      <c r="Q7" s="102">
        <f>Aktiv!I11</f>
        <v>118</v>
      </c>
      <c r="R7" s="102">
        <f>Aktiv!J11</f>
        <v>141</v>
      </c>
      <c r="S7" s="103">
        <f t="shared" si="0"/>
        <v>-0.2558139534883721</v>
      </c>
      <c r="T7" s="103">
        <f t="shared" si="1"/>
        <v>-0.34161490683229812</v>
      </c>
      <c r="U7" s="103">
        <f t="shared" si="2"/>
        <v>-9.2307692307692313E-2</v>
      </c>
      <c r="V7" s="103">
        <f t="shared" si="3"/>
        <v>-0.23783783783783785</v>
      </c>
    </row>
    <row r="8" spans="1:22" x14ac:dyDescent="0.25">
      <c r="A8">
        <v>3006</v>
      </c>
      <c r="B8" t="s">
        <v>90</v>
      </c>
      <c r="C8" t="s">
        <v>91</v>
      </c>
      <c r="D8" t="s">
        <v>106</v>
      </c>
      <c r="E8">
        <v>420</v>
      </c>
      <c r="F8">
        <v>580</v>
      </c>
      <c r="G8" s="101">
        <v>49</v>
      </c>
      <c r="H8" s="101">
        <v>181</v>
      </c>
      <c r="I8" s="101">
        <v>147</v>
      </c>
      <c r="J8" s="101">
        <v>186</v>
      </c>
      <c r="K8" s="101">
        <v>56</v>
      </c>
      <c r="L8" s="101">
        <v>208</v>
      </c>
      <c r="M8" s="101">
        <v>169</v>
      </c>
      <c r="N8" s="101">
        <v>214</v>
      </c>
      <c r="O8" s="102">
        <f>Aktiv!G12</f>
        <v>37</v>
      </c>
      <c r="P8" s="102">
        <f>Aktiv!H12</f>
        <v>119</v>
      </c>
      <c r="Q8" s="102">
        <f>Aktiv!I12</f>
        <v>134</v>
      </c>
      <c r="R8" s="102">
        <f>Aktiv!J12</f>
        <v>141</v>
      </c>
      <c r="S8" s="103">
        <f t="shared" si="0"/>
        <v>-0.24489795918367352</v>
      </c>
      <c r="T8" s="103">
        <f t="shared" si="1"/>
        <v>-0.34254143646408841</v>
      </c>
      <c r="U8" s="103">
        <f t="shared" si="2"/>
        <v>-8.8435374149659851E-2</v>
      </c>
      <c r="V8" s="103">
        <f t="shared" si="3"/>
        <v>-0.24193548387096775</v>
      </c>
    </row>
    <row r="9" spans="1:22" x14ac:dyDescent="0.25">
      <c r="A9">
        <v>3007</v>
      </c>
      <c r="B9" t="s">
        <v>90</v>
      </c>
      <c r="C9" t="s">
        <v>91</v>
      </c>
      <c r="D9" t="s">
        <v>109</v>
      </c>
      <c r="E9">
        <v>580</v>
      </c>
      <c r="F9">
        <v>580</v>
      </c>
      <c r="G9" s="101">
        <v>67</v>
      </c>
      <c r="H9" s="101">
        <v>228</v>
      </c>
      <c r="I9" s="101">
        <v>183</v>
      </c>
      <c r="J9" s="101">
        <v>191</v>
      </c>
      <c r="K9" s="101">
        <v>77</v>
      </c>
      <c r="L9" s="101">
        <v>262</v>
      </c>
      <c r="M9" s="101">
        <v>210</v>
      </c>
      <c r="N9" s="101">
        <v>220</v>
      </c>
      <c r="O9" s="102">
        <f>Aktiv!G13</f>
        <v>50</v>
      </c>
      <c r="P9" s="102">
        <f>Aktiv!H13</f>
        <v>150</v>
      </c>
      <c r="Q9" s="102">
        <f>Aktiv!I13</f>
        <v>167</v>
      </c>
      <c r="R9" s="102">
        <f>Aktiv!J13</f>
        <v>145</v>
      </c>
      <c r="S9" s="103">
        <f t="shared" si="0"/>
        <v>-0.25373134328358204</v>
      </c>
      <c r="T9" s="103">
        <f t="shared" si="1"/>
        <v>-0.34210526315789469</v>
      </c>
      <c r="U9" s="103">
        <f t="shared" si="2"/>
        <v>-8.7431693989071024E-2</v>
      </c>
      <c r="V9" s="103">
        <f t="shared" si="3"/>
        <v>-0.24083769633507857</v>
      </c>
    </row>
    <row r="10" spans="1:22" x14ac:dyDescent="0.25">
      <c r="A10">
        <v>3008</v>
      </c>
      <c r="B10" t="s">
        <v>90</v>
      </c>
      <c r="C10" t="s">
        <v>91</v>
      </c>
      <c r="D10" t="s">
        <v>110</v>
      </c>
      <c r="E10">
        <v>780</v>
      </c>
      <c r="F10">
        <v>580</v>
      </c>
      <c r="G10" s="101">
        <v>87</v>
      </c>
      <c r="H10" s="101">
        <v>275</v>
      </c>
      <c r="I10" s="101">
        <v>225</v>
      </c>
      <c r="J10" s="101">
        <v>237</v>
      </c>
      <c r="K10" s="101">
        <v>100</v>
      </c>
      <c r="L10" s="101">
        <v>316</v>
      </c>
      <c r="M10" s="101">
        <v>259</v>
      </c>
      <c r="N10" s="101">
        <v>273</v>
      </c>
      <c r="O10" s="102">
        <f>Aktiv!G14</f>
        <v>65</v>
      </c>
      <c r="P10" s="102">
        <f>Aktiv!H14</f>
        <v>182</v>
      </c>
      <c r="Q10" s="102">
        <f>Aktiv!I14</f>
        <v>205</v>
      </c>
      <c r="R10" s="102">
        <f>Aktiv!J14</f>
        <v>180</v>
      </c>
      <c r="S10" s="103">
        <f t="shared" si="0"/>
        <v>-0.25287356321839083</v>
      </c>
      <c r="T10" s="103">
        <f t="shared" si="1"/>
        <v>-0.33818181818181814</v>
      </c>
      <c r="U10" s="103">
        <f t="shared" si="2"/>
        <v>-8.8888888888888906E-2</v>
      </c>
      <c r="V10" s="103">
        <f t="shared" si="3"/>
        <v>-0.240506329113924</v>
      </c>
    </row>
    <row r="11" spans="1:22" x14ac:dyDescent="0.25">
      <c r="A11">
        <v>3009</v>
      </c>
      <c r="B11" t="s">
        <v>90</v>
      </c>
      <c r="C11" t="s">
        <v>91</v>
      </c>
      <c r="D11" t="s">
        <v>111</v>
      </c>
      <c r="E11">
        <v>980</v>
      </c>
      <c r="F11">
        <v>580</v>
      </c>
      <c r="G11" s="101">
        <v>110</v>
      </c>
      <c r="H11" s="101">
        <v>355</v>
      </c>
      <c r="I11" s="101">
        <v>286</v>
      </c>
      <c r="J11" s="101">
        <v>276</v>
      </c>
      <c r="K11" s="101">
        <v>127</v>
      </c>
      <c r="L11" s="101">
        <v>408</v>
      </c>
      <c r="M11" s="101">
        <v>329</v>
      </c>
      <c r="N11" s="101">
        <v>317</v>
      </c>
      <c r="O11" s="102">
        <f>Aktiv!G15</f>
        <v>83</v>
      </c>
      <c r="P11" s="102">
        <f>Aktiv!H15</f>
        <v>234</v>
      </c>
      <c r="Q11" s="102">
        <f>Aktiv!I15</f>
        <v>260</v>
      </c>
      <c r="R11" s="102">
        <f>Aktiv!J15</f>
        <v>210</v>
      </c>
      <c r="S11" s="103">
        <f t="shared" si="0"/>
        <v>-0.24545454545454548</v>
      </c>
      <c r="T11" s="103">
        <f t="shared" si="1"/>
        <v>-0.3408450704225352</v>
      </c>
      <c r="U11" s="103">
        <f t="shared" si="2"/>
        <v>-9.0909090909090939E-2</v>
      </c>
      <c r="V11" s="103">
        <f t="shared" si="3"/>
        <v>-0.23913043478260865</v>
      </c>
    </row>
    <row r="12" spans="1:22" x14ac:dyDescent="0.25">
      <c r="A12">
        <v>3010</v>
      </c>
      <c r="B12" t="s">
        <v>90</v>
      </c>
      <c r="C12" t="s">
        <v>91</v>
      </c>
      <c r="D12" t="s">
        <v>112</v>
      </c>
      <c r="E12">
        <v>780</v>
      </c>
      <c r="F12">
        <v>780</v>
      </c>
      <c r="G12" s="101">
        <v>113</v>
      </c>
      <c r="H12" s="101">
        <v>302</v>
      </c>
      <c r="I12" s="101">
        <v>272</v>
      </c>
      <c r="J12" s="101">
        <v>295</v>
      </c>
      <c r="K12" s="101">
        <v>130</v>
      </c>
      <c r="L12" s="101">
        <v>347</v>
      </c>
      <c r="M12" s="101">
        <v>313</v>
      </c>
      <c r="N12" s="101">
        <v>339</v>
      </c>
      <c r="O12" s="102">
        <f>Aktiv!G16</f>
        <v>85</v>
      </c>
      <c r="P12" s="102">
        <f>Aktiv!H16</f>
        <v>199</v>
      </c>
      <c r="Q12" s="102">
        <f>Aktiv!I16</f>
        <v>248</v>
      </c>
      <c r="R12" s="102">
        <f>Aktiv!J16</f>
        <v>224</v>
      </c>
      <c r="S12" s="103">
        <f t="shared" si="0"/>
        <v>-0.24778761061946908</v>
      </c>
      <c r="T12" s="103">
        <f t="shared" si="1"/>
        <v>-0.34105960264900659</v>
      </c>
      <c r="U12" s="103">
        <f t="shared" si="2"/>
        <v>-8.8235294117647078E-2</v>
      </c>
      <c r="V12" s="103">
        <f t="shared" si="3"/>
        <v>-0.2406779661016949</v>
      </c>
    </row>
    <row r="13" spans="1:22" x14ac:dyDescent="0.25">
      <c r="A13">
        <v>3011</v>
      </c>
      <c r="B13" t="s">
        <v>90</v>
      </c>
      <c r="C13" t="s">
        <v>91</v>
      </c>
      <c r="D13" t="s">
        <v>113</v>
      </c>
      <c r="E13">
        <v>980</v>
      </c>
      <c r="F13">
        <v>780</v>
      </c>
      <c r="G13" s="101">
        <v>139</v>
      </c>
      <c r="H13" s="101">
        <v>416</v>
      </c>
      <c r="I13" s="101">
        <v>216</v>
      </c>
      <c r="J13" s="101">
        <v>406</v>
      </c>
      <c r="K13" s="101">
        <v>160</v>
      </c>
      <c r="L13" s="101">
        <v>478</v>
      </c>
      <c r="M13" s="101">
        <v>248</v>
      </c>
      <c r="N13" s="101">
        <v>467</v>
      </c>
      <c r="O13" s="102">
        <f>Aktiv!G17</f>
        <v>104</v>
      </c>
      <c r="P13" s="102">
        <f>Aktiv!H17</f>
        <v>275</v>
      </c>
      <c r="Q13" s="102">
        <f>Aktiv!I17</f>
        <v>197</v>
      </c>
      <c r="R13" s="102">
        <f>Aktiv!J17</f>
        <v>309</v>
      </c>
      <c r="S13" s="103">
        <f t="shared" si="0"/>
        <v>-0.25179856115107913</v>
      </c>
      <c r="T13" s="103">
        <f t="shared" si="1"/>
        <v>-0.33894230769230771</v>
      </c>
      <c r="U13" s="103">
        <f t="shared" si="2"/>
        <v>-8.796296296296291E-2</v>
      </c>
      <c r="V13" s="103">
        <f t="shared" si="3"/>
        <v>-0.23891625615763545</v>
      </c>
    </row>
    <row r="14" spans="1:22" x14ac:dyDescent="0.25">
      <c r="A14">
        <v>3012</v>
      </c>
      <c r="B14" t="s">
        <v>90</v>
      </c>
      <c r="C14" t="s">
        <v>91</v>
      </c>
      <c r="D14" t="s">
        <v>114</v>
      </c>
      <c r="E14">
        <v>980</v>
      </c>
      <c r="F14">
        <v>980</v>
      </c>
      <c r="G14" s="101">
        <v>180</v>
      </c>
      <c r="H14" s="101">
        <v>496</v>
      </c>
      <c r="I14" s="101">
        <v>257</v>
      </c>
      <c r="J14" s="101">
        <v>483</v>
      </c>
      <c r="K14" s="101">
        <v>207</v>
      </c>
      <c r="L14" s="101">
        <v>570</v>
      </c>
      <c r="M14" s="101">
        <v>296</v>
      </c>
      <c r="N14" s="101">
        <v>555</v>
      </c>
      <c r="O14" s="102">
        <f>Aktiv!G18</f>
        <v>135</v>
      </c>
      <c r="P14" s="102">
        <f>Aktiv!H18</f>
        <v>327</v>
      </c>
      <c r="Q14" s="102">
        <f>Aktiv!I18</f>
        <v>234</v>
      </c>
      <c r="R14" s="102">
        <f>Aktiv!J18</f>
        <v>367</v>
      </c>
      <c r="S14" s="103">
        <f t="shared" si="0"/>
        <v>-0.25</v>
      </c>
      <c r="T14" s="103">
        <f t="shared" si="1"/>
        <v>-0.34072580645161288</v>
      </c>
      <c r="U14" s="103">
        <f t="shared" si="2"/>
        <v>-8.9494163424124529E-2</v>
      </c>
      <c r="V14" s="103">
        <f t="shared" si="3"/>
        <v>-0.24016563146997927</v>
      </c>
    </row>
    <row r="15" spans="1:22" x14ac:dyDescent="0.25">
      <c r="A15">
        <v>3013</v>
      </c>
      <c r="B15" t="s">
        <v>90</v>
      </c>
      <c r="C15" t="s">
        <v>91</v>
      </c>
      <c r="D15" t="s">
        <v>115</v>
      </c>
      <c r="E15">
        <v>420</v>
      </c>
      <c r="F15">
        <v>780</v>
      </c>
      <c r="G15" s="101">
        <v>71</v>
      </c>
      <c r="H15" s="101">
        <v>219</v>
      </c>
      <c r="I15" s="101">
        <v>113</v>
      </c>
      <c r="J15" s="101">
        <v>213</v>
      </c>
      <c r="K15" s="101">
        <v>82</v>
      </c>
      <c r="L15" s="101">
        <v>252</v>
      </c>
      <c r="M15" s="101">
        <v>130</v>
      </c>
      <c r="N15" s="101">
        <v>245</v>
      </c>
      <c r="O15" s="102">
        <f>Aktiv!G19</f>
        <v>53</v>
      </c>
      <c r="P15" s="102">
        <f>Aktiv!H19</f>
        <v>145</v>
      </c>
      <c r="Q15" s="102">
        <f>Aktiv!I19</f>
        <v>103</v>
      </c>
      <c r="R15" s="102">
        <f>Aktiv!J19</f>
        <v>162</v>
      </c>
      <c r="S15" s="103">
        <f t="shared" si="0"/>
        <v>-0.25352112676056338</v>
      </c>
      <c r="T15" s="103">
        <f t="shared" si="1"/>
        <v>-0.33789954337899542</v>
      </c>
      <c r="U15" s="103">
        <f t="shared" si="2"/>
        <v>-8.8495575221238965E-2</v>
      </c>
      <c r="V15" s="103">
        <f t="shared" si="3"/>
        <v>-0.23943661971830987</v>
      </c>
    </row>
    <row r="16" spans="1:22" x14ac:dyDescent="0.25">
      <c r="A16">
        <v>3014</v>
      </c>
      <c r="B16" t="s">
        <v>90</v>
      </c>
      <c r="C16" t="s">
        <v>91</v>
      </c>
      <c r="D16" t="s">
        <v>116</v>
      </c>
      <c r="E16">
        <v>420</v>
      </c>
      <c r="F16">
        <v>980</v>
      </c>
      <c r="G16" s="101">
        <v>88</v>
      </c>
      <c r="H16" s="101">
        <v>247</v>
      </c>
      <c r="I16" s="101">
        <v>128</v>
      </c>
      <c r="J16" s="101">
        <v>241</v>
      </c>
      <c r="K16" s="101">
        <v>101</v>
      </c>
      <c r="L16" s="101">
        <v>284</v>
      </c>
      <c r="M16" s="101">
        <v>147</v>
      </c>
      <c r="N16" s="101">
        <v>277</v>
      </c>
      <c r="O16" s="102">
        <f>Aktiv!G20</f>
        <v>66</v>
      </c>
      <c r="P16" s="102">
        <f>Aktiv!H20</f>
        <v>163</v>
      </c>
      <c r="Q16" s="102">
        <f>Aktiv!I20</f>
        <v>116</v>
      </c>
      <c r="R16" s="102">
        <f>Aktiv!J20</f>
        <v>183</v>
      </c>
      <c r="S16" s="103">
        <f t="shared" si="0"/>
        <v>-0.25</v>
      </c>
      <c r="T16" s="103">
        <f t="shared" si="1"/>
        <v>-0.34008097165991902</v>
      </c>
      <c r="U16" s="103">
        <f t="shared" si="2"/>
        <v>-9.375E-2</v>
      </c>
      <c r="V16" s="103">
        <f t="shared" si="3"/>
        <v>-0.24066390041493779</v>
      </c>
    </row>
    <row r="17" spans="1:22" x14ac:dyDescent="0.25">
      <c r="A17" t="s">
        <v>117</v>
      </c>
      <c r="B17" t="s">
        <v>90</v>
      </c>
      <c r="C17" t="s">
        <v>91</v>
      </c>
      <c r="D17" t="s">
        <v>118</v>
      </c>
      <c r="E17">
        <v>420</v>
      </c>
      <c r="F17">
        <v>420</v>
      </c>
      <c r="G17" s="101">
        <v>56</v>
      </c>
      <c r="H17" s="101">
        <v>134</v>
      </c>
      <c r="I17" s="101">
        <v>69</v>
      </c>
      <c r="J17" s="101">
        <v>130</v>
      </c>
      <c r="K17" s="101">
        <v>64</v>
      </c>
      <c r="L17" s="101">
        <v>154</v>
      </c>
      <c r="M17" s="101">
        <v>79</v>
      </c>
      <c r="N17" s="101">
        <v>150</v>
      </c>
      <c r="O17" s="102">
        <f>Aktiv!G21</f>
        <v>42</v>
      </c>
      <c r="P17" s="102">
        <f>Aktiv!H21</f>
        <v>88</v>
      </c>
      <c r="Q17" s="102">
        <f>Aktiv!I21</f>
        <v>63</v>
      </c>
      <c r="R17" s="102">
        <f>Aktiv!J21</f>
        <v>99</v>
      </c>
      <c r="S17" s="103">
        <f t="shared" si="0"/>
        <v>-0.25</v>
      </c>
      <c r="T17" s="103">
        <f t="shared" si="1"/>
        <v>-0.34328358208955223</v>
      </c>
      <c r="U17" s="103">
        <f t="shared" si="2"/>
        <v>-8.6956521739130488E-2</v>
      </c>
      <c r="V17" s="103">
        <f t="shared" si="3"/>
        <v>-0.2384615384615385</v>
      </c>
    </row>
    <row r="18" spans="1:22" x14ac:dyDescent="0.25">
      <c r="A18">
        <v>3100</v>
      </c>
      <c r="B18" t="s">
        <v>90</v>
      </c>
      <c r="C18" t="s">
        <v>119</v>
      </c>
      <c r="D18" t="s">
        <v>120</v>
      </c>
      <c r="E18">
        <v>360</v>
      </c>
      <c r="F18">
        <v>180</v>
      </c>
      <c r="G18" s="101">
        <v>34</v>
      </c>
      <c r="H18" s="101">
        <v>114</v>
      </c>
      <c r="I18" s="101">
        <v>89</v>
      </c>
      <c r="J18" s="101">
        <v>201</v>
      </c>
      <c r="K18" s="101">
        <v>39</v>
      </c>
      <c r="L18" s="101">
        <v>131</v>
      </c>
      <c r="M18" s="101">
        <v>102</v>
      </c>
      <c r="N18" s="101">
        <v>231</v>
      </c>
      <c r="O18" s="102">
        <f>Aktiv!G23</f>
        <v>26</v>
      </c>
      <c r="P18" s="102">
        <f>Aktiv!H23</f>
        <v>79</v>
      </c>
      <c r="Q18" s="102">
        <f>Aktiv!I23</f>
        <v>88</v>
      </c>
      <c r="R18" s="102">
        <f>Aktiv!J23</f>
        <v>161</v>
      </c>
      <c r="S18" s="103">
        <f t="shared" si="0"/>
        <v>-0.23529411764705888</v>
      </c>
      <c r="T18" s="103">
        <f t="shared" si="1"/>
        <v>-0.30701754385964908</v>
      </c>
      <c r="U18" s="103">
        <f t="shared" si="2"/>
        <v>-1.1235955056179803E-2</v>
      </c>
      <c r="V18" s="103">
        <f t="shared" si="3"/>
        <v>-0.19900497512437809</v>
      </c>
    </row>
    <row r="19" spans="1:22" x14ac:dyDescent="0.25">
      <c r="A19">
        <v>3101</v>
      </c>
      <c r="B19" t="s">
        <v>90</v>
      </c>
      <c r="C19" t="s">
        <v>119</v>
      </c>
      <c r="D19" t="s">
        <v>121</v>
      </c>
      <c r="E19">
        <v>360</v>
      </c>
      <c r="F19">
        <v>360</v>
      </c>
      <c r="G19" s="101">
        <v>34</v>
      </c>
      <c r="H19" s="101">
        <v>114</v>
      </c>
      <c r="I19" s="101">
        <v>89</v>
      </c>
      <c r="J19" s="101">
        <v>177</v>
      </c>
      <c r="K19" s="101">
        <v>39</v>
      </c>
      <c r="L19" s="101">
        <v>131</v>
      </c>
      <c r="M19" s="101">
        <v>102</v>
      </c>
      <c r="N19" s="101">
        <v>204</v>
      </c>
      <c r="O19" s="102">
        <f>Aktiv!G24</f>
        <v>26</v>
      </c>
      <c r="P19" s="102">
        <f>Aktiv!H24</f>
        <v>79</v>
      </c>
      <c r="Q19" s="102">
        <f>Aktiv!I24</f>
        <v>88</v>
      </c>
      <c r="R19" s="102">
        <f>Aktiv!J24</f>
        <v>142</v>
      </c>
      <c r="S19" s="103">
        <f t="shared" si="0"/>
        <v>-0.23529411764705888</v>
      </c>
      <c r="T19" s="103">
        <f t="shared" si="1"/>
        <v>-0.30701754385964908</v>
      </c>
      <c r="U19" s="103">
        <f t="shared" si="2"/>
        <v>-1.1235955056179803E-2</v>
      </c>
      <c r="V19" s="103">
        <f t="shared" si="3"/>
        <v>-0.19774011299435024</v>
      </c>
    </row>
    <row r="20" spans="1:22" x14ac:dyDescent="0.25">
      <c r="A20">
        <v>3102</v>
      </c>
      <c r="B20" t="s">
        <v>90</v>
      </c>
      <c r="C20" t="s">
        <v>119</v>
      </c>
      <c r="D20" t="s">
        <v>122</v>
      </c>
      <c r="E20">
        <v>360</v>
      </c>
      <c r="F20">
        <v>720</v>
      </c>
      <c r="G20" s="101">
        <v>52</v>
      </c>
      <c r="H20" s="101">
        <v>181</v>
      </c>
      <c r="I20" s="101">
        <v>143</v>
      </c>
      <c r="J20" s="101">
        <v>212</v>
      </c>
      <c r="K20" s="101">
        <v>60</v>
      </c>
      <c r="L20" s="101">
        <v>208</v>
      </c>
      <c r="M20" s="101">
        <v>164</v>
      </c>
      <c r="N20" s="101">
        <v>244</v>
      </c>
      <c r="O20" s="102">
        <f>Aktiv!G25</f>
        <v>39</v>
      </c>
      <c r="P20" s="102">
        <f>Aktiv!H25</f>
        <v>125</v>
      </c>
      <c r="Q20" s="102">
        <f>Aktiv!I25</f>
        <v>142</v>
      </c>
      <c r="R20" s="102">
        <f>Aktiv!J25</f>
        <v>170</v>
      </c>
      <c r="S20" s="103">
        <f t="shared" si="0"/>
        <v>-0.25</v>
      </c>
      <c r="T20" s="103">
        <f t="shared" si="1"/>
        <v>-0.30939226519337015</v>
      </c>
      <c r="U20" s="103">
        <f t="shared" si="2"/>
        <v>-6.9930069930069783E-3</v>
      </c>
      <c r="V20" s="103">
        <f t="shared" si="3"/>
        <v>-0.19811320754716977</v>
      </c>
    </row>
    <row r="21" spans="1:22" x14ac:dyDescent="0.25">
      <c r="A21">
        <v>3103</v>
      </c>
      <c r="B21" t="s">
        <v>90</v>
      </c>
      <c r="C21" t="s">
        <v>119</v>
      </c>
      <c r="D21" t="s">
        <v>123</v>
      </c>
      <c r="E21">
        <v>360</v>
      </c>
      <c r="F21">
        <v>1080</v>
      </c>
      <c r="G21" s="101">
        <v>76</v>
      </c>
      <c r="H21" s="101">
        <v>267</v>
      </c>
      <c r="I21" s="101">
        <v>222</v>
      </c>
      <c r="J21" s="101">
        <v>240</v>
      </c>
      <c r="K21" s="101">
        <v>87</v>
      </c>
      <c r="L21" s="101">
        <v>307</v>
      </c>
      <c r="M21" s="101">
        <v>255</v>
      </c>
      <c r="N21" s="101">
        <v>276</v>
      </c>
      <c r="O21" s="102">
        <f>Aktiv!G26</f>
        <v>57</v>
      </c>
      <c r="P21" s="102">
        <f>Aktiv!H26</f>
        <v>184</v>
      </c>
      <c r="Q21" s="102">
        <f>Aktiv!I26</f>
        <v>220</v>
      </c>
      <c r="R21" s="102">
        <f>Aktiv!J26</f>
        <v>192</v>
      </c>
      <c r="S21" s="103">
        <f t="shared" si="0"/>
        <v>-0.25</v>
      </c>
      <c r="T21" s="103">
        <f t="shared" si="1"/>
        <v>-0.31086142322097376</v>
      </c>
      <c r="U21" s="103">
        <f t="shared" si="2"/>
        <v>-9.009009009009028E-3</v>
      </c>
      <c r="V21" s="103">
        <f t="shared" si="3"/>
        <v>-0.19999999999999996</v>
      </c>
    </row>
    <row r="22" spans="1:22" x14ac:dyDescent="0.25">
      <c r="A22">
        <v>3104</v>
      </c>
      <c r="B22" t="s">
        <v>90</v>
      </c>
      <c r="C22" t="s">
        <v>119</v>
      </c>
      <c r="D22" t="s">
        <v>124</v>
      </c>
      <c r="E22">
        <v>360</v>
      </c>
      <c r="F22">
        <v>1440</v>
      </c>
      <c r="G22" s="101">
        <v>100</v>
      </c>
      <c r="H22" s="101">
        <v>336</v>
      </c>
      <c r="I22" s="101">
        <v>281</v>
      </c>
      <c r="J22" s="101">
        <v>529</v>
      </c>
      <c r="K22" s="101">
        <v>115</v>
      </c>
      <c r="L22" s="101">
        <v>386</v>
      </c>
      <c r="M22" s="101">
        <v>323</v>
      </c>
      <c r="N22" s="101">
        <v>608</v>
      </c>
      <c r="O22" s="102">
        <f>Aktiv!G27</f>
        <v>75</v>
      </c>
      <c r="P22" s="102">
        <f>Aktiv!H27</f>
        <v>232</v>
      </c>
      <c r="Q22" s="102">
        <f>Aktiv!I27</f>
        <v>278</v>
      </c>
      <c r="R22" s="102">
        <f>Aktiv!J27</f>
        <v>423</v>
      </c>
      <c r="S22" s="103">
        <f t="shared" si="0"/>
        <v>-0.25</v>
      </c>
      <c r="T22" s="103">
        <f t="shared" si="1"/>
        <v>-0.30952380952380953</v>
      </c>
      <c r="U22" s="103">
        <f t="shared" si="2"/>
        <v>-1.0676156583629859E-2</v>
      </c>
      <c r="V22" s="103">
        <f t="shared" si="3"/>
        <v>-0.20037807183364842</v>
      </c>
    </row>
    <row r="23" spans="1:22" x14ac:dyDescent="0.25">
      <c r="A23">
        <v>3105</v>
      </c>
      <c r="B23" t="s">
        <v>90</v>
      </c>
      <c r="C23" t="s">
        <v>119</v>
      </c>
      <c r="D23" t="s">
        <v>125</v>
      </c>
      <c r="E23">
        <v>360</v>
      </c>
      <c r="F23">
        <v>1800</v>
      </c>
      <c r="G23" s="101">
        <v>125</v>
      </c>
      <c r="H23" s="101">
        <v>246</v>
      </c>
      <c r="I23" s="101">
        <v>343</v>
      </c>
      <c r="J23" s="101">
        <v>645</v>
      </c>
      <c r="K23" s="101">
        <v>144</v>
      </c>
      <c r="L23" s="101">
        <v>283</v>
      </c>
      <c r="M23" s="101">
        <v>394</v>
      </c>
      <c r="N23" s="101">
        <v>742</v>
      </c>
      <c r="O23" s="102">
        <f>Aktiv!G28</f>
        <v>94</v>
      </c>
      <c r="P23" s="102">
        <f>Aktiv!H28</f>
        <v>170</v>
      </c>
      <c r="Q23" s="102">
        <f>Aktiv!I28</f>
        <v>340</v>
      </c>
      <c r="R23" s="102">
        <f>Aktiv!J28</f>
        <v>516</v>
      </c>
      <c r="S23" s="103">
        <f t="shared" si="0"/>
        <v>-0.248</v>
      </c>
      <c r="T23" s="103">
        <f t="shared" si="1"/>
        <v>-0.30894308943089432</v>
      </c>
      <c r="U23" s="103">
        <f t="shared" si="2"/>
        <v>-8.7463556851311575E-3</v>
      </c>
      <c r="V23" s="103">
        <f t="shared" si="3"/>
        <v>-0.19999999999999996</v>
      </c>
    </row>
    <row r="24" spans="1:22" x14ac:dyDescent="0.25">
      <c r="A24">
        <v>3106</v>
      </c>
      <c r="B24" t="s">
        <v>90</v>
      </c>
      <c r="C24" t="s">
        <v>119</v>
      </c>
      <c r="D24" t="s">
        <v>126</v>
      </c>
      <c r="E24">
        <v>580</v>
      </c>
      <c r="F24">
        <v>180</v>
      </c>
      <c r="G24" s="101">
        <v>43</v>
      </c>
      <c r="H24" s="101">
        <v>161</v>
      </c>
      <c r="I24" s="101">
        <v>130</v>
      </c>
      <c r="J24" s="101">
        <v>208</v>
      </c>
      <c r="K24" s="101">
        <v>49</v>
      </c>
      <c r="L24" s="101">
        <v>185</v>
      </c>
      <c r="M24" s="101">
        <v>150</v>
      </c>
      <c r="N24" s="101">
        <v>239</v>
      </c>
      <c r="O24" s="102">
        <f>Aktiv!G29</f>
        <v>32</v>
      </c>
      <c r="P24" s="102">
        <f>Aktiv!H29</f>
        <v>111</v>
      </c>
      <c r="Q24" s="102">
        <f>Aktiv!I29</f>
        <v>129</v>
      </c>
      <c r="R24" s="102">
        <f>Aktiv!J29</f>
        <v>166</v>
      </c>
      <c r="S24" s="103">
        <f t="shared" si="0"/>
        <v>-0.2558139534883721</v>
      </c>
      <c r="T24" s="103">
        <f t="shared" si="1"/>
        <v>-0.31055900621118016</v>
      </c>
      <c r="U24" s="103">
        <f t="shared" si="2"/>
        <v>-7.692307692307665E-3</v>
      </c>
      <c r="V24" s="103">
        <f t="shared" si="3"/>
        <v>-0.20192307692307687</v>
      </c>
    </row>
    <row r="25" spans="1:22" x14ac:dyDescent="0.25">
      <c r="A25">
        <v>3107</v>
      </c>
      <c r="B25" t="s">
        <v>90</v>
      </c>
      <c r="C25" t="s">
        <v>119</v>
      </c>
      <c r="D25" t="s">
        <v>127</v>
      </c>
      <c r="E25">
        <v>580</v>
      </c>
      <c r="F25">
        <v>360</v>
      </c>
      <c r="G25" s="101">
        <v>43</v>
      </c>
      <c r="H25" s="101">
        <v>161</v>
      </c>
      <c r="I25" s="101">
        <v>130</v>
      </c>
      <c r="J25" s="101">
        <v>185</v>
      </c>
      <c r="K25" s="101">
        <v>49</v>
      </c>
      <c r="L25" s="101">
        <v>185</v>
      </c>
      <c r="M25" s="101">
        <v>150</v>
      </c>
      <c r="N25" s="101">
        <v>213</v>
      </c>
      <c r="O25" s="102">
        <f>Aktiv!G30</f>
        <v>32</v>
      </c>
      <c r="P25" s="102">
        <f>Aktiv!H30</f>
        <v>111</v>
      </c>
      <c r="Q25" s="102">
        <f>Aktiv!I30</f>
        <v>129</v>
      </c>
      <c r="R25" s="102">
        <f>Aktiv!J30</f>
        <v>148</v>
      </c>
      <c r="S25" s="103">
        <f t="shared" si="0"/>
        <v>-0.2558139534883721</v>
      </c>
      <c r="T25" s="103">
        <f t="shared" si="1"/>
        <v>-0.31055900621118016</v>
      </c>
      <c r="U25" s="103">
        <f t="shared" si="2"/>
        <v>-7.692307692307665E-3</v>
      </c>
      <c r="V25" s="103">
        <f t="shared" si="3"/>
        <v>-0.19999999999999996</v>
      </c>
    </row>
    <row r="26" spans="1:22" x14ac:dyDescent="0.25">
      <c r="A26">
        <v>3108</v>
      </c>
      <c r="B26" t="s">
        <v>90</v>
      </c>
      <c r="C26" t="s">
        <v>119</v>
      </c>
      <c r="D26" t="s">
        <v>128</v>
      </c>
      <c r="E26">
        <v>580</v>
      </c>
      <c r="F26">
        <v>720</v>
      </c>
      <c r="G26" s="101">
        <v>82</v>
      </c>
      <c r="H26" s="101">
        <v>262</v>
      </c>
      <c r="I26" s="101">
        <v>216</v>
      </c>
      <c r="J26" s="101">
        <v>245</v>
      </c>
      <c r="K26" s="101">
        <v>94</v>
      </c>
      <c r="L26" s="101">
        <v>301</v>
      </c>
      <c r="M26" s="101">
        <v>248</v>
      </c>
      <c r="N26" s="101">
        <v>282</v>
      </c>
      <c r="O26" s="102">
        <f>Aktiv!G31</f>
        <v>62</v>
      </c>
      <c r="P26" s="102">
        <f>Aktiv!H31</f>
        <v>181</v>
      </c>
      <c r="Q26" s="102">
        <f>Aktiv!I31</f>
        <v>214</v>
      </c>
      <c r="R26" s="102">
        <f>Aktiv!J31</f>
        <v>196</v>
      </c>
      <c r="S26" s="103">
        <f t="shared" si="0"/>
        <v>-0.24390243902439024</v>
      </c>
      <c r="T26" s="103">
        <f t="shared" si="1"/>
        <v>-0.30916030534351147</v>
      </c>
      <c r="U26" s="103">
        <f t="shared" si="2"/>
        <v>-9.2592592592593004E-3</v>
      </c>
      <c r="V26" s="103">
        <f t="shared" si="3"/>
        <v>-0.19999999999999996</v>
      </c>
    </row>
    <row r="27" spans="1:22" x14ac:dyDescent="0.25">
      <c r="A27">
        <v>3109</v>
      </c>
      <c r="B27" t="s">
        <v>90</v>
      </c>
      <c r="C27" t="s">
        <v>119</v>
      </c>
      <c r="D27" t="s">
        <v>129</v>
      </c>
      <c r="E27">
        <v>580</v>
      </c>
      <c r="F27">
        <v>1080</v>
      </c>
      <c r="G27" s="101">
        <v>119</v>
      </c>
      <c r="H27" s="101">
        <v>377</v>
      </c>
      <c r="I27" s="101">
        <v>300</v>
      </c>
      <c r="J27" s="101">
        <v>307</v>
      </c>
      <c r="K27" s="101">
        <v>137</v>
      </c>
      <c r="L27" s="101">
        <v>434</v>
      </c>
      <c r="M27" s="101">
        <v>345</v>
      </c>
      <c r="N27" s="101">
        <v>353</v>
      </c>
      <c r="O27" s="102">
        <f>Aktiv!G32</f>
        <v>89</v>
      </c>
      <c r="P27" s="102">
        <f>Aktiv!H32</f>
        <v>260</v>
      </c>
      <c r="Q27" s="102">
        <f>Aktiv!I32</f>
        <v>297</v>
      </c>
      <c r="R27" s="102">
        <f>Aktiv!J32</f>
        <v>246</v>
      </c>
      <c r="S27" s="103">
        <f t="shared" si="0"/>
        <v>-0.25210084033613445</v>
      </c>
      <c r="T27" s="103">
        <f t="shared" si="1"/>
        <v>-0.31034482758620685</v>
      </c>
      <c r="U27" s="103">
        <f t="shared" si="2"/>
        <v>-1.0000000000000009E-2</v>
      </c>
      <c r="V27" s="103">
        <f t="shared" si="3"/>
        <v>-0.19869706840390877</v>
      </c>
    </row>
    <row r="28" spans="1:22" x14ac:dyDescent="0.25">
      <c r="A28">
        <v>3110</v>
      </c>
      <c r="B28" t="s">
        <v>90</v>
      </c>
      <c r="C28" t="s">
        <v>119</v>
      </c>
      <c r="D28" t="s">
        <v>130</v>
      </c>
      <c r="E28">
        <v>580</v>
      </c>
      <c r="F28">
        <v>1440</v>
      </c>
      <c r="G28" s="101">
        <v>158</v>
      </c>
      <c r="H28" s="101">
        <v>484</v>
      </c>
      <c r="I28" s="101">
        <v>400</v>
      </c>
      <c r="J28" s="101">
        <v>752</v>
      </c>
      <c r="K28" s="101">
        <v>182</v>
      </c>
      <c r="L28" s="101">
        <v>557</v>
      </c>
      <c r="M28" s="101">
        <v>460</v>
      </c>
      <c r="N28" s="101">
        <v>865</v>
      </c>
      <c r="O28" s="102">
        <f>Aktiv!G33</f>
        <v>119</v>
      </c>
      <c r="P28" s="102">
        <f>Aktiv!H33</f>
        <v>334</v>
      </c>
      <c r="Q28" s="102">
        <f>Aktiv!I33</f>
        <v>396</v>
      </c>
      <c r="R28" s="102">
        <f>Aktiv!J33</f>
        <v>602</v>
      </c>
      <c r="S28" s="103">
        <f t="shared" si="0"/>
        <v>-0.24683544303797467</v>
      </c>
      <c r="T28" s="103">
        <f t="shared" si="1"/>
        <v>-0.30991735537190079</v>
      </c>
      <c r="U28" s="103">
        <f t="shared" si="2"/>
        <v>-1.0000000000000009E-2</v>
      </c>
      <c r="V28" s="103">
        <f t="shared" si="3"/>
        <v>-0.19946808510638303</v>
      </c>
    </row>
    <row r="29" spans="1:22" x14ac:dyDescent="0.25">
      <c r="A29">
        <v>3111</v>
      </c>
      <c r="B29" t="s">
        <v>90</v>
      </c>
      <c r="C29" t="s">
        <v>119</v>
      </c>
      <c r="D29" t="s">
        <v>131</v>
      </c>
      <c r="E29">
        <v>580</v>
      </c>
      <c r="F29">
        <v>1800</v>
      </c>
      <c r="G29" s="101">
        <v>197</v>
      </c>
      <c r="H29" s="101">
        <v>388</v>
      </c>
      <c r="I29" s="101">
        <v>467</v>
      </c>
      <c r="J29" s="101">
        <v>879</v>
      </c>
      <c r="K29" s="101">
        <v>227</v>
      </c>
      <c r="L29" s="101">
        <v>446</v>
      </c>
      <c r="M29" s="101">
        <v>537</v>
      </c>
      <c r="N29" s="101">
        <v>1011</v>
      </c>
      <c r="O29" s="102">
        <f>Aktiv!G34</f>
        <v>148</v>
      </c>
      <c r="P29" s="102">
        <f>Aktiv!H34</f>
        <v>268</v>
      </c>
      <c r="Q29" s="102">
        <f>Aktiv!I34</f>
        <v>462</v>
      </c>
      <c r="R29" s="102">
        <f>Aktiv!J34</f>
        <v>703</v>
      </c>
      <c r="S29" s="103">
        <f t="shared" si="0"/>
        <v>-0.24873096446700504</v>
      </c>
      <c r="T29" s="103">
        <f t="shared" si="1"/>
        <v>-0.30927835051546393</v>
      </c>
      <c r="U29" s="103">
        <f t="shared" si="2"/>
        <v>-1.0706638115631661E-2</v>
      </c>
      <c r="V29" s="103">
        <f t="shared" si="3"/>
        <v>-0.20022753128555182</v>
      </c>
    </row>
    <row r="30" spans="1:22" x14ac:dyDescent="0.25">
      <c r="A30">
        <v>3112</v>
      </c>
      <c r="B30" t="s">
        <v>90</v>
      </c>
      <c r="C30" t="s">
        <v>119</v>
      </c>
      <c r="D30" t="s">
        <v>132</v>
      </c>
      <c r="E30">
        <v>180</v>
      </c>
      <c r="F30">
        <v>780</v>
      </c>
      <c r="G30" s="101">
        <v>56</v>
      </c>
      <c r="H30" s="101">
        <v>185</v>
      </c>
      <c r="I30" s="101">
        <v>144</v>
      </c>
      <c r="J30" s="101">
        <v>212</v>
      </c>
      <c r="K30" s="101">
        <v>64</v>
      </c>
      <c r="L30" s="101">
        <v>213</v>
      </c>
      <c r="M30" s="101">
        <v>166</v>
      </c>
      <c r="N30" s="101">
        <v>244</v>
      </c>
      <c r="O30" s="102">
        <f>Aktiv!G35</f>
        <v>42</v>
      </c>
      <c r="P30" s="102">
        <f>Aktiv!H35</f>
        <v>128</v>
      </c>
      <c r="Q30" s="102">
        <f>Aktiv!I35</f>
        <v>143</v>
      </c>
      <c r="R30" s="102">
        <f>Aktiv!J35</f>
        <v>170</v>
      </c>
      <c r="S30" s="103">
        <f t="shared" si="0"/>
        <v>-0.25</v>
      </c>
      <c r="T30" s="103">
        <f t="shared" si="1"/>
        <v>-0.30810810810810807</v>
      </c>
      <c r="U30" s="103">
        <f t="shared" si="2"/>
        <v>-6.9444444444444198E-3</v>
      </c>
      <c r="V30" s="103">
        <f t="shared" si="3"/>
        <v>-0.19811320754716977</v>
      </c>
    </row>
    <row r="31" spans="1:22" x14ac:dyDescent="0.25">
      <c r="A31">
        <v>3113</v>
      </c>
      <c r="B31" t="s">
        <v>90</v>
      </c>
      <c r="C31" t="s">
        <v>119</v>
      </c>
      <c r="D31" t="s">
        <v>133</v>
      </c>
      <c r="E31">
        <v>180</v>
      </c>
      <c r="F31">
        <v>980</v>
      </c>
      <c r="G31" s="101">
        <v>70</v>
      </c>
      <c r="H31" s="101">
        <v>223</v>
      </c>
      <c r="I31" s="101">
        <v>174</v>
      </c>
      <c r="J31" s="101">
        <v>229</v>
      </c>
      <c r="K31" s="101">
        <v>81</v>
      </c>
      <c r="L31" s="101">
        <v>256</v>
      </c>
      <c r="M31" s="101">
        <v>200</v>
      </c>
      <c r="N31" s="101">
        <v>263</v>
      </c>
      <c r="O31" s="102">
        <f>Aktiv!G36</f>
        <v>53</v>
      </c>
      <c r="P31" s="102">
        <f>Aktiv!H36</f>
        <v>154</v>
      </c>
      <c r="Q31" s="102">
        <f>Aktiv!I36</f>
        <v>172</v>
      </c>
      <c r="R31" s="102">
        <f>Aktiv!J36</f>
        <v>183</v>
      </c>
      <c r="S31" s="103">
        <f t="shared" si="0"/>
        <v>-0.24285714285714288</v>
      </c>
      <c r="T31" s="103">
        <f t="shared" si="1"/>
        <v>-0.3094170403587444</v>
      </c>
      <c r="U31" s="103">
        <f t="shared" si="2"/>
        <v>-1.1494252873563204E-2</v>
      </c>
      <c r="V31" s="103">
        <f t="shared" si="3"/>
        <v>-0.20087336244541487</v>
      </c>
    </row>
    <row r="32" spans="1:22" x14ac:dyDescent="0.25">
      <c r="A32">
        <v>3114</v>
      </c>
      <c r="B32" t="s">
        <v>90</v>
      </c>
      <c r="C32" t="s">
        <v>119</v>
      </c>
      <c r="D32" t="s">
        <v>134</v>
      </c>
      <c r="E32">
        <v>360</v>
      </c>
      <c r="F32">
        <v>780</v>
      </c>
      <c r="G32" s="101">
        <v>56</v>
      </c>
      <c r="H32" s="101">
        <v>185</v>
      </c>
      <c r="I32" s="101">
        <v>144</v>
      </c>
      <c r="J32" s="101">
        <v>190</v>
      </c>
      <c r="K32" s="101">
        <v>64</v>
      </c>
      <c r="L32" s="101">
        <v>213</v>
      </c>
      <c r="M32" s="101">
        <v>166</v>
      </c>
      <c r="N32" s="101">
        <v>219</v>
      </c>
      <c r="O32" s="102">
        <f>Aktiv!G37</f>
        <v>42</v>
      </c>
      <c r="P32" s="102">
        <f>Aktiv!H37</f>
        <v>128</v>
      </c>
      <c r="Q32" s="102">
        <f>Aktiv!I37</f>
        <v>143</v>
      </c>
      <c r="R32" s="102">
        <f>Aktiv!J37</f>
        <v>152</v>
      </c>
      <c r="S32" s="103">
        <f t="shared" si="0"/>
        <v>-0.25</v>
      </c>
      <c r="T32" s="103">
        <f t="shared" si="1"/>
        <v>-0.30810810810810807</v>
      </c>
      <c r="U32" s="103">
        <f t="shared" si="2"/>
        <v>-6.9444444444444198E-3</v>
      </c>
      <c r="V32" s="103">
        <f t="shared" si="3"/>
        <v>-0.19999999999999996</v>
      </c>
    </row>
    <row r="33" spans="1:22" x14ac:dyDescent="0.25">
      <c r="A33">
        <v>3115</v>
      </c>
      <c r="B33" t="s">
        <v>90</v>
      </c>
      <c r="C33" t="s">
        <v>119</v>
      </c>
      <c r="D33" t="s">
        <v>135</v>
      </c>
      <c r="E33">
        <v>360</v>
      </c>
      <c r="F33">
        <v>980</v>
      </c>
      <c r="G33" s="101">
        <v>70</v>
      </c>
      <c r="H33" s="101">
        <v>223</v>
      </c>
      <c r="I33" s="101">
        <v>174</v>
      </c>
      <c r="J33" s="101">
        <v>209</v>
      </c>
      <c r="K33" s="101">
        <v>81</v>
      </c>
      <c r="L33" s="101">
        <v>256</v>
      </c>
      <c r="M33" s="101">
        <v>200</v>
      </c>
      <c r="N33" s="101">
        <v>240</v>
      </c>
      <c r="O33" s="102">
        <f>Aktiv!G38</f>
        <v>53</v>
      </c>
      <c r="P33" s="102">
        <f>Aktiv!H38</f>
        <v>154</v>
      </c>
      <c r="Q33" s="102">
        <f>Aktiv!I38</f>
        <v>172</v>
      </c>
      <c r="R33" s="102">
        <f>Aktiv!J38</f>
        <v>167</v>
      </c>
      <c r="S33" s="103">
        <f t="shared" si="0"/>
        <v>-0.24285714285714288</v>
      </c>
      <c r="T33" s="103">
        <f t="shared" si="1"/>
        <v>-0.3094170403587444</v>
      </c>
      <c r="U33" s="103">
        <f t="shared" si="2"/>
        <v>-1.1494252873563204E-2</v>
      </c>
      <c r="V33" s="103">
        <f t="shared" si="3"/>
        <v>-0.20095693779904311</v>
      </c>
    </row>
    <row r="34" spans="1:22" x14ac:dyDescent="0.25">
      <c r="A34">
        <v>3116</v>
      </c>
      <c r="B34" t="s">
        <v>90</v>
      </c>
      <c r="C34" t="s">
        <v>119</v>
      </c>
      <c r="D34" t="s">
        <v>136</v>
      </c>
      <c r="E34">
        <v>720</v>
      </c>
      <c r="F34">
        <v>780</v>
      </c>
      <c r="G34" s="101">
        <v>107</v>
      </c>
      <c r="H34" s="101">
        <v>355</v>
      </c>
      <c r="I34" s="101">
        <v>277</v>
      </c>
      <c r="J34" s="101">
        <v>268</v>
      </c>
      <c r="K34" s="101">
        <v>123</v>
      </c>
      <c r="L34" s="101">
        <v>408</v>
      </c>
      <c r="M34" s="101">
        <v>319</v>
      </c>
      <c r="N34" s="101">
        <v>308</v>
      </c>
      <c r="O34" s="102">
        <f>Aktiv!G39</f>
        <v>80</v>
      </c>
      <c r="P34" s="102">
        <f>Aktiv!H39</f>
        <v>245</v>
      </c>
      <c r="Q34" s="102">
        <f>Aktiv!I39</f>
        <v>274</v>
      </c>
      <c r="R34" s="102">
        <f>Aktiv!J39</f>
        <v>214</v>
      </c>
      <c r="S34" s="103">
        <f t="shared" si="0"/>
        <v>-0.25233644859813087</v>
      </c>
      <c r="T34" s="103">
        <f t="shared" si="1"/>
        <v>-0.3098591549295775</v>
      </c>
      <c r="U34" s="103">
        <f t="shared" si="2"/>
        <v>-1.0830324909747335E-2</v>
      </c>
      <c r="V34" s="103">
        <f t="shared" si="3"/>
        <v>-0.20149253731343286</v>
      </c>
    </row>
    <row r="35" spans="1:22" x14ac:dyDescent="0.25">
      <c r="A35">
        <v>3117</v>
      </c>
      <c r="B35" t="s">
        <v>90</v>
      </c>
      <c r="C35" t="s">
        <v>119</v>
      </c>
      <c r="D35" t="s">
        <v>137</v>
      </c>
      <c r="E35">
        <v>720</v>
      </c>
      <c r="F35">
        <v>980</v>
      </c>
      <c r="G35" s="101">
        <v>134</v>
      </c>
      <c r="H35" s="101">
        <v>406</v>
      </c>
      <c r="I35" s="101">
        <v>320</v>
      </c>
      <c r="J35" s="101">
        <v>329</v>
      </c>
      <c r="K35" s="101">
        <v>154</v>
      </c>
      <c r="L35" s="101">
        <v>467</v>
      </c>
      <c r="M35" s="101">
        <v>368</v>
      </c>
      <c r="N35" s="101">
        <v>378</v>
      </c>
      <c r="O35" s="102">
        <f>Aktiv!G40</f>
        <v>101</v>
      </c>
      <c r="P35" s="102">
        <f>Aktiv!H40</f>
        <v>280</v>
      </c>
      <c r="Q35" s="102">
        <f>Aktiv!I40</f>
        <v>317</v>
      </c>
      <c r="R35" s="102">
        <f>Aktiv!J40</f>
        <v>263</v>
      </c>
      <c r="S35" s="103">
        <f t="shared" si="0"/>
        <v>-0.24626865671641796</v>
      </c>
      <c r="T35" s="103">
        <f t="shared" si="1"/>
        <v>-0.31034482758620685</v>
      </c>
      <c r="U35" s="103">
        <f t="shared" si="2"/>
        <v>-9.3750000000000222E-3</v>
      </c>
      <c r="V35" s="103">
        <f t="shared" si="3"/>
        <v>-0.20060790273556228</v>
      </c>
    </row>
    <row r="36" spans="1:22" x14ac:dyDescent="0.25">
      <c r="A36">
        <v>3118</v>
      </c>
      <c r="B36" t="s">
        <v>90</v>
      </c>
      <c r="C36" t="s">
        <v>119</v>
      </c>
      <c r="D36" t="s">
        <v>138</v>
      </c>
      <c r="E36">
        <v>1080</v>
      </c>
      <c r="F36">
        <v>780</v>
      </c>
      <c r="G36" s="101">
        <v>161</v>
      </c>
      <c r="H36" s="101">
        <v>517</v>
      </c>
      <c r="I36" s="101">
        <v>409</v>
      </c>
      <c r="J36" s="101">
        <v>385</v>
      </c>
      <c r="K36" s="101">
        <v>185</v>
      </c>
      <c r="L36" s="101">
        <v>595</v>
      </c>
      <c r="M36" s="101">
        <v>470</v>
      </c>
      <c r="N36" s="101">
        <v>443</v>
      </c>
      <c r="O36" s="102">
        <f>Aktiv!G41</f>
        <v>121</v>
      </c>
      <c r="P36" s="102">
        <f>Aktiv!H41</f>
        <v>357</v>
      </c>
      <c r="Q36" s="102">
        <f>Aktiv!I41</f>
        <v>405</v>
      </c>
      <c r="R36" s="102">
        <f>Aktiv!J41</f>
        <v>308</v>
      </c>
      <c r="S36" s="103">
        <f t="shared" si="0"/>
        <v>-0.24844720496894412</v>
      </c>
      <c r="T36" s="103">
        <f t="shared" si="1"/>
        <v>-0.30947775628626695</v>
      </c>
      <c r="U36" s="103">
        <f t="shared" si="2"/>
        <v>-9.7799511002445438E-3</v>
      </c>
      <c r="V36" s="103">
        <f t="shared" si="3"/>
        <v>-0.19999999999999996</v>
      </c>
    </row>
    <row r="37" spans="1:22" x14ac:dyDescent="0.25">
      <c r="A37">
        <v>3119</v>
      </c>
      <c r="B37" t="s">
        <v>90</v>
      </c>
      <c r="C37" t="s">
        <v>119</v>
      </c>
      <c r="D37" t="s">
        <v>139</v>
      </c>
      <c r="E37">
        <v>1080</v>
      </c>
      <c r="F37">
        <v>980</v>
      </c>
      <c r="G37" s="101">
        <v>200</v>
      </c>
      <c r="H37" s="101">
        <v>626</v>
      </c>
      <c r="I37" s="101">
        <v>474</v>
      </c>
      <c r="J37" s="101">
        <v>431</v>
      </c>
      <c r="K37" s="101">
        <v>230</v>
      </c>
      <c r="L37" s="101">
        <v>720</v>
      </c>
      <c r="M37" s="101">
        <v>545</v>
      </c>
      <c r="N37" s="101">
        <v>496</v>
      </c>
      <c r="O37" s="102">
        <f>Aktiv!G42</f>
        <v>150</v>
      </c>
      <c r="P37" s="102">
        <f>Aktiv!H42</f>
        <v>432</v>
      </c>
      <c r="Q37" s="102">
        <f>Aktiv!I42</f>
        <v>469</v>
      </c>
      <c r="R37" s="102">
        <f>Aktiv!J42</f>
        <v>345</v>
      </c>
      <c r="S37" s="103">
        <f t="shared" si="0"/>
        <v>-0.25</v>
      </c>
      <c r="T37" s="103">
        <f t="shared" si="1"/>
        <v>-0.30990415335463262</v>
      </c>
      <c r="U37" s="103">
        <f t="shared" si="2"/>
        <v>-1.0548523206751037E-2</v>
      </c>
      <c r="V37" s="103">
        <f t="shared" si="3"/>
        <v>-0.19953596287703013</v>
      </c>
    </row>
    <row r="38" spans="1:22" x14ac:dyDescent="0.25">
      <c r="A38">
        <v>3120</v>
      </c>
      <c r="B38" t="s">
        <v>90</v>
      </c>
      <c r="C38" t="s">
        <v>119</v>
      </c>
      <c r="D38" t="s">
        <v>140</v>
      </c>
      <c r="E38">
        <v>1440</v>
      </c>
      <c r="F38">
        <v>780</v>
      </c>
      <c r="G38" s="101">
        <v>211</v>
      </c>
      <c r="H38" s="101">
        <v>630</v>
      </c>
      <c r="I38" s="101">
        <v>499</v>
      </c>
      <c r="J38" s="101">
        <v>939</v>
      </c>
      <c r="K38" s="101">
        <v>243</v>
      </c>
      <c r="L38" s="101">
        <v>725</v>
      </c>
      <c r="M38" s="101">
        <v>574</v>
      </c>
      <c r="N38" s="101">
        <v>1080</v>
      </c>
      <c r="O38" s="102">
        <f>Aktiv!G43</f>
        <v>158</v>
      </c>
      <c r="P38" s="102">
        <f>Aktiv!H43</f>
        <v>435</v>
      </c>
      <c r="Q38" s="102">
        <f>Aktiv!I43</f>
        <v>494</v>
      </c>
      <c r="R38" s="102">
        <f>Aktiv!J43</f>
        <v>751</v>
      </c>
      <c r="S38" s="103">
        <f t="shared" si="0"/>
        <v>-0.25118483412322279</v>
      </c>
      <c r="T38" s="103">
        <f t="shared" si="1"/>
        <v>-0.30952380952380953</v>
      </c>
      <c r="U38" s="103">
        <f t="shared" si="2"/>
        <v>-1.0020040080160331E-2</v>
      </c>
      <c r="V38" s="103">
        <f t="shared" si="3"/>
        <v>-0.20021299254526093</v>
      </c>
    </row>
    <row r="39" spans="1:22" x14ac:dyDescent="0.25">
      <c r="A39">
        <v>3121</v>
      </c>
      <c r="B39" t="s">
        <v>90</v>
      </c>
      <c r="C39" t="s">
        <v>119</v>
      </c>
      <c r="D39" t="s">
        <v>141</v>
      </c>
      <c r="E39">
        <v>1440</v>
      </c>
      <c r="F39">
        <v>980</v>
      </c>
      <c r="G39" s="101">
        <v>264</v>
      </c>
      <c r="H39" s="101">
        <v>778</v>
      </c>
      <c r="I39" s="101">
        <v>616</v>
      </c>
      <c r="J39" s="101">
        <v>1159</v>
      </c>
      <c r="K39" s="101">
        <v>304</v>
      </c>
      <c r="L39" s="101">
        <v>895</v>
      </c>
      <c r="M39" s="101">
        <v>708</v>
      </c>
      <c r="N39" s="101">
        <v>1333</v>
      </c>
      <c r="O39" s="102">
        <f>Aktiv!G44</f>
        <v>198</v>
      </c>
      <c r="P39" s="102">
        <f>Aktiv!H44</f>
        <v>537</v>
      </c>
      <c r="Q39" s="102">
        <f>Aktiv!I44</f>
        <v>610</v>
      </c>
      <c r="R39" s="102">
        <f>Aktiv!J44</f>
        <v>927</v>
      </c>
      <c r="S39" s="103">
        <f t="shared" si="0"/>
        <v>-0.25</v>
      </c>
      <c r="T39" s="103">
        <f t="shared" si="1"/>
        <v>-0.30976863753213368</v>
      </c>
      <c r="U39" s="103">
        <f t="shared" si="2"/>
        <v>-9.7402597402597157E-3</v>
      </c>
      <c r="V39" s="103">
        <f t="shared" si="3"/>
        <v>-0.20017256255392579</v>
      </c>
    </row>
    <row r="40" spans="1:22" x14ac:dyDescent="0.25">
      <c r="A40">
        <v>3122</v>
      </c>
      <c r="B40" t="s">
        <v>90</v>
      </c>
      <c r="C40" t="s">
        <v>119</v>
      </c>
      <c r="D40" t="s">
        <v>142</v>
      </c>
      <c r="E40">
        <v>1800</v>
      </c>
      <c r="F40">
        <v>780</v>
      </c>
      <c r="G40" s="101">
        <v>264</v>
      </c>
      <c r="H40" s="101">
        <v>520</v>
      </c>
      <c r="I40" s="101">
        <v>612</v>
      </c>
      <c r="J40" s="101">
        <v>1151</v>
      </c>
      <c r="K40" s="101">
        <v>304</v>
      </c>
      <c r="L40" s="101">
        <v>598</v>
      </c>
      <c r="M40" s="101">
        <v>704</v>
      </c>
      <c r="N40" s="101">
        <v>1324</v>
      </c>
      <c r="O40" s="102">
        <f>Aktiv!G45</f>
        <v>198</v>
      </c>
      <c r="P40" s="102">
        <f>Aktiv!H45</f>
        <v>359</v>
      </c>
      <c r="Q40" s="102">
        <f>Aktiv!I45</f>
        <v>606</v>
      </c>
      <c r="R40" s="102">
        <f>Aktiv!J45</f>
        <v>921</v>
      </c>
      <c r="S40" s="103">
        <f t="shared" si="0"/>
        <v>-0.25</v>
      </c>
      <c r="T40" s="103">
        <f t="shared" si="1"/>
        <v>-0.30961538461538463</v>
      </c>
      <c r="U40" s="103">
        <f t="shared" si="2"/>
        <v>-9.8039215686274161E-3</v>
      </c>
      <c r="V40" s="103">
        <f t="shared" si="3"/>
        <v>-0.19982623805386623</v>
      </c>
    </row>
    <row r="41" spans="1:22" x14ac:dyDescent="0.25">
      <c r="A41">
        <v>3123</v>
      </c>
      <c r="B41" t="s">
        <v>90</v>
      </c>
      <c r="C41" t="s">
        <v>119</v>
      </c>
      <c r="D41" t="s">
        <v>143</v>
      </c>
      <c r="E41">
        <v>1800</v>
      </c>
      <c r="F41">
        <v>980</v>
      </c>
      <c r="G41" s="101">
        <v>329</v>
      </c>
      <c r="H41" s="101">
        <v>648</v>
      </c>
      <c r="I41" s="101">
        <v>753</v>
      </c>
      <c r="J41" s="101">
        <v>1417</v>
      </c>
      <c r="K41" s="101">
        <v>378</v>
      </c>
      <c r="L41" s="101">
        <v>745</v>
      </c>
      <c r="M41" s="101">
        <v>866</v>
      </c>
      <c r="N41" s="101">
        <v>1630</v>
      </c>
      <c r="O41" s="102">
        <f>Aktiv!G46</f>
        <v>247</v>
      </c>
      <c r="P41" s="102">
        <f>Aktiv!H46</f>
        <v>447</v>
      </c>
      <c r="Q41" s="102">
        <f>Aktiv!I46</f>
        <v>745</v>
      </c>
      <c r="R41" s="102">
        <f>Aktiv!J46</f>
        <v>1134</v>
      </c>
      <c r="S41" s="103">
        <f t="shared" si="0"/>
        <v>-0.24924012158054709</v>
      </c>
      <c r="T41" s="103">
        <f t="shared" si="1"/>
        <v>-0.31018518518518523</v>
      </c>
      <c r="U41" s="103">
        <f t="shared" si="2"/>
        <v>-1.0624169986719778E-2</v>
      </c>
      <c r="V41" s="103">
        <f t="shared" si="3"/>
        <v>-0.19971771347918132</v>
      </c>
    </row>
    <row r="42" spans="1:22" x14ac:dyDescent="0.25">
      <c r="A42">
        <v>3124</v>
      </c>
      <c r="B42" t="s">
        <v>90</v>
      </c>
      <c r="C42" t="s">
        <v>119</v>
      </c>
      <c r="D42" t="s">
        <v>144</v>
      </c>
      <c r="E42">
        <v>580</v>
      </c>
      <c r="F42">
        <v>580</v>
      </c>
      <c r="G42" s="101">
        <v>67</v>
      </c>
      <c r="H42" s="101">
        <v>228</v>
      </c>
      <c r="I42" s="101">
        <v>183</v>
      </c>
      <c r="J42" s="101">
        <v>191</v>
      </c>
      <c r="K42" s="101">
        <v>77</v>
      </c>
      <c r="L42" s="101">
        <v>262</v>
      </c>
      <c r="M42" s="101">
        <v>210</v>
      </c>
      <c r="N42" s="101">
        <v>220</v>
      </c>
      <c r="O42" s="102">
        <f>Aktiv!G47</f>
        <v>50</v>
      </c>
      <c r="P42" s="102">
        <f>Aktiv!H47</f>
        <v>157</v>
      </c>
      <c r="Q42" s="102">
        <f>Aktiv!I47</f>
        <v>181</v>
      </c>
      <c r="R42" s="102">
        <f>Aktiv!J47</f>
        <v>153</v>
      </c>
      <c r="S42" s="103">
        <f t="shared" si="0"/>
        <v>-0.25373134328358204</v>
      </c>
      <c r="T42" s="103">
        <f t="shared" si="1"/>
        <v>-0.31140350877192979</v>
      </c>
      <c r="U42" s="103">
        <f t="shared" si="2"/>
        <v>-1.0928961748633892E-2</v>
      </c>
      <c r="V42" s="103">
        <f t="shared" si="3"/>
        <v>-0.19895287958115182</v>
      </c>
    </row>
    <row r="43" spans="1:22" x14ac:dyDescent="0.25">
      <c r="A43" t="s">
        <v>145</v>
      </c>
      <c r="B43" t="s">
        <v>90</v>
      </c>
      <c r="C43" t="s">
        <v>119</v>
      </c>
      <c r="D43" t="s">
        <v>146</v>
      </c>
      <c r="E43">
        <v>660</v>
      </c>
      <c r="F43">
        <v>360</v>
      </c>
      <c r="G43" s="101">
        <v>162</v>
      </c>
      <c r="H43" s="101">
        <v>319</v>
      </c>
      <c r="I43" s="101">
        <v>165</v>
      </c>
      <c r="J43" s="101">
        <v>310</v>
      </c>
      <c r="K43" s="101">
        <v>186</v>
      </c>
      <c r="L43" s="101">
        <v>367</v>
      </c>
      <c r="M43" s="101">
        <v>190</v>
      </c>
      <c r="N43" s="101">
        <v>357</v>
      </c>
      <c r="O43" s="102">
        <f>Aktiv!G48</f>
        <v>122</v>
      </c>
      <c r="P43" s="102">
        <f>Aktiv!H48</f>
        <v>220</v>
      </c>
      <c r="Q43" s="102">
        <f>Aktiv!I48</f>
        <v>163</v>
      </c>
      <c r="R43" s="102">
        <f>Aktiv!J48</f>
        <v>248</v>
      </c>
      <c r="S43" s="103">
        <f t="shared" si="0"/>
        <v>-0.24691358024691357</v>
      </c>
      <c r="T43" s="103">
        <f t="shared" si="1"/>
        <v>-0.31034482758620685</v>
      </c>
      <c r="U43" s="103">
        <f t="shared" si="2"/>
        <v>-1.2121212121212088E-2</v>
      </c>
      <c r="V43" s="103">
        <f t="shared" si="3"/>
        <v>-0.19999999999999996</v>
      </c>
    </row>
    <row r="44" spans="1:22" x14ac:dyDescent="0.25">
      <c r="A44">
        <v>3200</v>
      </c>
      <c r="B44" t="s">
        <v>90</v>
      </c>
      <c r="C44" t="s">
        <v>147</v>
      </c>
      <c r="D44" t="s">
        <v>148</v>
      </c>
      <c r="E44">
        <v>360</v>
      </c>
      <c r="F44">
        <v>360</v>
      </c>
      <c r="G44" s="101">
        <v>34</v>
      </c>
      <c r="H44" s="101">
        <v>114</v>
      </c>
      <c r="I44" s="101">
        <v>89</v>
      </c>
      <c r="J44" s="101">
        <v>177</v>
      </c>
      <c r="K44" s="101">
        <v>39</v>
      </c>
      <c r="L44" s="101">
        <v>131</v>
      </c>
      <c r="M44" s="101">
        <v>102</v>
      </c>
      <c r="N44" s="101">
        <v>204</v>
      </c>
      <c r="O44" s="102">
        <f>Aktiv!G50</f>
        <v>26</v>
      </c>
      <c r="P44" s="102">
        <f>Aktiv!H50</f>
        <v>79</v>
      </c>
      <c r="Q44" s="102">
        <f>Aktiv!I50</f>
        <v>88</v>
      </c>
      <c r="R44" s="102">
        <f>Aktiv!J50</f>
        <v>142</v>
      </c>
      <c r="S44" s="103">
        <f t="shared" si="0"/>
        <v>-0.23529411764705888</v>
      </c>
      <c r="T44" s="103">
        <f t="shared" si="1"/>
        <v>-0.30701754385964908</v>
      </c>
      <c r="U44" s="103">
        <f t="shared" si="2"/>
        <v>-1.1235955056179803E-2</v>
      </c>
      <c r="V44" s="103">
        <f t="shared" si="3"/>
        <v>-0.19774011299435024</v>
      </c>
    </row>
    <row r="45" spans="1:22" x14ac:dyDescent="0.25">
      <c r="A45">
        <v>3201</v>
      </c>
      <c r="B45" t="s">
        <v>90</v>
      </c>
      <c r="C45" t="s">
        <v>147</v>
      </c>
      <c r="D45" t="s">
        <v>149</v>
      </c>
      <c r="E45">
        <v>360</v>
      </c>
      <c r="F45">
        <v>720</v>
      </c>
      <c r="G45" s="101">
        <v>52</v>
      </c>
      <c r="H45" s="101">
        <v>181</v>
      </c>
      <c r="I45" s="101">
        <v>143</v>
      </c>
      <c r="J45" s="101">
        <v>212</v>
      </c>
      <c r="K45" s="101">
        <v>60</v>
      </c>
      <c r="L45" s="101">
        <v>208</v>
      </c>
      <c r="M45" s="101">
        <v>164</v>
      </c>
      <c r="N45" s="101">
        <v>244</v>
      </c>
      <c r="O45" s="102">
        <f>Aktiv!G51</f>
        <v>39</v>
      </c>
      <c r="P45" s="102">
        <f>Aktiv!H51</f>
        <v>125</v>
      </c>
      <c r="Q45" s="102">
        <f>Aktiv!I51</f>
        <v>142</v>
      </c>
      <c r="R45" s="102">
        <f>Aktiv!J51</f>
        <v>170</v>
      </c>
      <c r="S45" s="103">
        <f t="shared" si="0"/>
        <v>-0.25</v>
      </c>
      <c r="T45" s="103">
        <f t="shared" si="1"/>
        <v>-0.30939226519337015</v>
      </c>
      <c r="U45" s="103">
        <f t="shared" si="2"/>
        <v>-6.9930069930069783E-3</v>
      </c>
      <c r="V45" s="103">
        <f t="shared" si="3"/>
        <v>-0.19811320754716977</v>
      </c>
    </row>
    <row r="46" spans="1:22" x14ac:dyDescent="0.25">
      <c r="A46">
        <v>3202</v>
      </c>
      <c r="B46" t="s">
        <v>90</v>
      </c>
      <c r="C46" t="s">
        <v>147</v>
      </c>
      <c r="D46" t="s">
        <v>150</v>
      </c>
      <c r="E46">
        <v>360</v>
      </c>
      <c r="F46">
        <v>1080</v>
      </c>
      <c r="G46" s="101">
        <v>76</v>
      </c>
      <c r="H46" s="101">
        <v>267</v>
      </c>
      <c r="I46" s="101">
        <v>222</v>
      </c>
      <c r="J46" s="101">
        <v>240</v>
      </c>
      <c r="K46" s="101">
        <v>87</v>
      </c>
      <c r="L46" s="101">
        <v>307</v>
      </c>
      <c r="M46" s="101">
        <v>255</v>
      </c>
      <c r="N46" s="101">
        <v>276</v>
      </c>
      <c r="O46" s="102">
        <f>Aktiv!G52</f>
        <v>57</v>
      </c>
      <c r="P46" s="102">
        <f>Aktiv!H52</f>
        <v>184</v>
      </c>
      <c r="Q46" s="102">
        <f>Aktiv!I52</f>
        <v>220</v>
      </c>
      <c r="R46" s="102">
        <f>Aktiv!J52</f>
        <v>192</v>
      </c>
      <c r="S46" s="103">
        <f t="shared" si="0"/>
        <v>-0.25</v>
      </c>
      <c r="T46" s="103">
        <f t="shared" si="1"/>
        <v>-0.31086142322097376</v>
      </c>
      <c r="U46" s="103">
        <f t="shared" si="2"/>
        <v>-9.009009009009028E-3</v>
      </c>
      <c r="V46" s="103">
        <f t="shared" si="3"/>
        <v>-0.19999999999999996</v>
      </c>
    </row>
    <row r="47" spans="1:22" x14ac:dyDescent="0.25">
      <c r="A47">
        <v>3203</v>
      </c>
      <c r="B47" t="s">
        <v>90</v>
      </c>
      <c r="C47" t="s">
        <v>147</v>
      </c>
      <c r="D47" t="s">
        <v>151</v>
      </c>
      <c r="E47">
        <v>360</v>
      </c>
      <c r="F47">
        <v>1440</v>
      </c>
      <c r="G47" s="101">
        <v>100</v>
      </c>
      <c r="H47" s="101">
        <v>336</v>
      </c>
      <c r="I47" s="101">
        <v>281</v>
      </c>
      <c r="J47" s="101">
        <v>529</v>
      </c>
      <c r="K47" s="101">
        <v>115</v>
      </c>
      <c r="L47" s="101">
        <v>386</v>
      </c>
      <c r="M47" s="101">
        <v>323</v>
      </c>
      <c r="N47" s="101">
        <v>608</v>
      </c>
      <c r="O47" s="102">
        <f>Aktiv!G53</f>
        <v>75</v>
      </c>
      <c r="P47" s="102">
        <f>Aktiv!H53</f>
        <v>232</v>
      </c>
      <c r="Q47" s="102">
        <f>Aktiv!I53</f>
        <v>278</v>
      </c>
      <c r="R47" s="102">
        <f>Aktiv!J53</f>
        <v>423</v>
      </c>
      <c r="S47" s="103">
        <f t="shared" si="0"/>
        <v>-0.25</v>
      </c>
      <c r="T47" s="103">
        <f t="shared" si="1"/>
        <v>-0.30952380952380953</v>
      </c>
      <c r="U47" s="103">
        <f t="shared" si="2"/>
        <v>-1.0676156583629859E-2</v>
      </c>
      <c r="V47" s="103">
        <f t="shared" si="3"/>
        <v>-0.20037807183364842</v>
      </c>
    </row>
    <row r="48" spans="1:22" x14ac:dyDescent="0.25">
      <c r="A48">
        <v>3204</v>
      </c>
      <c r="B48" t="s">
        <v>90</v>
      </c>
      <c r="C48" t="s">
        <v>147</v>
      </c>
      <c r="D48" t="s">
        <v>152</v>
      </c>
      <c r="E48">
        <v>360</v>
      </c>
      <c r="F48">
        <v>1800</v>
      </c>
      <c r="G48" s="101">
        <v>125</v>
      </c>
      <c r="H48" s="101">
        <v>246</v>
      </c>
      <c r="I48" s="101">
        <v>343</v>
      </c>
      <c r="J48" s="101">
        <v>645</v>
      </c>
      <c r="K48" s="101">
        <v>144</v>
      </c>
      <c r="L48" s="101">
        <v>283</v>
      </c>
      <c r="M48" s="101">
        <v>394</v>
      </c>
      <c r="N48" s="101">
        <v>742</v>
      </c>
      <c r="O48" s="102">
        <f>Aktiv!G54</f>
        <v>94</v>
      </c>
      <c r="P48" s="102">
        <f>Aktiv!H54</f>
        <v>170</v>
      </c>
      <c r="Q48" s="102">
        <f>Aktiv!I54</f>
        <v>340</v>
      </c>
      <c r="R48" s="102">
        <f>Aktiv!J54</f>
        <v>516</v>
      </c>
      <c r="S48" s="103">
        <f t="shared" si="0"/>
        <v>-0.248</v>
      </c>
      <c r="T48" s="103">
        <f t="shared" si="1"/>
        <v>-0.30894308943089432</v>
      </c>
      <c r="U48" s="103">
        <f t="shared" si="2"/>
        <v>-8.7463556851311575E-3</v>
      </c>
      <c r="V48" s="103">
        <f t="shared" si="3"/>
        <v>-0.19999999999999996</v>
      </c>
    </row>
    <row r="49" spans="1:22" x14ac:dyDescent="0.25">
      <c r="A49">
        <v>3205</v>
      </c>
      <c r="B49" t="s">
        <v>90</v>
      </c>
      <c r="C49" t="s">
        <v>147</v>
      </c>
      <c r="D49" t="s">
        <v>153</v>
      </c>
      <c r="E49">
        <v>580</v>
      </c>
      <c r="F49">
        <v>360</v>
      </c>
      <c r="G49" s="101">
        <v>43</v>
      </c>
      <c r="H49" s="101">
        <v>161</v>
      </c>
      <c r="I49" s="101">
        <v>130</v>
      </c>
      <c r="J49" s="101">
        <v>185</v>
      </c>
      <c r="K49" s="101">
        <v>49</v>
      </c>
      <c r="L49" s="101">
        <v>185</v>
      </c>
      <c r="M49" s="101">
        <v>150</v>
      </c>
      <c r="N49" s="101">
        <v>213</v>
      </c>
      <c r="O49" s="102">
        <f>Aktiv!G55</f>
        <v>32</v>
      </c>
      <c r="P49" s="102">
        <f>Aktiv!H55</f>
        <v>111</v>
      </c>
      <c r="Q49" s="102">
        <f>Aktiv!I55</f>
        <v>129</v>
      </c>
      <c r="R49" s="102">
        <f>Aktiv!J55</f>
        <v>148</v>
      </c>
      <c r="S49" s="103">
        <f t="shared" si="0"/>
        <v>-0.2558139534883721</v>
      </c>
      <c r="T49" s="103">
        <f t="shared" si="1"/>
        <v>-0.31055900621118016</v>
      </c>
      <c r="U49" s="103">
        <f t="shared" si="2"/>
        <v>-7.692307692307665E-3</v>
      </c>
      <c r="V49" s="103">
        <f t="shared" si="3"/>
        <v>-0.19999999999999996</v>
      </c>
    </row>
    <row r="50" spans="1:22" x14ac:dyDescent="0.25">
      <c r="A50">
        <v>3206</v>
      </c>
      <c r="B50" t="s">
        <v>90</v>
      </c>
      <c r="C50" t="s">
        <v>147</v>
      </c>
      <c r="D50" t="s">
        <v>154</v>
      </c>
      <c r="E50">
        <v>580</v>
      </c>
      <c r="F50">
        <v>720</v>
      </c>
      <c r="G50" s="101">
        <v>82</v>
      </c>
      <c r="H50" s="101">
        <v>262</v>
      </c>
      <c r="I50" s="101">
        <v>216</v>
      </c>
      <c r="J50" s="101">
        <v>245</v>
      </c>
      <c r="K50" s="101">
        <v>94</v>
      </c>
      <c r="L50" s="101">
        <v>301</v>
      </c>
      <c r="M50" s="101">
        <v>248</v>
      </c>
      <c r="N50" s="101">
        <v>282</v>
      </c>
      <c r="O50" s="102">
        <f>Aktiv!G56</f>
        <v>62</v>
      </c>
      <c r="P50" s="102">
        <f>Aktiv!H56</f>
        <v>181</v>
      </c>
      <c r="Q50" s="102">
        <f>Aktiv!I56</f>
        <v>214</v>
      </c>
      <c r="R50" s="102">
        <f>Aktiv!J56</f>
        <v>196</v>
      </c>
      <c r="S50" s="103">
        <f t="shared" si="0"/>
        <v>-0.24390243902439024</v>
      </c>
      <c r="T50" s="103">
        <f t="shared" si="1"/>
        <v>-0.30916030534351147</v>
      </c>
      <c r="U50" s="103">
        <f t="shared" si="2"/>
        <v>-9.2592592592593004E-3</v>
      </c>
      <c r="V50" s="103">
        <f t="shared" si="3"/>
        <v>-0.19999999999999996</v>
      </c>
    </row>
    <row r="51" spans="1:22" x14ac:dyDescent="0.25">
      <c r="A51">
        <v>3207</v>
      </c>
      <c r="B51" t="s">
        <v>90</v>
      </c>
      <c r="C51" t="s">
        <v>147</v>
      </c>
      <c r="D51" t="s">
        <v>155</v>
      </c>
      <c r="E51">
        <v>580</v>
      </c>
      <c r="F51">
        <v>1080</v>
      </c>
      <c r="G51" s="101">
        <v>119</v>
      </c>
      <c r="H51" s="101">
        <v>377</v>
      </c>
      <c r="I51" s="101">
        <v>300</v>
      </c>
      <c r="J51" s="101">
        <v>307</v>
      </c>
      <c r="K51" s="101">
        <v>137</v>
      </c>
      <c r="L51" s="101">
        <v>434</v>
      </c>
      <c r="M51" s="101">
        <v>345</v>
      </c>
      <c r="N51" s="101">
        <v>353</v>
      </c>
      <c r="O51" s="102">
        <f>Aktiv!G57</f>
        <v>89</v>
      </c>
      <c r="P51" s="102">
        <f>Aktiv!H57</f>
        <v>260</v>
      </c>
      <c r="Q51" s="102">
        <f>Aktiv!I57</f>
        <v>297</v>
      </c>
      <c r="R51" s="102">
        <f>Aktiv!J57</f>
        <v>246</v>
      </c>
      <c r="S51" s="103">
        <f t="shared" si="0"/>
        <v>-0.25210084033613445</v>
      </c>
      <c r="T51" s="103">
        <f t="shared" si="1"/>
        <v>-0.31034482758620685</v>
      </c>
      <c r="U51" s="103">
        <f t="shared" si="2"/>
        <v>-1.0000000000000009E-2</v>
      </c>
      <c r="V51" s="103">
        <f t="shared" si="3"/>
        <v>-0.19869706840390877</v>
      </c>
    </row>
    <row r="52" spans="1:22" x14ac:dyDescent="0.25">
      <c r="A52">
        <v>3208</v>
      </c>
      <c r="B52" t="s">
        <v>90</v>
      </c>
      <c r="C52" t="s">
        <v>147</v>
      </c>
      <c r="D52" t="s">
        <v>156</v>
      </c>
      <c r="E52">
        <v>580</v>
      </c>
      <c r="F52">
        <v>1440</v>
      </c>
      <c r="G52" s="101">
        <v>158</v>
      </c>
      <c r="H52" s="101">
        <v>484</v>
      </c>
      <c r="I52" s="101">
        <v>400</v>
      </c>
      <c r="J52" s="101">
        <v>752</v>
      </c>
      <c r="K52" s="101">
        <v>182</v>
      </c>
      <c r="L52" s="101">
        <v>557</v>
      </c>
      <c r="M52" s="101">
        <v>460</v>
      </c>
      <c r="N52" s="101">
        <v>865</v>
      </c>
      <c r="O52" s="102">
        <f>Aktiv!G58</f>
        <v>119</v>
      </c>
      <c r="P52" s="102">
        <f>Aktiv!H58</f>
        <v>334</v>
      </c>
      <c r="Q52" s="102">
        <f>Aktiv!I58</f>
        <v>396</v>
      </c>
      <c r="R52" s="102">
        <f>Aktiv!J58</f>
        <v>602</v>
      </c>
      <c r="S52" s="103">
        <f t="shared" si="0"/>
        <v>-0.24683544303797467</v>
      </c>
      <c r="T52" s="103">
        <f t="shared" si="1"/>
        <v>-0.30991735537190079</v>
      </c>
      <c r="U52" s="103">
        <f t="shared" si="2"/>
        <v>-1.0000000000000009E-2</v>
      </c>
      <c r="V52" s="103">
        <f t="shared" si="3"/>
        <v>-0.19946808510638303</v>
      </c>
    </row>
    <row r="53" spans="1:22" x14ac:dyDescent="0.25">
      <c r="A53">
        <v>3209</v>
      </c>
      <c r="B53" t="s">
        <v>90</v>
      </c>
      <c r="C53" t="s">
        <v>147</v>
      </c>
      <c r="D53" t="s">
        <v>157</v>
      </c>
      <c r="E53">
        <v>580</v>
      </c>
      <c r="F53">
        <v>1800</v>
      </c>
      <c r="G53" s="101">
        <v>197</v>
      </c>
      <c r="H53" s="101">
        <v>388</v>
      </c>
      <c r="I53" s="101">
        <v>467</v>
      </c>
      <c r="J53" s="101">
        <v>879</v>
      </c>
      <c r="K53" s="101">
        <v>227</v>
      </c>
      <c r="L53" s="101">
        <v>446</v>
      </c>
      <c r="M53" s="101">
        <v>537</v>
      </c>
      <c r="N53" s="101">
        <v>1011</v>
      </c>
      <c r="O53" s="102">
        <f>Aktiv!G59</f>
        <v>148</v>
      </c>
      <c r="P53" s="102">
        <f>Aktiv!H59</f>
        <v>268</v>
      </c>
      <c r="Q53" s="102">
        <f>Aktiv!I59</f>
        <v>462</v>
      </c>
      <c r="R53" s="102">
        <f>Aktiv!J59</f>
        <v>703</v>
      </c>
      <c r="S53" s="103">
        <f t="shared" si="0"/>
        <v>-0.24873096446700504</v>
      </c>
      <c r="T53" s="103">
        <f t="shared" si="1"/>
        <v>-0.30927835051546393</v>
      </c>
      <c r="U53" s="103">
        <f t="shared" si="2"/>
        <v>-1.0706638115631661E-2</v>
      </c>
      <c r="V53" s="103">
        <f t="shared" si="3"/>
        <v>-0.20022753128555182</v>
      </c>
    </row>
    <row r="54" spans="1:22" x14ac:dyDescent="0.25">
      <c r="A54">
        <v>3210</v>
      </c>
      <c r="B54" t="s">
        <v>90</v>
      </c>
      <c r="C54" t="s">
        <v>147</v>
      </c>
      <c r="D54" t="s">
        <v>158</v>
      </c>
      <c r="E54">
        <v>180</v>
      </c>
      <c r="F54">
        <v>780</v>
      </c>
      <c r="G54" s="101">
        <v>56</v>
      </c>
      <c r="H54" s="101">
        <v>185</v>
      </c>
      <c r="I54" s="101">
        <v>144</v>
      </c>
      <c r="J54" s="101">
        <v>212</v>
      </c>
      <c r="K54" s="101">
        <v>64</v>
      </c>
      <c r="L54" s="101">
        <v>213</v>
      </c>
      <c r="M54" s="101">
        <v>166</v>
      </c>
      <c r="N54" s="101">
        <v>244</v>
      </c>
      <c r="O54" s="102">
        <f>Aktiv!G60</f>
        <v>42</v>
      </c>
      <c r="P54" s="102">
        <f>Aktiv!H60</f>
        <v>128</v>
      </c>
      <c r="Q54" s="102">
        <f>Aktiv!I60</f>
        <v>143</v>
      </c>
      <c r="R54" s="102">
        <f>Aktiv!J60</f>
        <v>170</v>
      </c>
      <c r="S54" s="103">
        <f t="shared" si="0"/>
        <v>-0.25</v>
      </c>
      <c r="T54" s="103">
        <f t="shared" si="1"/>
        <v>-0.30810810810810807</v>
      </c>
      <c r="U54" s="103">
        <f t="shared" si="2"/>
        <v>-6.9444444444444198E-3</v>
      </c>
      <c r="V54" s="103">
        <f t="shared" si="3"/>
        <v>-0.19811320754716977</v>
      </c>
    </row>
    <row r="55" spans="1:22" x14ac:dyDescent="0.25">
      <c r="A55">
        <v>3211</v>
      </c>
      <c r="B55" t="s">
        <v>90</v>
      </c>
      <c r="C55" t="s">
        <v>147</v>
      </c>
      <c r="D55" t="s">
        <v>159</v>
      </c>
      <c r="E55">
        <v>180</v>
      </c>
      <c r="F55">
        <v>980</v>
      </c>
      <c r="G55" s="101">
        <v>70</v>
      </c>
      <c r="H55" s="101">
        <v>223</v>
      </c>
      <c r="I55" s="101">
        <v>174</v>
      </c>
      <c r="J55" s="101">
        <v>229</v>
      </c>
      <c r="K55" s="101">
        <v>81</v>
      </c>
      <c r="L55" s="101">
        <v>256</v>
      </c>
      <c r="M55" s="101">
        <v>200</v>
      </c>
      <c r="N55" s="101">
        <v>263</v>
      </c>
      <c r="O55" s="102">
        <f>Aktiv!G61</f>
        <v>53</v>
      </c>
      <c r="P55" s="102">
        <f>Aktiv!H61</f>
        <v>154</v>
      </c>
      <c r="Q55" s="102">
        <f>Aktiv!I61</f>
        <v>172</v>
      </c>
      <c r="R55" s="102">
        <f>Aktiv!J61</f>
        <v>183</v>
      </c>
      <c r="S55" s="103">
        <f t="shared" si="0"/>
        <v>-0.24285714285714288</v>
      </c>
      <c r="T55" s="103">
        <f t="shared" si="1"/>
        <v>-0.3094170403587444</v>
      </c>
      <c r="U55" s="103">
        <f t="shared" si="2"/>
        <v>-1.1494252873563204E-2</v>
      </c>
      <c r="V55" s="103">
        <f t="shared" si="3"/>
        <v>-0.20087336244541487</v>
      </c>
    </row>
    <row r="56" spans="1:22" x14ac:dyDescent="0.25">
      <c r="A56">
        <v>3212</v>
      </c>
      <c r="B56" t="s">
        <v>90</v>
      </c>
      <c r="C56" t="s">
        <v>147</v>
      </c>
      <c r="D56" t="s">
        <v>160</v>
      </c>
      <c r="E56">
        <v>360</v>
      </c>
      <c r="F56">
        <v>780</v>
      </c>
      <c r="G56" s="101">
        <v>56</v>
      </c>
      <c r="H56" s="101">
        <v>185</v>
      </c>
      <c r="I56" s="101">
        <v>144</v>
      </c>
      <c r="J56" s="101">
        <v>190</v>
      </c>
      <c r="K56" s="101">
        <v>64</v>
      </c>
      <c r="L56" s="101">
        <v>213</v>
      </c>
      <c r="M56" s="101">
        <v>166</v>
      </c>
      <c r="N56" s="101">
        <v>219</v>
      </c>
      <c r="O56" s="102">
        <f>Aktiv!G62</f>
        <v>42</v>
      </c>
      <c r="P56" s="102">
        <f>Aktiv!H62</f>
        <v>128</v>
      </c>
      <c r="Q56" s="102">
        <f>Aktiv!I62</f>
        <v>143</v>
      </c>
      <c r="R56" s="102">
        <f>Aktiv!J62</f>
        <v>152</v>
      </c>
      <c r="S56" s="103">
        <f t="shared" si="0"/>
        <v>-0.25</v>
      </c>
      <c r="T56" s="103">
        <f t="shared" si="1"/>
        <v>-0.30810810810810807</v>
      </c>
      <c r="U56" s="103">
        <f t="shared" si="2"/>
        <v>-6.9444444444444198E-3</v>
      </c>
      <c r="V56" s="103">
        <f t="shared" si="3"/>
        <v>-0.19999999999999996</v>
      </c>
    </row>
    <row r="57" spans="1:22" x14ac:dyDescent="0.25">
      <c r="A57">
        <v>3213</v>
      </c>
      <c r="B57" t="s">
        <v>90</v>
      </c>
      <c r="C57" t="s">
        <v>147</v>
      </c>
      <c r="D57" t="s">
        <v>161</v>
      </c>
      <c r="E57">
        <v>360</v>
      </c>
      <c r="F57">
        <v>980</v>
      </c>
      <c r="G57" s="101">
        <v>70</v>
      </c>
      <c r="H57" s="101">
        <v>223</v>
      </c>
      <c r="I57" s="101">
        <v>174</v>
      </c>
      <c r="J57" s="101">
        <v>209</v>
      </c>
      <c r="K57" s="101">
        <v>81</v>
      </c>
      <c r="L57" s="101">
        <v>256</v>
      </c>
      <c r="M57" s="101">
        <v>200</v>
      </c>
      <c r="N57" s="101">
        <v>240</v>
      </c>
      <c r="O57" s="102">
        <f>Aktiv!G63</f>
        <v>53</v>
      </c>
      <c r="P57" s="102">
        <f>Aktiv!H63</f>
        <v>154</v>
      </c>
      <c r="Q57" s="102">
        <f>Aktiv!I63</f>
        <v>172</v>
      </c>
      <c r="R57" s="102">
        <f>Aktiv!J63</f>
        <v>167</v>
      </c>
      <c r="S57" s="103">
        <f t="shared" si="0"/>
        <v>-0.24285714285714288</v>
      </c>
      <c r="T57" s="103">
        <f t="shared" si="1"/>
        <v>-0.3094170403587444</v>
      </c>
      <c r="U57" s="103">
        <f t="shared" si="2"/>
        <v>-1.1494252873563204E-2</v>
      </c>
      <c r="V57" s="103">
        <f t="shared" si="3"/>
        <v>-0.20095693779904311</v>
      </c>
    </row>
    <row r="58" spans="1:22" x14ac:dyDescent="0.25">
      <c r="A58">
        <v>3214</v>
      </c>
      <c r="B58" t="s">
        <v>90</v>
      </c>
      <c r="C58" t="s">
        <v>147</v>
      </c>
      <c r="D58" t="s">
        <v>162</v>
      </c>
      <c r="E58">
        <v>720</v>
      </c>
      <c r="F58">
        <v>780</v>
      </c>
      <c r="G58" s="101">
        <v>107</v>
      </c>
      <c r="H58" s="101">
        <v>355</v>
      </c>
      <c r="I58" s="101">
        <v>277</v>
      </c>
      <c r="J58" s="101">
        <v>268</v>
      </c>
      <c r="K58" s="101">
        <v>123</v>
      </c>
      <c r="L58" s="101">
        <v>408</v>
      </c>
      <c r="M58" s="101">
        <v>319</v>
      </c>
      <c r="N58" s="101">
        <v>308</v>
      </c>
      <c r="O58" s="102">
        <f>Aktiv!G64</f>
        <v>80</v>
      </c>
      <c r="P58" s="102">
        <f>Aktiv!H64</f>
        <v>245</v>
      </c>
      <c r="Q58" s="102">
        <f>Aktiv!I64</f>
        <v>274</v>
      </c>
      <c r="R58" s="102">
        <f>Aktiv!J64</f>
        <v>214</v>
      </c>
      <c r="S58" s="103">
        <f t="shared" si="0"/>
        <v>-0.25233644859813087</v>
      </c>
      <c r="T58" s="103">
        <f t="shared" si="1"/>
        <v>-0.3098591549295775</v>
      </c>
      <c r="U58" s="103">
        <f t="shared" si="2"/>
        <v>-1.0830324909747335E-2</v>
      </c>
      <c r="V58" s="103">
        <f t="shared" si="3"/>
        <v>-0.20149253731343286</v>
      </c>
    </row>
    <row r="59" spans="1:22" x14ac:dyDescent="0.25">
      <c r="A59">
        <v>3215</v>
      </c>
      <c r="B59" t="s">
        <v>90</v>
      </c>
      <c r="C59" t="s">
        <v>147</v>
      </c>
      <c r="D59" t="s">
        <v>163</v>
      </c>
      <c r="E59">
        <v>720</v>
      </c>
      <c r="F59">
        <v>980</v>
      </c>
      <c r="G59" s="101">
        <v>134</v>
      </c>
      <c r="H59" s="101">
        <v>406</v>
      </c>
      <c r="I59" s="101">
        <v>320</v>
      </c>
      <c r="J59" s="101">
        <v>329</v>
      </c>
      <c r="K59" s="101">
        <v>154</v>
      </c>
      <c r="L59" s="101">
        <v>467</v>
      </c>
      <c r="M59" s="101">
        <v>368</v>
      </c>
      <c r="N59" s="101">
        <v>378</v>
      </c>
      <c r="O59" s="102">
        <f>Aktiv!G65</f>
        <v>101</v>
      </c>
      <c r="P59" s="102">
        <f>Aktiv!H65</f>
        <v>280</v>
      </c>
      <c r="Q59" s="102">
        <f>Aktiv!I65</f>
        <v>317</v>
      </c>
      <c r="R59" s="102">
        <f>Aktiv!J65</f>
        <v>263</v>
      </c>
      <c r="S59" s="103">
        <f t="shared" si="0"/>
        <v>-0.24626865671641796</v>
      </c>
      <c r="T59" s="103">
        <f t="shared" si="1"/>
        <v>-0.31034482758620685</v>
      </c>
      <c r="U59" s="103">
        <f t="shared" si="2"/>
        <v>-9.3750000000000222E-3</v>
      </c>
      <c r="V59" s="103">
        <f t="shared" si="3"/>
        <v>-0.20060790273556228</v>
      </c>
    </row>
    <row r="60" spans="1:22" x14ac:dyDescent="0.25">
      <c r="A60">
        <v>3216</v>
      </c>
      <c r="B60" t="s">
        <v>90</v>
      </c>
      <c r="C60" t="s">
        <v>147</v>
      </c>
      <c r="D60" t="s">
        <v>164</v>
      </c>
      <c r="E60">
        <v>1080</v>
      </c>
      <c r="F60">
        <v>780</v>
      </c>
      <c r="G60" s="101">
        <v>161</v>
      </c>
      <c r="H60" s="101">
        <v>517</v>
      </c>
      <c r="I60" s="101">
        <v>409</v>
      </c>
      <c r="J60" s="101">
        <v>385</v>
      </c>
      <c r="K60" s="101">
        <v>185</v>
      </c>
      <c r="L60" s="101">
        <v>595</v>
      </c>
      <c r="M60" s="101">
        <v>470</v>
      </c>
      <c r="N60" s="101">
        <v>443</v>
      </c>
      <c r="O60" s="102">
        <f>Aktiv!G66</f>
        <v>121</v>
      </c>
      <c r="P60" s="102">
        <f>Aktiv!H66</f>
        <v>357</v>
      </c>
      <c r="Q60" s="102">
        <f>Aktiv!I66</f>
        <v>405</v>
      </c>
      <c r="R60" s="102">
        <f>Aktiv!J66</f>
        <v>308</v>
      </c>
      <c r="S60" s="103">
        <f t="shared" si="0"/>
        <v>-0.24844720496894412</v>
      </c>
      <c r="T60" s="103">
        <f t="shared" si="1"/>
        <v>-0.30947775628626695</v>
      </c>
      <c r="U60" s="103">
        <f t="shared" si="2"/>
        <v>-9.7799511002445438E-3</v>
      </c>
      <c r="V60" s="103">
        <f t="shared" si="3"/>
        <v>-0.19999999999999996</v>
      </c>
    </row>
    <row r="61" spans="1:22" x14ac:dyDescent="0.25">
      <c r="A61">
        <v>3217</v>
      </c>
      <c r="B61" t="s">
        <v>90</v>
      </c>
      <c r="C61" t="s">
        <v>147</v>
      </c>
      <c r="D61" t="s">
        <v>165</v>
      </c>
      <c r="E61">
        <v>1080</v>
      </c>
      <c r="F61">
        <v>980</v>
      </c>
      <c r="G61" s="101">
        <v>200</v>
      </c>
      <c r="H61" s="101">
        <v>626</v>
      </c>
      <c r="I61" s="101">
        <v>474</v>
      </c>
      <c r="J61" s="101">
        <v>431</v>
      </c>
      <c r="K61" s="101">
        <v>230</v>
      </c>
      <c r="L61" s="101">
        <v>720</v>
      </c>
      <c r="M61" s="101">
        <v>545</v>
      </c>
      <c r="N61" s="101">
        <v>496</v>
      </c>
      <c r="O61" s="102">
        <f>Aktiv!G67</f>
        <v>150</v>
      </c>
      <c r="P61" s="102">
        <f>Aktiv!H67</f>
        <v>432</v>
      </c>
      <c r="Q61" s="102">
        <f>Aktiv!I67</f>
        <v>469</v>
      </c>
      <c r="R61" s="102">
        <f>Aktiv!J67</f>
        <v>345</v>
      </c>
      <c r="S61" s="103">
        <f t="shared" si="0"/>
        <v>-0.25</v>
      </c>
      <c r="T61" s="103">
        <f t="shared" si="1"/>
        <v>-0.30990415335463262</v>
      </c>
      <c r="U61" s="103">
        <f t="shared" si="2"/>
        <v>-1.0548523206751037E-2</v>
      </c>
      <c r="V61" s="103">
        <f t="shared" si="3"/>
        <v>-0.19953596287703013</v>
      </c>
    </row>
    <row r="62" spans="1:22" x14ac:dyDescent="0.25">
      <c r="A62">
        <v>3218</v>
      </c>
      <c r="B62" t="s">
        <v>90</v>
      </c>
      <c r="C62" t="s">
        <v>147</v>
      </c>
      <c r="D62" t="s">
        <v>166</v>
      </c>
      <c r="E62">
        <v>1440</v>
      </c>
      <c r="F62">
        <v>780</v>
      </c>
      <c r="G62" s="101">
        <v>211</v>
      </c>
      <c r="H62" s="101">
        <v>630</v>
      </c>
      <c r="I62" s="101">
        <v>499</v>
      </c>
      <c r="J62" s="101">
        <v>939</v>
      </c>
      <c r="K62" s="101">
        <v>243</v>
      </c>
      <c r="L62" s="101">
        <v>725</v>
      </c>
      <c r="M62" s="101">
        <v>574</v>
      </c>
      <c r="N62" s="101">
        <v>1080</v>
      </c>
      <c r="O62" s="102">
        <f>Aktiv!G68</f>
        <v>158</v>
      </c>
      <c r="P62" s="102">
        <f>Aktiv!H68</f>
        <v>435</v>
      </c>
      <c r="Q62" s="102">
        <f>Aktiv!I68</f>
        <v>494</v>
      </c>
      <c r="R62" s="102">
        <f>Aktiv!J68</f>
        <v>751</v>
      </c>
      <c r="S62" s="103">
        <f t="shared" si="0"/>
        <v>-0.25118483412322279</v>
      </c>
      <c r="T62" s="103">
        <f t="shared" si="1"/>
        <v>-0.30952380952380953</v>
      </c>
      <c r="U62" s="103">
        <f t="shared" si="2"/>
        <v>-1.0020040080160331E-2</v>
      </c>
      <c r="V62" s="103">
        <f t="shared" si="3"/>
        <v>-0.20021299254526093</v>
      </c>
    </row>
    <row r="63" spans="1:22" x14ac:dyDescent="0.25">
      <c r="A63">
        <v>3219</v>
      </c>
      <c r="B63" t="s">
        <v>90</v>
      </c>
      <c r="C63" t="s">
        <v>147</v>
      </c>
      <c r="D63" t="s">
        <v>167</v>
      </c>
      <c r="E63">
        <v>1440</v>
      </c>
      <c r="F63">
        <v>980</v>
      </c>
      <c r="G63" s="101">
        <v>264</v>
      </c>
      <c r="H63" s="101">
        <v>778</v>
      </c>
      <c r="I63" s="101">
        <v>616</v>
      </c>
      <c r="J63" s="101">
        <v>1159</v>
      </c>
      <c r="K63" s="101">
        <v>304</v>
      </c>
      <c r="L63" s="101">
        <v>895</v>
      </c>
      <c r="M63" s="101">
        <v>708</v>
      </c>
      <c r="N63" s="101">
        <v>1333</v>
      </c>
      <c r="O63" s="102">
        <f>Aktiv!G69</f>
        <v>198</v>
      </c>
      <c r="P63" s="102">
        <f>Aktiv!H69</f>
        <v>537</v>
      </c>
      <c r="Q63" s="102">
        <f>Aktiv!I69</f>
        <v>610</v>
      </c>
      <c r="R63" s="102">
        <f>Aktiv!J69</f>
        <v>927</v>
      </c>
      <c r="S63" s="103">
        <f t="shared" si="0"/>
        <v>-0.25</v>
      </c>
      <c r="T63" s="103">
        <f t="shared" si="1"/>
        <v>-0.30976863753213368</v>
      </c>
      <c r="U63" s="103">
        <f t="shared" si="2"/>
        <v>-9.7402597402597157E-3</v>
      </c>
      <c r="V63" s="103">
        <f t="shared" si="3"/>
        <v>-0.20017256255392579</v>
      </c>
    </row>
    <row r="64" spans="1:22" x14ac:dyDescent="0.25">
      <c r="A64">
        <v>3220</v>
      </c>
      <c r="B64" t="s">
        <v>90</v>
      </c>
      <c r="C64" t="s">
        <v>147</v>
      </c>
      <c r="D64" t="s">
        <v>168</v>
      </c>
      <c r="E64">
        <v>1800</v>
      </c>
      <c r="F64">
        <v>780</v>
      </c>
      <c r="G64" s="101">
        <v>264</v>
      </c>
      <c r="H64" s="101">
        <v>520</v>
      </c>
      <c r="I64" s="101">
        <v>612</v>
      </c>
      <c r="J64" s="101">
        <v>1151</v>
      </c>
      <c r="K64" s="101">
        <v>304</v>
      </c>
      <c r="L64" s="101">
        <v>598</v>
      </c>
      <c r="M64" s="101">
        <v>704</v>
      </c>
      <c r="N64" s="101">
        <v>1324</v>
      </c>
      <c r="O64" s="102">
        <f>Aktiv!G70</f>
        <v>198</v>
      </c>
      <c r="P64" s="102">
        <f>Aktiv!H70</f>
        <v>359</v>
      </c>
      <c r="Q64" s="102">
        <f>Aktiv!I70</f>
        <v>606</v>
      </c>
      <c r="R64" s="102">
        <f>Aktiv!J70</f>
        <v>921</v>
      </c>
      <c r="S64" s="103">
        <f t="shared" si="0"/>
        <v>-0.25</v>
      </c>
      <c r="T64" s="103">
        <f t="shared" si="1"/>
        <v>-0.30961538461538463</v>
      </c>
      <c r="U64" s="103">
        <f t="shared" si="2"/>
        <v>-9.8039215686274161E-3</v>
      </c>
      <c r="V64" s="103">
        <f t="shared" si="3"/>
        <v>-0.19982623805386623</v>
      </c>
    </row>
    <row r="65" spans="1:22" x14ac:dyDescent="0.25">
      <c r="A65">
        <v>3221</v>
      </c>
      <c r="B65" t="s">
        <v>90</v>
      </c>
      <c r="C65" t="s">
        <v>147</v>
      </c>
      <c r="D65" t="s">
        <v>169</v>
      </c>
      <c r="E65">
        <v>1800</v>
      </c>
      <c r="F65">
        <v>980</v>
      </c>
      <c r="G65" s="101">
        <v>329</v>
      </c>
      <c r="H65" s="101">
        <v>648</v>
      </c>
      <c r="I65" s="101">
        <v>753</v>
      </c>
      <c r="J65" s="101">
        <v>1417</v>
      </c>
      <c r="K65" s="101">
        <v>378</v>
      </c>
      <c r="L65" s="101">
        <v>745</v>
      </c>
      <c r="M65" s="101">
        <v>866</v>
      </c>
      <c r="N65" s="101">
        <v>1630</v>
      </c>
      <c r="O65" s="102">
        <f>Aktiv!G71</f>
        <v>247</v>
      </c>
      <c r="P65" s="102">
        <f>Aktiv!H71</f>
        <v>447</v>
      </c>
      <c r="Q65" s="102">
        <f>Aktiv!I71</f>
        <v>745</v>
      </c>
      <c r="R65" s="102">
        <f>Aktiv!J71</f>
        <v>1134</v>
      </c>
      <c r="S65" s="103">
        <f t="shared" si="0"/>
        <v>-0.24924012158054709</v>
      </c>
      <c r="T65" s="103">
        <f t="shared" si="1"/>
        <v>-0.31018518518518523</v>
      </c>
      <c r="U65" s="103">
        <f t="shared" si="2"/>
        <v>-1.0624169986719778E-2</v>
      </c>
      <c r="V65" s="103">
        <f t="shared" si="3"/>
        <v>-0.19971771347918132</v>
      </c>
    </row>
    <row r="66" spans="1:22" x14ac:dyDescent="0.25">
      <c r="A66">
        <v>3300</v>
      </c>
      <c r="B66" t="s">
        <v>90</v>
      </c>
      <c r="C66" t="s">
        <v>170</v>
      </c>
      <c r="D66" t="s">
        <v>171</v>
      </c>
      <c r="E66">
        <v>360</v>
      </c>
      <c r="F66">
        <v>180</v>
      </c>
      <c r="G66" s="101">
        <v>34</v>
      </c>
      <c r="H66" s="101">
        <v>114</v>
      </c>
      <c r="I66" s="101">
        <v>89</v>
      </c>
      <c r="J66" s="101">
        <v>201</v>
      </c>
      <c r="K66" s="101">
        <v>39</v>
      </c>
      <c r="L66" s="101">
        <v>131</v>
      </c>
      <c r="M66" s="101">
        <v>102</v>
      </c>
      <c r="N66" s="101">
        <v>231</v>
      </c>
      <c r="O66" s="102">
        <f>Aktiv!G73</f>
        <v>26</v>
      </c>
      <c r="P66" s="102">
        <f>Aktiv!H73</f>
        <v>81</v>
      </c>
      <c r="Q66" s="102">
        <f>Aktiv!I73</f>
        <v>89</v>
      </c>
      <c r="R66" s="102">
        <f>Aktiv!J73</f>
        <v>161</v>
      </c>
      <c r="S66" s="103">
        <f t="shared" si="0"/>
        <v>-0.23529411764705888</v>
      </c>
      <c r="T66" s="103">
        <f t="shared" si="1"/>
        <v>-0.28947368421052633</v>
      </c>
      <c r="U66" s="103">
        <f t="shared" si="2"/>
        <v>0</v>
      </c>
      <c r="V66" s="103">
        <f t="shared" si="3"/>
        <v>-0.19900497512437809</v>
      </c>
    </row>
    <row r="67" spans="1:22" x14ac:dyDescent="0.25">
      <c r="A67">
        <v>3301</v>
      </c>
      <c r="B67" t="s">
        <v>90</v>
      </c>
      <c r="C67" t="s">
        <v>170</v>
      </c>
      <c r="D67" t="s">
        <v>172</v>
      </c>
      <c r="E67">
        <v>420</v>
      </c>
      <c r="F67">
        <v>180</v>
      </c>
      <c r="G67" s="101">
        <v>34</v>
      </c>
      <c r="H67" s="101">
        <v>121</v>
      </c>
      <c r="I67" s="101">
        <v>92</v>
      </c>
      <c r="J67" s="101">
        <v>202</v>
      </c>
      <c r="K67" s="101">
        <v>39</v>
      </c>
      <c r="L67" s="101">
        <v>139</v>
      </c>
      <c r="M67" s="101">
        <v>106</v>
      </c>
      <c r="N67" s="101">
        <v>232</v>
      </c>
      <c r="O67" s="102">
        <f>Aktiv!G74</f>
        <v>26</v>
      </c>
      <c r="P67" s="102">
        <f>Aktiv!H74</f>
        <v>86</v>
      </c>
      <c r="Q67" s="102">
        <f>Aktiv!I74</f>
        <v>92</v>
      </c>
      <c r="R67" s="102">
        <f>Aktiv!J74</f>
        <v>162</v>
      </c>
      <c r="S67" s="103">
        <f t="shared" ref="S67:S130" si="4">IF(OR(G67="",G67=0,O67=""),"",O67/G67-1)</f>
        <v>-0.23529411764705888</v>
      </c>
      <c r="T67" s="103">
        <f t="shared" ref="T67:T130" si="5">IF(OR(H67="",H67=0,P67=""),"",P67/H67-1)</f>
        <v>-0.28925619834710747</v>
      </c>
      <c r="U67" s="103">
        <f t="shared" ref="U67:U130" si="6">IF(OR(I67="",I67=0,Q67=""),"",Q67/I67-1)</f>
        <v>0</v>
      </c>
      <c r="V67" s="103">
        <f t="shared" ref="V67:V130" si="7">IF(OR(J67="",J67=0,R67=""),"",R67/J67-1)</f>
        <v>-0.19801980198019797</v>
      </c>
    </row>
    <row r="68" spans="1:22" x14ac:dyDescent="0.25">
      <c r="A68">
        <v>3302</v>
      </c>
      <c r="B68" t="s">
        <v>90</v>
      </c>
      <c r="C68" t="s">
        <v>170</v>
      </c>
      <c r="D68" t="s">
        <v>173</v>
      </c>
      <c r="E68">
        <v>580</v>
      </c>
      <c r="F68">
        <v>180</v>
      </c>
      <c r="G68" s="101">
        <v>43</v>
      </c>
      <c r="H68" s="101">
        <v>161</v>
      </c>
      <c r="I68" s="101">
        <v>130</v>
      </c>
      <c r="J68" s="101">
        <v>208</v>
      </c>
      <c r="K68" s="101">
        <v>49</v>
      </c>
      <c r="L68" s="101">
        <v>185</v>
      </c>
      <c r="M68" s="101">
        <v>150</v>
      </c>
      <c r="N68" s="101">
        <v>239</v>
      </c>
      <c r="O68" s="102">
        <f>Aktiv!G75</f>
        <v>32</v>
      </c>
      <c r="P68" s="102">
        <f>Aktiv!H75</f>
        <v>114</v>
      </c>
      <c r="Q68" s="102">
        <f>Aktiv!I75</f>
        <v>130</v>
      </c>
      <c r="R68" s="102">
        <f>Aktiv!J75</f>
        <v>166</v>
      </c>
      <c r="S68" s="103">
        <f t="shared" si="4"/>
        <v>-0.2558139534883721</v>
      </c>
      <c r="T68" s="103">
        <f t="shared" si="5"/>
        <v>-0.29192546583850931</v>
      </c>
      <c r="U68" s="103">
        <f t="shared" si="6"/>
        <v>0</v>
      </c>
      <c r="V68" s="103">
        <f t="shared" si="7"/>
        <v>-0.20192307692307687</v>
      </c>
    </row>
    <row r="69" spans="1:22" x14ac:dyDescent="0.25">
      <c r="A69">
        <v>3303</v>
      </c>
      <c r="B69" t="s">
        <v>90</v>
      </c>
      <c r="C69" t="s">
        <v>170</v>
      </c>
      <c r="D69" t="s">
        <v>174</v>
      </c>
      <c r="E69">
        <v>780</v>
      </c>
      <c r="F69">
        <v>180</v>
      </c>
      <c r="G69" s="101">
        <v>56</v>
      </c>
      <c r="H69" s="101">
        <v>185</v>
      </c>
      <c r="I69" s="101">
        <v>144</v>
      </c>
      <c r="J69" s="101">
        <v>212</v>
      </c>
      <c r="K69" s="101">
        <v>64</v>
      </c>
      <c r="L69" s="101">
        <v>213</v>
      </c>
      <c r="M69" s="101">
        <v>166</v>
      </c>
      <c r="N69" s="101">
        <v>244</v>
      </c>
      <c r="O69" s="102">
        <f>Aktiv!G76</f>
        <v>42</v>
      </c>
      <c r="P69" s="102">
        <f>Aktiv!H76</f>
        <v>131</v>
      </c>
      <c r="Q69" s="102">
        <f>Aktiv!I76</f>
        <v>144</v>
      </c>
      <c r="R69" s="102">
        <f>Aktiv!J76</f>
        <v>170</v>
      </c>
      <c r="S69" s="103">
        <f t="shared" si="4"/>
        <v>-0.25</v>
      </c>
      <c r="T69" s="103">
        <f t="shared" si="5"/>
        <v>-0.29189189189189191</v>
      </c>
      <c r="U69" s="103">
        <f t="shared" si="6"/>
        <v>0</v>
      </c>
      <c r="V69" s="103">
        <f t="shared" si="7"/>
        <v>-0.19811320754716977</v>
      </c>
    </row>
    <row r="70" spans="1:22" x14ac:dyDescent="0.25">
      <c r="A70">
        <v>3304</v>
      </c>
      <c r="B70" t="s">
        <v>90</v>
      </c>
      <c r="C70" t="s">
        <v>170</v>
      </c>
      <c r="D70" t="s">
        <v>175</v>
      </c>
      <c r="E70">
        <v>980</v>
      </c>
      <c r="F70">
        <v>180</v>
      </c>
      <c r="G70" s="101">
        <v>70</v>
      </c>
      <c r="H70" s="101">
        <v>223</v>
      </c>
      <c r="I70" s="101">
        <v>174</v>
      </c>
      <c r="J70" s="101">
        <v>229</v>
      </c>
      <c r="K70" s="101">
        <v>81</v>
      </c>
      <c r="L70" s="101">
        <v>256</v>
      </c>
      <c r="M70" s="101">
        <v>200</v>
      </c>
      <c r="N70" s="101">
        <v>263</v>
      </c>
      <c r="O70" s="102">
        <f>Aktiv!G77</f>
        <v>53</v>
      </c>
      <c r="P70" s="102">
        <f>Aktiv!H77</f>
        <v>158</v>
      </c>
      <c r="Q70" s="102">
        <f>Aktiv!I77</f>
        <v>174</v>
      </c>
      <c r="R70" s="102">
        <f>Aktiv!J77</f>
        <v>183</v>
      </c>
      <c r="S70" s="103">
        <f t="shared" si="4"/>
        <v>-0.24285714285714288</v>
      </c>
      <c r="T70" s="103">
        <f t="shared" si="5"/>
        <v>-0.29147982062780264</v>
      </c>
      <c r="U70" s="103">
        <f t="shared" si="6"/>
        <v>0</v>
      </c>
      <c r="V70" s="103">
        <f t="shared" si="7"/>
        <v>-0.20087336244541487</v>
      </c>
    </row>
    <row r="71" spans="1:22" x14ac:dyDescent="0.25">
      <c r="A71">
        <v>3305</v>
      </c>
      <c r="B71" t="s">
        <v>90</v>
      </c>
      <c r="C71" t="s">
        <v>170</v>
      </c>
      <c r="D71" t="s">
        <v>176</v>
      </c>
      <c r="E71">
        <v>360</v>
      </c>
      <c r="F71">
        <v>360</v>
      </c>
      <c r="G71" s="101">
        <v>34</v>
      </c>
      <c r="H71" s="101">
        <v>114</v>
      </c>
      <c r="I71" s="101">
        <v>89</v>
      </c>
      <c r="J71" s="101">
        <v>177</v>
      </c>
      <c r="K71" s="101">
        <v>39</v>
      </c>
      <c r="L71" s="101">
        <v>131</v>
      </c>
      <c r="M71" s="101">
        <v>102</v>
      </c>
      <c r="N71" s="101">
        <v>204</v>
      </c>
      <c r="O71" s="102">
        <f>Aktiv!G78</f>
        <v>26</v>
      </c>
      <c r="P71" s="102">
        <f>Aktiv!H78</f>
        <v>81</v>
      </c>
      <c r="Q71" s="102">
        <f>Aktiv!I78</f>
        <v>89</v>
      </c>
      <c r="R71" s="102">
        <f>Aktiv!J78</f>
        <v>142</v>
      </c>
      <c r="S71" s="103">
        <f t="shared" si="4"/>
        <v>-0.23529411764705888</v>
      </c>
      <c r="T71" s="103">
        <f t="shared" si="5"/>
        <v>-0.28947368421052633</v>
      </c>
      <c r="U71" s="103">
        <f t="shared" si="6"/>
        <v>0</v>
      </c>
      <c r="V71" s="103">
        <f t="shared" si="7"/>
        <v>-0.19774011299435024</v>
      </c>
    </row>
    <row r="72" spans="1:22" x14ac:dyDescent="0.25">
      <c r="A72">
        <v>3306</v>
      </c>
      <c r="B72" t="s">
        <v>90</v>
      </c>
      <c r="C72" t="s">
        <v>170</v>
      </c>
      <c r="D72" t="s">
        <v>177</v>
      </c>
      <c r="E72">
        <v>420</v>
      </c>
      <c r="F72">
        <v>360</v>
      </c>
      <c r="G72" s="101">
        <v>34</v>
      </c>
      <c r="H72" s="101">
        <v>121</v>
      </c>
      <c r="I72" s="101">
        <v>92</v>
      </c>
      <c r="J72" s="101">
        <v>178</v>
      </c>
      <c r="K72" s="101">
        <v>39</v>
      </c>
      <c r="L72" s="101">
        <v>139</v>
      </c>
      <c r="M72" s="101">
        <v>106</v>
      </c>
      <c r="N72" s="101">
        <v>205</v>
      </c>
      <c r="O72" s="102">
        <f>Aktiv!G79</f>
        <v>26</v>
      </c>
      <c r="P72" s="102">
        <f>Aktiv!H79</f>
        <v>86</v>
      </c>
      <c r="Q72" s="102">
        <f>Aktiv!I79</f>
        <v>92</v>
      </c>
      <c r="R72" s="102">
        <f>Aktiv!J79</f>
        <v>142</v>
      </c>
      <c r="S72" s="103">
        <f t="shared" si="4"/>
        <v>-0.23529411764705888</v>
      </c>
      <c r="T72" s="103">
        <f t="shared" si="5"/>
        <v>-0.28925619834710747</v>
      </c>
      <c r="U72" s="103">
        <f t="shared" si="6"/>
        <v>0</v>
      </c>
      <c r="V72" s="103">
        <f t="shared" si="7"/>
        <v>-0.202247191011236</v>
      </c>
    </row>
    <row r="73" spans="1:22" x14ac:dyDescent="0.25">
      <c r="A73">
        <v>3307</v>
      </c>
      <c r="B73" t="s">
        <v>90</v>
      </c>
      <c r="C73" t="s">
        <v>170</v>
      </c>
      <c r="D73" t="s">
        <v>178</v>
      </c>
      <c r="E73">
        <v>580</v>
      </c>
      <c r="F73">
        <v>360</v>
      </c>
      <c r="G73" s="101">
        <v>43</v>
      </c>
      <c r="H73" s="101">
        <v>161</v>
      </c>
      <c r="I73" s="101">
        <v>130</v>
      </c>
      <c r="J73" s="101">
        <v>185</v>
      </c>
      <c r="K73" s="101">
        <v>49</v>
      </c>
      <c r="L73" s="101">
        <v>185</v>
      </c>
      <c r="M73" s="101">
        <v>150</v>
      </c>
      <c r="N73" s="101">
        <v>213</v>
      </c>
      <c r="O73" s="102">
        <f>Aktiv!G80</f>
        <v>32</v>
      </c>
      <c r="P73" s="102">
        <f>Aktiv!H80</f>
        <v>114</v>
      </c>
      <c r="Q73" s="102">
        <f>Aktiv!I80</f>
        <v>130</v>
      </c>
      <c r="R73" s="102">
        <f>Aktiv!J80</f>
        <v>148</v>
      </c>
      <c r="S73" s="103">
        <f t="shared" si="4"/>
        <v>-0.2558139534883721</v>
      </c>
      <c r="T73" s="103">
        <f t="shared" si="5"/>
        <v>-0.29192546583850931</v>
      </c>
      <c r="U73" s="103">
        <f t="shared" si="6"/>
        <v>0</v>
      </c>
      <c r="V73" s="103">
        <f t="shared" si="7"/>
        <v>-0.19999999999999996</v>
      </c>
    </row>
    <row r="74" spans="1:22" x14ac:dyDescent="0.25">
      <c r="A74">
        <v>3308</v>
      </c>
      <c r="B74" t="s">
        <v>90</v>
      </c>
      <c r="C74" t="s">
        <v>170</v>
      </c>
      <c r="D74" t="s">
        <v>179</v>
      </c>
      <c r="E74">
        <v>780</v>
      </c>
      <c r="F74">
        <v>360</v>
      </c>
      <c r="G74" s="101">
        <v>56</v>
      </c>
      <c r="H74" s="101">
        <v>185</v>
      </c>
      <c r="I74" s="101">
        <v>144</v>
      </c>
      <c r="J74" s="101">
        <v>190</v>
      </c>
      <c r="K74" s="101">
        <v>64</v>
      </c>
      <c r="L74" s="101">
        <v>213</v>
      </c>
      <c r="M74" s="101">
        <v>166</v>
      </c>
      <c r="N74" s="101">
        <v>219</v>
      </c>
      <c r="O74" s="102">
        <f>Aktiv!G81</f>
        <v>42</v>
      </c>
      <c r="P74" s="102">
        <f>Aktiv!H81</f>
        <v>131</v>
      </c>
      <c r="Q74" s="102">
        <f>Aktiv!I81</f>
        <v>144</v>
      </c>
      <c r="R74" s="102">
        <f>Aktiv!J81</f>
        <v>152</v>
      </c>
      <c r="S74" s="103">
        <f t="shared" si="4"/>
        <v>-0.25</v>
      </c>
      <c r="T74" s="103">
        <f t="shared" si="5"/>
        <v>-0.29189189189189191</v>
      </c>
      <c r="U74" s="103">
        <f t="shared" si="6"/>
        <v>0</v>
      </c>
      <c r="V74" s="103">
        <f t="shared" si="7"/>
        <v>-0.19999999999999996</v>
      </c>
    </row>
    <row r="75" spans="1:22" x14ac:dyDescent="0.25">
      <c r="A75">
        <v>3309</v>
      </c>
      <c r="B75" t="s">
        <v>90</v>
      </c>
      <c r="C75" t="s">
        <v>170</v>
      </c>
      <c r="D75" t="s">
        <v>180</v>
      </c>
      <c r="E75">
        <v>980</v>
      </c>
      <c r="F75">
        <v>360</v>
      </c>
      <c r="G75" s="101">
        <v>70</v>
      </c>
      <c r="H75" s="101">
        <v>223</v>
      </c>
      <c r="I75" s="101">
        <v>174</v>
      </c>
      <c r="J75" s="101">
        <v>209</v>
      </c>
      <c r="K75" s="101">
        <v>81</v>
      </c>
      <c r="L75" s="101">
        <v>256</v>
      </c>
      <c r="M75" s="101">
        <v>200</v>
      </c>
      <c r="N75" s="101">
        <v>240</v>
      </c>
      <c r="O75" s="102">
        <f>Aktiv!G82</f>
        <v>53</v>
      </c>
      <c r="P75" s="102">
        <f>Aktiv!H82</f>
        <v>158</v>
      </c>
      <c r="Q75" s="102">
        <f>Aktiv!I82</f>
        <v>174</v>
      </c>
      <c r="R75" s="102">
        <f>Aktiv!J82</f>
        <v>167</v>
      </c>
      <c r="S75" s="103">
        <f t="shared" si="4"/>
        <v>-0.24285714285714288</v>
      </c>
      <c r="T75" s="103">
        <f t="shared" si="5"/>
        <v>-0.29147982062780264</v>
      </c>
      <c r="U75" s="103">
        <f t="shared" si="6"/>
        <v>0</v>
      </c>
      <c r="V75" s="103">
        <f t="shared" si="7"/>
        <v>-0.20095693779904311</v>
      </c>
    </row>
    <row r="76" spans="1:22" x14ac:dyDescent="0.25">
      <c r="A76">
        <v>3310</v>
      </c>
      <c r="B76" t="s">
        <v>90</v>
      </c>
      <c r="C76" t="s">
        <v>170</v>
      </c>
      <c r="D76" t="s">
        <v>181</v>
      </c>
      <c r="E76">
        <v>360</v>
      </c>
      <c r="F76">
        <v>720</v>
      </c>
      <c r="G76" s="101">
        <v>52</v>
      </c>
      <c r="H76" s="101">
        <v>181</v>
      </c>
      <c r="I76" s="101">
        <v>143</v>
      </c>
      <c r="J76" s="101">
        <v>212</v>
      </c>
      <c r="K76" s="101">
        <v>60</v>
      </c>
      <c r="L76" s="101">
        <v>208</v>
      </c>
      <c r="M76" s="101">
        <v>164</v>
      </c>
      <c r="N76" s="101">
        <v>244</v>
      </c>
      <c r="O76" s="102">
        <f>Aktiv!G83</f>
        <v>39</v>
      </c>
      <c r="P76" s="102">
        <f>Aktiv!H83</f>
        <v>129</v>
      </c>
      <c r="Q76" s="102">
        <f>Aktiv!I83</f>
        <v>143</v>
      </c>
      <c r="R76" s="102">
        <f>Aktiv!J83</f>
        <v>170</v>
      </c>
      <c r="S76" s="103">
        <f t="shared" si="4"/>
        <v>-0.25</v>
      </c>
      <c r="T76" s="103">
        <f t="shared" si="5"/>
        <v>-0.28729281767955805</v>
      </c>
      <c r="U76" s="103">
        <f t="shared" si="6"/>
        <v>0</v>
      </c>
      <c r="V76" s="103">
        <f t="shared" si="7"/>
        <v>-0.19811320754716977</v>
      </c>
    </row>
    <row r="77" spans="1:22" x14ac:dyDescent="0.25">
      <c r="A77">
        <v>3311</v>
      </c>
      <c r="B77" t="s">
        <v>90</v>
      </c>
      <c r="C77" t="s">
        <v>170</v>
      </c>
      <c r="D77" t="s">
        <v>182</v>
      </c>
      <c r="E77">
        <v>420</v>
      </c>
      <c r="F77">
        <v>720</v>
      </c>
      <c r="G77" s="101">
        <v>60</v>
      </c>
      <c r="H77" s="101">
        <v>212</v>
      </c>
      <c r="I77" s="101">
        <v>166</v>
      </c>
      <c r="J77" s="101">
        <v>212</v>
      </c>
      <c r="K77" s="101">
        <v>69</v>
      </c>
      <c r="L77" s="101">
        <v>244</v>
      </c>
      <c r="M77" s="101">
        <v>191</v>
      </c>
      <c r="N77" s="101">
        <v>244</v>
      </c>
      <c r="O77" s="102">
        <f>Aktiv!G84</f>
        <v>45</v>
      </c>
      <c r="P77" s="102">
        <f>Aktiv!H84</f>
        <v>151</v>
      </c>
      <c r="Q77" s="102">
        <f>Aktiv!I84</f>
        <v>166</v>
      </c>
      <c r="R77" s="102">
        <f>Aktiv!J84</f>
        <v>170</v>
      </c>
      <c r="S77" s="103">
        <f t="shared" si="4"/>
        <v>-0.25</v>
      </c>
      <c r="T77" s="103">
        <f t="shared" si="5"/>
        <v>-0.28773584905660377</v>
      </c>
      <c r="U77" s="103">
        <f t="shared" si="6"/>
        <v>0</v>
      </c>
      <c r="V77" s="103">
        <f t="shared" si="7"/>
        <v>-0.19811320754716977</v>
      </c>
    </row>
    <row r="78" spans="1:22" x14ac:dyDescent="0.25">
      <c r="A78">
        <v>3312</v>
      </c>
      <c r="B78" t="s">
        <v>90</v>
      </c>
      <c r="C78" t="s">
        <v>170</v>
      </c>
      <c r="D78" t="s">
        <v>183</v>
      </c>
      <c r="E78">
        <v>580</v>
      </c>
      <c r="F78">
        <v>720</v>
      </c>
      <c r="G78" s="101">
        <v>82</v>
      </c>
      <c r="H78" s="101">
        <v>262</v>
      </c>
      <c r="I78" s="101">
        <v>216</v>
      </c>
      <c r="J78" s="101">
        <v>245</v>
      </c>
      <c r="K78" s="101">
        <v>94</v>
      </c>
      <c r="L78" s="101">
        <v>301</v>
      </c>
      <c r="M78" s="101">
        <v>248</v>
      </c>
      <c r="N78" s="101">
        <v>282</v>
      </c>
      <c r="O78" s="102">
        <f>Aktiv!G85</f>
        <v>62</v>
      </c>
      <c r="P78" s="102">
        <f>Aktiv!H85</f>
        <v>186</v>
      </c>
      <c r="Q78" s="102">
        <f>Aktiv!I85</f>
        <v>216</v>
      </c>
      <c r="R78" s="102">
        <f>Aktiv!J85</f>
        <v>196</v>
      </c>
      <c r="S78" s="103">
        <f t="shared" si="4"/>
        <v>-0.24390243902439024</v>
      </c>
      <c r="T78" s="103">
        <f t="shared" si="5"/>
        <v>-0.29007633587786263</v>
      </c>
      <c r="U78" s="103">
        <f t="shared" si="6"/>
        <v>0</v>
      </c>
      <c r="V78" s="103">
        <f t="shared" si="7"/>
        <v>-0.19999999999999996</v>
      </c>
    </row>
    <row r="79" spans="1:22" x14ac:dyDescent="0.25">
      <c r="A79">
        <v>3313</v>
      </c>
      <c r="B79" t="s">
        <v>90</v>
      </c>
      <c r="C79" t="s">
        <v>170</v>
      </c>
      <c r="D79" t="s">
        <v>184</v>
      </c>
      <c r="E79">
        <v>780</v>
      </c>
      <c r="F79">
        <v>720</v>
      </c>
      <c r="G79" s="101">
        <v>107</v>
      </c>
      <c r="H79" s="101">
        <v>355</v>
      </c>
      <c r="I79" s="101">
        <v>277</v>
      </c>
      <c r="J79" s="101">
        <v>268</v>
      </c>
      <c r="K79" s="101">
        <v>123</v>
      </c>
      <c r="L79" s="101">
        <v>408</v>
      </c>
      <c r="M79" s="101">
        <v>319</v>
      </c>
      <c r="N79" s="101">
        <v>308</v>
      </c>
      <c r="O79" s="102">
        <f>Aktiv!G86</f>
        <v>80</v>
      </c>
      <c r="P79" s="102">
        <f>Aktiv!H86</f>
        <v>252</v>
      </c>
      <c r="Q79" s="102">
        <f>Aktiv!I86</f>
        <v>277</v>
      </c>
      <c r="R79" s="102">
        <f>Aktiv!J86</f>
        <v>214</v>
      </c>
      <c r="S79" s="103">
        <f t="shared" si="4"/>
        <v>-0.25233644859813087</v>
      </c>
      <c r="T79" s="103">
        <f t="shared" si="5"/>
        <v>-0.29014084507042248</v>
      </c>
      <c r="U79" s="103">
        <f t="shared" si="6"/>
        <v>0</v>
      </c>
      <c r="V79" s="103">
        <f t="shared" si="7"/>
        <v>-0.20149253731343286</v>
      </c>
    </row>
    <row r="80" spans="1:22" x14ac:dyDescent="0.25">
      <c r="A80">
        <v>3314</v>
      </c>
      <c r="B80" t="s">
        <v>90</v>
      </c>
      <c r="C80" t="s">
        <v>170</v>
      </c>
      <c r="D80" t="s">
        <v>185</v>
      </c>
      <c r="E80">
        <v>980</v>
      </c>
      <c r="F80">
        <v>720</v>
      </c>
      <c r="G80" s="101">
        <v>134</v>
      </c>
      <c r="H80" s="101">
        <v>406</v>
      </c>
      <c r="I80" s="101">
        <v>320</v>
      </c>
      <c r="J80" s="101">
        <v>329</v>
      </c>
      <c r="K80" s="101">
        <v>154</v>
      </c>
      <c r="L80" s="101">
        <v>467</v>
      </c>
      <c r="M80" s="101">
        <v>368</v>
      </c>
      <c r="N80" s="101">
        <v>378</v>
      </c>
      <c r="O80" s="102">
        <f>Aktiv!G87</f>
        <v>101</v>
      </c>
      <c r="P80" s="102">
        <f>Aktiv!H87</f>
        <v>288</v>
      </c>
      <c r="Q80" s="102">
        <f>Aktiv!I87</f>
        <v>320</v>
      </c>
      <c r="R80" s="102">
        <f>Aktiv!J87</f>
        <v>263</v>
      </c>
      <c r="S80" s="103">
        <f t="shared" si="4"/>
        <v>-0.24626865671641796</v>
      </c>
      <c r="T80" s="103">
        <f t="shared" si="5"/>
        <v>-0.29064039408866993</v>
      </c>
      <c r="U80" s="103">
        <f t="shared" si="6"/>
        <v>0</v>
      </c>
      <c r="V80" s="103">
        <f t="shared" si="7"/>
        <v>-0.20060790273556228</v>
      </c>
    </row>
    <row r="81" spans="1:22" x14ac:dyDescent="0.25">
      <c r="A81">
        <v>3315</v>
      </c>
      <c r="B81" t="s">
        <v>90</v>
      </c>
      <c r="C81" t="s">
        <v>170</v>
      </c>
      <c r="D81" t="s">
        <v>186</v>
      </c>
      <c r="E81">
        <v>360</v>
      </c>
      <c r="F81">
        <v>1080</v>
      </c>
      <c r="G81" s="101">
        <v>88</v>
      </c>
      <c r="H81" s="101">
        <v>267</v>
      </c>
      <c r="I81" s="101">
        <v>222</v>
      </c>
      <c r="J81" s="101">
        <v>240</v>
      </c>
      <c r="K81" s="101">
        <v>101</v>
      </c>
      <c r="L81" s="101">
        <v>307</v>
      </c>
      <c r="M81" s="101">
        <v>255</v>
      </c>
      <c r="N81" s="101">
        <v>276</v>
      </c>
      <c r="O81" s="102">
        <f>Aktiv!G88</f>
        <v>66</v>
      </c>
      <c r="P81" s="102">
        <f>Aktiv!H88</f>
        <v>190</v>
      </c>
      <c r="Q81" s="102">
        <f>Aktiv!I88</f>
        <v>222</v>
      </c>
      <c r="R81" s="102">
        <f>Aktiv!J88</f>
        <v>192</v>
      </c>
      <c r="S81" s="103">
        <f t="shared" si="4"/>
        <v>-0.25</v>
      </c>
      <c r="T81" s="103">
        <f t="shared" si="5"/>
        <v>-0.28838951310861427</v>
      </c>
      <c r="U81" s="103">
        <f t="shared" si="6"/>
        <v>0</v>
      </c>
      <c r="V81" s="103">
        <f t="shared" si="7"/>
        <v>-0.19999999999999996</v>
      </c>
    </row>
    <row r="82" spans="1:22" x14ac:dyDescent="0.25">
      <c r="A82">
        <v>3316</v>
      </c>
      <c r="B82" t="s">
        <v>90</v>
      </c>
      <c r="C82" t="s">
        <v>170</v>
      </c>
      <c r="D82" t="s">
        <v>187</v>
      </c>
      <c r="E82">
        <v>420</v>
      </c>
      <c r="F82">
        <v>1080</v>
      </c>
      <c r="G82" s="101">
        <v>88</v>
      </c>
      <c r="H82" s="101">
        <v>304</v>
      </c>
      <c r="I82" s="101">
        <v>241</v>
      </c>
      <c r="J82" s="101">
        <v>259</v>
      </c>
      <c r="K82" s="101">
        <v>101</v>
      </c>
      <c r="L82" s="101">
        <v>350</v>
      </c>
      <c r="M82" s="101">
        <v>277</v>
      </c>
      <c r="N82" s="101">
        <v>298</v>
      </c>
      <c r="O82" s="102">
        <f>Aktiv!G89</f>
        <v>66</v>
      </c>
      <c r="P82" s="102">
        <f>Aktiv!H89</f>
        <v>216</v>
      </c>
      <c r="Q82" s="102">
        <f>Aktiv!I89</f>
        <v>241</v>
      </c>
      <c r="R82" s="102">
        <f>Aktiv!J89</f>
        <v>207</v>
      </c>
      <c r="S82" s="103">
        <f t="shared" si="4"/>
        <v>-0.25</v>
      </c>
      <c r="T82" s="103">
        <f t="shared" si="5"/>
        <v>-0.28947368421052633</v>
      </c>
      <c r="U82" s="103">
        <f t="shared" si="6"/>
        <v>0</v>
      </c>
      <c r="V82" s="103">
        <f t="shared" si="7"/>
        <v>-0.20077220077220082</v>
      </c>
    </row>
    <row r="83" spans="1:22" x14ac:dyDescent="0.25">
      <c r="A83">
        <v>3317</v>
      </c>
      <c r="B83" t="s">
        <v>90</v>
      </c>
      <c r="C83" t="s">
        <v>170</v>
      </c>
      <c r="D83" t="s">
        <v>188</v>
      </c>
      <c r="E83">
        <v>580</v>
      </c>
      <c r="F83">
        <v>1080</v>
      </c>
      <c r="G83" s="101">
        <v>119</v>
      </c>
      <c r="H83" s="101">
        <v>377</v>
      </c>
      <c r="I83" s="101">
        <v>300</v>
      </c>
      <c r="J83" s="101">
        <v>307</v>
      </c>
      <c r="K83" s="101">
        <v>137</v>
      </c>
      <c r="L83" s="101">
        <v>434</v>
      </c>
      <c r="M83" s="101">
        <v>345</v>
      </c>
      <c r="N83" s="101">
        <v>353</v>
      </c>
      <c r="O83" s="102">
        <f>Aktiv!G90</f>
        <v>89</v>
      </c>
      <c r="P83" s="102">
        <f>Aktiv!H90</f>
        <v>268</v>
      </c>
      <c r="Q83" s="102">
        <f>Aktiv!I90</f>
        <v>300</v>
      </c>
      <c r="R83" s="102">
        <f>Aktiv!J90</f>
        <v>246</v>
      </c>
      <c r="S83" s="103">
        <f t="shared" si="4"/>
        <v>-0.25210084033613445</v>
      </c>
      <c r="T83" s="103">
        <f t="shared" si="5"/>
        <v>-0.28912466843501328</v>
      </c>
      <c r="U83" s="103">
        <f t="shared" si="6"/>
        <v>0</v>
      </c>
      <c r="V83" s="103">
        <f t="shared" si="7"/>
        <v>-0.19869706840390877</v>
      </c>
    </row>
    <row r="84" spans="1:22" x14ac:dyDescent="0.25">
      <c r="A84">
        <v>3318</v>
      </c>
      <c r="B84" t="s">
        <v>90</v>
      </c>
      <c r="C84" t="s">
        <v>170</v>
      </c>
      <c r="D84" t="s">
        <v>189</v>
      </c>
      <c r="E84">
        <v>780</v>
      </c>
      <c r="F84">
        <v>1080</v>
      </c>
      <c r="G84" s="101">
        <v>161</v>
      </c>
      <c r="H84" s="101">
        <v>517</v>
      </c>
      <c r="I84" s="101">
        <v>409</v>
      </c>
      <c r="J84" s="101">
        <v>385</v>
      </c>
      <c r="K84" s="101">
        <v>185</v>
      </c>
      <c r="L84" s="101">
        <v>595</v>
      </c>
      <c r="M84" s="101">
        <v>470</v>
      </c>
      <c r="N84" s="101">
        <v>443</v>
      </c>
      <c r="O84" s="102">
        <f>Aktiv!G91</f>
        <v>121</v>
      </c>
      <c r="P84" s="102">
        <f>Aktiv!H91</f>
        <v>367</v>
      </c>
      <c r="Q84" s="102">
        <f>Aktiv!I91</f>
        <v>409</v>
      </c>
      <c r="R84" s="102">
        <f>Aktiv!J91</f>
        <v>308</v>
      </c>
      <c r="S84" s="103">
        <f t="shared" si="4"/>
        <v>-0.24844720496894412</v>
      </c>
      <c r="T84" s="103">
        <f t="shared" si="5"/>
        <v>-0.29013539651837528</v>
      </c>
      <c r="U84" s="103">
        <f t="shared" si="6"/>
        <v>0</v>
      </c>
      <c r="V84" s="103">
        <f t="shared" si="7"/>
        <v>-0.19999999999999996</v>
      </c>
    </row>
    <row r="85" spans="1:22" x14ac:dyDescent="0.25">
      <c r="A85">
        <v>3319</v>
      </c>
      <c r="B85" t="s">
        <v>90</v>
      </c>
      <c r="C85" t="s">
        <v>170</v>
      </c>
      <c r="D85" t="s">
        <v>190</v>
      </c>
      <c r="E85">
        <v>980</v>
      </c>
      <c r="F85">
        <v>1080</v>
      </c>
      <c r="G85" s="101">
        <v>200</v>
      </c>
      <c r="H85" s="101">
        <v>626</v>
      </c>
      <c r="I85" s="101">
        <v>474</v>
      </c>
      <c r="J85" s="101">
        <v>431</v>
      </c>
      <c r="K85" s="101">
        <v>230</v>
      </c>
      <c r="L85" s="101">
        <v>720</v>
      </c>
      <c r="M85" s="101">
        <v>545</v>
      </c>
      <c r="N85" s="101">
        <v>496</v>
      </c>
      <c r="O85" s="102">
        <f>Aktiv!G92</f>
        <v>150</v>
      </c>
      <c r="P85" s="102">
        <f>Aktiv!H92</f>
        <v>444</v>
      </c>
      <c r="Q85" s="102">
        <f>Aktiv!I92</f>
        <v>474</v>
      </c>
      <c r="R85" s="102">
        <f>Aktiv!J92</f>
        <v>345</v>
      </c>
      <c r="S85" s="103">
        <f t="shared" si="4"/>
        <v>-0.25</v>
      </c>
      <c r="T85" s="103">
        <f t="shared" si="5"/>
        <v>-0.29073482428115016</v>
      </c>
      <c r="U85" s="103">
        <f t="shared" si="6"/>
        <v>0</v>
      </c>
      <c r="V85" s="103">
        <f t="shared" si="7"/>
        <v>-0.19953596287703013</v>
      </c>
    </row>
    <row r="86" spans="1:22" x14ac:dyDescent="0.25">
      <c r="A86">
        <v>3320</v>
      </c>
      <c r="B86" t="s">
        <v>90</v>
      </c>
      <c r="C86" t="s">
        <v>170</v>
      </c>
      <c r="D86" t="s">
        <v>191</v>
      </c>
      <c r="E86">
        <v>360</v>
      </c>
      <c r="F86">
        <v>1440</v>
      </c>
      <c r="G86" s="101">
        <v>100</v>
      </c>
      <c r="H86" s="101">
        <v>336</v>
      </c>
      <c r="I86" s="101">
        <v>281</v>
      </c>
      <c r="J86" s="101">
        <v>529</v>
      </c>
      <c r="K86" s="101">
        <v>115</v>
      </c>
      <c r="L86" s="101">
        <v>386</v>
      </c>
      <c r="M86" s="101">
        <v>323</v>
      </c>
      <c r="N86" s="101">
        <v>608</v>
      </c>
      <c r="O86" s="102">
        <f>Aktiv!G93</f>
        <v>75</v>
      </c>
      <c r="P86" s="102">
        <f>Aktiv!H93</f>
        <v>239</v>
      </c>
      <c r="Q86" s="102">
        <f>Aktiv!I93</f>
        <v>281</v>
      </c>
      <c r="R86" s="102">
        <f>Aktiv!J93</f>
        <v>423</v>
      </c>
      <c r="S86" s="103">
        <f t="shared" si="4"/>
        <v>-0.25</v>
      </c>
      <c r="T86" s="103">
        <f t="shared" si="5"/>
        <v>-0.28869047619047616</v>
      </c>
      <c r="U86" s="103">
        <f t="shared" si="6"/>
        <v>0</v>
      </c>
      <c r="V86" s="103">
        <f t="shared" si="7"/>
        <v>-0.20037807183364842</v>
      </c>
    </row>
    <row r="87" spans="1:22" x14ac:dyDescent="0.25">
      <c r="A87">
        <v>3321</v>
      </c>
      <c r="B87" t="s">
        <v>90</v>
      </c>
      <c r="C87" t="s">
        <v>170</v>
      </c>
      <c r="D87" t="s">
        <v>192</v>
      </c>
      <c r="E87">
        <v>420</v>
      </c>
      <c r="F87">
        <v>1440</v>
      </c>
      <c r="G87" s="101">
        <v>115</v>
      </c>
      <c r="H87" s="101">
        <v>365</v>
      </c>
      <c r="I87" s="101">
        <v>291</v>
      </c>
      <c r="J87" s="101">
        <v>547</v>
      </c>
      <c r="K87" s="101">
        <v>132</v>
      </c>
      <c r="L87" s="101">
        <v>420</v>
      </c>
      <c r="M87" s="101">
        <v>335</v>
      </c>
      <c r="N87" s="101">
        <v>629</v>
      </c>
      <c r="O87" s="102">
        <f>Aktiv!G94</f>
        <v>86</v>
      </c>
      <c r="P87" s="102">
        <f>Aktiv!H94</f>
        <v>259</v>
      </c>
      <c r="Q87" s="102">
        <f>Aktiv!I94</f>
        <v>291</v>
      </c>
      <c r="R87" s="102">
        <f>Aktiv!J94</f>
        <v>438</v>
      </c>
      <c r="S87" s="103">
        <f t="shared" si="4"/>
        <v>-0.25217391304347825</v>
      </c>
      <c r="T87" s="103">
        <f t="shared" si="5"/>
        <v>-0.29041095890410962</v>
      </c>
      <c r="U87" s="103">
        <f t="shared" si="6"/>
        <v>0</v>
      </c>
      <c r="V87" s="103">
        <f t="shared" si="7"/>
        <v>-0.19926873857404026</v>
      </c>
    </row>
    <row r="88" spans="1:22" x14ac:dyDescent="0.25">
      <c r="A88">
        <v>3322</v>
      </c>
      <c r="B88" t="s">
        <v>90</v>
      </c>
      <c r="C88" t="s">
        <v>170</v>
      </c>
      <c r="D88" t="s">
        <v>193</v>
      </c>
      <c r="E88">
        <v>580</v>
      </c>
      <c r="F88">
        <v>1440</v>
      </c>
      <c r="G88" s="101">
        <v>158</v>
      </c>
      <c r="H88" s="101">
        <v>484</v>
      </c>
      <c r="I88" s="101">
        <v>400</v>
      </c>
      <c r="J88" s="101">
        <v>752</v>
      </c>
      <c r="K88" s="101">
        <v>182</v>
      </c>
      <c r="L88" s="101">
        <v>557</v>
      </c>
      <c r="M88" s="101">
        <v>460</v>
      </c>
      <c r="N88" s="101">
        <v>865</v>
      </c>
      <c r="O88" s="102">
        <f>Aktiv!G95</f>
        <v>119</v>
      </c>
      <c r="P88" s="102">
        <f>Aktiv!H95</f>
        <v>344</v>
      </c>
      <c r="Q88" s="102">
        <f>Aktiv!I95</f>
        <v>400</v>
      </c>
      <c r="R88" s="102">
        <f>Aktiv!J95</f>
        <v>602</v>
      </c>
      <c r="S88" s="103">
        <f t="shared" si="4"/>
        <v>-0.24683544303797467</v>
      </c>
      <c r="T88" s="103">
        <f t="shared" si="5"/>
        <v>-0.28925619834710747</v>
      </c>
      <c r="U88" s="103">
        <f t="shared" si="6"/>
        <v>0</v>
      </c>
      <c r="V88" s="103">
        <f t="shared" si="7"/>
        <v>-0.19946808510638303</v>
      </c>
    </row>
    <row r="89" spans="1:22" x14ac:dyDescent="0.25">
      <c r="A89">
        <v>3323</v>
      </c>
      <c r="B89" t="s">
        <v>90</v>
      </c>
      <c r="C89" t="s">
        <v>170</v>
      </c>
      <c r="D89" t="s">
        <v>194</v>
      </c>
      <c r="E89">
        <v>780</v>
      </c>
      <c r="F89">
        <v>1440</v>
      </c>
      <c r="G89" s="101">
        <v>211</v>
      </c>
      <c r="H89" s="101">
        <v>630</v>
      </c>
      <c r="I89" s="101">
        <v>499</v>
      </c>
      <c r="J89" s="101">
        <v>939</v>
      </c>
      <c r="K89" s="101">
        <v>243</v>
      </c>
      <c r="L89" s="101">
        <v>725</v>
      </c>
      <c r="M89" s="101">
        <v>574</v>
      </c>
      <c r="N89" s="101">
        <v>1080</v>
      </c>
      <c r="O89" s="102">
        <f>Aktiv!G96</f>
        <v>158</v>
      </c>
      <c r="P89" s="102">
        <f>Aktiv!H96</f>
        <v>447</v>
      </c>
      <c r="Q89" s="102">
        <f>Aktiv!I96</f>
        <v>499</v>
      </c>
      <c r="R89" s="102">
        <f>Aktiv!J96</f>
        <v>751</v>
      </c>
      <c r="S89" s="103">
        <f t="shared" si="4"/>
        <v>-0.25118483412322279</v>
      </c>
      <c r="T89" s="103">
        <f t="shared" si="5"/>
        <v>-0.29047619047619044</v>
      </c>
      <c r="U89" s="103">
        <f t="shared" si="6"/>
        <v>0</v>
      </c>
      <c r="V89" s="103">
        <f t="shared" si="7"/>
        <v>-0.20021299254526093</v>
      </c>
    </row>
    <row r="90" spans="1:22" x14ac:dyDescent="0.25">
      <c r="A90">
        <v>3324</v>
      </c>
      <c r="B90" t="s">
        <v>90</v>
      </c>
      <c r="C90" t="s">
        <v>170</v>
      </c>
      <c r="D90" t="s">
        <v>195</v>
      </c>
      <c r="E90">
        <v>980</v>
      </c>
      <c r="F90">
        <v>1440</v>
      </c>
      <c r="G90" s="101">
        <v>264</v>
      </c>
      <c r="H90" s="101">
        <v>778</v>
      </c>
      <c r="I90" s="101">
        <v>616</v>
      </c>
      <c r="J90" s="101">
        <v>1159</v>
      </c>
      <c r="K90" s="101">
        <v>304</v>
      </c>
      <c r="L90" s="101">
        <v>895</v>
      </c>
      <c r="M90" s="101">
        <v>708</v>
      </c>
      <c r="N90" s="101">
        <v>1333</v>
      </c>
      <c r="O90" s="102">
        <f>Aktiv!G97</f>
        <v>198</v>
      </c>
      <c r="P90" s="102">
        <f>Aktiv!H97</f>
        <v>552</v>
      </c>
      <c r="Q90" s="102">
        <f>Aktiv!I97</f>
        <v>616</v>
      </c>
      <c r="R90" s="102">
        <f>Aktiv!J97</f>
        <v>927</v>
      </c>
      <c r="S90" s="103">
        <f t="shared" si="4"/>
        <v>-0.25</v>
      </c>
      <c r="T90" s="103">
        <f t="shared" si="5"/>
        <v>-0.29048843187660667</v>
      </c>
      <c r="U90" s="103">
        <f t="shared" si="6"/>
        <v>0</v>
      </c>
      <c r="V90" s="103">
        <f t="shared" si="7"/>
        <v>-0.20017256255392579</v>
      </c>
    </row>
    <row r="91" spans="1:22" x14ac:dyDescent="0.25">
      <c r="A91">
        <v>3325</v>
      </c>
      <c r="B91" t="s">
        <v>90</v>
      </c>
      <c r="C91" t="s">
        <v>170</v>
      </c>
      <c r="D91" t="s">
        <v>196</v>
      </c>
      <c r="E91">
        <v>360</v>
      </c>
      <c r="F91">
        <v>1800</v>
      </c>
      <c r="G91" s="101">
        <v>125</v>
      </c>
      <c r="H91" s="101">
        <v>246</v>
      </c>
      <c r="I91" s="101">
        <v>343</v>
      </c>
      <c r="J91" s="101">
        <v>645</v>
      </c>
      <c r="K91" s="101">
        <v>144</v>
      </c>
      <c r="L91" s="101">
        <v>283</v>
      </c>
      <c r="M91" s="101">
        <v>394</v>
      </c>
      <c r="N91" s="101">
        <v>742</v>
      </c>
      <c r="O91" s="102">
        <f>Aktiv!G98</f>
        <v>94</v>
      </c>
      <c r="P91" s="102">
        <f>Aktiv!H98</f>
        <v>175</v>
      </c>
      <c r="Q91" s="102">
        <f>Aktiv!I98</f>
        <v>343</v>
      </c>
      <c r="R91" s="102">
        <f>Aktiv!J98</f>
        <v>516</v>
      </c>
      <c r="S91" s="103">
        <f t="shared" si="4"/>
        <v>-0.248</v>
      </c>
      <c r="T91" s="103">
        <f t="shared" si="5"/>
        <v>-0.28861788617886175</v>
      </c>
      <c r="U91" s="103">
        <f t="shared" si="6"/>
        <v>0</v>
      </c>
      <c r="V91" s="103">
        <f t="shared" si="7"/>
        <v>-0.19999999999999996</v>
      </c>
    </row>
    <row r="92" spans="1:22" x14ac:dyDescent="0.25">
      <c r="A92">
        <v>3326</v>
      </c>
      <c r="B92" t="s">
        <v>90</v>
      </c>
      <c r="C92" t="s">
        <v>170</v>
      </c>
      <c r="D92" t="s">
        <v>197</v>
      </c>
      <c r="E92">
        <v>420</v>
      </c>
      <c r="F92">
        <v>1800</v>
      </c>
      <c r="G92" s="101">
        <v>143</v>
      </c>
      <c r="H92" s="101">
        <v>281</v>
      </c>
      <c r="I92" s="101">
        <v>350</v>
      </c>
      <c r="J92" s="101">
        <v>658</v>
      </c>
      <c r="K92" s="101">
        <v>164</v>
      </c>
      <c r="L92" s="101">
        <v>323</v>
      </c>
      <c r="M92" s="101">
        <v>403</v>
      </c>
      <c r="N92" s="101">
        <v>757</v>
      </c>
      <c r="O92" s="102">
        <f>Aktiv!G99</f>
        <v>107</v>
      </c>
      <c r="P92" s="102">
        <f>Aktiv!H99</f>
        <v>200</v>
      </c>
      <c r="Q92" s="102">
        <f>Aktiv!I99</f>
        <v>350</v>
      </c>
      <c r="R92" s="102">
        <f>Aktiv!J99</f>
        <v>526</v>
      </c>
      <c r="S92" s="103">
        <f t="shared" si="4"/>
        <v>-0.25174825174825177</v>
      </c>
      <c r="T92" s="103">
        <f t="shared" si="5"/>
        <v>-0.28825622775800708</v>
      </c>
      <c r="U92" s="103">
        <f t="shared" si="6"/>
        <v>0</v>
      </c>
      <c r="V92" s="103">
        <f t="shared" si="7"/>
        <v>-0.20060790273556228</v>
      </c>
    </row>
    <row r="93" spans="1:22" x14ac:dyDescent="0.25">
      <c r="A93">
        <v>3327</v>
      </c>
      <c r="B93" t="s">
        <v>90</v>
      </c>
      <c r="C93" t="s">
        <v>170</v>
      </c>
      <c r="D93" t="s">
        <v>198</v>
      </c>
      <c r="E93">
        <v>580</v>
      </c>
      <c r="F93">
        <v>1800</v>
      </c>
      <c r="G93" s="101">
        <v>197</v>
      </c>
      <c r="H93" s="101">
        <v>388</v>
      </c>
      <c r="I93" s="101">
        <v>467</v>
      </c>
      <c r="J93" s="101">
        <v>879</v>
      </c>
      <c r="K93" s="101">
        <v>227</v>
      </c>
      <c r="L93" s="101">
        <v>446</v>
      </c>
      <c r="M93" s="101">
        <v>537</v>
      </c>
      <c r="N93" s="101">
        <v>1011</v>
      </c>
      <c r="O93" s="102">
        <f>Aktiv!G100</f>
        <v>148</v>
      </c>
      <c r="P93" s="102">
        <f>Aktiv!H100</f>
        <v>275</v>
      </c>
      <c r="Q93" s="102">
        <f>Aktiv!I100</f>
        <v>467</v>
      </c>
      <c r="R93" s="102">
        <f>Aktiv!J100</f>
        <v>703</v>
      </c>
      <c r="S93" s="103">
        <f t="shared" si="4"/>
        <v>-0.24873096446700504</v>
      </c>
      <c r="T93" s="103">
        <f t="shared" si="5"/>
        <v>-0.29123711340206182</v>
      </c>
      <c r="U93" s="103">
        <f t="shared" si="6"/>
        <v>0</v>
      </c>
      <c r="V93" s="103">
        <f t="shared" si="7"/>
        <v>-0.20022753128555182</v>
      </c>
    </row>
    <row r="94" spans="1:22" x14ac:dyDescent="0.25">
      <c r="A94">
        <v>3328</v>
      </c>
      <c r="B94" t="s">
        <v>90</v>
      </c>
      <c r="C94" t="s">
        <v>170</v>
      </c>
      <c r="D94" t="s">
        <v>199</v>
      </c>
      <c r="E94">
        <v>780</v>
      </c>
      <c r="F94">
        <v>1800</v>
      </c>
      <c r="G94" s="101">
        <v>264</v>
      </c>
      <c r="H94" s="101">
        <v>520</v>
      </c>
      <c r="I94" s="101">
        <v>612</v>
      </c>
      <c r="J94" s="101">
        <v>1151</v>
      </c>
      <c r="K94" s="101">
        <v>304</v>
      </c>
      <c r="L94" s="101">
        <v>598</v>
      </c>
      <c r="M94" s="101">
        <v>704</v>
      </c>
      <c r="N94" s="101">
        <v>1324</v>
      </c>
      <c r="O94" s="102">
        <f>Aktiv!G101</f>
        <v>198</v>
      </c>
      <c r="P94" s="102">
        <f>Aktiv!H101</f>
        <v>369</v>
      </c>
      <c r="Q94" s="102">
        <f>Aktiv!I101</f>
        <v>612</v>
      </c>
      <c r="R94" s="102">
        <f>Aktiv!J101</f>
        <v>921</v>
      </c>
      <c r="S94" s="103">
        <f t="shared" si="4"/>
        <v>-0.25</v>
      </c>
      <c r="T94" s="103">
        <f t="shared" si="5"/>
        <v>-0.29038461538461535</v>
      </c>
      <c r="U94" s="103">
        <f t="shared" si="6"/>
        <v>0</v>
      </c>
      <c r="V94" s="103">
        <f t="shared" si="7"/>
        <v>-0.19982623805386623</v>
      </c>
    </row>
    <row r="95" spans="1:22" x14ac:dyDescent="0.25">
      <c r="A95">
        <v>3329</v>
      </c>
      <c r="B95" t="s">
        <v>90</v>
      </c>
      <c r="C95" t="s">
        <v>170</v>
      </c>
      <c r="D95" t="s">
        <v>200</v>
      </c>
      <c r="E95">
        <v>980</v>
      </c>
      <c r="F95">
        <v>1800</v>
      </c>
      <c r="G95" s="101">
        <v>329</v>
      </c>
      <c r="H95" s="101">
        <v>648</v>
      </c>
      <c r="I95" s="101">
        <v>753</v>
      </c>
      <c r="J95" s="101">
        <v>1417</v>
      </c>
      <c r="K95" s="101">
        <v>378</v>
      </c>
      <c r="L95" s="101">
        <v>745</v>
      </c>
      <c r="M95" s="101">
        <v>866</v>
      </c>
      <c r="N95" s="101">
        <v>1630</v>
      </c>
      <c r="O95" s="102">
        <f>Aktiv!G102</f>
        <v>247</v>
      </c>
      <c r="P95" s="102">
        <f>Aktiv!H102</f>
        <v>460</v>
      </c>
      <c r="Q95" s="102">
        <f>Aktiv!I102</f>
        <v>753</v>
      </c>
      <c r="R95" s="102">
        <f>Aktiv!J102</f>
        <v>1134</v>
      </c>
      <c r="S95" s="103">
        <f t="shared" si="4"/>
        <v>-0.24924012158054709</v>
      </c>
      <c r="T95" s="103">
        <f t="shared" si="5"/>
        <v>-0.29012345679012341</v>
      </c>
      <c r="U95" s="103">
        <f t="shared" si="6"/>
        <v>0</v>
      </c>
      <c r="V95" s="103">
        <f t="shared" si="7"/>
        <v>-0.19971771347918132</v>
      </c>
    </row>
    <row r="96" spans="1:22" x14ac:dyDescent="0.25">
      <c r="A96">
        <v>3500</v>
      </c>
      <c r="B96" t="s">
        <v>90</v>
      </c>
      <c r="C96" t="s">
        <v>201</v>
      </c>
      <c r="D96" t="s">
        <v>202</v>
      </c>
      <c r="E96">
        <v>360</v>
      </c>
      <c r="F96">
        <v>180</v>
      </c>
      <c r="G96" s="101">
        <v>34</v>
      </c>
      <c r="H96" s="101">
        <v>114</v>
      </c>
      <c r="I96" s="101">
        <v>89</v>
      </c>
      <c r="J96" s="101">
        <v>201</v>
      </c>
      <c r="K96" s="101">
        <v>39</v>
      </c>
      <c r="L96" s="101">
        <v>131</v>
      </c>
      <c r="M96" s="101">
        <v>102</v>
      </c>
      <c r="N96" s="101">
        <v>231</v>
      </c>
      <c r="O96" s="102">
        <f>Aktiv!G104</f>
        <v>26</v>
      </c>
      <c r="P96" s="102">
        <f>Aktiv!H104</f>
        <v>79</v>
      </c>
      <c r="Q96" s="102">
        <f>Aktiv!I104</f>
        <v>88</v>
      </c>
      <c r="R96" s="102">
        <f>Aktiv!J104</f>
        <v>161</v>
      </c>
      <c r="S96" s="103">
        <f t="shared" si="4"/>
        <v>-0.23529411764705888</v>
      </c>
      <c r="T96" s="103">
        <f t="shared" si="5"/>
        <v>-0.30701754385964908</v>
      </c>
      <c r="U96" s="103">
        <f t="shared" si="6"/>
        <v>-1.1235955056179803E-2</v>
      </c>
      <c r="V96" s="103">
        <f t="shared" si="7"/>
        <v>-0.19900497512437809</v>
      </c>
    </row>
    <row r="97" spans="1:22" x14ac:dyDescent="0.25">
      <c r="A97">
        <v>3501</v>
      </c>
      <c r="B97" t="s">
        <v>90</v>
      </c>
      <c r="C97" t="s">
        <v>201</v>
      </c>
      <c r="D97" t="s">
        <v>203</v>
      </c>
      <c r="E97">
        <v>360</v>
      </c>
      <c r="F97">
        <v>360</v>
      </c>
      <c r="G97" s="101">
        <v>34</v>
      </c>
      <c r="H97" s="101">
        <v>114</v>
      </c>
      <c r="I97" s="101">
        <v>89</v>
      </c>
      <c r="J97" s="101">
        <v>177</v>
      </c>
      <c r="K97" s="101">
        <v>39</v>
      </c>
      <c r="L97" s="101">
        <v>131</v>
      </c>
      <c r="M97" s="101">
        <v>102</v>
      </c>
      <c r="N97" s="101">
        <v>204</v>
      </c>
      <c r="O97" s="102">
        <f>Aktiv!G105</f>
        <v>26</v>
      </c>
      <c r="P97" s="102">
        <f>Aktiv!H105</f>
        <v>79</v>
      </c>
      <c r="Q97" s="102">
        <f>Aktiv!I105</f>
        <v>88</v>
      </c>
      <c r="R97" s="102">
        <f>Aktiv!J105</f>
        <v>142</v>
      </c>
      <c r="S97" s="103">
        <f t="shared" si="4"/>
        <v>-0.23529411764705888</v>
      </c>
      <c r="T97" s="103">
        <f t="shared" si="5"/>
        <v>-0.30701754385964908</v>
      </c>
      <c r="U97" s="103">
        <f t="shared" si="6"/>
        <v>-1.1235955056179803E-2</v>
      </c>
      <c r="V97" s="103">
        <f t="shared" si="7"/>
        <v>-0.19774011299435024</v>
      </c>
    </row>
    <row r="98" spans="1:22" x14ac:dyDescent="0.25">
      <c r="A98">
        <v>3502</v>
      </c>
      <c r="B98" t="s">
        <v>90</v>
      </c>
      <c r="C98" t="s">
        <v>201</v>
      </c>
      <c r="D98" t="s">
        <v>204</v>
      </c>
      <c r="E98">
        <v>360</v>
      </c>
      <c r="F98">
        <v>720</v>
      </c>
      <c r="G98" s="101">
        <v>52</v>
      </c>
      <c r="H98" s="101">
        <v>181</v>
      </c>
      <c r="I98" s="101">
        <v>143</v>
      </c>
      <c r="J98" s="101">
        <v>212</v>
      </c>
      <c r="K98" s="101">
        <v>60</v>
      </c>
      <c r="L98" s="101">
        <v>208</v>
      </c>
      <c r="M98" s="101">
        <v>164</v>
      </c>
      <c r="N98" s="101">
        <v>244</v>
      </c>
      <c r="O98" s="102">
        <f>Aktiv!G106</f>
        <v>39</v>
      </c>
      <c r="P98" s="102">
        <f>Aktiv!H106</f>
        <v>125</v>
      </c>
      <c r="Q98" s="102">
        <f>Aktiv!I106</f>
        <v>142</v>
      </c>
      <c r="R98" s="102">
        <f>Aktiv!J106</f>
        <v>170</v>
      </c>
      <c r="S98" s="103">
        <f t="shared" si="4"/>
        <v>-0.25</v>
      </c>
      <c r="T98" s="103">
        <f t="shared" si="5"/>
        <v>-0.30939226519337015</v>
      </c>
      <c r="U98" s="103">
        <f t="shared" si="6"/>
        <v>-6.9930069930069783E-3</v>
      </c>
      <c r="V98" s="103">
        <f t="shared" si="7"/>
        <v>-0.19811320754716977</v>
      </c>
    </row>
    <row r="99" spans="1:22" x14ac:dyDescent="0.25">
      <c r="A99">
        <v>3503</v>
      </c>
      <c r="B99" t="s">
        <v>90</v>
      </c>
      <c r="C99" t="s">
        <v>201</v>
      </c>
      <c r="D99" t="s">
        <v>205</v>
      </c>
      <c r="E99">
        <v>360</v>
      </c>
      <c r="F99">
        <v>1080</v>
      </c>
      <c r="G99" s="101">
        <v>76</v>
      </c>
      <c r="H99" s="101">
        <v>267</v>
      </c>
      <c r="I99" s="101">
        <v>222</v>
      </c>
      <c r="J99" s="101">
        <v>240</v>
      </c>
      <c r="K99" s="101">
        <v>87</v>
      </c>
      <c r="L99" s="101">
        <v>307</v>
      </c>
      <c r="M99" s="101">
        <v>255</v>
      </c>
      <c r="N99" s="101">
        <v>276</v>
      </c>
      <c r="O99" s="102">
        <f>Aktiv!G107</f>
        <v>57</v>
      </c>
      <c r="P99" s="102">
        <f>Aktiv!H107</f>
        <v>184</v>
      </c>
      <c r="Q99" s="102">
        <f>Aktiv!I107</f>
        <v>220</v>
      </c>
      <c r="R99" s="102">
        <f>Aktiv!J107</f>
        <v>192</v>
      </c>
      <c r="S99" s="103">
        <f t="shared" si="4"/>
        <v>-0.25</v>
      </c>
      <c r="T99" s="103">
        <f t="shared" si="5"/>
        <v>-0.31086142322097376</v>
      </c>
      <c r="U99" s="103">
        <f t="shared" si="6"/>
        <v>-9.009009009009028E-3</v>
      </c>
      <c r="V99" s="103">
        <f t="shared" si="7"/>
        <v>-0.19999999999999996</v>
      </c>
    </row>
    <row r="100" spans="1:22" x14ac:dyDescent="0.25">
      <c r="A100">
        <v>3504</v>
      </c>
      <c r="B100" t="s">
        <v>90</v>
      </c>
      <c r="C100" t="s">
        <v>201</v>
      </c>
      <c r="D100" t="s">
        <v>206</v>
      </c>
      <c r="E100">
        <v>360</v>
      </c>
      <c r="F100">
        <v>1440</v>
      </c>
      <c r="G100" s="101">
        <v>100</v>
      </c>
      <c r="H100" s="101">
        <v>336</v>
      </c>
      <c r="I100" s="101">
        <v>281</v>
      </c>
      <c r="J100" s="101">
        <v>529</v>
      </c>
      <c r="K100" s="101">
        <v>115</v>
      </c>
      <c r="L100" s="101">
        <v>386</v>
      </c>
      <c r="M100" s="101">
        <v>323</v>
      </c>
      <c r="N100" s="101">
        <v>608</v>
      </c>
      <c r="O100" s="102">
        <f>Aktiv!G108</f>
        <v>75</v>
      </c>
      <c r="P100" s="102">
        <f>Aktiv!H108</f>
        <v>232</v>
      </c>
      <c r="Q100" s="102">
        <f>Aktiv!I108</f>
        <v>278</v>
      </c>
      <c r="R100" s="102">
        <f>Aktiv!J108</f>
        <v>423</v>
      </c>
      <c r="S100" s="103">
        <f t="shared" si="4"/>
        <v>-0.25</v>
      </c>
      <c r="T100" s="103">
        <f t="shared" si="5"/>
        <v>-0.30952380952380953</v>
      </c>
      <c r="U100" s="103">
        <f t="shared" si="6"/>
        <v>-1.0676156583629859E-2</v>
      </c>
      <c r="V100" s="103">
        <f t="shared" si="7"/>
        <v>-0.20037807183364842</v>
      </c>
    </row>
    <row r="101" spans="1:22" x14ac:dyDescent="0.25">
      <c r="A101">
        <v>3505</v>
      </c>
      <c r="B101" t="s">
        <v>90</v>
      </c>
      <c r="C101" t="s">
        <v>201</v>
      </c>
      <c r="D101" t="s">
        <v>207</v>
      </c>
      <c r="E101">
        <v>360</v>
      </c>
      <c r="F101">
        <v>1800</v>
      </c>
      <c r="G101" s="101">
        <v>125</v>
      </c>
      <c r="H101" s="101">
        <v>246</v>
      </c>
      <c r="I101" s="101">
        <v>343</v>
      </c>
      <c r="J101" s="101">
        <v>645</v>
      </c>
      <c r="K101" s="101">
        <v>144</v>
      </c>
      <c r="L101" s="101">
        <v>283</v>
      </c>
      <c r="M101" s="101">
        <v>394</v>
      </c>
      <c r="N101" s="101">
        <v>742</v>
      </c>
      <c r="O101" s="102">
        <f>Aktiv!G109</f>
        <v>94</v>
      </c>
      <c r="P101" s="102">
        <f>Aktiv!H109</f>
        <v>170</v>
      </c>
      <c r="Q101" s="102">
        <f>Aktiv!I109</f>
        <v>340</v>
      </c>
      <c r="R101" s="102">
        <f>Aktiv!J109</f>
        <v>516</v>
      </c>
      <c r="S101" s="103">
        <f t="shared" si="4"/>
        <v>-0.248</v>
      </c>
      <c r="T101" s="103">
        <f t="shared" si="5"/>
        <v>-0.30894308943089432</v>
      </c>
      <c r="U101" s="103">
        <f t="shared" si="6"/>
        <v>-8.7463556851311575E-3</v>
      </c>
      <c r="V101" s="103">
        <f t="shared" si="7"/>
        <v>-0.19999999999999996</v>
      </c>
    </row>
    <row r="102" spans="1:22" x14ac:dyDescent="0.25">
      <c r="A102">
        <v>3506</v>
      </c>
      <c r="B102" t="s">
        <v>90</v>
      </c>
      <c r="C102" t="s">
        <v>201</v>
      </c>
      <c r="D102" t="s">
        <v>208</v>
      </c>
      <c r="E102">
        <v>580</v>
      </c>
      <c r="F102">
        <v>180</v>
      </c>
      <c r="G102" s="101">
        <v>43</v>
      </c>
      <c r="H102" s="101">
        <v>161</v>
      </c>
      <c r="I102" s="101">
        <v>130</v>
      </c>
      <c r="J102" s="101">
        <v>208</v>
      </c>
      <c r="K102" s="101">
        <v>49</v>
      </c>
      <c r="L102" s="101">
        <v>185</v>
      </c>
      <c r="M102" s="101">
        <v>150</v>
      </c>
      <c r="N102" s="101">
        <v>239</v>
      </c>
      <c r="O102" s="102">
        <f>Aktiv!G110</f>
        <v>32</v>
      </c>
      <c r="P102" s="102">
        <f>Aktiv!H110</f>
        <v>111</v>
      </c>
      <c r="Q102" s="102">
        <f>Aktiv!I110</f>
        <v>129</v>
      </c>
      <c r="R102" s="102">
        <f>Aktiv!J110</f>
        <v>166</v>
      </c>
      <c r="S102" s="103">
        <f t="shared" si="4"/>
        <v>-0.2558139534883721</v>
      </c>
      <c r="T102" s="103">
        <f t="shared" si="5"/>
        <v>-0.31055900621118016</v>
      </c>
      <c r="U102" s="103">
        <f t="shared" si="6"/>
        <v>-7.692307692307665E-3</v>
      </c>
      <c r="V102" s="103">
        <f t="shared" si="7"/>
        <v>-0.20192307692307687</v>
      </c>
    </row>
    <row r="103" spans="1:22" x14ac:dyDescent="0.25">
      <c r="A103">
        <v>3507</v>
      </c>
      <c r="B103" t="s">
        <v>90</v>
      </c>
      <c r="C103" t="s">
        <v>201</v>
      </c>
      <c r="D103" t="s">
        <v>209</v>
      </c>
      <c r="E103">
        <v>580</v>
      </c>
      <c r="F103">
        <v>360</v>
      </c>
      <c r="G103" s="101">
        <v>43</v>
      </c>
      <c r="H103" s="101">
        <v>161</v>
      </c>
      <c r="I103" s="101">
        <v>130</v>
      </c>
      <c r="J103" s="101">
        <v>185</v>
      </c>
      <c r="K103" s="101">
        <v>49</v>
      </c>
      <c r="L103" s="101">
        <v>185</v>
      </c>
      <c r="M103" s="101">
        <v>150</v>
      </c>
      <c r="N103" s="101">
        <v>213</v>
      </c>
      <c r="O103" s="102">
        <f>Aktiv!G111</f>
        <v>32</v>
      </c>
      <c r="P103" s="102">
        <f>Aktiv!H111</f>
        <v>111</v>
      </c>
      <c r="Q103" s="102">
        <f>Aktiv!I111</f>
        <v>129</v>
      </c>
      <c r="R103" s="102">
        <f>Aktiv!J111</f>
        <v>148</v>
      </c>
      <c r="S103" s="103">
        <f t="shared" si="4"/>
        <v>-0.2558139534883721</v>
      </c>
      <c r="T103" s="103">
        <f t="shared" si="5"/>
        <v>-0.31055900621118016</v>
      </c>
      <c r="U103" s="103">
        <f t="shared" si="6"/>
        <v>-7.692307692307665E-3</v>
      </c>
      <c r="V103" s="103">
        <f t="shared" si="7"/>
        <v>-0.19999999999999996</v>
      </c>
    </row>
    <row r="104" spans="1:22" x14ac:dyDescent="0.25">
      <c r="A104">
        <v>3508</v>
      </c>
      <c r="B104" t="s">
        <v>90</v>
      </c>
      <c r="C104" t="s">
        <v>201</v>
      </c>
      <c r="D104" t="s">
        <v>210</v>
      </c>
      <c r="E104">
        <v>580</v>
      </c>
      <c r="F104">
        <v>720</v>
      </c>
      <c r="G104" s="101">
        <v>82</v>
      </c>
      <c r="H104" s="101">
        <v>262</v>
      </c>
      <c r="I104" s="101">
        <v>216</v>
      </c>
      <c r="J104" s="101">
        <v>245</v>
      </c>
      <c r="K104" s="101">
        <v>94</v>
      </c>
      <c r="L104" s="101">
        <v>301</v>
      </c>
      <c r="M104" s="101">
        <v>248</v>
      </c>
      <c r="N104" s="101">
        <v>282</v>
      </c>
      <c r="O104" s="102">
        <f>Aktiv!G112</f>
        <v>62</v>
      </c>
      <c r="P104" s="102">
        <f>Aktiv!H112</f>
        <v>181</v>
      </c>
      <c r="Q104" s="102">
        <f>Aktiv!I112</f>
        <v>214</v>
      </c>
      <c r="R104" s="102">
        <f>Aktiv!J112</f>
        <v>196</v>
      </c>
      <c r="S104" s="103">
        <f t="shared" si="4"/>
        <v>-0.24390243902439024</v>
      </c>
      <c r="T104" s="103">
        <f t="shared" si="5"/>
        <v>-0.30916030534351147</v>
      </c>
      <c r="U104" s="103">
        <f t="shared" si="6"/>
        <v>-9.2592592592593004E-3</v>
      </c>
      <c r="V104" s="103">
        <f t="shared" si="7"/>
        <v>-0.19999999999999996</v>
      </c>
    </row>
    <row r="105" spans="1:22" x14ac:dyDescent="0.25">
      <c r="A105">
        <v>3509</v>
      </c>
      <c r="B105" t="s">
        <v>90</v>
      </c>
      <c r="C105" t="s">
        <v>201</v>
      </c>
      <c r="D105" t="s">
        <v>211</v>
      </c>
      <c r="E105">
        <v>580</v>
      </c>
      <c r="F105">
        <v>1080</v>
      </c>
      <c r="G105" s="101">
        <v>119</v>
      </c>
      <c r="H105" s="101">
        <v>377</v>
      </c>
      <c r="I105" s="101">
        <v>300</v>
      </c>
      <c r="J105" s="101">
        <v>307</v>
      </c>
      <c r="K105" s="101">
        <v>137</v>
      </c>
      <c r="L105" s="101">
        <v>434</v>
      </c>
      <c r="M105" s="101">
        <v>345</v>
      </c>
      <c r="N105" s="101">
        <v>353</v>
      </c>
      <c r="O105" s="102">
        <f>Aktiv!G113</f>
        <v>89</v>
      </c>
      <c r="P105" s="102">
        <f>Aktiv!H113</f>
        <v>260</v>
      </c>
      <c r="Q105" s="102">
        <f>Aktiv!I113</f>
        <v>297</v>
      </c>
      <c r="R105" s="102">
        <f>Aktiv!J113</f>
        <v>246</v>
      </c>
      <c r="S105" s="103">
        <f t="shared" si="4"/>
        <v>-0.25210084033613445</v>
      </c>
      <c r="T105" s="103">
        <f t="shared" si="5"/>
        <v>-0.31034482758620685</v>
      </c>
      <c r="U105" s="103">
        <f t="shared" si="6"/>
        <v>-1.0000000000000009E-2</v>
      </c>
      <c r="V105" s="103">
        <f t="shared" si="7"/>
        <v>-0.19869706840390877</v>
      </c>
    </row>
    <row r="106" spans="1:22" x14ac:dyDescent="0.25">
      <c r="A106">
        <v>3510</v>
      </c>
      <c r="B106" t="s">
        <v>90</v>
      </c>
      <c r="C106" t="s">
        <v>201</v>
      </c>
      <c r="D106" t="s">
        <v>212</v>
      </c>
      <c r="E106">
        <v>580</v>
      </c>
      <c r="F106">
        <v>1440</v>
      </c>
      <c r="G106" s="101">
        <v>158</v>
      </c>
      <c r="H106" s="101">
        <v>484</v>
      </c>
      <c r="I106" s="101">
        <v>400</v>
      </c>
      <c r="J106" s="101">
        <v>752</v>
      </c>
      <c r="K106" s="101">
        <v>182</v>
      </c>
      <c r="L106" s="101">
        <v>557</v>
      </c>
      <c r="M106" s="101">
        <v>460</v>
      </c>
      <c r="N106" s="101">
        <v>865</v>
      </c>
      <c r="O106" s="102">
        <f>Aktiv!G114</f>
        <v>119</v>
      </c>
      <c r="P106" s="102">
        <f>Aktiv!H114</f>
        <v>334</v>
      </c>
      <c r="Q106" s="102">
        <f>Aktiv!I114</f>
        <v>396</v>
      </c>
      <c r="R106" s="102">
        <f>Aktiv!J114</f>
        <v>602</v>
      </c>
      <c r="S106" s="103">
        <f t="shared" si="4"/>
        <v>-0.24683544303797467</v>
      </c>
      <c r="T106" s="103">
        <f t="shared" si="5"/>
        <v>-0.30991735537190079</v>
      </c>
      <c r="U106" s="103">
        <f t="shared" si="6"/>
        <v>-1.0000000000000009E-2</v>
      </c>
      <c r="V106" s="103">
        <f t="shared" si="7"/>
        <v>-0.19946808510638303</v>
      </c>
    </row>
    <row r="107" spans="1:22" x14ac:dyDescent="0.25">
      <c r="A107">
        <v>3511</v>
      </c>
      <c r="B107" t="s">
        <v>90</v>
      </c>
      <c r="C107" t="s">
        <v>201</v>
      </c>
      <c r="D107" t="s">
        <v>213</v>
      </c>
      <c r="E107">
        <v>580</v>
      </c>
      <c r="F107">
        <v>1800</v>
      </c>
      <c r="G107" s="101">
        <v>197</v>
      </c>
      <c r="H107" s="101">
        <v>388</v>
      </c>
      <c r="I107" s="101">
        <v>467</v>
      </c>
      <c r="J107" s="101">
        <v>879</v>
      </c>
      <c r="K107" s="101">
        <v>227</v>
      </c>
      <c r="L107" s="101">
        <v>446</v>
      </c>
      <c r="M107" s="101">
        <v>537</v>
      </c>
      <c r="N107" s="101">
        <v>1011</v>
      </c>
      <c r="O107" s="102">
        <f>Aktiv!G115</f>
        <v>148</v>
      </c>
      <c r="P107" s="102">
        <f>Aktiv!H115</f>
        <v>268</v>
      </c>
      <c r="Q107" s="102">
        <f>Aktiv!I115</f>
        <v>462</v>
      </c>
      <c r="R107" s="102">
        <f>Aktiv!J115</f>
        <v>703</v>
      </c>
      <c r="S107" s="103">
        <f t="shared" si="4"/>
        <v>-0.24873096446700504</v>
      </c>
      <c r="T107" s="103">
        <f t="shared" si="5"/>
        <v>-0.30927835051546393</v>
      </c>
      <c r="U107" s="103">
        <f t="shared" si="6"/>
        <v>-1.0706638115631661E-2</v>
      </c>
      <c r="V107" s="103">
        <f t="shared" si="7"/>
        <v>-0.20022753128555182</v>
      </c>
    </row>
    <row r="108" spans="1:22" x14ac:dyDescent="0.25">
      <c r="A108">
        <v>3512</v>
      </c>
      <c r="B108" t="s">
        <v>90</v>
      </c>
      <c r="C108" t="s">
        <v>201</v>
      </c>
      <c r="D108" t="s">
        <v>214</v>
      </c>
      <c r="E108">
        <v>180</v>
      </c>
      <c r="F108">
        <v>780</v>
      </c>
      <c r="G108" s="101">
        <v>56</v>
      </c>
      <c r="H108" s="101">
        <v>185</v>
      </c>
      <c r="I108" s="101">
        <v>144</v>
      </c>
      <c r="J108" s="101">
        <v>212</v>
      </c>
      <c r="K108" s="101">
        <v>64</v>
      </c>
      <c r="L108" s="101">
        <v>213</v>
      </c>
      <c r="M108" s="101">
        <v>166</v>
      </c>
      <c r="N108" s="101">
        <v>244</v>
      </c>
      <c r="O108" s="102">
        <f>Aktiv!G116</f>
        <v>42</v>
      </c>
      <c r="P108" s="102">
        <f>Aktiv!H116</f>
        <v>128</v>
      </c>
      <c r="Q108" s="102">
        <f>Aktiv!I116</f>
        <v>143</v>
      </c>
      <c r="R108" s="102">
        <f>Aktiv!J116</f>
        <v>170</v>
      </c>
      <c r="S108" s="103">
        <f t="shared" si="4"/>
        <v>-0.25</v>
      </c>
      <c r="T108" s="103">
        <f t="shared" si="5"/>
        <v>-0.30810810810810807</v>
      </c>
      <c r="U108" s="103">
        <f t="shared" si="6"/>
        <v>-6.9444444444444198E-3</v>
      </c>
      <c r="V108" s="103">
        <f t="shared" si="7"/>
        <v>-0.19811320754716977</v>
      </c>
    </row>
    <row r="109" spans="1:22" x14ac:dyDescent="0.25">
      <c r="A109">
        <v>3513</v>
      </c>
      <c r="B109" t="s">
        <v>90</v>
      </c>
      <c r="C109" t="s">
        <v>201</v>
      </c>
      <c r="D109" t="s">
        <v>215</v>
      </c>
      <c r="E109">
        <v>180</v>
      </c>
      <c r="F109">
        <v>980</v>
      </c>
      <c r="G109" s="101">
        <v>70</v>
      </c>
      <c r="H109" s="101">
        <v>223</v>
      </c>
      <c r="I109" s="101">
        <v>174</v>
      </c>
      <c r="J109" s="101">
        <v>229</v>
      </c>
      <c r="K109" s="101">
        <v>81</v>
      </c>
      <c r="L109" s="101">
        <v>256</v>
      </c>
      <c r="M109" s="101">
        <v>200</v>
      </c>
      <c r="N109" s="101">
        <v>263</v>
      </c>
      <c r="O109" s="102">
        <f>Aktiv!G117</f>
        <v>53</v>
      </c>
      <c r="P109" s="102">
        <f>Aktiv!H117</f>
        <v>154</v>
      </c>
      <c r="Q109" s="102">
        <f>Aktiv!I117</f>
        <v>172</v>
      </c>
      <c r="R109" s="102">
        <f>Aktiv!J117</f>
        <v>183</v>
      </c>
      <c r="S109" s="103">
        <f t="shared" si="4"/>
        <v>-0.24285714285714288</v>
      </c>
      <c r="T109" s="103">
        <f t="shared" si="5"/>
        <v>-0.3094170403587444</v>
      </c>
      <c r="U109" s="103">
        <f t="shared" si="6"/>
        <v>-1.1494252873563204E-2</v>
      </c>
      <c r="V109" s="103">
        <f t="shared" si="7"/>
        <v>-0.20087336244541487</v>
      </c>
    </row>
    <row r="110" spans="1:22" x14ac:dyDescent="0.25">
      <c r="A110">
        <v>3514</v>
      </c>
      <c r="B110" t="s">
        <v>90</v>
      </c>
      <c r="C110" t="s">
        <v>201</v>
      </c>
      <c r="D110" t="s">
        <v>216</v>
      </c>
      <c r="E110">
        <v>360</v>
      </c>
      <c r="F110">
        <v>780</v>
      </c>
      <c r="G110" s="101">
        <v>56</v>
      </c>
      <c r="H110" s="101">
        <v>185</v>
      </c>
      <c r="I110" s="101">
        <v>144</v>
      </c>
      <c r="J110" s="101">
        <v>190</v>
      </c>
      <c r="K110" s="101">
        <v>64</v>
      </c>
      <c r="L110" s="101">
        <v>213</v>
      </c>
      <c r="M110" s="101">
        <v>166</v>
      </c>
      <c r="N110" s="101">
        <v>219</v>
      </c>
      <c r="O110" s="102">
        <f>Aktiv!G118</f>
        <v>42</v>
      </c>
      <c r="P110" s="102">
        <f>Aktiv!H118</f>
        <v>128</v>
      </c>
      <c r="Q110" s="102">
        <f>Aktiv!I118</f>
        <v>143</v>
      </c>
      <c r="R110" s="102">
        <f>Aktiv!J118</f>
        <v>152</v>
      </c>
      <c r="S110" s="103">
        <f t="shared" si="4"/>
        <v>-0.25</v>
      </c>
      <c r="T110" s="103">
        <f t="shared" si="5"/>
        <v>-0.30810810810810807</v>
      </c>
      <c r="U110" s="103">
        <f t="shared" si="6"/>
        <v>-6.9444444444444198E-3</v>
      </c>
      <c r="V110" s="103">
        <f t="shared" si="7"/>
        <v>-0.19999999999999996</v>
      </c>
    </row>
    <row r="111" spans="1:22" x14ac:dyDescent="0.25">
      <c r="A111">
        <v>3515</v>
      </c>
      <c r="B111" t="s">
        <v>90</v>
      </c>
      <c r="C111" t="s">
        <v>201</v>
      </c>
      <c r="D111" t="s">
        <v>217</v>
      </c>
      <c r="E111">
        <v>360</v>
      </c>
      <c r="F111">
        <v>980</v>
      </c>
      <c r="G111" s="101">
        <v>70</v>
      </c>
      <c r="H111" s="101">
        <v>223</v>
      </c>
      <c r="I111" s="101">
        <v>174</v>
      </c>
      <c r="J111" s="101">
        <v>209</v>
      </c>
      <c r="K111" s="101">
        <v>81</v>
      </c>
      <c r="L111" s="101">
        <v>256</v>
      </c>
      <c r="M111" s="101">
        <v>200</v>
      </c>
      <c r="N111" s="101">
        <v>240</v>
      </c>
      <c r="O111" s="102">
        <f>Aktiv!G119</f>
        <v>53</v>
      </c>
      <c r="P111" s="102">
        <f>Aktiv!H119</f>
        <v>154</v>
      </c>
      <c r="Q111" s="102">
        <f>Aktiv!I119</f>
        <v>172</v>
      </c>
      <c r="R111" s="102">
        <f>Aktiv!J119</f>
        <v>167</v>
      </c>
      <c r="S111" s="103">
        <f t="shared" si="4"/>
        <v>-0.24285714285714288</v>
      </c>
      <c r="T111" s="103">
        <f t="shared" si="5"/>
        <v>-0.3094170403587444</v>
      </c>
      <c r="U111" s="103">
        <f t="shared" si="6"/>
        <v>-1.1494252873563204E-2</v>
      </c>
      <c r="V111" s="103">
        <f t="shared" si="7"/>
        <v>-0.20095693779904311</v>
      </c>
    </row>
    <row r="112" spans="1:22" x14ac:dyDescent="0.25">
      <c r="A112">
        <v>3516</v>
      </c>
      <c r="B112" t="s">
        <v>90</v>
      </c>
      <c r="C112" t="s">
        <v>201</v>
      </c>
      <c r="D112" t="s">
        <v>218</v>
      </c>
      <c r="E112">
        <v>720</v>
      </c>
      <c r="F112">
        <v>780</v>
      </c>
      <c r="G112" s="101">
        <v>107</v>
      </c>
      <c r="H112" s="101">
        <v>355</v>
      </c>
      <c r="I112" s="101">
        <v>277</v>
      </c>
      <c r="J112" s="101">
        <v>268</v>
      </c>
      <c r="K112" s="101">
        <v>123</v>
      </c>
      <c r="L112" s="101">
        <v>408</v>
      </c>
      <c r="M112" s="101">
        <v>319</v>
      </c>
      <c r="N112" s="101">
        <v>308</v>
      </c>
      <c r="O112" s="102">
        <f>Aktiv!G120</f>
        <v>80</v>
      </c>
      <c r="P112" s="102">
        <f>Aktiv!H120</f>
        <v>245</v>
      </c>
      <c r="Q112" s="102">
        <f>Aktiv!I120</f>
        <v>274</v>
      </c>
      <c r="R112" s="102">
        <f>Aktiv!J120</f>
        <v>214</v>
      </c>
      <c r="S112" s="103">
        <f t="shared" si="4"/>
        <v>-0.25233644859813087</v>
      </c>
      <c r="T112" s="103">
        <f t="shared" si="5"/>
        <v>-0.3098591549295775</v>
      </c>
      <c r="U112" s="103">
        <f t="shared" si="6"/>
        <v>-1.0830324909747335E-2</v>
      </c>
      <c r="V112" s="103">
        <f t="shared" si="7"/>
        <v>-0.20149253731343286</v>
      </c>
    </row>
    <row r="113" spans="1:22" x14ac:dyDescent="0.25">
      <c r="A113">
        <v>3517</v>
      </c>
      <c r="B113" t="s">
        <v>90</v>
      </c>
      <c r="C113" t="s">
        <v>201</v>
      </c>
      <c r="D113" t="s">
        <v>219</v>
      </c>
      <c r="E113">
        <v>720</v>
      </c>
      <c r="F113">
        <v>980</v>
      </c>
      <c r="G113" s="101">
        <v>134</v>
      </c>
      <c r="H113" s="101">
        <v>406</v>
      </c>
      <c r="I113" s="101">
        <v>320</v>
      </c>
      <c r="J113" s="101">
        <v>329</v>
      </c>
      <c r="K113" s="101">
        <v>154</v>
      </c>
      <c r="L113" s="101">
        <v>467</v>
      </c>
      <c r="M113" s="101">
        <v>368</v>
      </c>
      <c r="N113" s="101">
        <v>378</v>
      </c>
      <c r="O113" s="102">
        <f>Aktiv!G121</f>
        <v>101</v>
      </c>
      <c r="P113" s="102">
        <f>Aktiv!H121</f>
        <v>280</v>
      </c>
      <c r="Q113" s="102">
        <f>Aktiv!I121</f>
        <v>317</v>
      </c>
      <c r="R113" s="102">
        <f>Aktiv!J121</f>
        <v>263</v>
      </c>
      <c r="S113" s="103">
        <f t="shared" si="4"/>
        <v>-0.24626865671641796</v>
      </c>
      <c r="T113" s="103">
        <f t="shared" si="5"/>
        <v>-0.31034482758620685</v>
      </c>
      <c r="U113" s="103">
        <f t="shared" si="6"/>
        <v>-9.3750000000000222E-3</v>
      </c>
      <c r="V113" s="103">
        <f t="shared" si="7"/>
        <v>-0.20060790273556228</v>
      </c>
    </row>
    <row r="114" spans="1:22" x14ac:dyDescent="0.25">
      <c r="A114">
        <v>3518</v>
      </c>
      <c r="B114" t="s">
        <v>90</v>
      </c>
      <c r="C114" t="s">
        <v>201</v>
      </c>
      <c r="D114" t="s">
        <v>220</v>
      </c>
      <c r="E114">
        <v>1080</v>
      </c>
      <c r="F114">
        <v>780</v>
      </c>
      <c r="G114" s="101">
        <v>161</v>
      </c>
      <c r="H114" s="101">
        <v>517</v>
      </c>
      <c r="I114" s="101">
        <v>409</v>
      </c>
      <c r="J114" s="101">
        <v>385</v>
      </c>
      <c r="K114" s="101">
        <v>185</v>
      </c>
      <c r="L114" s="101">
        <v>595</v>
      </c>
      <c r="M114" s="101">
        <v>470</v>
      </c>
      <c r="N114" s="101">
        <v>443</v>
      </c>
      <c r="O114" s="102">
        <f>Aktiv!G122</f>
        <v>121</v>
      </c>
      <c r="P114" s="102">
        <f>Aktiv!H122</f>
        <v>357</v>
      </c>
      <c r="Q114" s="102">
        <f>Aktiv!I122</f>
        <v>405</v>
      </c>
      <c r="R114" s="102">
        <f>Aktiv!J122</f>
        <v>308</v>
      </c>
      <c r="S114" s="103">
        <f t="shared" si="4"/>
        <v>-0.24844720496894412</v>
      </c>
      <c r="T114" s="103">
        <f t="shared" si="5"/>
        <v>-0.30947775628626695</v>
      </c>
      <c r="U114" s="103">
        <f t="shared" si="6"/>
        <v>-9.7799511002445438E-3</v>
      </c>
      <c r="V114" s="103">
        <f t="shared" si="7"/>
        <v>-0.19999999999999996</v>
      </c>
    </row>
    <row r="115" spans="1:22" x14ac:dyDescent="0.25">
      <c r="A115">
        <v>3519</v>
      </c>
      <c r="B115" t="s">
        <v>90</v>
      </c>
      <c r="C115" t="s">
        <v>201</v>
      </c>
      <c r="D115" t="s">
        <v>221</v>
      </c>
      <c r="E115">
        <v>1080</v>
      </c>
      <c r="F115">
        <v>980</v>
      </c>
      <c r="G115" s="101">
        <v>200</v>
      </c>
      <c r="H115" s="101">
        <v>626</v>
      </c>
      <c r="I115" s="101">
        <v>474</v>
      </c>
      <c r="J115" s="101">
        <v>431</v>
      </c>
      <c r="K115" s="101">
        <v>230</v>
      </c>
      <c r="L115" s="101">
        <v>720</v>
      </c>
      <c r="M115" s="101">
        <v>545</v>
      </c>
      <c r="N115" s="101">
        <v>496</v>
      </c>
      <c r="O115" s="102">
        <f>Aktiv!G123</f>
        <v>150</v>
      </c>
      <c r="P115" s="102">
        <f>Aktiv!H123</f>
        <v>432</v>
      </c>
      <c r="Q115" s="102">
        <f>Aktiv!I123</f>
        <v>469</v>
      </c>
      <c r="R115" s="102">
        <f>Aktiv!J123</f>
        <v>345</v>
      </c>
      <c r="S115" s="103">
        <f t="shared" si="4"/>
        <v>-0.25</v>
      </c>
      <c r="T115" s="103">
        <f t="shared" si="5"/>
        <v>-0.30990415335463262</v>
      </c>
      <c r="U115" s="103">
        <f t="shared" si="6"/>
        <v>-1.0548523206751037E-2</v>
      </c>
      <c r="V115" s="103">
        <f t="shared" si="7"/>
        <v>-0.19953596287703013</v>
      </c>
    </row>
    <row r="116" spans="1:22" x14ac:dyDescent="0.25">
      <c r="A116">
        <v>3520</v>
      </c>
      <c r="B116" t="s">
        <v>90</v>
      </c>
      <c r="C116" t="s">
        <v>201</v>
      </c>
      <c r="D116" t="s">
        <v>222</v>
      </c>
      <c r="E116">
        <v>1440</v>
      </c>
      <c r="F116">
        <v>780</v>
      </c>
      <c r="G116" s="101">
        <v>211</v>
      </c>
      <c r="H116" s="101">
        <v>630</v>
      </c>
      <c r="I116" s="101">
        <v>499</v>
      </c>
      <c r="J116" s="101">
        <v>939</v>
      </c>
      <c r="K116" s="101">
        <v>243</v>
      </c>
      <c r="L116" s="101">
        <v>725</v>
      </c>
      <c r="M116" s="101">
        <v>574</v>
      </c>
      <c r="N116" s="101">
        <v>1080</v>
      </c>
      <c r="O116" s="102">
        <f>Aktiv!G124</f>
        <v>158</v>
      </c>
      <c r="P116" s="102">
        <f>Aktiv!H124</f>
        <v>435</v>
      </c>
      <c r="Q116" s="102">
        <f>Aktiv!I124</f>
        <v>494</v>
      </c>
      <c r="R116" s="102">
        <f>Aktiv!J124</f>
        <v>751</v>
      </c>
      <c r="S116" s="103">
        <f t="shared" si="4"/>
        <v>-0.25118483412322279</v>
      </c>
      <c r="T116" s="103">
        <f t="shared" si="5"/>
        <v>-0.30952380952380953</v>
      </c>
      <c r="U116" s="103">
        <f t="shared" si="6"/>
        <v>-1.0020040080160331E-2</v>
      </c>
      <c r="V116" s="103">
        <f t="shared" si="7"/>
        <v>-0.20021299254526093</v>
      </c>
    </row>
    <row r="117" spans="1:22" x14ac:dyDescent="0.25">
      <c r="A117">
        <v>3521</v>
      </c>
      <c r="B117" t="s">
        <v>90</v>
      </c>
      <c r="C117" t="s">
        <v>201</v>
      </c>
      <c r="D117" t="s">
        <v>223</v>
      </c>
      <c r="E117">
        <v>1440</v>
      </c>
      <c r="F117">
        <v>980</v>
      </c>
      <c r="G117" s="101">
        <v>264</v>
      </c>
      <c r="H117" s="101">
        <v>778</v>
      </c>
      <c r="I117" s="101">
        <v>616</v>
      </c>
      <c r="J117" s="101">
        <v>1159</v>
      </c>
      <c r="K117" s="101">
        <v>304</v>
      </c>
      <c r="L117" s="101">
        <v>895</v>
      </c>
      <c r="M117" s="101">
        <v>708</v>
      </c>
      <c r="N117" s="101">
        <v>1333</v>
      </c>
      <c r="O117" s="102">
        <f>Aktiv!G125</f>
        <v>198</v>
      </c>
      <c r="P117" s="102">
        <f>Aktiv!H125</f>
        <v>537</v>
      </c>
      <c r="Q117" s="102">
        <f>Aktiv!I125</f>
        <v>610</v>
      </c>
      <c r="R117" s="102">
        <f>Aktiv!J125</f>
        <v>927</v>
      </c>
      <c r="S117" s="103">
        <f t="shared" si="4"/>
        <v>-0.25</v>
      </c>
      <c r="T117" s="103">
        <f t="shared" si="5"/>
        <v>-0.30976863753213368</v>
      </c>
      <c r="U117" s="103">
        <f t="shared" si="6"/>
        <v>-9.7402597402597157E-3</v>
      </c>
      <c r="V117" s="103">
        <f t="shared" si="7"/>
        <v>-0.20017256255392579</v>
      </c>
    </row>
    <row r="118" spans="1:22" x14ac:dyDescent="0.25">
      <c r="A118">
        <v>3522</v>
      </c>
      <c r="B118" t="s">
        <v>90</v>
      </c>
      <c r="C118" t="s">
        <v>201</v>
      </c>
      <c r="D118" t="s">
        <v>224</v>
      </c>
      <c r="E118">
        <v>1800</v>
      </c>
      <c r="F118">
        <v>780</v>
      </c>
      <c r="G118" s="101">
        <v>264</v>
      </c>
      <c r="H118" s="101">
        <v>520</v>
      </c>
      <c r="I118" s="101">
        <v>612</v>
      </c>
      <c r="J118" s="101">
        <v>1151</v>
      </c>
      <c r="K118" s="101">
        <v>304</v>
      </c>
      <c r="L118" s="101">
        <v>598</v>
      </c>
      <c r="M118" s="101">
        <v>704</v>
      </c>
      <c r="N118" s="101">
        <v>1324</v>
      </c>
      <c r="O118" s="102">
        <f>Aktiv!G126</f>
        <v>198</v>
      </c>
      <c r="P118" s="102">
        <f>Aktiv!H126</f>
        <v>359</v>
      </c>
      <c r="Q118" s="102">
        <f>Aktiv!I126</f>
        <v>606</v>
      </c>
      <c r="R118" s="102">
        <f>Aktiv!J126</f>
        <v>921</v>
      </c>
      <c r="S118" s="103">
        <f t="shared" si="4"/>
        <v>-0.25</v>
      </c>
      <c r="T118" s="103">
        <f t="shared" si="5"/>
        <v>-0.30961538461538463</v>
      </c>
      <c r="U118" s="103">
        <f t="shared" si="6"/>
        <v>-9.8039215686274161E-3</v>
      </c>
      <c r="V118" s="103">
        <f t="shared" si="7"/>
        <v>-0.19982623805386623</v>
      </c>
    </row>
    <row r="119" spans="1:22" x14ac:dyDescent="0.25">
      <c r="A119">
        <v>3523</v>
      </c>
      <c r="B119" t="s">
        <v>90</v>
      </c>
      <c r="C119" t="s">
        <v>201</v>
      </c>
      <c r="D119" t="s">
        <v>225</v>
      </c>
      <c r="E119">
        <v>1800</v>
      </c>
      <c r="F119">
        <v>980</v>
      </c>
      <c r="G119" s="101">
        <v>329</v>
      </c>
      <c r="H119" s="101">
        <v>648</v>
      </c>
      <c r="I119" s="101">
        <v>753</v>
      </c>
      <c r="J119" s="101">
        <v>1417</v>
      </c>
      <c r="K119" s="101">
        <v>378</v>
      </c>
      <c r="L119" s="101">
        <v>745</v>
      </c>
      <c r="M119" s="101">
        <v>866</v>
      </c>
      <c r="N119" s="101">
        <v>1630</v>
      </c>
      <c r="O119" s="102">
        <f>Aktiv!G127</f>
        <v>247</v>
      </c>
      <c r="P119" s="102">
        <f>Aktiv!H127</f>
        <v>447</v>
      </c>
      <c r="Q119" s="102">
        <f>Aktiv!I127</f>
        <v>745</v>
      </c>
      <c r="R119" s="102">
        <f>Aktiv!J127</f>
        <v>1134</v>
      </c>
      <c r="S119" s="103">
        <f t="shared" si="4"/>
        <v>-0.24924012158054709</v>
      </c>
      <c r="T119" s="103">
        <f t="shared" si="5"/>
        <v>-0.31018518518518523</v>
      </c>
      <c r="U119" s="103">
        <f t="shared" si="6"/>
        <v>-1.0624169986719778E-2</v>
      </c>
      <c r="V119" s="103">
        <f t="shared" si="7"/>
        <v>-0.19971771347918132</v>
      </c>
    </row>
    <row r="120" spans="1:22" x14ac:dyDescent="0.25">
      <c r="A120">
        <v>3524</v>
      </c>
      <c r="B120" t="s">
        <v>90</v>
      </c>
      <c r="C120" t="s">
        <v>201</v>
      </c>
      <c r="D120" t="s">
        <v>226</v>
      </c>
      <c r="E120">
        <v>580</v>
      </c>
      <c r="F120">
        <v>580</v>
      </c>
      <c r="G120" s="101">
        <v>67</v>
      </c>
      <c r="H120" s="101">
        <v>228</v>
      </c>
      <c r="I120" s="101">
        <v>183</v>
      </c>
      <c r="J120" s="101">
        <v>191</v>
      </c>
      <c r="K120" s="101">
        <v>77</v>
      </c>
      <c r="L120" s="101">
        <v>262</v>
      </c>
      <c r="M120" s="101">
        <v>210</v>
      </c>
      <c r="N120" s="101">
        <v>220</v>
      </c>
      <c r="O120" s="102">
        <f>Aktiv!G128</f>
        <v>50</v>
      </c>
      <c r="P120" s="102">
        <f>Aktiv!H128</f>
        <v>157</v>
      </c>
      <c r="Q120" s="102">
        <f>Aktiv!I128</f>
        <v>181</v>
      </c>
      <c r="R120" s="102">
        <f>Aktiv!J128</f>
        <v>153</v>
      </c>
      <c r="S120" s="103">
        <f t="shared" si="4"/>
        <v>-0.25373134328358204</v>
      </c>
      <c r="T120" s="103">
        <f t="shared" si="5"/>
        <v>-0.31140350877192979</v>
      </c>
      <c r="U120" s="103">
        <f t="shared" si="6"/>
        <v>-1.0928961748633892E-2</v>
      </c>
      <c r="V120" s="103">
        <f t="shared" si="7"/>
        <v>-0.19895287958115182</v>
      </c>
    </row>
    <row r="121" spans="1:22" x14ac:dyDescent="0.25">
      <c r="A121">
        <v>3600</v>
      </c>
      <c r="B121" t="s">
        <v>90</v>
      </c>
      <c r="C121" t="s">
        <v>227</v>
      </c>
      <c r="D121" t="s">
        <v>228</v>
      </c>
      <c r="E121">
        <v>360</v>
      </c>
      <c r="F121">
        <v>360</v>
      </c>
      <c r="G121" s="101">
        <v>34</v>
      </c>
      <c r="H121" s="101">
        <v>114</v>
      </c>
      <c r="I121" s="101">
        <v>89</v>
      </c>
      <c r="J121" s="101">
        <v>177</v>
      </c>
      <c r="K121" s="101">
        <v>39</v>
      </c>
      <c r="L121" s="101">
        <v>131</v>
      </c>
      <c r="M121" s="101">
        <v>102</v>
      </c>
      <c r="N121" s="101">
        <v>204</v>
      </c>
      <c r="O121" s="102">
        <f>Aktiv!G130</f>
        <v>26</v>
      </c>
      <c r="P121" s="102">
        <f>Aktiv!H130</f>
        <v>79</v>
      </c>
      <c r="Q121" s="102">
        <f>Aktiv!I130</f>
        <v>88</v>
      </c>
      <c r="R121" s="102">
        <f>Aktiv!J130</f>
        <v>142</v>
      </c>
      <c r="S121" s="103">
        <f t="shared" si="4"/>
        <v>-0.23529411764705888</v>
      </c>
      <c r="T121" s="103">
        <f t="shared" si="5"/>
        <v>-0.30701754385964908</v>
      </c>
      <c r="U121" s="103">
        <f t="shared" si="6"/>
        <v>-1.1235955056179803E-2</v>
      </c>
      <c r="V121" s="103">
        <f t="shared" si="7"/>
        <v>-0.19774011299435024</v>
      </c>
    </row>
    <row r="122" spans="1:22" x14ac:dyDescent="0.25">
      <c r="A122">
        <v>3601</v>
      </c>
      <c r="B122" t="s">
        <v>90</v>
      </c>
      <c r="C122" t="s">
        <v>227</v>
      </c>
      <c r="D122" t="s">
        <v>229</v>
      </c>
      <c r="E122">
        <v>360</v>
      </c>
      <c r="F122">
        <v>720</v>
      </c>
      <c r="G122" s="101">
        <v>52</v>
      </c>
      <c r="H122" s="101">
        <v>181</v>
      </c>
      <c r="I122" s="101">
        <v>143</v>
      </c>
      <c r="J122" s="101">
        <v>212</v>
      </c>
      <c r="K122" s="101">
        <v>60</v>
      </c>
      <c r="L122" s="101">
        <v>208</v>
      </c>
      <c r="M122" s="101">
        <v>164</v>
      </c>
      <c r="N122" s="101">
        <v>244</v>
      </c>
      <c r="O122" s="102">
        <f>Aktiv!G131</f>
        <v>39</v>
      </c>
      <c r="P122" s="102">
        <f>Aktiv!H131</f>
        <v>125</v>
      </c>
      <c r="Q122" s="102">
        <f>Aktiv!I131</f>
        <v>142</v>
      </c>
      <c r="R122" s="102">
        <f>Aktiv!J131</f>
        <v>170</v>
      </c>
      <c r="S122" s="103">
        <f t="shared" si="4"/>
        <v>-0.25</v>
      </c>
      <c r="T122" s="103">
        <f t="shared" si="5"/>
        <v>-0.30939226519337015</v>
      </c>
      <c r="U122" s="103">
        <f t="shared" si="6"/>
        <v>-6.9930069930069783E-3</v>
      </c>
      <c r="V122" s="103">
        <f t="shared" si="7"/>
        <v>-0.19811320754716977</v>
      </c>
    </row>
    <row r="123" spans="1:22" x14ac:dyDescent="0.25">
      <c r="A123">
        <v>3602</v>
      </c>
      <c r="B123" t="s">
        <v>90</v>
      </c>
      <c r="C123" t="s">
        <v>227</v>
      </c>
      <c r="D123" t="s">
        <v>230</v>
      </c>
      <c r="E123">
        <v>360</v>
      </c>
      <c r="F123">
        <v>1080</v>
      </c>
      <c r="G123" s="101">
        <v>76</v>
      </c>
      <c r="H123" s="101">
        <v>267</v>
      </c>
      <c r="I123" s="101">
        <v>222</v>
      </c>
      <c r="J123" s="101">
        <v>240</v>
      </c>
      <c r="K123" s="101">
        <v>87</v>
      </c>
      <c r="L123" s="101">
        <v>307</v>
      </c>
      <c r="M123" s="101">
        <v>255</v>
      </c>
      <c r="N123" s="101">
        <v>276</v>
      </c>
      <c r="O123" s="102">
        <f>Aktiv!G132</f>
        <v>57</v>
      </c>
      <c r="P123" s="102">
        <f>Aktiv!H132</f>
        <v>184</v>
      </c>
      <c r="Q123" s="102">
        <f>Aktiv!I132</f>
        <v>220</v>
      </c>
      <c r="R123" s="102">
        <f>Aktiv!J132</f>
        <v>192</v>
      </c>
      <c r="S123" s="103">
        <f t="shared" si="4"/>
        <v>-0.25</v>
      </c>
      <c r="T123" s="103">
        <f t="shared" si="5"/>
        <v>-0.31086142322097376</v>
      </c>
      <c r="U123" s="103">
        <f t="shared" si="6"/>
        <v>-9.009009009009028E-3</v>
      </c>
      <c r="V123" s="103">
        <f t="shared" si="7"/>
        <v>-0.19999999999999996</v>
      </c>
    </row>
    <row r="124" spans="1:22" x14ac:dyDescent="0.25">
      <c r="A124">
        <v>3603</v>
      </c>
      <c r="B124" t="s">
        <v>90</v>
      </c>
      <c r="C124" t="s">
        <v>227</v>
      </c>
      <c r="D124" t="s">
        <v>231</v>
      </c>
      <c r="E124">
        <v>360</v>
      </c>
      <c r="F124">
        <v>1440</v>
      </c>
      <c r="G124" s="101">
        <v>100</v>
      </c>
      <c r="H124" s="101">
        <v>336</v>
      </c>
      <c r="I124" s="101">
        <v>281</v>
      </c>
      <c r="J124" s="101">
        <v>529</v>
      </c>
      <c r="K124" s="101">
        <v>115</v>
      </c>
      <c r="L124" s="101">
        <v>386</v>
      </c>
      <c r="M124" s="101">
        <v>323</v>
      </c>
      <c r="N124" s="101">
        <v>608</v>
      </c>
      <c r="O124" s="102">
        <f>Aktiv!G133</f>
        <v>75</v>
      </c>
      <c r="P124" s="102">
        <f>Aktiv!H133</f>
        <v>232</v>
      </c>
      <c r="Q124" s="102">
        <f>Aktiv!I133</f>
        <v>278</v>
      </c>
      <c r="R124" s="102">
        <f>Aktiv!J133</f>
        <v>423</v>
      </c>
      <c r="S124" s="103">
        <f t="shared" si="4"/>
        <v>-0.25</v>
      </c>
      <c r="T124" s="103">
        <f t="shared" si="5"/>
        <v>-0.30952380952380953</v>
      </c>
      <c r="U124" s="103">
        <f t="shared" si="6"/>
        <v>-1.0676156583629859E-2</v>
      </c>
      <c r="V124" s="103">
        <f t="shared" si="7"/>
        <v>-0.20037807183364842</v>
      </c>
    </row>
    <row r="125" spans="1:22" x14ac:dyDescent="0.25">
      <c r="A125">
        <v>3604</v>
      </c>
      <c r="B125" t="s">
        <v>90</v>
      </c>
      <c r="C125" t="s">
        <v>227</v>
      </c>
      <c r="D125" t="s">
        <v>232</v>
      </c>
      <c r="E125">
        <v>360</v>
      </c>
      <c r="F125">
        <v>1800</v>
      </c>
      <c r="G125" s="101">
        <v>125</v>
      </c>
      <c r="H125" s="101">
        <v>246</v>
      </c>
      <c r="I125" s="101">
        <v>343</v>
      </c>
      <c r="J125" s="101">
        <v>645</v>
      </c>
      <c r="K125" s="101">
        <v>144</v>
      </c>
      <c r="L125" s="101">
        <v>283</v>
      </c>
      <c r="M125" s="101">
        <v>394</v>
      </c>
      <c r="N125" s="101">
        <v>742</v>
      </c>
      <c r="O125" s="102">
        <f>Aktiv!G134</f>
        <v>94</v>
      </c>
      <c r="P125" s="102">
        <f>Aktiv!H134</f>
        <v>170</v>
      </c>
      <c r="Q125" s="102">
        <f>Aktiv!I134</f>
        <v>340</v>
      </c>
      <c r="R125" s="102">
        <f>Aktiv!J134</f>
        <v>516</v>
      </c>
      <c r="S125" s="103">
        <f t="shared" si="4"/>
        <v>-0.248</v>
      </c>
      <c r="T125" s="103">
        <f t="shared" si="5"/>
        <v>-0.30894308943089432</v>
      </c>
      <c r="U125" s="103">
        <f t="shared" si="6"/>
        <v>-8.7463556851311575E-3</v>
      </c>
      <c r="V125" s="103">
        <f t="shared" si="7"/>
        <v>-0.19999999999999996</v>
      </c>
    </row>
    <row r="126" spans="1:22" x14ac:dyDescent="0.25">
      <c r="A126">
        <v>3605</v>
      </c>
      <c r="B126" t="s">
        <v>90</v>
      </c>
      <c r="C126" t="s">
        <v>227</v>
      </c>
      <c r="D126" t="s">
        <v>233</v>
      </c>
      <c r="E126">
        <v>580</v>
      </c>
      <c r="F126">
        <v>360</v>
      </c>
      <c r="G126" s="101">
        <v>43</v>
      </c>
      <c r="H126" s="101">
        <v>161</v>
      </c>
      <c r="I126" s="101">
        <v>130</v>
      </c>
      <c r="J126" s="101">
        <v>185</v>
      </c>
      <c r="K126" s="101">
        <v>49</v>
      </c>
      <c r="L126" s="101">
        <v>185</v>
      </c>
      <c r="M126" s="101">
        <v>150</v>
      </c>
      <c r="N126" s="101">
        <v>213</v>
      </c>
      <c r="O126" s="102">
        <f>Aktiv!G135</f>
        <v>32</v>
      </c>
      <c r="P126" s="102">
        <f>Aktiv!H135</f>
        <v>111</v>
      </c>
      <c r="Q126" s="102">
        <f>Aktiv!I135</f>
        <v>129</v>
      </c>
      <c r="R126" s="102">
        <f>Aktiv!J135</f>
        <v>148</v>
      </c>
      <c r="S126" s="103">
        <f t="shared" si="4"/>
        <v>-0.2558139534883721</v>
      </c>
      <c r="T126" s="103">
        <f t="shared" si="5"/>
        <v>-0.31055900621118016</v>
      </c>
      <c r="U126" s="103">
        <f t="shared" si="6"/>
        <v>-7.692307692307665E-3</v>
      </c>
      <c r="V126" s="103">
        <f t="shared" si="7"/>
        <v>-0.19999999999999996</v>
      </c>
    </row>
    <row r="127" spans="1:22" x14ac:dyDescent="0.25">
      <c r="A127">
        <v>3606</v>
      </c>
      <c r="B127" t="s">
        <v>90</v>
      </c>
      <c r="C127" t="s">
        <v>227</v>
      </c>
      <c r="D127" t="s">
        <v>234</v>
      </c>
      <c r="E127">
        <v>580</v>
      </c>
      <c r="F127">
        <v>720</v>
      </c>
      <c r="G127" s="101">
        <v>82</v>
      </c>
      <c r="H127" s="101">
        <v>262</v>
      </c>
      <c r="I127" s="101">
        <v>216</v>
      </c>
      <c r="J127" s="101">
        <v>245</v>
      </c>
      <c r="K127" s="101">
        <v>94</v>
      </c>
      <c r="L127" s="101">
        <v>301</v>
      </c>
      <c r="M127" s="101">
        <v>248</v>
      </c>
      <c r="N127" s="101">
        <v>282</v>
      </c>
      <c r="O127" s="102">
        <f>Aktiv!G136</f>
        <v>62</v>
      </c>
      <c r="P127" s="102">
        <f>Aktiv!H136</f>
        <v>181</v>
      </c>
      <c r="Q127" s="102">
        <f>Aktiv!I136</f>
        <v>214</v>
      </c>
      <c r="R127" s="102">
        <f>Aktiv!J136</f>
        <v>196</v>
      </c>
      <c r="S127" s="103">
        <f t="shared" si="4"/>
        <v>-0.24390243902439024</v>
      </c>
      <c r="T127" s="103">
        <f t="shared" si="5"/>
        <v>-0.30916030534351147</v>
      </c>
      <c r="U127" s="103">
        <f t="shared" si="6"/>
        <v>-9.2592592592593004E-3</v>
      </c>
      <c r="V127" s="103">
        <f t="shared" si="7"/>
        <v>-0.19999999999999996</v>
      </c>
    </row>
    <row r="128" spans="1:22" x14ac:dyDescent="0.25">
      <c r="A128">
        <v>3607</v>
      </c>
      <c r="B128" t="s">
        <v>90</v>
      </c>
      <c r="C128" t="s">
        <v>227</v>
      </c>
      <c r="D128" t="s">
        <v>235</v>
      </c>
      <c r="E128">
        <v>580</v>
      </c>
      <c r="F128">
        <v>1080</v>
      </c>
      <c r="G128" s="101">
        <v>119</v>
      </c>
      <c r="H128" s="101">
        <v>377</v>
      </c>
      <c r="I128" s="101">
        <v>300</v>
      </c>
      <c r="J128" s="101">
        <v>307</v>
      </c>
      <c r="K128" s="101">
        <v>137</v>
      </c>
      <c r="L128" s="101">
        <v>434</v>
      </c>
      <c r="M128" s="101">
        <v>345</v>
      </c>
      <c r="N128" s="101">
        <v>353</v>
      </c>
      <c r="O128" s="102">
        <f>Aktiv!G137</f>
        <v>89</v>
      </c>
      <c r="P128" s="102">
        <f>Aktiv!H137</f>
        <v>260</v>
      </c>
      <c r="Q128" s="102">
        <f>Aktiv!I137</f>
        <v>297</v>
      </c>
      <c r="R128" s="102">
        <f>Aktiv!J137</f>
        <v>246</v>
      </c>
      <c r="S128" s="103">
        <f t="shared" si="4"/>
        <v>-0.25210084033613445</v>
      </c>
      <c r="T128" s="103">
        <f t="shared" si="5"/>
        <v>-0.31034482758620685</v>
      </c>
      <c r="U128" s="103">
        <f t="shared" si="6"/>
        <v>-1.0000000000000009E-2</v>
      </c>
      <c r="V128" s="103">
        <f t="shared" si="7"/>
        <v>-0.19869706840390877</v>
      </c>
    </row>
    <row r="129" spans="1:22" x14ac:dyDescent="0.25">
      <c r="A129">
        <v>3608</v>
      </c>
      <c r="B129" t="s">
        <v>90</v>
      </c>
      <c r="C129" t="s">
        <v>227</v>
      </c>
      <c r="D129" t="s">
        <v>236</v>
      </c>
      <c r="E129">
        <v>580</v>
      </c>
      <c r="F129">
        <v>1440</v>
      </c>
      <c r="G129" s="101">
        <v>158</v>
      </c>
      <c r="H129" s="101">
        <v>484</v>
      </c>
      <c r="I129" s="101">
        <v>400</v>
      </c>
      <c r="J129" s="101">
        <v>752</v>
      </c>
      <c r="K129" s="101">
        <v>182</v>
      </c>
      <c r="L129" s="101">
        <v>557</v>
      </c>
      <c r="M129" s="101">
        <v>460</v>
      </c>
      <c r="N129" s="101">
        <v>865</v>
      </c>
      <c r="O129" s="102">
        <f>Aktiv!G138</f>
        <v>119</v>
      </c>
      <c r="P129" s="102">
        <f>Aktiv!H138</f>
        <v>334</v>
      </c>
      <c r="Q129" s="102">
        <f>Aktiv!I138</f>
        <v>396</v>
      </c>
      <c r="R129" s="102">
        <f>Aktiv!J138</f>
        <v>602</v>
      </c>
      <c r="S129" s="103">
        <f t="shared" si="4"/>
        <v>-0.24683544303797467</v>
      </c>
      <c r="T129" s="103">
        <f t="shared" si="5"/>
        <v>-0.30991735537190079</v>
      </c>
      <c r="U129" s="103">
        <f t="shared" si="6"/>
        <v>-1.0000000000000009E-2</v>
      </c>
      <c r="V129" s="103">
        <f t="shared" si="7"/>
        <v>-0.19946808510638303</v>
      </c>
    </row>
    <row r="130" spans="1:22" x14ac:dyDescent="0.25">
      <c r="A130">
        <v>3609</v>
      </c>
      <c r="B130" t="s">
        <v>90</v>
      </c>
      <c r="C130" t="s">
        <v>227</v>
      </c>
      <c r="D130" t="s">
        <v>237</v>
      </c>
      <c r="E130">
        <v>580</v>
      </c>
      <c r="F130">
        <v>1800</v>
      </c>
      <c r="G130" s="101">
        <v>197</v>
      </c>
      <c r="H130" s="101">
        <v>388</v>
      </c>
      <c r="I130" s="101">
        <v>467</v>
      </c>
      <c r="J130" s="101">
        <v>879</v>
      </c>
      <c r="K130" s="101">
        <v>227</v>
      </c>
      <c r="L130" s="101">
        <v>446</v>
      </c>
      <c r="M130" s="101">
        <v>537</v>
      </c>
      <c r="N130" s="101">
        <v>1011</v>
      </c>
      <c r="O130" s="102">
        <f>Aktiv!G139</f>
        <v>148</v>
      </c>
      <c r="P130" s="102">
        <f>Aktiv!H139</f>
        <v>268</v>
      </c>
      <c r="Q130" s="102">
        <f>Aktiv!I139</f>
        <v>462</v>
      </c>
      <c r="R130" s="102">
        <f>Aktiv!J139</f>
        <v>703</v>
      </c>
      <c r="S130" s="103">
        <f t="shared" si="4"/>
        <v>-0.24873096446700504</v>
      </c>
      <c r="T130" s="103">
        <f t="shared" si="5"/>
        <v>-0.30927835051546393</v>
      </c>
      <c r="U130" s="103">
        <f t="shared" si="6"/>
        <v>-1.0706638115631661E-2</v>
      </c>
      <c r="V130" s="103">
        <f t="shared" si="7"/>
        <v>-0.20022753128555182</v>
      </c>
    </row>
    <row r="131" spans="1:22" x14ac:dyDescent="0.25">
      <c r="A131">
        <v>3610</v>
      </c>
      <c r="B131" t="s">
        <v>90</v>
      </c>
      <c r="C131" t="s">
        <v>227</v>
      </c>
      <c r="D131" t="s">
        <v>238</v>
      </c>
      <c r="E131">
        <v>720</v>
      </c>
      <c r="F131">
        <v>780</v>
      </c>
      <c r="G131" s="101">
        <v>107</v>
      </c>
      <c r="H131" s="101">
        <v>355</v>
      </c>
      <c r="I131" s="101">
        <v>277</v>
      </c>
      <c r="J131" s="101">
        <v>268</v>
      </c>
      <c r="K131" s="101">
        <v>123</v>
      </c>
      <c r="L131" s="101">
        <v>408</v>
      </c>
      <c r="M131" s="101">
        <v>319</v>
      </c>
      <c r="N131" s="101">
        <v>308</v>
      </c>
      <c r="O131" s="102">
        <f>Aktiv!G140</f>
        <v>80</v>
      </c>
      <c r="P131" s="102">
        <f>Aktiv!H140</f>
        <v>245</v>
      </c>
      <c r="Q131" s="102">
        <f>Aktiv!I140</f>
        <v>274</v>
      </c>
      <c r="R131" s="102">
        <f>Aktiv!J140</f>
        <v>214</v>
      </c>
      <c r="S131" s="103">
        <f t="shared" ref="S131:S194" si="8">IF(OR(G131="",G131=0,O131=""),"",O131/G131-1)</f>
        <v>-0.25233644859813087</v>
      </c>
      <c r="T131" s="103">
        <f t="shared" ref="T131:T194" si="9">IF(OR(H131="",H131=0,P131=""),"",P131/H131-1)</f>
        <v>-0.3098591549295775</v>
      </c>
      <c r="U131" s="103">
        <f t="shared" ref="U131:U194" si="10">IF(OR(I131="",I131=0,Q131=""),"",Q131/I131-1)</f>
        <v>-1.0830324909747335E-2</v>
      </c>
      <c r="V131" s="103">
        <f t="shared" ref="V131:V194" si="11">IF(OR(J131="",J131=0,R131=""),"",R131/J131-1)</f>
        <v>-0.20149253731343286</v>
      </c>
    </row>
    <row r="132" spans="1:22" x14ac:dyDescent="0.25">
      <c r="A132">
        <v>3611</v>
      </c>
      <c r="B132" t="s">
        <v>90</v>
      </c>
      <c r="C132" t="s">
        <v>227</v>
      </c>
      <c r="D132" t="s">
        <v>239</v>
      </c>
      <c r="E132">
        <v>720</v>
      </c>
      <c r="F132">
        <v>980</v>
      </c>
      <c r="G132" s="101">
        <v>134</v>
      </c>
      <c r="H132" s="101">
        <v>406</v>
      </c>
      <c r="I132" s="101">
        <v>320</v>
      </c>
      <c r="J132" s="101">
        <v>329</v>
      </c>
      <c r="K132" s="101">
        <v>154</v>
      </c>
      <c r="L132" s="101">
        <v>467</v>
      </c>
      <c r="M132" s="101">
        <v>368</v>
      </c>
      <c r="N132" s="101">
        <v>378</v>
      </c>
      <c r="O132" s="102">
        <f>Aktiv!G141</f>
        <v>101</v>
      </c>
      <c r="P132" s="102">
        <f>Aktiv!H141</f>
        <v>280</v>
      </c>
      <c r="Q132" s="102">
        <f>Aktiv!I141</f>
        <v>317</v>
      </c>
      <c r="R132" s="102">
        <f>Aktiv!J141</f>
        <v>263</v>
      </c>
      <c r="S132" s="103">
        <f t="shared" si="8"/>
        <v>-0.24626865671641796</v>
      </c>
      <c r="T132" s="103">
        <f t="shared" si="9"/>
        <v>-0.31034482758620685</v>
      </c>
      <c r="U132" s="103">
        <f t="shared" si="10"/>
        <v>-9.3750000000000222E-3</v>
      </c>
      <c r="V132" s="103">
        <f t="shared" si="11"/>
        <v>-0.20060790273556228</v>
      </c>
    </row>
    <row r="133" spans="1:22" x14ac:dyDescent="0.25">
      <c r="A133">
        <v>3612</v>
      </c>
      <c r="B133" t="s">
        <v>90</v>
      </c>
      <c r="C133" t="s">
        <v>227</v>
      </c>
      <c r="D133" t="s">
        <v>240</v>
      </c>
      <c r="E133">
        <v>1080</v>
      </c>
      <c r="F133">
        <v>780</v>
      </c>
      <c r="G133" s="101">
        <v>161</v>
      </c>
      <c r="H133" s="101">
        <v>517</v>
      </c>
      <c r="I133" s="101">
        <v>409</v>
      </c>
      <c r="J133" s="101">
        <v>385</v>
      </c>
      <c r="K133" s="101">
        <v>185</v>
      </c>
      <c r="L133" s="101">
        <v>595</v>
      </c>
      <c r="M133" s="101">
        <v>470</v>
      </c>
      <c r="N133" s="101">
        <v>443</v>
      </c>
      <c r="O133" s="102">
        <f>Aktiv!G142</f>
        <v>121</v>
      </c>
      <c r="P133" s="102">
        <f>Aktiv!H142</f>
        <v>357</v>
      </c>
      <c r="Q133" s="102">
        <f>Aktiv!I142</f>
        <v>405</v>
      </c>
      <c r="R133" s="102">
        <f>Aktiv!J142</f>
        <v>308</v>
      </c>
      <c r="S133" s="103">
        <f t="shared" si="8"/>
        <v>-0.24844720496894412</v>
      </c>
      <c r="T133" s="103">
        <f t="shared" si="9"/>
        <v>-0.30947775628626695</v>
      </c>
      <c r="U133" s="103">
        <f t="shared" si="10"/>
        <v>-9.7799511002445438E-3</v>
      </c>
      <c r="V133" s="103">
        <f t="shared" si="11"/>
        <v>-0.19999999999999996</v>
      </c>
    </row>
    <row r="134" spans="1:22" x14ac:dyDescent="0.25">
      <c r="A134">
        <v>3613</v>
      </c>
      <c r="B134" t="s">
        <v>90</v>
      </c>
      <c r="C134" t="s">
        <v>227</v>
      </c>
      <c r="D134" t="s">
        <v>241</v>
      </c>
      <c r="E134">
        <v>1080</v>
      </c>
      <c r="F134">
        <v>980</v>
      </c>
      <c r="G134" s="101">
        <v>200</v>
      </c>
      <c r="H134" s="101">
        <v>626</v>
      </c>
      <c r="I134" s="101">
        <v>474</v>
      </c>
      <c r="J134" s="101">
        <v>431</v>
      </c>
      <c r="K134" s="101">
        <v>230</v>
      </c>
      <c r="L134" s="101">
        <v>720</v>
      </c>
      <c r="M134" s="101">
        <v>545</v>
      </c>
      <c r="N134" s="101">
        <v>496</v>
      </c>
      <c r="O134" s="102">
        <f>Aktiv!G143</f>
        <v>150</v>
      </c>
      <c r="P134" s="102">
        <f>Aktiv!H143</f>
        <v>432</v>
      </c>
      <c r="Q134" s="102">
        <f>Aktiv!I143</f>
        <v>469</v>
      </c>
      <c r="R134" s="102">
        <f>Aktiv!J143</f>
        <v>345</v>
      </c>
      <c r="S134" s="103">
        <f t="shared" si="8"/>
        <v>-0.25</v>
      </c>
      <c r="T134" s="103">
        <f t="shared" si="9"/>
        <v>-0.30990415335463262</v>
      </c>
      <c r="U134" s="103">
        <f t="shared" si="10"/>
        <v>-1.0548523206751037E-2</v>
      </c>
      <c r="V134" s="103">
        <f t="shared" si="11"/>
        <v>-0.19953596287703013</v>
      </c>
    </row>
    <row r="135" spans="1:22" x14ac:dyDescent="0.25">
      <c r="A135">
        <v>3614</v>
      </c>
      <c r="B135" t="s">
        <v>90</v>
      </c>
      <c r="C135" t="s">
        <v>227</v>
      </c>
      <c r="D135" t="s">
        <v>242</v>
      </c>
      <c r="E135">
        <v>1440</v>
      </c>
      <c r="F135">
        <v>780</v>
      </c>
      <c r="G135" s="101">
        <v>211</v>
      </c>
      <c r="H135" s="101">
        <v>630</v>
      </c>
      <c r="I135" s="101">
        <v>499</v>
      </c>
      <c r="J135" s="101">
        <v>939</v>
      </c>
      <c r="K135" s="101">
        <v>243</v>
      </c>
      <c r="L135" s="101">
        <v>725</v>
      </c>
      <c r="M135" s="101">
        <v>574</v>
      </c>
      <c r="N135" s="101">
        <v>1080</v>
      </c>
      <c r="O135" s="102">
        <f>Aktiv!G144</f>
        <v>158</v>
      </c>
      <c r="P135" s="102">
        <f>Aktiv!H144</f>
        <v>435</v>
      </c>
      <c r="Q135" s="102">
        <f>Aktiv!I144</f>
        <v>494</v>
      </c>
      <c r="R135" s="102">
        <f>Aktiv!J144</f>
        <v>751</v>
      </c>
      <c r="S135" s="103">
        <f t="shared" si="8"/>
        <v>-0.25118483412322279</v>
      </c>
      <c r="T135" s="103">
        <f t="shared" si="9"/>
        <v>-0.30952380952380953</v>
      </c>
      <c r="U135" s="103">
        <f t="shared" si="10"/>
        <v>-1.0020040080160331E-2</v>
      </c>
      <c r="V135" s="103">
        <f t="shared" si="11"/>
        <v>-0.20021299254526093</v>
      </c>
    </row>
    <row r="136" spans="1:22" x14ac:dyDescent="0.25">
      <c r="A136">
        <v>3615</v>
      </c>
      <c r="B136" t="s">
        <v>90</v>
      </c>
      <c r="C136" t="s">
        <v>227</v>
      </c>
      <c r="D136" t="s">
        <v>243</v>
      </c>
      <c r="E136">
        <v>1440</v>
      </c>
      <c r="F136">
        <v>980</v>
      </c>
      <c r="G136" s="101">
        <v>264</v>
      </c>
      <c r="H136" s="101">
        <v>778</v>
      </c>
      <c r="I136" s="101">
        <v>616</v>
      </c>
      <c r="J136" s="101">
        <v>1159</v>
      </c>
      <c r="K136" s="101">
        <v>304</v>
      </c>
      <c r="L136" s="101">
        <v>895</v>
      </c>
      <c r="M136" s="101">
        <v>708</v>
      </c>
      <c r="N136" s="101">
        <v>1333</v>
      </c>
      <c r="O136" s="102">
        <f>Aktiv!G145</f>
        <v>198</v>
      </c>
      <c r="P136" s="102">
        <f>Aktiv!H145</f>
        <v>537</v>
      </c>
      <c r="Q136" s="102">
        <f>Aktiv!I145</f>
        <v>610</v>
      </c>
      <c r="R136" s="102">
        <f>Aktiv!J145</f>
        <v>927</v>
      </c>
      <c r="S136" s="103">
        <f t="shared" si="8"/>
        <v>-0.25</v>
      </c>
      <c r="T136" s="103">
        <f t="shared" si="9"/>
        <v>-0.30976863753213368</v>
      </c>
      <c r="U136" s="103">
        <f t="shared" si="10"/>
        <v>-9.7402597402597157E-3</v>
      </c>
      <c r="V136" s="103">
        <f t="shared" si="11"/>
        <v>-0.20017256255392579</v>
      </c>
    </row>
    <row r="137" spans="1:22" x14ac:dyDescent="0.25">
      <c r="A137">
        <v>3616</v>
      </c>
      <c r="B137" t="s">
        <v>90</v>
      </c>
      <c r="C137" t="s">
        <v>227</v>
      </c>
      <c r="D137" t="s">
        <v>244</v>
      </c>
      <c r="E137">
        <v>1800</v>
      </c>
      <c r="F137">
        <v>780</v>
      </c>
      <c r="G137" s="101">
        <v>264</v>
      </c>
      <c r="H137" s="101">
        <v>520</v>
      </c>
      <c r="I137" s="101">
        <v>612</v>
      </c>
      <c r="J137" s="101">
        <v>1151</v>
      </c>
      <c r="K137" s="101">
        <v>304</v>
      </c>
      <c r="L137" s="101">
        <v>598</v>
      </c>
      <c r="M137" s="101">
        <v>704</v>
      </c>
      <c r="N137" s="101">
        <v>1324</v>
      </c>
      <c r="O137" s="102">
        <f>Aktiv!G146</f>
        <v>198</v>
      </c>
      <c r="P137" s="102">
        <f>Aktiv!H146</f>
        <v>359</v>
      </c>
      <c r="Q137" s="102">
        <f>Aktiv!I146</f>
        <v>606</v>
      </c>
      <c r="R137" s="102">
        <f>Aktiv!J146</f>
        <v>921</v>
      </c>
      <c r="S137" s="103">
        <f t="shared" si="8"/>
        <v>-0.25</v>
      </c>
      <c r="T137" s="103">
        <f t="shared" si="9"/>
        <v>-0.30961538461538463</v>
      </c>
      <c r="U137" s="103">
        <f t="shared" si="10"/>
        <v>-9.8039215686274161E-3</v>
      </c>
      <c r="V137" s="103">
        <f t="shared" si="11"/>
        <v>-0.19982623805386623</v>
      </c>
    </row>
    <row r="138" spans="1:22" x14ac:dyDescent="0.25">
      <c r="A138">
        <v>3617</v>
      </c>
      <c r="B138" t="s">
        <v>90</v>
      </c>
      <c r="C138" t="s">
        <v>227</v>
      </c>
      <c r="D138" t="s">
        <v>245</v>
      </c>
      <c r="E138">
        <v>1800</v>
      </c>
      <c r="F138">
        <v>980</v>
      </c>
      <c r="G138" s="101">
        <v>329</v>
      </c>
      <c r="H138" s="101">
        <v>648</v>
      </c>
      <c r="I138" s="101">
        <v>753</v>
      </c>
      <c r="J138" s="101">
        <v>1417</v>
      </c>
      <c r="K138" s="101">
        <v>378</v>
      </c>
      <c r="L138" s="101">
        <v>745</v>
      </c>
      <c r="M138" s="101">
        <v>866</v>
      </c>
      <c r="N138" s="101">
        <v>1630</v>
      </c>
      <c r="O138" s="102">
        <f>Aktiv!G147</f>
        <v>247</v>
      </c>
      <c r="P138" s="102">
        <f>Aktiv!H147</f>
        <v>447</v>
      </c>
      <c r="Q138" s="102">
        <f>Aktiv!I147</f>
        <v>745</v>
      </c>
      <c r="R138" s="102">
        <f>Aktiv!J147</f>
        <v>1134</v>
      </c>
      <c r="S138" s="103">
        <f t="shared" si="8"/>
        <v>-0.24924012158054709</v>
      </c>
      <c r="T138" s="103">
        <f t="shared" si="9"/>
        <v>-0.31018518518518523</v>
      </c>
      <c r="U138" s="103">
        <f t="shared" si="10"/>
        <v>-1.0624169986719778E-2</v>
      </c>
      <c r="V138" s="103">
        <f t="shared" si="11"/>
        <v>-0.19971771347918132</v>
      </c>
    </row>
    <row r="139" spans="1:22" x14ac:dyDescent="0.25">
      <c r="A139">
        <v>3620</v>
      </c>
      <c r="B139" t="s">
        <v>90</v>
      </c>
      <c r="C139" t="s">
        <v>246</v>
      </c>
      <c r="D139" t="s">
        <v>247</v>
      </c>
      <c r="E139">
        <v>360</v>
      </c>
      <c r="F139">
        <v>360</v>
      </c>
      <c r="G139" s="101">
        <v>34</v>
      </c>
      <c r="H139" s="101">
        <v>67</v>
      </c>
      <c r="I139" s="101">
        <v>89</v>
      </c>
      <c r="J139" s="101">
        <v>177</v>
      </c>
      <c r="K139" s="101">
        <v>39</v>
      </c>
      <c r="L139" s="101">
        <v>77</v>
      </c>
      <c r="M139" s="101">
        <v>102</v>
      </c>
      <c r="N139" s="101">
        <v>204</v>
      </c>
      <c r="O139" s="102">
        <f>Aktiv!G149</f>
        <v>26</v>
      </c>
      <c r="P139" s="102">
        <f>Aktiv!H149</f>
        <v>46</v>
      </c>
      <c r="Q139" s="102">
        <f>Aktiv!I149</f>
        <v>88</v>
      </c>
      <c r="R139" s="102">
        <f>Aktiv!J149</f>
        <v>142</v>
      </c>
      <c r="S139" s="103">
        <f t="shared" si="8"/>
        <v>-0.23529411764705888</v>
      </c>
      <c r="T139" s="103">
        <f t="shared" si="9"/>
        <v>-0.31343283582089554</v>
      </c>
      <c r="U139" s="103">
        <f t="shared" si="10"/>
        <v>-1.1235955056179803E-2</v>
      </c>
      <c r="V139" s="103">
        <f t="shared" si="11"/>
        <v>-0.19774011299435024</v>
      </c>
    </row>
    <row r="140" spans="1:22" x14ac:dyDescent="0.25">
      <c r="A140">
        <v>3621</v>
      </c>
      <c r="B140" t="s">
        <v>90</v>
      </c>
      <c r="C140" t="s">
        <v>246</v>
      </c>
      <c r="D140" t="s">
        <v>248</v>
      </c>
      <c r="E140">
        <v>360</v>
      </c>
      <c r="F140">
        <v>720</v>
      </c>
      <c r="G140" s="101">
        <v>52</v>
      </c>
      <c r="H140" s="101">
        <v>102</v>
      </c>
      <c r="I140" s="101">
        <v>143</v>
      </c>
      <c r="J140" s="101">
        <v>212</v>
      </c>
      <c r="K140" s="101">
        <v>60</v>
      </c>
      <c r="L140" s="101">
        <v>117</v>
      </c>
      <c r="M140" s="101">
        <v>164</v>
      </c>
      <c r="N140" s="101">
        <v>244</v>
      </c>
      <c r="O140" s="102">
        <f>Aktiv!G150</f>
        <v>39</v>
      </c>
      <c r="P140" s="102">
        <f>Aktiv!H150</f>
        <v>70</v>
      </c>
      <c r="Q140" s="102">
        <f>Aktiv!I150</f>
        <v>142</v>
      </c>
      <c r="R140" s="102">
        <f>Aktiv!J150</f>
        <v>170</v>
      </c>
      <c r="S140" s="103">
        <f t="shared" si="8"/>
        <v>-0.25</v>
      </c>
      <c r="T140" s="103">
        <f t="shared" si="9"/>
        <v>-0.31372549019607843</v>
      </c>
      <c r="U140" s="103">
        <f t="shared" si="10"/>
        <v>-6.9930069930069783E-3</v>
      </c>
      <c r="V140" s="103">
        <f t="shared" si="11"/>
        <v>-0.19811320754716977</v>
      </c>
    </row>
    <row r="141" spans="1:22" x14ac:dyDescent="0.25">
      <c r="A141">
        <v>3622</v>
      </c>
      <c r="B141" t="s">
        <v>90</v>
      </c>
      <c r="C141" t="s">
        <v>246</v>
      </c>
      <c r="D141" t="s">
        <v>249</v>
      </c>
      <c r="E141">
        <v>360</v>
      </c>
      <c r="F141">
        <v>1080</v>
      </c>
      <c r="G141" s="101">
        <v>76</v>
      </c>
      <c r="H141" s="101">
        <v>150</v>
      </c>
      <c r="I141" s="101">
        <v>222</v>
      </c>
      <c r="J141" s="101">
        <v>240</v>
      </c>
      <c r="K141" s="101">
        <v>87</v>
      </c>
      <c r="L141" s="101">
        <v>173</v>
      </c>
      <c r="M141" s="101">
        <v>255</v>
      </c>
      <c r="N141" s="101">
        <v>276</v>
      </c>
      <c r="O141" s="102">
        <f>Aktiv!G151</f>
        <v>57</v>
      </c>
      <c r="P141" s="102">
        <f>Aktiv!H151</f>
        <v>104</v>
      </c>
      <c r="Q141" s="102">
        <f>Aktiv!I151</f>
        <v>220</v>
      </c>
      <c r="R141" s="102">
        <f>Aktiv!J151</f>
        <v>192</v>
      </c>
      <c r="S141" s="103">
        <f t="shared" si="8"/>
        <v>-0.25</v>
      </c>
      <c r="T141" s="103">
        <f t="shared" si="9"/>
        <v>-0.30666666666666664</v>
      </c>
      <c r="U141" s="103">
        <f t="shared" si="10"/>
        <v>-9.009009009009028E-3</v>
      </c>
      <c r="V141" s="103">
        <f t="shared" si="11"/>
        <v>-0.19999999999999996</v>
      </c>
    </row>
    <row r="142" spans="1:22" x14ac:dyDescent="0.25">
      <c r="A142">
        <v>3623</v>
      </c>
      <c r="B142" t="s">
        <v>90</v>
      </c>
      <c r="C142" t="s">
        <v>246</v>
      </c>
      <c r="D142" t="s">
        <v>250</v>
      </c>
      <c r="E142">
        <v>360</v>
      </c>
      <c r="F142">
        <v>1440</v>
      </c>
      <c r="G142" s="101">
        <v>100</v>
      </c>
      <c r="H142" s="101">
        <v>197</v>
      </c>
      <c r="I142" s="101">
        <v>281</v>
      </c>
      <c r="J142" s="101">
        <v>529</v>
      </c>
      <c r="K142" s="101">
        <v>115</v>
      </c>
      <c r="L142" s="101">
        <v>227</v>
      </c>
      <c r="M142" s="101">
        <v>323</v>
      </c>
      <c r="N142" s="101">
        <v>608</v>
      </c>
      <c r="O142" s="102">
        <f>Aktiv!G152</f>
        <v>75</v>
      </c>
      <c r="P142" s="102">
        <f>Aktiv!H152</f>
        <v>136</v>
      </c>
      <c r="Q142" s="102">
        <f>Aktiv!I152</f>
        <v>278</v>
      </c>
      <c r="R142" s="102">
        <f>Aktiv!J152</f>
        <v>423</v>
      </c>
      <c r="S142" s="103">
        <f t="shared" si="8"/>
        <v>-0.25</v>
      </c>
      <c r="T142" s="103">
        <f t="shared" si="9"/>
        <v>-0.30964467005076146</v>
      </c>
      <c r="U142" s="103">
        <f t="shared" si="10"/>
        <v>-1.0676156583629859E-2</v>
      </c>
      <c r="V142" s="103">
        <f t="shared" si="11"/>
        <v>-0.20037807183364842</v>
      </c>
    </row>
    <row r="143" spans="1:22" x14ac:dyDescent="0.25">
      <c r="A143">
        <v>3624</v>
      </c>
      <c r="B143" t="s">
        <v>90</v>
      </c>
      <c r="C143" t="s">
        <v>246</v>
      </c>
      <c r="D143" t="s">
        <v>251</v>
      </c>
      <c r="E143">
        <v>360</v>
      </c>
      <c r="F143">
        <v>1800</v>
      </c>
      <c r="G143" s="101">
        <v>125</v>
      </c>
      <c r="H143" s="101">
        <v>246</v>
      </c>
      <c r="I143" s="101">
        <v>343</v>
      </c>
      <c r="J143" s="101">
        <v>645</v>
      </c>
      <c r="K143" s="101">
        <v>144</v>
      </c>
      <c r="L143" s="101">
        <v>283</v>
      </c>
      <c r="M143" s="101">
        <v>394</v>
      </c>
      <c r="N143" s="101">
        <v>742</v>
      </c>
      <c r="O143" s="102">
        <f>Aktiv!G153</f>
        <v>94</v>
      </c>
      <c r="P143" s="102">
        <f>Aktiv!H153</f>
        <v>170</v>
      </c>
      <c r="Q143" s="102">
        <f>Aktiv!I153</f>
        <v>340</v>
      </c>
      <c r="R143" s="102">
        <f>Aktiv!J153</f>
        <v>516</v>
      </c>
      <c r="S143" s="103">
        <f t="shared" si="8"/>
        <v>-0.248</v>
      </c>
      <c r="T143" s="103">
        <f t="shared" si="9"/>
        <v>-0.30894308943089432</v>
      </c>
      <c r="U143" s="103">
        <f t="shared" si="10"/>
        <v>-8.7463556851311575E-3</v>
      </c>
      <c r="V143" s="103">
        <f t="shared" si="11"/>
        <v>-0.19999999999999996</v>
      </c>
    </row>
    <row r="144" spans="1:22" x14ac:dyDescent="0.25">
      <c r="A144">
        <v>3625</v>
      </c>
      <c r="B144" t="s">
        <v>90</v>
      </c>
      <c r="C144" t="s">
        <v>246</v>
      </c>
      <c r="D144" t="s">
        <v>252</v>
      </c>
      <c r="E144">
        <v>580</v>
      </c>
      <c r="F144">
        <v>360</v>
      </c>
      <c r="G144" s="101">
        <v>43</v>
      </c>
      <c r="H144" s="101">
        <v>85</v>
      </c>
      <c r="I144" s="101">
        <v>130</v>
      </c>
      <c r="J144" s="101">
        <v>185</v>
      </c>
      <c r="K144" s="101">
        <v>49</v>
      </c>
      <c r="L144" s="101">
        <v>98</v>
      </c>
      <c r="M144" s="101">
        <v>150</v>
      </c>
      <c r="N144" s="101">
        <v>213</v>
      </c>
      <c r="O144" s="102">
        <f>Aktiv!G154</f>
        <v>32</v>
      </c>
      <c r="P144" s="102">
        <f>Aktiv!H154</f>
        <v>59</v>
      </c>
      <c r="Q144" s="102">
        <f>Aktiv!I154</f>
        <v>129</v>
      </c>
      <c r="R144" s="102">
        <f>Aktiv!J154</f>
        <v>148</v>
      </c>
      <c r="S144" s="103">
        <f t="shared" si="8"/>
        <v>-0.2558139534883721</v>
      </c>
      <c r="T144" s="103">
        <f t="shared" si="9"/>
        <v>-0.30588235294117649</v>
      </c>
      <c r="U144" s="103">
        <f t="shared" si="10"/>
        <v>-7.692307692307665E-3</v>
      </c>
      <c r="V144" s="103">
        <f t="shared" si="11"/>
        <v>-0.19999999999999996</v>
      </c>
    </row>
    <row r="145" spans="1:22" x14ac:dyDescent="0.25">
      <c r="A145">
        <v>3626</v>
      </c>
      <c r="B145" t="s">
        <v>90</v>
      </c>
      <c r="C145" t="s">
        <v>246</v>
      </c>
      <c r="D145" t="s">
        <v>253</v>
      </c>
      <c r="E145">
        <v>580</v>
      </c>
      <c r="F145">
        <v>720</v>
      </c>
      <c r="G145" s="101">
        <v>82</v>
      </c>
      <c r="H145" s="101">
        <v>161</v>
      </c>
      <c r="I145" s="101">
        <v>216</v>
      </c>
      <c r="J145" s="101">
        <v>245</v>
      </c>
      <c r="K145" s="101">
        <v>94</v>
      </c>
      <c r="L145" s="101">
        <v>185</v>
      </c>
      <c r="M145" s="101">
        <v>248</v>
      </c>
      <c r="N145" s="101">
        <v>282</v>
      </c>
      <c r="O145" s="102">
        <f>Aktiv!G155</f>
        <v>62</v>
      </c>
      <c r="P145" s="102">
        <f>Aktiv!H155</f>
        <v>111</v>
      </c>
      <c r="Q145" s="102">
        <f>Aktiv!I155</f>
        <v>214</v>
      </c>
      <c r="R145" s="102">
        <f>Aktiv!J155</f>
        <v>196</v>
      </c>
      <c r="S145" s="103">
        <f t="shared" si="8"/>
        <v>-0.24390243902439024</v>
      </c>
      <c r="T145" s="103">
        <f t="shared" si="9"/>
        <v>-0.31055900621118016</v>
      </c>
      <c r="U145" s="103">
        <f t="shared" si="10"/>
        <v>-9.2592592592593004E-3</v>
      </c>
      <c r="V145" s="103">
        <f t="shared" si="11"/>
        <v>-0.19999999999999996</v>
      </c>
    </row>
    <row r="146" spans="1:22" x14ac:dyDescent="0.25">
      <c r="A146">
        <v>3627</v>
      </c>
      <c r="B146" t="s">
        <v>90</v>
      </c>
      <c r="C146" t="s">
        <v>246</v>
      </c>
      <c r="D146" t="s">
        <v>254</v>
      </c>
      <c r="E146">
        <v>580</v>
      </c>
      <c r="F146">
        <v>1080</v>
      </c>
      <c r="G146" s="101">
        <v>119</v>
      </c>
      <c r="H146" s="101">
        <v>234</v>
      </c>
      <c r="I146" s="101">
        <v>300</v>
      </c>
      <c r="J146" s="101">
        <v>307</v>
      </c>
      <c r="K146" s="101">
        <v>137</v>
      </c>
      <c r="L146" s="101">
        <v>269</v>
      </c>
      <c r="M146" s="101">
        <v>345</v>
      </c>
      <c r="N146" s="101">
        <v>353</v>
      </c>
      <c r="O146" s="102">
        <f>Aktiv!G156</f>
        <v>89</v>
      </c>
      <c r="P146" s="102">
        <f>Aktiv!H156</f>
        <v>161</v>
      </c>
      <c r="Q146" s="102">
        <f>Aktiv!I156</f>
        <v>297</v>
      </c>
      <c r="R146" s="102">
        <f>Aktiv!J156</f>
        <v>246</v>
      </c>
      <c r="S146" s="103">
        <f t="shared" si="8"/>
        <v>-0.25210084033613445</v>
      </c>
      <c r="T146" s="103">
        <f t="shared" si="9"/>
        <v>-0.31196581196581197</v>
      </c>
      <c r="U146" s="103">
        <f t="shared" si="10"/>
        <v>-1.0000000000000009E-2</v>
      </c>
      <c r="V146" s="103">
        <f t="shared" si="11"/>
        <v>-0.19869706840390877</v>
      </c>
    </row>
    <row r="147" spans="1:22" x14ac:dyDescent="0.25">
      <c r="A147">
        <v>3628</v>
      </c>
      <c r="B147" t="s">
        <v>90</v>
      </c>
      <c r="C147" t="s">
        <v>246</v>
      </c>
      <c r="D147" t="s">
        <v>255</v>
      </c>
      <c r="E147">
        <v>580</v>
      </c>
      <c r="F147">
        <v>1440</v>
      </c>
      <c r="G147" s="101">
        <v>158</v>
      </c>
      <c r="H147" s="101">
        <v>311</v>
      </c>
      <c r="I147" s="101">
        <v>400</v>
      </c>
      <c r="J147" s="101">
        <v>752</v>
      </c>
      <c r="K147" s="101">
        <v>182</v>
      </c>
      <c r="L147" s="101">
        <v>358</v>
      </c>
      <c r="M147" s="101">
        <v>460</v>
      </c>
      <c r="N147" s="101">
        <v>865</v>
      </c>
      <c r="O147" s="102">
        <f>Aktiv!G157</f>
        <v>119</v>
      </c>
      <c r="P147" s="102">
        <f>Aktiv!H157</f>
        <v>215</v>
      </c>
      <c r="Q147" s="102">
        <f>Aktiv!I157</f>
        <v>396</v>
      </c>
      <c r="R147" s="102">
        <f>Aktiv!J157</f>
        <v>602</v>
      </c>
      <c r="S147" s="103">
        <f t="shared" si="8"/>
        <v>-0.24683544303797467</v>
      </c>
      <c r="T147" s="103">
        <f t="shared" si="9"/>
        <v>-0.3086816720257235</v>
      </c>
      <c r="U147" s="103">
        <f t="shared" si="10"/>
        <v>-1.0000000000000009E-2</v>
      </c>
      <c r="V147" s="103">
        <f t="shared" si="11"/>
        <v>-0.19946808510638303</v>
      </c>
    </row>
    <row r="148" spans="1:22" x14ac:dyDescent="0.25">
      <c r="A148">
        <v>3629</v>
      </c>
      <c r="B148" t="s">
        <v>90</v>
      </c>
      <c r="C148" t="s">
        <v>246</v>
      </c>
      <c r="D148" t="s">
        <v>256</v>
      </c>
      <c r="E148">
        <v>580</v>
      </c>
      <c r="F148">
        <v>1800</v>
      </c>
      <c r="G148" s="101">
        <v>197</v>
      </c>
      <c r="H148" s="101">
        <v>388</v>
      </c>
      <c r="I148" s="101">
        <v>467</v>
      </c>
      <c r="J148" s="101">
        <v>879</v>
      </c>
      <c r="K148" s="101">
        <v>227</v>
      </c>
      <c r="L148" s="101">
        <v>446</v>
      </c>
      <c r="M148" s="101">
        <v>537</v>
      </c>
      <c r="N148" s="101">
        <v>1011</v>
      </c>
      <c r="O148" s="102">
        <f>Aktiv!G158</f>
        <v>148</v>
      </c>
      <c r="P148" s="102">
        <f>Aktiv!H158</f>
        <v>268</v>
      </c>
      <c r="Q148" s="102">
        <f>Aktiv!I158</f>
        <v>462</v>
      </c>
      <c r="R148" s="102">
        <f>Aktiv!J158</f>
        <v>703</v>
      </c>
      <c r="S148" s="103">
        <f t="shared" si="8"/>
        <v>-0.24873096446700504</v>
      </c>
      <c r="T148" s="103">
        <f t="shared" si="9"/>
        <v>-0.30927835051546393</v>
      </c>
      <c r="U148" s="103">
        <f t="shared" si="10"/>
        <v>-1.0706638115631661E-2</v>
      </c>
      <c r="V148" s="103">
        <f t="shared" si="11"/>
        <v>-0.20022753128555182</v>
      </c>
    </row>
    <row r="149" spans="1:22" x14ac:dyDescent="0.25">
      <c r="A149">
        <v>3700</v>
      </c>
      <c r="B149" t="s">
        <v>90</v>
      </c>
      <c r="C149" t="s">
        <v>257</v>
      </c>
      <c r="D149" t="s">
        <v>258</v>
      </c>
      <c r="E149">
        <v>360</v>
      </c>
      <c r="F149">
        <v>360</v>
      </c>
      <c r="G149" s="101">
        <v>34</v>
      </c>
      <c r="H149" s="101">
        <v>114</v>
      </c>
      <c r="I149" s="101">
        <v>89</v>
      </c>
      <c r="J149" s="101">
        <v>177</v>
      </c>
      <c r="K149" s="101">
        <v>39</v>
      </c>
      <c r="L149" s="101">
        <v>131</v>
      </c>
      <c r="M149" s="101">
        <v>102</v>
      </c>
      <c r="N149" s="101">
        <v>204</v>
      </c>
      <c r="O149" s="102">
        <f>Aktiv!G160</f>
        <v>26</v>
      </c>
      <c r="P149" s="102">
        <f>Aktiv!H160</f>
        <v>75</v>
      </c>
      <c r="Q149" s="102">
        <f>Aktiv!I160</f>
        <v>81</v>
      </c>
      <c r="R149" s="102">
        <f>Aktiv!J160</f>
        <v>135</v>
      </c>
      <c r="S149" s="103">
        <f t="shared" si="8"/>
        <v>-0.23529411764705888</v>
      </c>
      <c r="T149" s="103">
        <f t="shared" si="9"/>
        <v>-0.34210526315789469</v>
      </c>
      <c r="U149" s="103">
        <f t="shared" si="10"/>
        <v>-8.98876404494382E-2</v>
      </c>
      <c r="V149" s="103">
        <f t="shared" si="11"/>
        <v>-0.23728813559322037</v>
      </c>
    </row>
    <row r="150" spans="1:22" x14ac:dyDescent="0.25">
      <c r="A150">
        <v>3701</v>
      </c>
      <c r="B150" t="s">
        <v>90</v>
      </c>
      <c r="C150" t="s">
        <v>257</v>
      </c>
      <c r="D150" t="s">
        <v>259</v>
      </c>
      <c r="E150">
        <v>420</v>
      </c>
      <c r="F150">
        <v>360</v>
      </c>
      <c r="G150" s="101">
        <v>34</v>
      </c>
      <c r="H150" s="101">
        <v>121</v>
      </c>
      <c r="I150" s="101">
        <v>92</v>
      </c>
      <c r="J150" s="101">
        <v>178</v>
      </c>
      <c r="K150" s="101">
        <v>39</v>
      </c>
      <c r="L150" s="101">
        <v>139</v>
      </c>
      <c r="M150" s="101">
        <v>106</v>
      </c>
      <c r="N150" s="101">
        <v>205</v>
      </c>
      <c r="O150" s="102">
        <f>Aktiv!G161</f>
        <v>26</v>
      </c>
      <c r="P150" s="102">
        <f>Aktiv!H161</f>
        <v>80</v>
      </c>
      <c r="Q150" s="102">
        <f>Aktiv!I161</f>
        <v>84</v>
      </c>
      <c r="R150" s="102">
        <f>Aktiv!J161</f>
        <v>135</v>
      </c>
      <c r="S150" s="103">
        <f t="shared" si="8"/>
        <v>-0.23529411764705888</v>
      </c>
      <c r="T150" s="103">
        <f t="shared" si="9"/>
        <v>-0.33884297520661155</v>
      </c>
      <c r="U150" s="103">
        <f t="shared" si="10"/>
        <v>-8.6956521739130488E-2</v>
      </c>
      <c r="V150" s="103">
        <f t="shared" si="11"/>
        <v>-0.2415730337078652</v>
      </c>
    </row>
    <row r="151" spans="1:22" x14ac:dyDescent="0.25">
      <c r="A151">
        <v>3702</v>
      </c>
      <c r="B151" t="s">
        <v>90</v>
      </c>
      <c r="C151" t="s">
        <v>257</v>
      </c>
      <c r="D151" t="s">
        <v>260</v>
      </c>
      <c r="E151">
        <v>580</v>
      </c>
      <c r="F151">
        <v>360</v>
      </c>
      <c r="G151" s="101">
        <v>43</v>
      </c>
      <c r="H151" s="101">
        <v>161</v>
      </c>
      <c r="I151" s="101">
        <v>130</v>
      </c>
      <c r="J151" s="101">
        <v>185</v>
      </c>
      <c r="K151" s="101">
        <v>49</v>
      </c>
      <c r="L151" s="101">
        <v>185</v>
      </c>
      <c r="M151" s="101">
        <v>150</v>
      </c>
      <c r="N151" s="101">
        <v>213</v>
      </c>
      <c r="O151" s="102">
        <f>Aktiv!G162</f>
        <v>32</v>
      </c>
      <c r="P151" s="102">
        <f>Aktiv!H162</f>
        <v>106</v>
      </c>
      <c r="Q151" s="102">
        <f>Aktiv!I162</f>
        <v>118</v>
      </c>
      <c r="R151" s="102">
        <f>Aktiv!J162</f>
        <v>141</v>
      </c>
      <c r="S151" s="103">
        <f t="shared" si="8"/>
        <v>-0.2558139534883721</v>
      </c>
      <c r="T151" s="103">
        <f t="shared" si="9"/>
        <v>-0.34161490683229812</v>
      </c>
      <c r="U151" s="103">
        <f t="shared" si="10"/>
        <v>-9.2307692307692313E-2</v>
      </c>
      <c r="V151" s="103">
        <f t="shared" si="11"/>
        <v>-0.23783783783783785</v>
      </c>
    </row>
    <row r="152" spans="1:22" x14ac:dyDescent="0.25">
      <c r="A152">
        <v>3703</v>
      </c>
      <c r="B152" t="s">
        <v>90</v>
      </c>
      <c r="C152" t="s">
        <v>257</v>
      </c>
      <c r="D152" t="s">
        <v>261</v>
      </c>
      <c r="E152">
        <v>780</v>
      </c>
      <c r="F152">
        <v>360</v>
      </c>
      <c r="G152" s="101">
        <v>56</v>
      </c>
      <c r="H152" s="101">
        <v>185</v>
      </c>
      <c r="I152" s="101">
        <v>144</v>
      </c>
      <c r="J152" s="101">
        <v>190</v>
      </c>
      <c r="K152" s="101">
        <v>64</v>
      </c>
      <c r="L152" s="101">
        <v>213</v>
      </c>
      <c r="M152" s="101">
        <v>166</v>
      </c>
      <c r="N152" s="101">
        <v>219</v>
      </c>
      <c r="O152" s="102">
        <f>Aktiv!G163</f>
        <v>42</v>
      </c>
      <c r="P152" s="102">
        <f>Aktiv!H163</f>
        <v>122</v>
      </c>
      <c r="Q152" s="102">
        <f>Aktiv!I163</f>
        <v>131</v>
      </c>
      <c r="R152" s="102">
        <f>Aktiv!J163</f>
        <v>144</v>
      </c>
      <c r="S152" s="103">
        <f t="shared" si="8"/>
        <v>-0.25</v>
      </c>
      <c r="T152" s="103">
        <f t="shared" si="9"/>
        <v>-0.3405405405405405</v>
      </c>
      <c r="U152" s="103">
        <f t="shared" si="10"/>
        <v>-9.027777777777779E-2</v>
      </c>
      <c r="V152" s="103">
        <f t="shared" si="11"/>
        <v>-0.24210526315789471</v>
      </c>
    </row>
    <row r="153" spans="1:22" x14ac:dyDescent="0.25">
      <c r="A153">
        <v>3704</v>
      </c>
      <c r="B153" t="s">
        <v>90</v>
      </c>
      <c r="C153" t="s">
        <v>257</v>
      </c>
      <c r="D153" t="s">
        <v>262</v>
      </c>
      <c r="E153">
        <v>980</v>
      </c>
      <c r="F153">
        <v>360</v>
      </c>
      <c r="G153" s="101">
        <v>70</v>
      </c>
      <c r="H153" s="101">
        <v>223</v>
      </c>
      <c r="I153" s="101">
        <v>174</v>
      </c>
      <c r="J153" s="101">
        <v>209</v>
      </c>
      <c r="K153" s="101">
        <v>81</v>
      </c>
      <c r="L153" s="101">
        <v>256</v>
      </c>
      <c r="M153" s="101">
        <v>200</v>
      </c>
      <c r="N153" s="101">
        <v>240</v>
      </c>
      <c r="O153" s="102">
        <f>Aktiv!G164</f>
        <v>53</v>
      </c>
      <c r="P153" s="102">
        <f>Aktiv!H164</f>
        <v>147</v>
      </c>
      <c r="Q153" s="102">
        <f>Aktiv!I164</f>
        <v>158</v>
      </c>
      <c r="R153" s="102">
        <f>Aktiv!J164</f>
        <v>159</v>
      </c>
      <c r="S153" s="103">
        <f t="shared" si="8"/>
        <v>-0.24285714285714288</v>
      </c>
      <c r="T153" s="103">
        <f t="shared" si="9"/>
        <v>-0.34080717488789236</v>
      </c>
      <c r="U153" s="103">
        <f t="shared" si="10"/>
        <v>-9.1954022988505746E-2</v>
      </c>
      <c r="V153" s="103">
        <f t="shared" si="11"/>
        <v>-0.23923444976076558</v>
      </c>
    </row>
    <row r="154" spans="1:22" x14ac:dyDescent="0.25">
      <c r="A154">
        <v>3705</v>
      </c>
      <c r="B154" t="s">
        <v>90</v>
      </c>
      <c r="C154" t="s">
        <v>257</v>
      </c>
      <c r="D154" t="s">
        <v>263</v>
      </c>
      <c r="E154">
        <v>360</v>
      </c>
      <c r="F154">
        <v>580</v>
      </c>
      <c r="G154" s="101">
        <v>43</v>
      </c>
      <c r="H154" s="101">
        <v>161</v>
      </c>
      <c r="I154" s="101">
        <v>130</v>
      </c>
      <c r="J154" s="101">
        <v>185</v>
      </c>
      <c r="K154" s="101">
        <v>49</v>
      </c>
      <c r="L154" s="101">
        <v>185</v>
      </c>
      <c r="M154" s="101">
        <v>150</v>
      </c>
      <c r="N154" s="101">
        <v>213</v>
      </c>
      <c r="O154" s="102">
        <f>Aktiv!G165</f>
        <v>32</v>
      </c>
      <c r="P154" s="102">
        <f>Aktiv!H165</f>
        <v>106</v>
      </c>
      <c r="Q154" s="102">
        <f>Aktiv!I165</f>
        <v>118</v>
      </c>
      <c r="R154" s="102">
        <f>Aktiv!J165</f>
        <v>141</v>
      </c>
      <c r="S154" s="103">
        <f t="shared" si="8"/>
        <v>-0.2558139534883721</v>
      </c>
      <c r="T154" s="103">
        <f t="shared" si="9"/>
        <v>-0.34161490683229812</v>
      </c>
      <c r="U154" s="103">
        <f t="shared" si="10"/>
        <v>-9.2307692307692313E-2</v>
      </c>
      <c r="V154" s="103">
        <f t="shared" si="11"/>
        <v>-0.23783783783783785</v>
      </c>
    </row>
    <row r="155" spans="1:22" x14ac:dyDescent="0.25">
      <c r="A155">
        <v>3706</v>
      </c>
      <c r="B155" t="s">
        <v>90</v>
      </c>
      <c r="C155" t="s">
        <v>257</v>
      </c>
      <c r="D155" t="s">
        <v>264</v>
      </c>
      <c r="E155">
        <v>420</v>
      </c>
      <c r="F155">
        <v>580</v>
      </c>
      <c r="G155" s="101">
        <v>49</v>
      </c>
      <c r="H155" s="101">
        <v>181</v>
      </c>
      <c r="I155" s="101">
        <v>147</v>
      </c>
      <c r="J155" s="101">
        <v>186</v>
      </c>
      <c r="K155" s="101">
        <v>56</v>
      </c>
      <c r="L155" s="101">
        <v>208</v>
      </c>
      <c r="M155" s="101">
        <v>169</v>
      </c>
      <c r="N155" s="101">
        <v>214</v>
      </c>
      <c r="O155" s="102">
        <f>Aktiv!G166</f>
        <v>37</v>
      </c>
      <c r="P155" s="102">
        <f>Aktiv!H166</f>
        <v>119</v>
      </c>
      <c r="Q155" s="102">
        <f>Aktiv!I166</f>
        <v>134</v>
      </c>
      <c r="R155" s="102">
        <f>Aktiv!J166</f>
        <v>141</v>
      </c>
      <c r="S155" s="103">
        <f t="shared" si="8"/>
        <v>-0.24489795918367352</v>
      </c>
      <c r="T155" s="103">
        <f t="shared" si="9"/>
        <v>-0.34254143646408841</v>
      </c>
      <c r="U155" s="103">
        <f t="shared" si="10"/>
        <v>-8.8435374149659851E-2</v>
      </c>
      <c r="V155" s="103">
        <f t="shared" si="11"/>
        <v>-0.24193548387096775</v>
      </c>
    </row>
    <row r="156" spans="1:22" x14ac:dyDescent="0.25">
      <c r="A156">
        <v>3707</v>
      </c>
      <c r="B156" t="s">
        <v>90</v>
      </c>
      <c r="C156" t="s">
        <v>257</v>
      </c>
      <c r="D156" t="s">
        <v>265</v>
      </c>
      <c r="E156">
        <v>580</v>
      </c>
      <c r="F156">
        <v>580</v>
      </c>
      <c r="G156" s="101">
        <v>67</v>
      </c>
      <c r="H156" s="101">
        <v>228</v>
      </c>
      <c r="I156" s="101">
        <v>183</v>
      </c>
      <c r="J156" s="101">
        <v>191</v>
      </c>
      <c r="K156" s="101">
        <v>77</v>
      </c>
      <c r="L156" s="101">
        <v>262</v>
      </c>
      <c r="M156" s="101">
        <v>210</v>
      </c>
      <c r="N156" s="101">
        <v>220</v>
      </c>
      <c r="O156" s="102">
        <f>Aktiv!G167</f>
        <v>50</v>
      </c>
      <c r="P156" s="102">
        <f>Aktiv!H167</f>
        <v>150</v>
      </c>
      <c r="Q156" s="102">
        <f>Aktiv!I167</f>
        <v>167</v>
      </c>
      <c r="R156" s="102">
        <f>Aktiv!J167</f>
        <v>145</v>
      </c>
      <c r="S156" s="103">
        <f t="shared" si="8"/>
        <v>-0.25373134328358204</v>
      </c>
      <c r="T156" s="103">
        <f t="shared" si="9"/>
        <v>-0.34210526315789469</v>
      </c>
      <c r="U156" s="103">
        <f t="shared" si="10"/>
        <v>-8.7431693989071024E-2</v>
      </c>
      <c r="V156" s="103">
        <f t="shared" si="11"/>
        <v>-0.24083769633507857</v>
      </c>
    </row>
    <row r="157" spans="1:22" x14ac:dyDescent="0.25">
      <c r="A157">
        <v>3708</v>
      </c>
      <c r="B157" t="s">
        <v>90</v>
      </c>
      <c r="C157" t="s">
        <v>257</v>
      </c>
      <c r="D157" t="s">
        <v>266</v>
      </c>
      <c r="E157">
        <v>780</v>
      </c>
      <c r="F157">
        <v>580</v>
      </c>
      <c r="G157" s="101">
        <v>87</v>
      </c>
      <c r="H157" s="101">
        <v>275</v>
      </c>
      <c r="I157" s="101">
        <v>225</v>
      </c>
      <c r="J157" s="101">
        <v>237</v>
      </c>
      <c r="K157" s="101">
        <v>100</v>
      </c>
      <c r="L157" s="101">
        <v>316</v>
      </c>
      <c r="M157" s="101">
        <v>259</v>
      </c>
      <c r="N157" s="101">
        <v>273</v>
      </c>
      <c r="O157" s="102">
        <f>Aktiv!G168</f>
        <v>65</v>
      </c>
      <c r="P157" s="102">
        <f>Aktiv!H168</f>
        <v>182</v>
      </c>
      <c r="Q157" s="102">
        <f>Aktiv!I168</f>
        <v>205</v>
      </c>
      <c r="R157" s="102">
        <f>Aktiv!J168</f>
        <v>180</v>
      </c>
      <c r="S157" s="103">
        <f t="shared" si="8"/>
        <v>-0.25287356321839083</v>
      </c>
      <c r="T157" s="103">
        <f t="shared" si="9"/>
        <v>-0.33818181818181814</v>
      </c>
      <c r="U157" s="103">
        <f t="shared" si="10"/>
        <v>-8.8888888888888906E-2</v>
      </c>
      <c r="V157" s="103">
        <f t="shared" si="11"/>
        <v>-0.240506329113924</v>
      </c>
    </row>
    <row r="158" spans="1:22" x14ac:dyDescent="0.25">
      <c r="A158">
        <v>3709</v>
      </c>
      <c r="B158" t="s">
        <v>90</v>
      </c>
      <c r="C158" t="s">
        <v>257</v>
      </c>
      <c r="D158" t="s">
        <v>267</v>
      </c>
      <c r="E158">
        <v>980</v>
      </c>
      <c r="F158">
        <v>580</v>
      </c>
      <c r="G158" s="101">
        <v>110</v>
      </c>
      <c r="H158" s="101">
        <v>355</v>
      </c>
      <c r="I158" s="101">
        <v>286</v>
      </c>
      <c r="J158" s="101">
        <v>276</v>
      </c>
      <c r="K158" s="101">
        <v>127</v>
      </c>
      <c r="L158" s="101">
        <v>408</v>
      </c>
      <c r="M158" s="101">
        <v>329</v>
      </c>
      <c r="N158" s="101">
        <v>317</v>
      </c>
      <c r="O158" s="102">
        <f>Aktiv!G169</f>
        <v>83</v>
      </c>
      <c r="P158" s="102">
        <f>Aktiv!H169</f>
        <v>234</v>
      </c>
      <c r="Q158" s="102">
        <f>Aktiv!I169</f>
        <v>260</v>
      </c>
      <c r="R158" s="102">
        <f>Aktiv!J169</f>
        <v>210</v>
      </c>
      <c r="S158" s="103">
        <f t="shared" si="8"/>
        <v>-0.24545454545454548</v>
      </c>
      <c r="T158" s="103">
        <f t="shared" si="9"/>
        <v>-0.3408450704225352</v>
      </c>
      <c r="U158" s="103">
        <f t="shared" si="10"/>
        <v>-9.0909090909090939E-2</v>
      </c>
      <c r="V158" s="103">
        <f t="shared" si="11"/>
        <v>-0.23913043478260865</v>
      </c>
    </row>
    <row r="159" spans="1:22" x14ac:dyDescent="0.25">
      <c r="A159">
        <v>3710</v>
      </c>
      <c r="B159" t="s">
        <v>90</v>
      </c>
      <c r="C159" t="s">
        <v>257</v>
      </c>
      <c r="D159" t="s">
        <v>268</v>
      </c>
      <c r="E159">
        <v>780</v>
      </c>
      <c r="F159">
        <v>780</v>
      </c>
      <c r="G159" s="101">
        <v>110</v>
      </c>
      <c r="H159" s="101">
        <v>302</v>
      </c>
      <c r="I159" s="101">
        <v>272</v>
      </c>
      <c r="J159" s="101">
        <v>295</v>
      </c>
      <c r="K159" s="101">
        <v>127</v>
      </c>
      <c r="L159" s="101">
        <v>347</v>
      </c>
      <c r="M159" s="101">
        <v>313</v>
      </c>
      <c r="N159" s="101">
        <v>339</v>
      </c>
      <c r="O159" s="102">
        <f>Aktiv!G170</f>
        <v>83</v>
      </c>
      <c r="P159" s="102">
        <f>Aktiv!H170</f>
        <v>199</v>
      </c>
      <c r="Q159" s="102">
        <f>Aktiv!I170</f>
        <v>248</v>
      </c>
      <c r="R159" s="102">
        <f>Aktiv!J170</f>
        <v>224</v>
      </c>
      <c r="S159" s="103">
        <f t="shared" si="8"/>
        <v>-0.24545454545454548</v>
      </c>
      <c r="T159" s="103">
        <f t="shared" si="9"/>
        <v>-0.34105960264900659</v>
      </c>
      <c r="U159" s="103">
        <f t="shared" si="10"/>
        <v>-8.8235294117647078E-2</v>
      </c>
      <c r="V159" s="103">
        <f t="shared" si="11"/>
        <v>-0.2406779661016949</v>
      </c>
    </row>
    <row r="160" spans="1:22" x14ac:dyDescent="0.25">
      <c r="A160">
        <v>3711</v>
      </c>
      <c r="B160" t="s">
        <v>90</v>
      </c>
      <c r="C160" t="s">
        <v>257</v>
      </c>
      <c r="D160" t="s">
        <v>269</v>
      </c>
      <c r="E160">
        <v>980</v>
      </c>
      <c r="F160">
        <v>780</v>
      </c>
      <c r="G160" s="101">
        <v>138</v>
      </c>
      <c r="H160" s="101">
        <v>272</v>
      </c>
      <c r="I160" s="101"/>
      <c r="J160" s="101"/>
      <c r="K160" s="101">
        <v>159</v>
      </c>
      <c r="L160" s="101">
        <v>313</v>
      </c>
      <c r="M160" s="101"/>
      <c r="N160" s="101"/>
      <c r="O160" s="102">
        <f>Aktiv!G171</f>
        <v>104</v>
      </c>
      <c r="P160" s="102">
        <f>Aktiv!H171</f>
        <v>180</v>
      </c>
      <c r="Q160" s="102" t="str">
        <f>Aktiv!I171</f>
        <v/>
      </c>
      <c r="R160" s="102" t="str">
        <f>Aktiv!J171</f>
        <v/>
      </c>
      <c r="S160" s="103">
        <f t="shared" si="8"/>
        <v>-0.24637681159420288</v>
      </c>
      <c r="T160" s="103">
        <f t="shared" si="9"/>
        <v>-0.33823529411764708</v>
      </c>
      <c r="U160" s="103" t="str">
        <f t="shared" si="10"/>
        <v/>
      </c>
      <c r="V160" s="103" t="str">
        <f t="shared" si="11"/>
        <v/>
      </c>
    </row>
    <row r="161" spans="1:22" x14ac:dyDescent="0.25">
      <c r="A161">
        <v>3712</v>
      </c>
      <c r="B161" t="s">
        <v>90</v>
      </c>
      <c r="C161" t="s">
        <v>257</v>
      </c>
      <c r="D161" t="s">
        <v>270</v>
      </c>
      <c r="E161">
        <v>980</v>
      </c>
      <c r="F161">
        <v>980</v>
      </c>
      <c r="G161" s="101">
        <v>166</v>
      </c>
      <c r="H161" s="101">
        <v>327</v>
      </c>
      <c r="I161" s="101"/>
      <c r="J161" s="101"/>
      <c r="K161" s="101">
        <v>191</v>
      </c>
      <c r="L161" s="101">
        <v>376</v>
      </c>
      <c r="M161" s="101"/>
      <c r="N161" s="101"/>
      <c r="O161" s="102">
        <f>Aktiv!G172</f>
        <v>125</v>
      </c>
      <c r="P161" s="102">
        <f>Aktiv!H172</f>
        <v>216</v>
      </c>
      <c r="Q161" s="102" t="str">
        <f>Aktiv!I172</f>
        <v/>
      </c>
      <c r="R161" s="102" t="str">
        <f>Aktiv!J172</f>
        <v/>
      </c>
      <c r="S161" s="103">
        <f t="shared" si="8"/>
        <v>-0.24698795180722888</v>
      </c>
      <c r="T161" s="103">
        <f t="shared" si="9"/>
        <v>-0.33944954128440363</v>
      </c>
      <c r="U161" s="103" t="str">
        <f t="shared" si="10"/>
        <v/>
      </c>
      <c r="V161" s="103" t="str">
        <f t="shared" si="11"/>
        <v/>
      </c>
    </row>
    <row r="162" spans="1:22" x14ac:dyDescent="0.25">
      <c r="A162">
        <v>3750</v>
      </c>
      <c r="B162" t="s">
        <v>90</v>
      </c>
      <c r="C162" t="s">
        <v>271</v>
      </c>
      <c r="D162" t="s">
        <v>272</v>
      </c>
      <c r="E162">
        <v>360</v>
      </c>
      <c r="F162">
        <v>360</v>
      </c>
      <c r="G162" s="101">
        <v>34</v>
      </c>
      <c r="H162" s="101">
        <v>114</v>
      </c>
      <c r="I162" s="101">
        <v>89</v>
      </c>
      <c r="J162" s="101">
        <v>177</v>
      </c>
      <c r="K162" s="101">
        <v>39</v>
      </c>
      <c r="L162" s="101">
        <v>131</v>
      </c>
      <c r="M162" s="101">
        <v>102</v>
      </c>
      <c r="N162" s="101">
        <v>204</v>
      </c>
      <c r="O162" s="102">
        <f>Aktiv!G174</f>
        <v>26</v>
      </c>
      <c r="P162" s="102">
        <f>Aktiv!H174</f>
        <v>75</v>
      </c>
      <c r="Q162" s="102">
        <f>Aktiv!I174</f>
        <v>81</v>
      </c>
      <c r="R162" s="102">
        <f>Aktiv!J174</f>
        <v>135</v>
      </c>
      <c r="S162" s="103">
        <f t="shared" si="8"/>
        <v>-0.23529411764705888</v>
      </c>
      <c r="T162" s="103">
        <f t="shared" si="9"/>
        <v>-0.34210526315789469</v>
      </c>
      <c r="U162" s="103">
        <f t="shared" si="10"/>
        <v>-8.98876404494382E-2</v>
      </c>
      <c r="V162" s="103">
        <f t="shared" si="11"/>
        <v>-0.23728813559322037</v>
      </c>
    </row>
    <row r="163" spans="1:22" x14ac:dyDescent="0.25">
      <c r="A163">
        <v>3751</v>
      </c>
      <c r="B163" t="s">
        <v>90</v>
      </c>
      <c r="C163" t="s">
        <v>271</v>
      </c>
      <c r="D163" t="s">
        <v>273</v>
      </c>
      <c r="E163">
        <v>420</v>
      </c>
      <c r="F163">
        <v>360</v>
      </c>
      <c r="G163" s="101">
        <v>34</v>
      </c>
      <c r="H163" s="101">
        <v>121</v>
      </c>
      <c r="I163" s="101">
        <v>92</v>
      </c>
      <c r="J163" s="101">
        <v>178</v>
      </c>
      <c r="K163" s="101">
        <v>39</v>
      </c>
      <c r="L163" s="101">
        <v>139</v>
      </c>
      <c r="M163" s="101">
        <v>106</v>
      </c>
      <c r="N163" s="101">
        <v>205</v>
      </c>
      <c r="O163" s="102">
        <f>Aktiv!G175</f>
        <v>26</v>
      </c>
      <c r="P163" s="102">
        <f>Aktiv!H175</f>
        <v>80</v>
      </c>
      <c r="Q163" s="102">
        <f>Aktiv!I175</f>
        <v>84</v>
      </c>
      <c r="R163" s="102">
        <f>Aktiv!J175</f>
        <v>135</v>
      </c>
      <c r="S163" s="103">
        <f t="shared" si="8"/>
        <v>-0.23529411764705888</v>
      </c>
      <c r="T163" s="103">
        <f t="shared" si="9"/>
        <v>-0.33884297520661155</v>
      </c>
      <c r="U163" s="103">
        <f t="shared" si="10"/>
        <v>-8.6956521739130488E-2</v>
      </c>
      <c r="V163" s="103">
        <f t="shared" si="11"/>
        <v>-0.2415730337078652</v>
      </c>
    </row>
    <row r="164" spans="1:22" x14ac:dyDescent="0.25">
      <c r="A164">
        <v>3752</v>
      </c>
      <c r="B164" t="s">
        <v>90</v>
      </c>
      <c r="C164" t="s">
        <v>271</v>
      </c>
      <c r="D164" t="s">
        <v>274</v>
      </c>
      <c r="E164">
        <v>580</v>
      </c>
      <c r="F164">
        <v>360</v>
      </c>
      <c r="G164" s="101">
        <v>43</v>
      </c>
      <c r="H164" s="101">
        <v>161</v>
      </c>
      <c r="I164" s="101">
        <v>130</v>
      </c>
      <c r="J164" s="101">
        <v>185</v>
      </c>
      <c r="K164" s="101">
        <v>49</v>
      </c>
      <c r="L164" s="101">
        <v>185</v>
      </c>
      <c r="M164" s="101">
        <v>150</v>
      </c>
      <c r="N164" s="101">
        <v>213</v>
      </c>
      <c r="O164" s="102">
        <f>Aktiv!G176</f>
        <v>32</v>
      </c>
      <c r="P164" s="102">
        <f>Aktiv!H176</f>
        <v>106</v>
      </c>
      <c r="Q164" s="102">
        <f>Aktiv!I176</f>
        <v>118</v>
      </c>
      <c r="R164" s="102">
        <f>Aktiv!J176</f>
        <v>141</v>
      </c>
      <c r="S164" s="103">
        <f t="shared" si="8"/>
        <v>-0.2558139534883721</v>
      </c>
      <c r="T164" s="103">
        <f t="shared" si="9"/>
        <v>-0.34161490683229812</v>
      </c>
      <c r="U164" s="103">
        <f t="shared" si="10"/>
        <v>-9.2307692307692313E-2</v>
      </c>
      <c r="V164" s="103">
        <f t="shared" si="11"/>
        <v>-0.23783783783783785</v>
      </c>
    </row>
    <row r="165" spans="1:22" x14ac:dyDescent="0.25">
      <c r="A165">
        <v>3753</v>
      </c>
      <c r="B165" t="s">
        <v>90</v>
      </c>
      <c r="C165" t="s">
        <v>271</v>
      </c>
      <c r="D165" t="s">
        <v>275</v>
      </c>
      <c r="E165">
        <v>780</v>
      </c>
      <c r="F165">
        <v>360</v>
      </c>
      <c r="G165" s="101">
        <v>56</v>
      </c>
      <c r="H165" s="101">
        <v>185</v>
      </c>
      <c r="I165" s="101">
        <v>144</v>
      </c>
      <c r="J165" s="101">
        <v>190</v>
      </c>
      <c r="K165" s="101">
        <v>64</v>
      </c>
      <c r="L165" s="101">
        <v>213</v>
      </c>
      <c r="M165" s="101">
        <v>166</v>
      </c>
      <c r="N165" s="101">
        <v>219</v>
      </c>
      <c r="O165" s="102">
        <f>Aktiv!G177</f>
        <v>42</v>
      </c>
      <c r="P165" s="102">
        <f>Aktiv!H177</f>
        <v>122</v>
      </c>
      <c r="Q165" s="102">
        <f>Aktiv!I177</f>
        <v>131</v>
      </c>
      <c r="R165" s="102">
        <f>Aktiv!J177</f>
        <v>144</v>
      </c>
      <c r="S165" s="103">
        <f t="shared" si="8"/>
        <v>-0.25</v>
      </c>
      <c r="T165" s="103">
        <f t="shared" si="9"/>
        <v>-0.3405405405405405</v>
      </c>
      <c r="U165" s="103">
        <f t="shared" si="10"/>
        <v>-9.027777777777779E-2</v>
      </c>
      <c r="V165" s="103">
        <f t="shared" si="11"/>
        <v>-0.24210526315789471</v>
      </c>
    </row>
    <row r="166" spans="1:22" x14ac:dyDescent="0.25">
      <c r="A166">
        <v>3754</v>
      </c>
      <c r="B166" t="s">
        <v>90</v>
      </c>
      <c r="C166" t="s">
        <v>271</v>
      </c>
      <c r="D166" t="s">
        <v>276</v>
      </c>
      <c r="E166">
        <v>980</v>
      </c>
      <c r="F166">
        <v>360</v>
      </c>
      <c r="G166" s="101">
        <v>70</v>
      </c>
      <c r="H166" s="101">
        <v>223</v>
      </c>
      <c r="I166" s="101">
        <v>174</v>
      </c>
      <c r="J166" s="101">
        <v>209</v>
      </c>
      <c r="K166" s="101">
        <v>81</v>
      </c>
      <c r="L166" s="101">
        <v>256</v>
      </c>
      <c r="M166" s="101">
        <v>200</v>
      </c>
      <c r="N166" s="101">
        <v>240</v>
      </c>
      <c r="O166" s="102">
        <f>Aktiv!G178</f>
        <v>53</v>
      </c>
      <c r="P166" s="102">
        <f>Aktiv!H178</f>
        <v>147</v>
      </c>
      <c r="Q166" s="102">
        <f>Aktiv!I178</f>
        <v>158</v>
      </c>
      <c r="R166" s="102">
        <f>Aktiv!J178</f>
        <v>159</v>
      </c>
      <c r="S166" s="103">
        <f t="shared" si="8"/>
        <v>-0.24285714285714288</v>
      </c>
      <c r="T166" s="103">
        <f t="shared" si="9"/>
        <v>-0.34080717488789236</v>
      </c>
      <c r="U166" s="103">
        <f t="shared" si="10"/>
        <v>-9.1954022988505746E-2</v>
      </c>
      <c r="V166" s="103">
        <f t="shared" si="11"/>
        <v>-0.23923444976076558</v>
      </c>
    </row>
    <row r="167" spans="1:22" x14ac:dyDescent="0.25">
      <c r="A167">
        <v>3755</v>
      </c>
      <c r="B167" t="s">
        <v>90</v>
      </c>
      <c r="C167" t="s">
        <v>271</v>
      </c>
      <c r="D167" t="s">
        <v>277</v>
      </c>
      <c r="E167">
        <v>360</v>
      </c>
      <c r="F167">
        <v>580</v>
      </c>
      <c r="G167" s="101">
        <v>43</v>
      </c>
      <c r="H167" s="101">
        <v>161</v>
      </c>
      <c r="I167" s="101">
        <v>130</v>
      </c>
      <c r="J167" s="101">
        <v>185</v>
      </c>
      <c r="K167" s="101">
        <v>49</v>
      </c>
      <c r="L167" s="101">
        <v>185</v>
      </c>
      <c r="M167" s="101">
        <v>150</v>
      </c>
      <c r="N167" s="101">
        <v>213</v>
      </c>
      <c r="O167" s="102">
        <f>Aktiv!G179</f>
        <v>32</v>
      </c>
      <c r="P167" s="102">
        <f>Aktiv!H179</f>
        <v>106</v>
      </c>
      <c r="Q167" s="102">
        <f>Aktiv!I179</f>
        <v>118</v>
      </c>
      <c r="R167" s="102">
        <f>Aktiv!J179</f>
        <v>141</v>
      </c>
      <c r="S167" s="103">
        <f t="shared" si="8"/>
        <v>-0.2558139534883721</v>
      </c>
      <c r="T167" s="103">
        <f t="shared" si="9"/>
        <v>-0.34161490683229812</v>
      </c>
      <c r="U167" s="103">
        <f t="shared" si="10"/>
        <v>-9.2307692307692313E-2</v>
      </c>
      <c r="V167" s="103">
        <f t="shared" si="11"/>
        <v>-0.23783783783783785</v>
      </c>
    </row>
    <row r="168" spans="1:22" x14ac:dyDescent="0.25">
      <c r="A168">
        <v>3756</v>
      </c>
      <c r="B168" t="s">
        <v>90</v>
      </c>
      <c r="C168" t="s">
        <v>271</v>
      </c>
      <c r="D168" t="s">
        <v>278</v>
      </c>
      <c r="E168">
        <v>420</v>
      </c>
      <c r="F168">
        <v>580</v>
      </c>
      <c r="G168" s="101">
        <v>49</v>
      </c>
      <c r="H168" s="101">
        <v>181</v>
      </c>
      <c r="I168" s="101">
        <v>147</v>
      </c>
      <c r="J168" s="101">
        <v>186</v>
      </c>
      <c r="K168" s="101">
        <v>56</v>
      </c>
      <c r="L168" s="101">
        <v>208</v>
      </c>
      <c r="M168" s="101">
        <v>169</v>
      </c>
      <c r="N168" s="101">
        <v>214</v>
      </c>
      <c r="O168" s="102">
        <f>Aktiv!G180</f>
        <v>37</v>
      </c>
      <c r="P168" s="102">
        <f>Aktiv!H180</f>
        <v>119</v>
      </c>
      <c r="Q168" s="102">
        <f>Aktiv!I180</f>
        <v>134</v>
      </c>
      <c r="R168" s="102">
        <f>Aktiv!J180</f>
        <v>141</v>
      </c>
      <c r="S168" s="103">
        <f t="shared" si="8"/>
        <v>-0.24489795918367352</v>
      </c>
      <c r="T168" s="103">
        <f t="shared" si="9"/>
        <v>-0.34254143646408841</v>
      </c>
      <c r="U168" s="103">
        <f t="shared" si="10"/>
        <v>-8.8435374149659851E-2</v>
      </c>
      <c r="V168" s="103">
        <f t="shared" si="11"/>
        <v>-0.24193548387096775</v>
      </c>
    </row>
    <row r="169" spans="1:22" x14ac:dyDescent="0.25">
      <c r="A169">
        <v>3757</v>
      </c>
      <c r="B169" t="s">
        <v>90</v>
      </c>
      <c r="C169" t="s">
        <v>271</v>
      </c>
      <c r="D169" t="s">
        <v>279</v>
      </c>
      <c r="E169">
        <v>580</v>
      </c>
      <c r="F169">
        <v>580</v>
      </c>
      <c r="G169" s="101">
        <v>67</v>
      </c>
      <c r="H169" s="101">
        <v>228</v>
      </c>
      <c r="I169" s="101">
        <v>183</v>
      </c>
      <c r="J169" s="101">
        <v>191</v>
      </c>
      <c r="K169" s="101">
        <v>77</v>
      </c>
      <c r="L169" s="101">
        <v>262</v>
      </c>
      <c r="M169" s="101">
        <v>210</v>
      </c>
      <c r="N169" s="101">
        <v>220</v>
      </c>
      <c r="O169" s="102">
        <f>Aktiv!G181</f>
        <v>50</v>
      </c>
      <c r="P169" s="102">
        <f>Aktiv!H181</f>
        <v>150</v>
      </c>
      <c r="Q169" s="102">
        <f>Aktiv!I181</f>
        <v>167</v>
      </c>
      <c r="R169" s="102">
        <f>Aktiv!J181</f>
        <v>145</v>
      </c>
      <c r="S169" s="103">
        <f t="shared" si="8"/>
        <v>-0.25373134328358204</v>
      </c>
      <c r="T169" s="103">
        <f t="shared" si="9"/>
        <v>-0.34210526315789469</v>
      </c>
      <c r="U169" s="103">
        <f t="shared" si="10"/>
        <v>-8.7431693989071024E-2</v>
      </c>
      <c r="V169" s="103">
        <f t="shared" si="11"/>
        <v>-0.24083769633507857</v>
      </c>
    </row>
    <row r="170" spans="1:22" x14ac:dyDescent="0.25">
      <c r="A170">
        <v>3758</v>
      </c>
      <c r="B170" t="s">
        <v>90</v>
      </c>
      <c r="C170" t="s">
        <v>271</v>
      </c>
      <c r="D170" t="s">
        <v>280</v>
      </c>
      <c r="E170">
        <v>780</v>
      </c>
      <c r="F170">
        <v>580</v>
      </c>
      <c r="G170" s="101">
        <v>87</v>
      </c>
      <c r="H170" s="101">
        <v>275</v>
      </c>
      <c r="I170" s="101">
        <v>225</v>
      </c>
      <c r="J170" s="101">
        <v>237</v>
      </c>
      <c r="K170" s="101">
        <v>100</v>
      </c>
      <c r="L170" s="101">
        <v>316</v>
      </c>
      <c r="M170" s="101">
        <v>259</v>
      </c>
      <c r="N170" s="101">
        <v>273</v>
      </c>
      <c r="O170" s="102">
        <f>Aktiv!G182</f>
        <v>65</v>
      </c>
      <c r="P170" s="102">
        <f>Aktiv!H182</f>
        <v>182</v>
      </c>
      <c r="Q170" s="102">
        <f>Aktiv!I182</f>
        <v>205</v>
      </c>
      <c r="R170" s="102">
        <f>Aktiv!J182</f>
        <v>180</v>
      </c>
      <c r="S170" s="103">
        <f t="shared" si="8"/>
        <v>-0.25287356321839083</v>
      </c>
      <c r="T170" s="103">
        <f t="shared" si="9"/>
        <v>-0.33818181818181814</v>
      </c>
      <c r="U170" s="103">
        <f t="shared" si="10"/>
        <v>-8.8888888888888906E-2</v>
      </c>
      <c r="V170" s="103">
        <f t="shared" si="11"/>
        <v>-0.240506329113924</v>
      </c>
    </row>
    <row r="171" spans="1:22" x14ac:dyDescent="0.25">
      <c r="A171">
        <v>3759</v>
      </c>
      <c r="B171" t="s">
        <v>90</v>
      </c>
      <c r="C171" t="s">
        <v>271</v>
      </c>
      <c r="D171" t="s">
        <v>281</v>
      </c>
      <c r="E171">
        <v>980</v>
      </c>
      <c r="F171">
        <v>580</v>
      </c>
      <c r="G171" s="101">
        <v>110</v>
      </c>
      <c r="H171" s="101">
        <v>355</v>
      </c>
      <c r="I171" s="101">
        <v>286</v>
      </c>
      <c r="J171" s="101">
        <v>276</v>
      </c>
      <c r="K171" s="101">
        <v>127</v>
      </c>
      <c r="L171" s="101">
        <v>408</v>
      </c>
      <c r="M171" s="101">
        <v>329</v>
      </c>
      <c r="N171" s="101">
        <v>317</v>
      </c>
      <c r="O171" s="102">
        <f>Aktiv!G183</f>
        <v>83</v>
      </c>
      <c r="P171" s="102">
        <f>Aktiv!H183</f>
        <v>234</v>
      </c>
      <c r="Q171" s="102">
        <f>Aktiv!I183</f>
        <v>260</v>
      </c>
      <c r="R171" s="102">
        <f>Aktiv!J183</f>
        <v>210</v>
      </c>
      <c r="S171" s="103">
        <f t="shared" si="8"/>
        <v>-0.24545454545454548</v>
      </c>
      <c r="T171" s="103">
        <f t="shared" si="9"/>
        <v>-0.3408450704225352</v>
      </c>
      <c r="U171" s="103">
        <f t="shared" si="10"/>
        <v>-9.0909090909090939E-2</v>
      </c>
      <c r="V171" s="103">
        <f t="shared" si="11"/>
        <v>-0.23913043478260865</v>
      </c>
    </row>
    <row r="172" spans="1:22" x14ac:dyDescent="0.25">
      <c r="A172">
        <v>3760</v>
      </c>
      <c r="B172" t="s">
        <v>90</v>
      </c>
      <c r="C172" t="s">
        <v>271</v>
      </c>
      <c r="D172" t="s">
        <v>282</v>
      </c>
      <c r="E172">
        <v>780</v>
      </c>
      <c r="F172">
        <v>780</v>
      </c>
      <c r="G172" s="101">
        <v>126</v>
      </c>
      <c r="H172" s="101">
        <v>302</v>
      </c>
      <c r="I172" s="101">
        <v>272</v>
      </c>
      <c r="J172" s="101">
        <v>295</v>
      </c>
      <c r="K172" s="101">
        <v>145</v>
      </c>
      <c r="L172" s="101">
        <v>347</v>
      </c>
      <c r="M172" s="101">
        <v>313</v>
      </c>
      <c r="N172" s="101">
        <v>339</v>
      </c>
      <c r="O172" s="102">
        <f>Aktiv!G184</f>
        <v>95</v>
      </c>
      <c r="P172" s="102">
        <f>Aktiv!H184</f>
        <v>199</v>
      </c>
      <c r="Q172" s="102">
        <f>Aktiv!I184</f>
        <v>248</v>
      </c>
      <c r="R172" s="102">
        <f>Aktiv!J184</f>
        <v>224</v>
      </c>
      <c r="S172" s="103">
        <f t="shared" si="8"/>
        <v>-0.24603174603174605</v>
      </c>
      <c r="T172" s="103">
        <f t="shared" si="9"/>
        <v>-0.34105960264900659</v>
      </c>
      <c r="U172" s="103">
        <f t="shared" si="10"/>
        <v>-8.8235294117647078E-2</v>
      </c>
      <c r="V172" s="103">
        <f t="shared" si="11"/>
        <v>-0.2406779661016949</v>
      </c>
    </row>
    <row r="173" spans="1:22" x14ac:dyDescent="0.25">
      <c r="A173">
        <v>3761</v>
      </c>
      <c r="B173" t="s">
        <v>90</v>
      </c>
      <c r="C173" t="s">
        <v>271</v>
      </c>
      <c r="D173" t="s">
        <v>283</v>
      </c>
      <c r="E173">
        <v>980</v>
      </c>
      <c r="F173">
        <v>780</v>
      </c>
      <c r="G173" s="101">
        <v>139</v>
      </c>
      <c r="H173" s="101">
        <v>416</v>
      </c>
      <c r="I173" s="101"/>
      <c r="J173" s="101"/>
      <c r="K173" s="101">
        <v>160</v>
      </c>
      <c r="L173" s="101">
        <v>478</v>
      </c>
      <c r="M173" s="101"/>
      <c r="N173" s="101"/>
      <c r="O173" s="102">
        <f>Aktiv!G185</f>
        <v>104</v>
      </c>
      <c r="P173" s="102">
        <f>Aktiv!H185</f>
        <v>275</v>
      </c>
      <c r="Q173" s="102" t="str">
        <f>Aktiv!I185</f>
        <v/>
      </c>
      <c r="R173" s="102" t="str">
        <f>Aktiv!J185</f>
        <v/>
      </c>
      <c r="S173" s="103">
        <f t="shared" si="8"/>
        <v>-0.25179856115107913</v>
      </c>
      <c r="T173" s="103">
        <f t="shared" si="9"/>
        <v>-0.33894230769230771</v>
      </c>
      <c r="U173" s="103" t="str">
        <f t="shared" si="10"/>
        <v/>
      </c>
      <c r="V173" s="103" t="str">
        <f t="shared" si="11"/>
        <v/>
      </c>
    </row>
    <row r="174" spans="1:22" x14ac:dyDescent="0.25">
      <c r="A174">
        <v>3762</v>
      </c>
      <c r="B174" t="s">
        <v>90</v>
      </c>
      <c r="C174" t="s">
        <v>271</v>
      </c>
      <c r="D174" t="s">
        <v>284</v>
      </c>
      <c r="E174">
        <v>980</v>
      </c>
      <c r="F174">
        <v>980</v>
      </c>
      <c r="G174" s="101">
        <v>180</v>
      </c>
      <c r="H174" s="101">
        <v>354</v>
      </c>
      <c r="I174" s="101"/>
      <c r="J174" s="101"/>
      <c r="K174" s="101">
        <v>207</v>
      </c>
      <c r="L174" s="101">
        <v>407</v>
      </c>
      <c r="M174" s="101"/>
      <c r="N174" s="101"/>
      <c r="O174" s="102">
        <f>Aktiv!G186</f>
        <v>135</v>
      </c>
      <c r="P174" s="102">
        <f>Aktiv!H186</f>
        <v>234</v>
      </c>
      <c r="Q174" s="102" t="str">
        <f>Aktiv!I186</f>
        <v/>
      </c>
      <c r="R174" s="102" t="str">
        <f>Aktiv!J186</f>
        <v/>
      </c>
      <c r="S174" s="103">
        <f t="shared" si="8"/>
        <v>-0.25</v>
      </c>
      <c r="T174" s="103">
        <f t="shared" si="9"/>
        <v>-0.33898305084745761</v>
      </c>
      <c r="U174" s="103" t="str">
        <f t="shared" si="10"/>
        <v/>
      </c>
      <c r="V174" s="103" t="str">
        <f t="shared" si="11"/>
        <v/>
      </c>
    </row>
    <row r="175" spans="1:22" x14ac:dyDescent="0.25">
      <c r="A175">
        <v>3800</v>
      </c>
      <c r="B175" t="s">
        <v>90</v>
      </c>
      <c r="C175" t="s">
        <v>285</v>
      </c>
      <c r="D175" t="s">
        <v>286</v>
      </c>
      <c r="E175">
        <v>360</v>
      </c>
      <c r="F175">
        <v>360</v>
      </c>
      <c r="G175" s="101">
        <v>34</v>
      </c>
      <c r="H175" s="101">
        <v>114</v>
      </c>
      <c r="I175" s="101">
        <v>89</v>
      </c>
      <c r="J175" s="101">
        <v>177</v>
      </c>
      <c r="K175" s="101">
        <v>39</v>
      </c>
      <c r="L175" s="101">
        <v>131</v>
      </c>
      <c r="M175" s="101">
        <v>102</v>
      </c>
      <c r="N175" s="101">
        <v>204</v>
      </c>
      <c r="O175" s="102">
        <f>Aktiv!G188</f>
        <v>26</v>
      </c>
      <c r="P175" s="102">
        <f>Aktiv!H188</f>
        <v>78</v>
      </c>
      <c r="Q175" s="102">
        <f>Aktiv!I188</f>
        <v>77</v>
      </c>
      <c r="R175" s="102">
        <f>Aktiv!J188</f>
        <v>138</v>
      </c>
      <c r="S175" s="103">
        <f t="shared" si="8"/>
        <v>-0.23529411764705888</v>
      </c>
      <c r="T175" s="103">
        <f t="shared" si="9"/>
        <v>-0.31578947368421051</v>
      </c>
      <c r="U175" s="103">
        <f t="shared" si="10"/>
        <v>-0.1348314606741573</v>
      </c>
      <c r="V175" s="103">
        <f t="shared" si="11"/>
        <v>-0.22033898305084743</v>
      </c>
    </row>
    <row r="176" spans="1:22" x14ac:dyDescent="0.25">
      <c r="A176">
        <v>3801</v>
      </c>
      <c r="B176" t="s">
        <v>90</v>
      </c>
      <c r="C176" t="s">
        <v>285</v>
      </c>
      <c r="D176" t="s">
        <v>287</v>
      </c>
      <c r="E176">
        <v>420</v>
      </c>
      <c r="F176">
        <v>360</v>
      </c>
      <c r="G176" s="101">
        <v>34</v>
      </c>
      <c r="H176" s="101">
        <v>121</v>
      </c>
      <c r="I176" s="101">
        <v>92</v>
      </c>
      <c r="J176" s="101">
        <v>178</v>
      </c>
      <c r="K176" s="101">
        <v>39</v>
      </c>
      <c r="L176" s="101">
        <v>139</v>
      </c>
      <c r="M176" s="101">
        <v>106</v>
      </c>
      <c r="N176" s="101">
        <v>205</v>
      </c>
      <c r="O176" s="102">
        <f>Aktiv!G189</f>
        <v>26</v>
      </c>
      <c r="P176" s="102">
        <f>Aktiv!H189</f>
        <v>82</v>
      </c>
      <c r="Q176" s="102">
        <f>Aktiv!I189</f>
        <v>79</v>
      </c>
      <c r="R176" s="102">
        <f>Aktiv!J189</f>
        <v>139</v>
      </c>
      <c r="S176" s="103">
        <f t="shared" si="8"/>
        <v>-0.23529411764705888</v>
      </c>
      <c r="T176" s="103">
        <f t="shared" si="9"/>
        <v>-0.3223140495867769</v>
      </c>
      <c r="U176" s="103">
        <f t="shared" si="10"/>
        <v>-0.14130434782608692</v>
      </c>
      <c r="V176" s="103">
        <f t="shared" si="11"/>
        <v>-0.2191011235955056</v>
      </c>
    </row>
    <row r="177" spans="1:22" x14ac:dyDescent="0.25">
      <c r="A177">
        <v>3802</v>
      </c>
      <c r="B177" t="s">
        <v>90</v>
      </c>
      <c r="C177" t="s">
        <v>285</v>
      </c>
      <c r="D177" t="s">
        <v>288</v>
      </c>
      <c r="E177">
        <v>580</v>
      </c>
      <c r="F177">
        <v>360</v>
      </c>
      <c r="G177" s="101">
        <v>43</v>
      </c>
      <c r="H177" s="101">
        <v>161</v>
      </c>
      <c r="I177" s="101">
        <v>130</v>
      </c>
      <c r="J177" s="101">
        <v>185</v>
      </c>
      <c r="K177" s="101">
        <v>49</v>
      </c>
      <c r="L177" s="101">
        <v>185</v>
      </c>
      <c r="M177" s="101">
        <v>150</v>
      </c>
      <c r="N177" s="101">
        <v>213</v>
      </c>
      <c r="O177" s="102">
        <f>Aktiv!G190</f>
        <v>32</v>
      </c>
      <c r="P177" s="102">
        <f>Aktiv!H190</f>
        <v>109</v>
      </c>
      <c r="Q177" s="102">
        <f>Aktiv!I190</f>
        <v>112</v>
      </c>
      <c r="R177" s="102">
        <f>Aktiv!J190</f>
        <v>144</v>
      </c>
      <c r="S177" s="103">
        <f t="shared" si="8"/>
        <v>-0.2558139534883721</v>
      </c>
      <c r="T177" s="103">
        <f t="shared" si="9"/>
        <v>-0.32298136645962738</v>
      </c>
      <c r="U177" s="103">
        <f t="shared" si="10"/>
        <v>-0.13846153846153841</v>
      </c>
      <c r="V177" s="103">
        <f t="shared" si="11"/>
        <v>-0.22162162162162158</v>
      </c>
    </row>
    <row r="178" spans="1:22" x14ac:dyDescent="0.25">
      <c r="A178">
        <v>3803</v>
      </c>
      <c r="B178" t="s">
        <v>90</v>
      </c>
      <c r="C178" t="s">
        <v>285</v>
      </c>
      <c r="D178" t="s">
        <v>289</v>
      </c>
      <c r="E178">
        <v>780</v>
      </c>
      <c r="F178">
        <v>360</v>
      </c>
      <c r="G178" s="101">
        <v>56</v>
      </c>
      <c r="H178" s="101">
        <v>185</v>
      </c>
      <c r="I178" s="101">
        <v>144</v>
      </c>
      <c r="J178" s="101">
        <v>190</v>
      </c>
      <c r="K178" s="101">
        <v>64</v>
      </c>
      <c r="L178" s="101">
        <v>213</v>
      </c>
      <c r="M178" s="101">
        <v>166</v>
      </c>
      <c r="N178" s="101">
        <v>219</v>
      </c>
      <c r="O178" s="102">
        <f>Aktiv!G191</f>
        <v>42</v>
      </c>
      <c r="P178" s="102">
        <f>Aktiv!H191</f>
        <v>126</v>
      </c>
      <c r="Q178" s="102">
        <f>Aktiv!I191</f>
        <v>124</v>
      </c>
      <c r="R178" s="102">
        <f>Aktiv!J191</f>
        <v>148</v>
      </c>
      <c r="S178" s="103">
        <f t="shared" si="8"/>
        <v>-0.25</v>
      </c>
      <c r="T178" s="103">
        <f t="shared" si="9"/>
        <v>-0.31891891891891888</v>
      </c>
      <c r="U178" s="103">
        <f t="shared" si="10"/>
        <v>-0.13888888888888884</v>
      </c>
      <c r="V178" s="103">
        <f t="shared" si="11"/>
        <v>-0.22105263157894739</v>
      </c>
    </row>
    <row r="179" spans="1:22" x14ac:dyDescent="0.25">
      <c r="A179">
        <v>3804</v>
      </c>
      <c r="B179" t="s">
        <v>90</v>
      </c>
      <c r="C179" t="s">
        <v>285</v>
      </c>
      <c r="D179" t="s">
        <v>290</v>
      </c>
      <c r="E179">
        <v>980</v>
      </c>
      <c r="F179">
        <v>360</v>
      </c>
      <c r="G179" s="101">
        <v>70</v>
      </c>
      <c r="H179" s="101">
        <v>223</v>
      </c>
      <c r="I179" s="101">
        <v>174</v>
      </c>
      <c r="J179" s="101">
        <v>209</v>
      </c>
      <c r="K179" s="101">
        <v>81</v>
      </c>
      <c r="L179" s="101">
        <v>256</v>
      </c>
      <c r="M179" s="101">
        <v>200</v>
      </c>
      <c r="N179" s="101">
        <v>240</v>
      </c>
      <c r="O179" s="102">
        <f>Aktiv!G192</f>
        <v>53</v>
      </c>
      <c r="P179" s="102">
        <f>Aktiv!H192</f>
        <v>152</v>
      </c>
      <c r="Q179" s="102">
        <f>Aktiv!I192</f>
        <v>150</v>
      </c>
      <c r="R179" s="102">
        <f>Aktiv!J192</f>
        <v>163</v>
      </c>
      <c r="S179" s="103">
        <f t="shared" si="8"/>
        <v>-0.24285714285714288</v>
      </c>
      <c r="T179" s="103">
        <f t="shared" si="9"/>
        <v>-0.31838565022421528</v>
      </c>
      <c r="U179" s="103">
        <f t="shared" si="10"/>
        <v>-0.13793103448275867</v>
      </c>
      <c r="V179" s="103">
        <f t="shared" si="11"/>
        <v>-0.22009569377990434</v>
      </c>
    </row>
    <row r="180" spans="1:22" x14ac:dyDescent="0.25">
      <c r="A180">
        <v>3805</v>
      </c>
      <c r="B180" t="s">
        <v>90</v>
      </c>
      <c r="C180" t="s">
        <v>285</v>
      </c>
      <c r="D180" t="s">
        <v>291</v>
      </c>
      <c r="E180">
        <v>360</v>
      </c>
      <c r="F180">
        <v>580</v>
      </c>
      <c r="G180" s="101">
        <v>43</v>
      </c>
      <c r="H180" s="101">
        <v>161</v>
      </c>
      <c r="I180" s="101">
        <v>130</v>
      </c>
      <c r="J180" s="101">
        <v>185</v>
      </c>
      <c r="K180" s="101">
        <v>49</v>
      </c>
      <c r="L180" s="101">
        <v>185</v>
      </c>
      <c r="M180" s="101">
        <v>150</v>
      </c>
      <c r="N180" s="101">
        <v>213</v>
      </c>
      <c r="O180" s="102">
        <f>Aktiv!G193</f>
        <v>32</v>
      </c>
      <c r="P180" s="102">
        <f>Aktiv!H193</f>
        <v>109</v>
      </c>
      <c r="Q180" s="102">
        <f>Aktiv!I193</f>
        <v>112</v>
      </c>
      <c r="R180" s="102">
        <f>Aktiv!J193</f>
        <v>144</v>
      </c>
      <c r="S180" s="103">
        <f t="shared" si="8"/>
        <v>-0.2558139534883721</v>
      </c>
      <c r="T180" s="103">
        <f t="shared" si="9"/>
        <v>-0.32298136645962738</v>
      </c>
      <c r="U180" s="103">
        <f t="shared" si="10"/>
        <v>-0.13846153846153841</v>
      </c>
      <c r="V180" s="103">
        <f t="shared" si="11"/>
        <v>-0.22162162162162158</v>
      </c>
    </row>
    <row r="181" spans="1:22" x14ac:dyDescent="0.25">
      <c r="A181">
        <v>3806</v>
      </c>
      <c r="B181" t="s">
        <v>90</v>
      </c>
      <c r="C181" t="s">
        <v>285</v>
      </c>
      <c r="D181" t="s">
        <v>292</v>
      </c>
      <c r="E181">
        <v>420</v>
      </c>
      <c r="F181">
        <v>580</v>
      </c>
      <c r="G181" s="101">
        <v>49</v>
      </c>
      <c r="H181" s="101">
        <v>181</v>
      </c>
      <c r="I181" s="101">
        <v>147</v>
      </c>
      <c r="J181" s="101">
        <v>186</v>
      </c>
      <c r="K181" s="101">
        <v>56</v>
      </c>
      <c r="L181" s="101">
        <v>208</v>
      </c>
      <c r="M181" s="101">
        <v>169</v>
      </c>
      <c r="N181" s="101">
        <v>214</v>
      </c>
      <c r="O181" s="102">
        <f>Aktiv!G194</f>
        <v>37</v>
      </c>
      <c r="P181" s="102">
        <f>Aktiv!H194</f>
        <v>123</v>
      </c>
      <c r="Q181" s="102">
        <f>Aktiv!I194</f>
        <v>126</v>
      </c>
      <c r="R181" s="102">
        <f>Aktiv!J194</f>
        <v>145</v>
      </c>
      <c r="S181" s="103">
        <f t="shared" si="8"/>
        <v>-0.24489795918367352</v>
      </c>
      <c r="T181" s="103">
        <f t="shared" si="9"/>
        <v>-0.3204419889502762</v>
      </c>
      <c r="U181" s="103">
        <f t="shared" si="10"/>
        <v>-0.1428571428571429</v>
      </c>
      <c r="V181" s="103">
        <f t="shared" si="11"/>
        <v>-0.22043010752688175</v>
      </c>
    </row>
    <row r="182" spans="1:22" x14ac:dyDescent="0.25">
      <c r="A182">
        <v>3807</v>
      </c>
      <c r="B182" t="s">
        <v>90</v>
      </c>
      <c r="C182" t="s">
        <v>285</v>
      </c>
      <c r="D182" t="s">
        <v>293</v>
      </c>
      <c r="E182">
        <v>580</v>
      </c>
      <c r="F182">
        <v>580</v>
      </c>
      <c r="G182" s="101">
        <v>67</v>
      </c>
      <c r="H182" s="101">
        <v>228</v>
      </c>
      <c r="I182" s="101">
        <v>183</v>
      </c>
      <c r="J182" s="101">
        <v>191</v>
      </c>
      <c r="K182" s="101">
        <v>77</v>
      </c>
      <c r="L182" s="101">
        <v>262</v>
      </c>
      <c r="M182" s="101">
        <v>210</v>
      </c>
      <c r="N182" s="101">
        <v>220</v>
      </c>
      <c r="O182" s="102">
        <f>Aktiv!G195</f>
        <v>50</v>
      </c>
      <c r="P182" s="102">
        <f>Aktiv!H195</f>
        <v>155</v>
      </c>
      <c r="Q182" s="102">
        <f>Aktiv!I195</f>
        <v>157</v>
      </c>
      <c r="R182" s="102">
        <f>Aktiv!J195</f>
        <v>149</v>
      </c>
      <c r="S182" s="103">
        <f t="shared" si="8"/>
        <v>-0.25373134328358204</v>
      </c>
      <c r="T182" s="103">
        <f t="shared" si="9"/>
        <v>-0.32017543859649122</v>
      </c>
      <c r="U182" s="103">
        <f t="shared" si="10"/>
        <v>-0.14207650273224048</v>
      </c>
      <c r="V182" s="103">
        <f t="shared" si="11"/>
        <v>-0.21989528795811519</v>
      </c>
    </row>
    <row r="183" spans="1:22" x14ac:dyDescent="0.25">
      <c r="A183">
        <v>3808</v>
      </c>
      <c r="B183" t="s">
        <v>90</v>
      </c>
      <c r="C183" t="s">
        <v>285</v>
      </c>
      <c r="D183" t="s">
        <v>294</v>
      </c>
      <c r="E183">
        <v>780</v>
      </c>
      <c r="F183">
        <v>580</v>
      </c>
      <c r="G183" s="101">
        <v>87</v>
      </c>
      <c r="H183" s="101">
        <v>275</v>
      </c>
      <c r="I183" s="101">
        <v>225</v>
      </c>
      <c r="J183" s="101">
        <v>237</v>
      </c>
      <c r="K183" s="101">
        <v>100</v>
      </c>
      <c r="L183" s="101">
        <v>316</v>
      </c>
      <c r="M183" s="101">
        <v>259</v>
      </c>
      <c r="N183" s="101">
        <v>273</v>
      </c>
      <c r="O183" s="102">
        <f>Aktiv!G196</f>
        <v>65</v>
      </c>
      <c r="P183" s="102">
        <f>Aktiv!H196</f>
        <v>187</v>
      </c>
      <c r="Q183" s="102">
        <f>Aktiv!I196</f>
        <v>194</v>
      </c>
      <c r="R183" s="102">
        <f>Aktiv!J196</f>
        <v>185</v>
      </c>
      <c r="S183" s="103">
        <f t="shared" si="8"/>
        <v>-0.25287356321839083</v>
      </c>
      <c r="T183" s="103">
        <f t="shared" si="9"/>
        <v>-0.31999999999999995</v>
      </c>
      <c r="U183" s="103">
        <f t="shared" si="10"/>
        <v>-0.13777777777777778</v>
      </c>
      <c r="V183" s="103">
        <f t="shared" si="11"/>
        <v>-0.21940928270042193</v>
      </c>
    </row>
    <row r="184" spans="1:22" x14ac:dyDescent="0.25">
      <c r="A184">
        <v>3809</v>
      </c>
      <c r="B184" t="s">
        <v>90</v>
      </c>
      <c r="C184" t="s">
        <v>285</v>
      </c>
      <c r="D184" t="s">
        <v>295</v>
      </c>
      <c r="E184">
        <v>980</v>
      </c>
      <c r="F184">
        <v>580</v>
      </c>
      <c r="G184" s="101">
        <v>110</v>
      </c>
      <c r="H184" s="101">
        <v>355</v>
      </c>
      <c r="I184" s="101">
        <v>286</v>
      </c>
      <c r="J184" s="101">
        <v>276</v>
      </c>
      <c r="K184" s="101">
        <v>127</v>
      </c>
      <c r="L184" s="101">
        <v>408</v>
      </c>
      <c r="M184" s="101">
        <v>329</v>
      </c>
      <c r="N184" s="101">
        <v>317</v>
      </c>
      <c r="O184" s="102">
        <f>Aktiv!G197</f>
        <v>83</v>
      </c>
      <c r="P184" s="102">
        <f>Aktiv!H197</f>
        <v>241</v>
      </c>
      <c r="Q184" s="102">
        <f>Aktiv!I197</f>
        <v>246</v>
      </c>
      <c r="R184" s="102">
        <f>Aktiv!J197</f>
        <v>215</v>
      </c>
      <c r="S184" s="103">
        <f t="shared" si="8"/>
        <v>-0.24545454545454548</v>
      </c>
      <c r="T184" s="103">
        <f t="shared" si="9"/>
        <v>-0.3211267605633803</v>
      </c>
      <c r="U184" s="103">
        <f t="shared" si="10"/>
        <v>-0.1398601398601399</v>
      </c>
      <c r="V184" s="103">
        <f t="shared" si="11"/>
        <v>-0.22101449275362317</v>
      </c>
    </row>
    <row r="185" spans="1:22" x14ac:dyDescent="0.25">
      <c r="A185">
        <v>3810</v>
      </c>
      <c r="B185" t="s">
        <v>90</v>
      </c>
      <c r="C185" t="s">
        <v>285</v>
      </c>
      <c r="D185" t="s">
        <v>296</v>
      </c>
      <c r="E185">
        <v>420</v>
      </c>
      <c r="F185">
        <v>780</v>
      </c>
      <c r="G185" s="101">
        <v>65</v>
      </c>
      <c r="H185" s="101">
        <v>128</v>
      </c>
      <c r="I185" s="101"/>
      <c r="J185" s="101"/>
      <c r="K185" s="101">
        <v>75</v>
      </c>
      <c r="L185" s="101">
        <v>147</v>
      </c>
      <c r="M185" s="101"/>
      <c r="N185" s="101"/>
      <c r="O185" s="102">
        <f>Aktiv!G198</f>
        <v>49</v>
      </c>
      <c r="P185" s="102">
        <f>Aktiv!H198</f>
        <v>87</v>
      </c>
      <c r="Q185" s="102" t="str">
        <f>Aktiv!I198</f>
        <v/>
      </c>
      <c r="R185" s="102" t="str">
        <f>Aktiv!J198</f>
        <v/>
      </c>
      <c r="S185" s="103">
        <f t="shared" si="8"/>
        <v>-0.24615384615384617</v>
      </c>
      <c r="T185" s="103">
        <f t="shared" si="9"/>
        <v>-0.3203125</v>
      </c>
      <c r="U185" s="103" t="str">
        <f t="shared" si="10"/>
        <v/>
      </c>
      <c r="V185" s="103" t="str">
        <f t="shared" si="11"/>
        <v/>
      </c>
    </row>
    <row r="186" spans="1:22" x14ac:dyDescent="0.25">
      <c r="A186">
        <v>3811</v>
      </c>
      <c r="B186" t="s">
        <v>90</v>
      </c>
      <c r="C186" t="s">
        <v>285</v>
      </c>
      <c r="D186" t="s">
        <v>297</v>
      </c>
      <c r="E186">
        <v>420</v>
      </c>
      <c r="F186">
        <v>980</v>
      </c>
      <c r="G186" s="101">
        <v>79</v>
      </c>
      <c r="H186" s="101">
        <v>155</v>
      </c>
      <c r="I186" s="101"/>
      <c r="J186" s="101"/>
      <c r="K186" s="101">
        <v>91</v>
      </c>
      <c r="L186" s="101">
        <v>178</v>
      </c>
      <c r="M186" s="101"/>
      <c r="N186" s="101"/>
      <c r="O186" s="102">
        <f>Aktiv!G199</f>
        <v>59</v>
      </c>
      <c r="P186" s="102">
        <f>Aktiv!H199</f>
        <v>105</v>
      </c>
      <c r="Q186" s="102" t="str">
        <f>Aktiv!I199</f>
        <v/>
      </c>
      <c r="R186" s="102" t="str">
        <f>Aktiv!J199</f>
        <v/>
      </c>
      <c r="S186" s="103">
        <f t="shared" si="8"/>
        <v>-0.25316455696202533</v>
      </c>
      <c r="T186" s="103">
        <f t="shared" si="9"/>
        <v>-0.32258064516129037</v>
      </c>
      <c r="U186" s="103" t="str">
        <f t="shared" si="10"/>
        <v/>
      </c>
      <c r="V186" s="103" t="str">
        <f t="shared" si="11"/>
        <v/>
      </c>
    </row>
    <row r="187" spans="1:22" x14ac:dyDescent="0.25">
      <c r="A187">
        <v>3812</v>
      </c>
      <c r="B187" t="s">
        <v>90</v>
      </c>
      <c r="C187" t="s">
        <v>285</v>
      </c>
      <c r="D187" t="s">
        <v>298</v>
      </c>
      <c r="E187">
        <v>780</v>
      </c>
      <c r="F187">
        <v>780</v>
      </c>
      <c r="G187" s="101">
        <v>126</v>
      </c>
      <c r="H187" s="101">
        <v>302</v>
      </c>
      <c r="I187" s="101">
        <v>272</v>
      </c>
      <c r="J187" s="101">
        <v>295</v>
      </c>
      <c r="K187" s="101">
        <v>145</v>
      </c>
      <c r="L187" s="101">
        <v>347</v>
      </c>
      <c r="M187" s="101">
        <v>313</v>
      </c>
      <c r="N187" s="101">
        <v>339</v>
      </c>
      <c r="O187" s="102">
        <f>Aktiv!G200</f>
        <v>95</v>
      </c>
      <c r="P187" s="102">
        <f>Aktiv!H200</f>
        <v>205</v>
      </c>
      <c r="Q187" s="102">
        <f>Aktiv!I200</f>
        <v>234</v>
      </c>
      <c r="R187" s="102">
        <f>Aktiv!J200</f>
        <v>230</v>
      </c>
      <c r="S187" s="103">
        <f t="shared" si="8"/>
        <v>-0.24603174603174605</v>
      </c>
      <c r="T187" s="103">
        <f t="shared" si="9"/>
        <v>-0.32119205298013243</v>
      </c>
      <c r="U187" s="103">
        <f t="shared" si="10"/>
        <v>-0.13970588235294112</v>
      </c>
      <c r="V187" s="103">
        <f t="shared" si="11"/>
        <v>-0.22033898305084743</v>
      </c>
    </row>
    <row r="188" spans="1:22" x14ac:dyDescent="0.25">
      <c r="A188">
        <v>3813</v>
      </c>
      <c r="B188" t="s">
        <v>90</v>
      </c>
      <c r="C188" t="s">
        <v>285</v>
      </c>
      <c r="D188" t="s">
        <v>299</v>
      </c>
      <c r="E188">
        <v>780</v>
      </c>
      <c r="F188">
        <v>980</v>
      </c>
      <c r="G188" s="101">
        <v>139</v>
      </c>
      <c r="H188" s="101">
        <v>416</v>
      </c>
      <c r="I188" s="101"/>
      <c r="J188" s="101"/>
      <c r="K188" s="101">
        <v>160</v>
      </c>
      <c r="L188" s="101">
        <v>478</v>
      </c>
      <c r="M188" s="101"/>
      <c r="N188" s="101"/>
      <c r="O188" s="102">
        <f>Aktiv!G201</f>
        <v>104</v>
      </c>
      <c r="P188" s="102">
        <f>Aktiv!H201</f>
        <v>283</v>
      </c>
      <c r="Q188" s="102" t="str">
        <f>Aktiv!I201</f>
        <v/>
      </c>
      <c r="R188" s="102" t="str">
        <f>Aktiv!J201</f>
        <v/>
      </c>
      <c r="S188" s="103">
        <f t="shared" si="8"/>
        <v>-0.25179856115107913</v>
      </c>
      <c r="T188" s="103">
        <f t="shared" si="9"/>
        <v>-0.31971153846153844</v>
      </c>
      <c r="U188" s="103" t="str">
        <f t="shared" si="10"/>
        <v/>
      </c>
      <c r="V188" s="103" t="str">
        <f t="shared" si="11"/>
        <v/>
      </c>
    </row>
    <row r="189" spans="1:22" x14ac:dyDescent="0.25">
      <c r="A189">
        <v>3814</v>
      </c>
      <c r="B189" t="s">
        <v>90</v>
      </c>
      <c r="C189" t="s">
        <v>285</v>
      </c>
      <c r="D189" t="s">
        <v>300</v>
      </c>
      <c r="E189">
        <v>980</v>
      </c>
      <c r="F189">
        <v>780</v>
      </c>
      <c r="G189" s="101">
        <v>139</v>
      </c>
      <c r="H189" s="101">
        <v>416</v>
      </c>
      <c r="I189" s="101"/>
      <c r="J189" s="101"/>
      <c r="K189" s="101">
        <v>160</v>
      </c>
      <c r="L189" s="101">
        <v>478</v>
      </c>
      <c r="M189" s="101"/>
      <c r="N189" s="101"/>
      <c r="O189" s="102">
        <f>Aktiv!G202</f>
        <v>104</v>
      </c>
      <c r="P189" s="102">
        <f>Aktiv!H202</f>
        <v>283</v>
      </c>
      <c r="Q189" s="102" t="str">
        <f>Aktiv!I202</f>
        <v/>
      </c>
      <c r="R189" s="102" t="str">
        <f>Aktiv!J202</f>
        <v/>
      </c>
      <c r="S189" s="103">
        <f t="shared" si="8"/>
        <v>-0.25179856115107913</v>
      </c>
      <c r="T189" s="103">
        <f t="shared" si="9"/>
        <v>-0.31971153846153844</v>
      </c>
      <c r="U189" s="103" t="str">
        <f t="shared" si="10"/>
        <v/>
      </c>
      <c r="V189" s="103" t="str">
        <f t="shared" si="11"/>
        <v/>
      </c>
    </row>
    <row r="190" spans="1:22" x14ac:dyDescent="0.25">
      <c r="A190">
        <v>3815</v>
      </c>
      <c r="B190" t="s">
        <v>90</v>
      </c>
      <c r="C190" t="s">
        <v>285</v>
      </c>
      <c r="D190" t="s">
        <v>301</v>
      </c>
      <c r="E190">
        <v>980</v>
      </c>
      <c r="F190">
        <v>980</v>
      </c>
      <c r="G190" s="101">
        <v>180</v>
      </c>
      <c r="H190" s="101">
        <v>354</v>
      </c>
      <c r="I190" s="101"/>
      <c r="J190" s="101"/>
      <c r="K190" s="101">
        <v>207</v>
      </c>
      <c r="L190" s="101">
        <v>407</v>
      </c>
      <c r="M190" s="101"/>
      <c r="N190" s="101"/>
      <c r="O190" s="102">
        <f>Aktiv!G203</f>
        <v>135</v>
      </c>
      <c r="P190" s="102">
        <f>Aktiv!H203</f>
        <v>241</v>
      </c>
      <c r="Q190" s="102" t="str">
        <f>Aktiv!I203</f>
        <v/>
      </c>
      <c r="R190" s="102" t="str">
        <f>Aktiv!J203</f>
        <v/>
      </c>
      <c r="S190" s="103">
        <f t="shared" si="8"/>
        <v>-0.25</v>
      </c>
      <c r="T190" s="103">
        <f t="shared" si="9"/>
        <v>-0.3192090395480226</v>
      </c>
      <c r="U190" s="103" t="str">
        <f t="shared" si="10"/>
        <v/>
      </c>
      <c r="V190" s="103" t="str">
        <f t="shared" si="11"/>
        <v/>
      </c>
    </row>
    <row r="191" spans="1:22" x14ac:dyDescent="0.25">
      <c r="A191">
        <v>5000</v>
      </c>
      <c r="B191" t="s">
        <v>90</v>
      </c>
      <c r="C191" t="s">
        <v>10</v>
      </c>
      <c r="D191" t="s">
        <v>302</v>
      </c>
      <c r="E191">
        <v>420</v>
      </c>
      <c r="F191">
        <v>180</v>
      </c>
      <c r="G191" s="101">
        <v>169</v>
      </c>
      <c r="H191" s="101">
        <v>255</v>
      </c>
      <c r="I191" s="101">
        <v>237</v>
      </c>
      <c r="J191" s="101">
        <v>446</v>
      </c>
      <c r="K191" s="101">
        <v>194</v>
      </c>
      <c r="L191" s="101">
        <v>293</v>
      </c>
      <c r="M191" s="101">
        <v>273</v>
      </c>
      <c r="N191" s="101">
        <v>513</v>
      </c>
      <c r="O191" s="102">
        <f>Aktiv!G205</f>
        <v>149</v>
      </c>
      <c r="P191" s="102">
        <f>Aktiv!H205</f>
        <v>176</v>
      </c>
      <c r="Q191" s="102">
        <f>Aktiv!I205</f>
        <v>192</v>
      </c>
      <c r="R191" s="102">
        <f>Aktiv!J205</f>
        <v>326</v>
      </c>
      <c r="S191" s="103">
        <f t="shared" si="8"/>
        <v>-0.11834319526627224</v>
      </c>
      <c r="T191" s="103">
        <f t="shared" si="9"/>
        <v>-0.30980392156862746</v>
      </c>
      <c r="U191" s="103">
        <f t="shared" si="10"/>
        <v>-0.189873417721519</v>
      </c>
      <c r="V191" s="103">
        <f t="shared" si="11"/>
        <v>-0.26905829596412556</v>
      </c>
    </row>
    <row r="192" spans="1:22" x14ac:dyDescent="0.25">
      <c r="A192">
        <v>5001</v>
      </c>
      <c r="B192" t="s">
        <v>90</v>
      </c>
      <c r="C192" t="s">
        <v>10</v>
      </c>
      <c r="D192" t="s">
        <v>303</v>
      </c>
      <c r="E192">
        <v>420</v>
      </c>
      <c r="F192">
        <v>360</v>
      </c>
      <c r="G192" s="101">
        <v>169</v>
      </c>
      <c r="H192" s="101">
        <v>255</v>
      </c>
      <c r="I192" s="101">
        <v>237</v>
      </c>
      <c r="J192" s="101">
        <v>446</v>
      </c>
      <c r="K192" s="101">
        <v>194</v>
      </c>
      <c r="L192" s="101">
        <v>293</v>
      </c>
      <c r="M192" s="101">
        <v>273</v>
      </c>
      <c r="N192" s="101">
        <v>513</v>
      </c>
      <c r="O192" s="102">
        <f>Aktiv!G206</f>
        <v>149</v>
      </c>
      <c r="P192" s="102">
        <f>Aktiv!H206</f>
        <v>176</v>
      </c>
      <c r="Q192" s="102">
        <f>Aktiv!I206</f>
        <v>192</v>
      </c>
      <c r="R192" s="102">
        <f>Aktiv!J206</f>
        <v>326</v>
      </c>
      <c r="S192" s="103">
        <f t="shared" si="8"/>
        <v>-0.11834319526627224</v>
      </c>
      <c r="T192" s="103">
        <f t="shared" si="9"/>
        <v>-0.30980392156862746</v>
      </c>
      <c r="U192" s="103">
        <f t="shared" si="10"/>
        <v>-0.189873417721519</v>
      </c>
      <c r="V192" s="103">
        <f t="shared" si="11"/>
        <v>-0.26905829596412556</v>
      </c>
    </row>
    <row r="193" spans="1:22" x14ac:dyDescent="0.25">
      <c r="A193">
        <v>5002</v>
      </c>
      <c r="B193" t="s">
        <v>90</v>
      </c>
      <c r="C193" t="s">
        <v>10</v>
      </c>
      <c r="D193" t="s">
        <v>304</v>
      </c>
      <c r="E193">
        <v>580</v>
      </c>
      <c r="F193">
        <v>180</v>
      </c>
      <c r="G193" s="101">
        <v>184</v>
      </c>
      <c r="H193" s="101">
        <v>283</v>
      </c>
      <c r="I193" s="101">
        <v>259</v>
      </c>
      <c r="J193" s="101">
        <v>487</v>
      </c>
      <c r="K193" s="101">
        <v>212</v>
      </c>
      <c r="L193" s="101">
        <v>325</v>
      </c>
      <c r="M193" s="101">
        <v>298</v>
      </c>
      <c r="N193" s="101">
        <v>560</v>
      </c>
      <c r="O193" s="102">
        <f>Aktiv!G207</f>
        <v>162</v>
      </c>
      <c r="P193" s="102">
        <f>Aktiv!H207</f>
        <v>195</v>
      </c>
      <c r="Q193" s="102">
        <f>Aktiv!I207</f>
        <v>210</v>
      </c>
      <c r="R193" s="102">
        <f>Aktiv!J207</f>
        <v>356</v>
      </c>
      <c r="S193" s="103">
        <f t="shared" si="8"/>
        <v>-0.11956521739130432</v>
      </c>
      <c r="T193" s="103">
        <f t="shared" si="9"/>
        <v>-0.31095406360424027</v>
      </c>
      <c r="U193" s="103">
        <f t="shared" si="10"/>
        <v>-0.18918918918918914</v>
      </c>
      <c r="V193" s="103">
        <f t="shared" si="11"/>
        <v>-0.268993839835729</v>
      </c>
    </row>
    <row r="194" spans="1:22" x14ac:dyDescent="0.25">
      <c r="A194">
        <v>5003</v>
      </c>
      <c r="B194" t="s">
        <v>90</v>
      </c>
      <c r="C194" t="s">
        <v>10</v>
      </c>
      <c r="D194" t="s">
        <v>305</v>
      </c>
      <c r="E194">
        <v>580</v>
      </c>
      <c r="F194">
        <v>360</v>
      </c>
      <c r="G194" s="101">
        <v>184</v>
      </c>
      <c r="H194" s="101">
        <v>283</v>
      </c>
      <c r="I194" s="101">
        <v>259</v>
      </c>
      <c r="J194" s="101">
        <v>487</v>
      </c>
      <c r="K194" s="101">
        <v>212</v>
      </c>
      <c r="L194" s="101">
        <v>325</v>
      </c>
      <c r="M194" s="101">
        <v>298</v>
      </c>
      <c r="N194" s="101">
        <v>560</v>
      </c>
      <c r="O194" s="102">
        <f>Aktiv!G208</f>
        <v>162</v>
      </c>
      <c r="P194" s="102">
        <f>Aktiv!H208</f>
        <v>195</v>
      </c>
      <c r="Q194" s="102">
        <f>Aktiv!I208</f>
        <v>210</v>
      </c>
      <c r="R194" s="102">
        <f>Aktiv!J208</f>
        <v>356</v>
      </c>
      <c r="S194" s="103">
        <f t="shared" si="8"/>
        <v>-0.11956521739130432</v>
      </c>
      <c r="T194" s="103">
        <f t="shared" si="9"/>
        <v>-0.31095406360424027</v>
      </c>
      <c r="U194" s="103">
        <f t="shared" si="10"/>
        <v>-0.18918918918918914</v>
      </c>
      <c r="V194" s="103">
        <f t="shared" si="11"/>
        <v>-0.268993839835729</v>
      </c>
    </row>
    <row r="195" spans="1:22" x14ac:dyDescent="0.25">
      <c r="A195">
        <v>5004</v>
      </c>
      <c r="B195" t="s">
        <v>90</v>
      </c>
      <c r="C195" t="s">
        <v>10</v>
      </c>
      <c r="D195" t="s">
        <v>306</v>
      </c>
      <c r="E195">
        <v>780</v>
      </c>
      <c r="F195">
        <v>180</v>
      </c>
      <c r="G195" s="101">
        <v>198</v>
      </c>
      <c r="H195" s="101">
        <v>310</v>
      </c>
      <c r="I195" s="101">
        <v>280</v>
      </c>
      <c r="J195" s="101">
        <v>527</v>
      </c>
      <c r="K195" s="101">
        <v>228</v>
      </c>
      <c r="L195" s="101">
        <v>357</v>
      </c>
      <c r="M195" s="101">
        <v>322</v>
      </c>
      <c r="N195" s="101">
        <v>606</v>
      </c>
      <c r="O195" s="102">
        <f>Aktiv!G209</f>
        <v>174</v>
      </c>
      <c r="P195" s="102">
        <f>Aktiv!H209</f>
        <v>214</v>
      </c>
      <c r="Q195" s="102">
        <f>Aktiv!I209</f>
        <v>227</v>
      </c>
      <c r="R195" s="102">
        <f>Aktiv!J209</f>
        <v>385</v>
      </c>
      <c r="S195" s="103">
        <f t="shared" ref="S195:S258" si="12">IF(OR(G195="",G195=0,O195=""),"",O195/G195-1)</f>
        <v>-0.12121212121212122</v>
      </c>
      <c r="T195" s="103">
        <f t="shared" ref="T195:T258" si="13">IF(OR(H195="",H195=0,P195=""),"",P195/H195-1)</f>
        <v>-0.30967741935483872</v>
      </c>
      <c r="U195" s="103">
        <f t="shared" ref="U195:U258" si="14">IF(OR(I195="",I195=0,Q195=""),"",Q195/I195-1)</f>
        <v>-0.18928571428571428</v>
      </c>
      <c r="V195" s="103">
        <f t="shared" ref="V195:V258" si="15">IF(OR(J195="",J195=0,R195=""),"",R195/J195-1)</f>
        <v>-0.26944971537001894</v>
      </c>
    </row>
    <row r="196" spans="1:22" x14ac:dyDescent="0.25">
      <c r="A196">
        <v>5005</v>
      </c>
      <c r="B196" t="s">
        <v>90</v>
      </c>
      <c r="C196" t="s">
        <v>10</v>
      </c>
      <c r="D196" t="s">
        <v>307</v>
      </c>
      <c r="E196">
        <v>780</v>
      </c>
      <c r="F196">
        <v>360</v>
      </c>
      <c r="G196" s="101">
        <v>198</v>
      </c>
      <c r="H196" s="101">
        <v>310</v>
      </c>
      <c r="I196" s="101">
        <v>280</v>
      </c>
      <c r="J196" s="101">
        <v>527</v>
      </c>
      <c r="K196" s="101">
        <v>228</v>
      </c>
      <c r="L196" s="101">
        <v>357</v>
      </c>
      <c r="M196" s="101">
        <v>322</v>
      </c>
      <c r="N196" s="101">
        <v>606</v>
      </c>
      <c r="O196" s="102">
        <f>Aktiv!G210</f>
        <v>174</v>
      </c>
      <c r="P196" s="102">
        <f>Aktiv!H210</f>
        <v>214</v>
      </c>
      <c r="Q196" s="102">
        <f>Aktiv!I210</f>
        <v>227</v>
      </c>
      <c r="R196" s="102">
        <f>Aktiv!J210</f>
        <v>385</v>
      </c>
      <c r="S196" s="103">
        <f t="shared" si="12"/>
        <v>-0.12121212121212122</v>
      </c>
      <c r="T196" s="103">
        <f t="shared" si="13"/>
        <v>-0.30967741935483872</v>
      </c>
      <c r="U196" s="103">
        <f t="shared" si="14"/>
        <v>-0.18928571428571428</v>
      </c>
      <c r="V196" s="103">
        <f t="shared" si="15"/>
        <v>-0.26944971537001894</v>
      </c>
    </row>
    <row r="197" spans="1:22" x14ac:dyDescent="0.25">
      <c r="A197">
        <v>5006</v>
      </c>
      <c r="B197" t="s">
        <v>90</v>
      </c>
      <c r="C197" t="s">
        <v>10</v>
      </c>
      <c r="D197" t="s">
        <v>308</v>
      </c>
      <c r="E197">
        <v>980</v>
      </c>
      <c r="F197">
        <v>180</v>
      </c>
      <c r="G197" s="101">
        <v>250</v>
      </c>
      <c r="H197" s="101">
        <v>369</v>
      </c>
      <c r="I197" s="101">
        <v>345</v>
      </c>
      <c r="J197" s="101">
        <v>649</v>
      </c>
      <c r="K197" s="101">
        <v>288</v>
      </c>
      <c r="L197" s="101">
        <v>424</v>
      </c>
      <c r="M197" s="101">
        <v>397</v>
      </c>
      <c r="N197" s="101">
        <v>746</v>
      </c>
      <c r="O197" s="102">
        <f>Aktiv!G211</f>
        <v>220</v>
      </c>
      <c r="P197" s="102">
        <f>Aktiv!H211</f>
        <v>255</v>
      </c>
      <c r="Q197" s="102">
        <f>Aktiv!I211</f>
        <v>279</v>
      </c>
      <c r="R197" s="102">
        <f>Aktiv!J211</f>
        <v>474</v>
      </c>
      <c r="S197" s="103">
        <f t="shared" si="12"/>
        <v>-0.12</v>
      </c>
      <c r="T197" s="103">
        <f t="shared" si="13"/>
        <v>-0.30894308943089432</v>
      </c>
      <c r="U197" s="103">
        <f t="shared" si="14"/>
        <v>-0.19130434782608696</v>
      </c>
      <c r="V197" s="103">
        <f t="shared" si="15"/>
        <v>-0.26964560862865949</v>
      </c>
    </row>
    <row r="198" spans="1:22" x14ac:dyDescent="0.25">
      <c r="A198">
        <v>5007</v>
      </c>
      <c r="B198" t="s">
        <v>90</v>
      </c>
      <c r="C198" t="s">
        <v>10</v>
      </c>
      <c r="D198" t="s">
        <v>309</v>
      </c>
      <c r="E198">
        <v>980</v>
      </c>
      <c r="F198">
        <v>360</v>
      </c>
      <c r="G198" s="101">
        <v>250</v>
      </c>
      <c r="H198" s="101">
        <v>369</v>
      </c>
      <c r="I198" s="101">
        <v>345</v>
      </c>
      <c r="J198" s="101">
        <v>649</v>
      </c>
      <c r="K198" s="101">
        <v>288</v>
      </c>
      <c r="L198" s="101">
        <v>424</v>
      </c>
      <c r="M198" s="101">
        <v>397</v>
      </c>
      <c r="N198" s="101">
        <v>746</v>
      </c>
      <c r="O198" s="102">
        <f>Aktiv!G212</f>
        <v>220</v>
      </c>
      <c r="P198" s="102">
        <f>Aktiv!H212</f>
        <v>255</v>
      </c>
      <c r="Q198" s="102">
        <f>Aktiv!I212</f>
        <v>279</v>
      </c>
      <c r="R198" s="102">
        <f>Aktiv!J212</f>
        <v>474</v>
      </c>
      <c r="S198" s="103">
        <f t="shared" si="12"/>
        <v>-0.12</v>
      </c>
      <c r="T198" s="103">
        <f t="shared" si="13"/>
        <v>-0.30894308943089432</v>
      </c>
      <c r="U198" s="103">
        <f t="shared" si="14"/>
        <v>-0.19130434782608696</v>
      </c>
      <c r="V198" s="103">
        <f t="shared" si="15"/>
        <v>-0.26964560862865949</v>
      </c>
    </row>
    <row r="199" spans="1:22" x14ac:dyDescent="0.25">
      <c r="A199">
        <v>5009</v>
      </c>
      <c r="B199" t="s">
        <v>90</v>
      </c>
      <c r="C199" t="s">
        <v>10</v>
      </c>
      <c r="D199" t="s">
        <v>310</v>
      </c>
      <c r="E199">
        <v>360</v>
      </c>
      <c r="F199">
        <v>180</v>
      </c>
      <c r="G199" s="101">
        <v>169</v>
      </c>
      <c r="H199" s="101">
        <v>333</v>
      </c>
      <c r="I199" s="101">
        <v>345</v>
      </c>
      <c r="J199" s="101">
        <v>649</v>
      </c>
      <c r="K199" s="101">
        <v>194</v>
      </c>
      <c r="L199" s="101">
        <v>383</v>
      </c>
      <c r="M199" s="101">
        <v>397</v>
      </c>
      <c r="N199" s="101">
        <v>746</v>
      </c>
      <c r="O199" s="102">
        <f>Aktiv!G213</f>
        <v>149</v>
      </c>
      <c r="P199" s="102">
        <f>Aktiv!H213</f>
        <v>230</v>
      </c>
      <c r="Q199" s="102">
        <f>Aktiv!I213</f>
        <v>279</v>
      </c>
      <c r="R199" s="102">
        <f>Aktiv!J213</f>
        <v>474</v>
      </c>
      <c r="S199" s="103">
        <f t="shared" si="12"/>
        <v>-0.11834319526627224</v>
      </c>
      <c r="T199" s="103">
        <f t="shared" si="13"/>
        <v>-0.30930930930930933</v>
      </c>
      <c r="U199" s="103">
        <f t="shared" si="14"/>
        <v>-0.19130434782608696</v>
      </c>
      <c r="V199" s="103">
        <f t="shared" si="15"/>
        <v>-0.26964560862865949</v>
      </c>
    </row>
    <row r="200" spans="1:22" x14ac:dyDescent="0.25">
      <c r="A200">
        <v>5008</v>
      </c>
      <c r="B200" t="s">
        <v>90</v>
      </c>
      <c r="C200" t="s">
        <v>10</v>
      </c>
      <c r="D200" t="s">
        <v>311</v>
      </c>
      <c r="E200">
        <v>360</v>
      </c>
      <c r="F200">
        <v>360</v>
      </c>
      <c r="G200" s="101">
        <v>169</v>
      </c>
      <c r="H200" s="101">
        <v>333</v>
      </c>
      <c r="I200" s="101">
        <v>345</v>
      </c>
      <c r="J200" s="101">
        <v>649</v>
      </c>
      <c r="K200" s="101">
        <v>194</v>
      </c>
      <c r="L200" s="101">
        <v>383</v>
      </c>
      <c r="M200" s="101">
        <v>397</v>
      </c>
      <c r="N200" s="101">
        <v>746</v>
      </c>
      <c r="O200" s="102">
        <f>Aktiv!G214</f>
        <v>149</v>
      </c>
      <c r="P200" s="102">
        <f>Aktiv!H214</f>
        <v>230</v>
      </c>
      <c r="Q200" s="102">
        <f>Aktiv!I214</f>
        <v>279</v>
      </c>
      <c r="R200" s="102">
        <f>Aktiv!J214</f>
        <v>474</v>
      </c>
      <c r="S200" s="103">
        <f t="shared" si="12"/>
        <v>-0.11834319526627224</v>
      </c>
      <c r="T200" s="103">
        <f t="shared" si="13"/>
        <v>-0.30930930930930933</v>
      </c>
      <c r="U200" s="103">
        <f t="shared" si="14"/>
        <v>-0.19130434782608696</v>
      </c>
      <c r="V200" s="103">
        <f t="shared" si="15"/>
        <v>-0.26964560862865949</v>
      </c>
    </row>
    <row r="201" spans="1:22" x14ac:dyDescent="0.25">
      <c r="A201" t="s">
        <v>312</v>
      </c>
      <c r="B201" t="s">
        <v>90</v>
      </c>
      <c r="C201" t="s">
        <v>10</v>
      </c>
      <c r="D201" t="s">
        <v>313</v>
      </c>
      <c r="E201">
        <v>980</v>
      </c>
      <c r="F201">
        <v>420</v>
      </c>
      <c r="G201" s="101">
        <v>255</v>
      </c>
      <c r="H201" s="101">
        <v>502</v>
      </c>
      <c r="I201" s="101">
        <v>345</v>
      </c>
      <c r="J201" s="101">
        <v>649</v>
      </c>
      <c r="K201" s="101">
        <v>293</v>
      </c>
      <c r="L201" s="101">
        <v>577</v>
      </c>
      <c r="M201" s="101">
        <v>397</v>
      </c>
      <c r="N201" s="101">
        <v>746</v>
      </c>
      <c r="O201" s="102">
        <f>Aktiv!G215</f>
        <v>224</v>
      </c>
      <c r="P201" s="102">
        <f>Aktiv!H215</f>
        <v>346</v>
      </c>
      <c r="Q201" s="102">
        <f>Aktiv!I215</f>
        <v>279</v>
      </c>
      <c r="R201" s="102">
        <f>Aktiv!J215</f>
        <v>474</v>
      </c>
      <c r="S201" s="103">
        <f t="shared" si="12"/>
        <v>-0.1215686274509804</v>
      </c>
      <c r="T201" s="103">
        <f t="shared" si="13"/>
        <v>-0.31075697211155373</v>
      </c>
      <c r="U201" s="103">
        <f t="shared" si="14"/>
        <v>-0.19130434782608696</v>
      </c>
      <c r="V201" s="103">
        <f t="shared" si="15"/>
        <v>-0.26964560862865949</v>
      </c>
    </row>
    <row r="202" spans="1:22" x14ac:dyDescent="0.25">
      <c r="A202">
        <v>5100</v>
      </c>
      <c r="B202" t="s">
        <v>90</v>
      </c>
      <c r="C202" t="s">
        <v>314</v>
      </c>
      <c r="D202" t="s">
        <v>315</v>
      </c>
      <c r="E202">
        <v>420</v>
      </c>
      <c r="F202">
        <v>360</v>
      </c>
      <c r="G202" s="101">
        <v>136</v>
      </c>
      <c r="H202" s="101">
        <v>205</v>
      </c>
      <c r="I202" s="101">
        <v>182</v>
      </c>
      <c r="J202" s="101">
        <v>479</v>
      </c>
      <c r="K202" s="101">
        <v>156</v>
      </c>
      <c r="L202" s="101">
        <v>236</v>
      </c>
      <c r="M202" s="101">
        <v>209</v>
      </c>
      <c r="N202" s="101">
        <v>551</v>
      </c>
      <c r="O202" s="102">
        <f>Aktiv!G217</f>
        <v>120</v>
      </c>
      <c r="P202" s="102">
        <f>Aktiv!H217</f>
        <v>141</v>
      </c>
      <c r="Q202" s="102">
        <f>Aktiv!I217</f>
        <v>162</v>
      </c>
      <c r="R202" s="102">
        <f>Aktiv!J217</f>
        <v>350</v>
      </c>
      <c r="S202" s="103">
        <f t="shared" si="12"/>
        <v>-0.11764705882352944</v>
      </c>
      <c r="T202" s="103">
        <f t="shared" si="13"/>
        <v>-0.31219512195121957</v>
      </c>
      <c r="U202" s="103">
        <f t="shared" si="14"/>
        <v>-0.10989010989010994</v>
      </c>
      <c r="V202" s="103">
        <f t="shared" si="15"/>
        <v>-0.2693110647181628</v>
      </c>
    </row>
    <row r="203" spans="1:22" x14ac:dyDescent="0.25">
      <c r="A203">
        <v>5101</v>
      </c>
      <c r="B203" t="s">
        <v>90</v>
      </c>
      <c r="C203" t="s">
        <v>314</v>
      </c>
      <c r="D203" t="s">
        <v>316</v>
      </c>
      <c r="E203">
        <v>420</v>
      </c>
      <c r="F203">
        <v>720</v>
      </c>
      <c r="G203" s="101">
        <v>159</v>
      </c>
      <c r="H203" s="101">
        <v>270</v>
      </c>
      <c r="I203" s="101">
        <v>230</v>
      </c>
      <c r="J203" s="101">
        <v>544</v>
      </c>
      <c r="K203" s="101">
        <v>183</v>
      </c>
      <c r="L203" s="101">
        <v>311</v>
      </c>
      <c r="M203" s="101">
        <v>265</v>
      </c>
      <c r="N203" s="101">
        <v>626</v>
      </c>
      <c r="O203" s="102">
        <f>Aktiv!G218</f>
        <v>140</v>
      </c>
      <c r="P203" s="102">
        <f>Aktiv!H218</f>
        <v>186</v>
      </c>
      <c r="Q203" s="102">
        <f>Aktiv!I218</f>
        <v>205</v>
      </c>
      <c r="R203" s="102">
        <f>Aktiv!J218</f>
        <v>397</v>
      </c>
      <c r="S203" s="103">
        <f t="shared" si="12"/>
        <v>-0.11949685534591192</v>
      </c>
      <c r="T203" s="103">
        <f t="shared" si="13"/>
        <v>-0.31111111111111112</v>
      </c>
      <c r="U203" s="103">
        <f t="shared" si="14"/>
        <v>-0.10869565217391308</v>
      </c>
      <c r="V203" s="103">
        <f t="shared" si="15"/>
        <v>-0.27022058823529416</v>
      </c>
    </row>
    <row r="204" spans="1:22" x14ac:dyDescent="0.25">
      <c r="A204">
        <v>5102</v>
      </c>
      <c r="B204" t="s">
        <v>90</v>
      </c>
      <c r="C204" t="s">
        <v>314</v>
      </c>
      <c r="D204" t="s">
        <v>317</v>
      </c>
      <c r="E204">
        <v>420</v>
      </c>
      <c r="F204">
        <v>1080</v>
      </c>
      <c r="G204" s="101">
        <v>235</v>
      </c>
      <c r="H204" s="101">
        <v>373</v>
      </c>
      <c r="I204" s="101">
        <v>339</v>
      </c>
      <c r="J204" s="101">
        <v>643</v>
      </c>
      <c r="K204" s="101">
        <v>270</v>
      </c>
      <c r="L204" s="101">
        <v>429</v>
      </c>
      <c r="M204" s="101">
        <v>390</v>
      </c>
      <c r="N204" s="101">
        <v>739</v>
      </c>
      <c r="O204" s="102">
        <f>Aktiv!G219</f>
        <v>207</v>
      </c>
      <c r="P204" s="102">
        <f>Aktiv!H219</f>
        <v>257</v>
      </c>
      <c r="Q204" s="102">
        <f>Aktiv!I219</f>
        <v>302</v>
      </c>
      <c r="R204" s="102">
        <f>Aktiv!J219</f>
        <v>469</v>
      </c>
      <c r="S204" s="103">
        <f t="shared" si="12"/>
        <v>-0.11914893617021272</v>
      </c>
      <c r="T204" s="103">
        <f t="shared" si="13"/>
        <v>-0.31099195710455763</v>
      </c>
      <c r="U204" s="103">
        <f t="shared" si="14"/>
        <v>-0.10914454277286134</v>
      </c>
      <c r="V204" s="103">
        <f t="shared" si="15"/>
        <v>-0.27060653188180406</v>
      </c>
    </row>
    <row r="205" spans="1:22" x14ac:dyDescent="0.25">
      <c r="A205">
        <v>5103</v>
      </c>
      <c r="B205" t="s">
        <v>90</v>
      </c>
      <c r="C205" t="s">
        <v>314</v>
      </c>
      <c r="D205" t="s">
        <v>318</v>
      </c>
      <c r="E205">
        <v>420</v>
      </c>
      <c r="F205">
        <v>1440</v>
      </c>
      <c r="G205" s="101">
        <v>257</v>
      </c>
      <c r="H205" s="101">
        <v>472</v>
      </c>
      <c r="I205" s="101">
        <v>402</v>
      </c>
      <c r="J205" s="101">
        <v>712</v>
      </c>
      <c r="K205" s="101">
        <v>296</v>
      </c>
      <c r="L205" s="101">
        <v>543</v>
      </c>
      <c r="M205" s="101">
        <v>462</v>
      </c>
      <c r="N205" s="101">
        <v>819</v>
      </c>
      <c r="O205" s="102">
        <f>Aktiv!G220</f>
        <v>226</v>
      </c>
      <c r="P205" s="102">
        <f>Aktiv!H220</f>
        <v>326</v>
      </c>
      <c r="Q205" s="102">
        <f>Aktiv!I220</f>
        <v>358</v>
      </c>
      <c r="R205" s="102">
        <f>Aktiv!J220</f>
        <v>520</v>
      </c>
      <c r="S205" s="103">
        <f t="shared" si="12"/>
        <v>-0.12062256809338523</v>
      </c>
      <c r="T205" s="103">
        <f t="shared" si="13"/>
        <v>-0.30932203389830504</v>
      </c>
      <c r="U205" s="103">
        <f t="shared" si="14"/>
        <v>-0.10945273631840791</v>
      </c>
      <c r="V205" s="103">
        <f t="shared" si="15"/>
        <v>-0.2696629213483146</v>
      </c>
    </row>
    <row r="206" spans="1:22" x14ac:dyDescent="0.25">
      <c r="A206">
        <v>5104</v>
      </c>
      <c r="B206" t="s">
        <v>90</v>
      </c>
      <c r="C206" t="s">
        <v>314</v>
      </c>
      <c r="D206" t="s">
        <v>319</v>
      </c>
      <c r="E206">
        <v>420</v>
      </c>
      <c r="F206">
        <v>1800</v>
      </c>
      <c r="G206" s="101">
        <v>340</v>
      </c>
      <c r="H206" s="101">
        <v>669</v>
      </c>
      <c r="I206" s="101">
        <v>494</v>
      </c>
      <c r="J206" s="101">
        <v>834</v>
      </c>
      <c r="K206" s="101">
        <v>391</v>
      </c>
      <c r="L206" s="101">
        <v>769</v>
      </c>
      <c r="M206" s="101">
        <v>568</v>
      </c>
      <c r="N206" s="101">
        <v>959</v>
      </c>
      <c r="O206" s="102">
        <f>Aktiv!G221</f>
        <v>299</v>
      </c>
      <c r="P206" s="102">
        <f>Aktiv!H221</f>
        <v>462</v>
      </c>
      <c r="Q206" s="102">
        <f>Aktiv!I221</f>
        <v>440</v>
      </c>
      <c r="R206" s="102">
        <f>Aktiv!J221</f>
        <v>609</v>
      </c>
      <c r="S206" s="103">
        <f t="shared" si="12"/>
        <v>-0.12058823529411766</v>
      </c>
      <c r="T206" s="103">
        <f t="shared" si="13"/>
        <v>-0.3094170403587444</v>
      </c>
      <c r="U206" s="103">
        <f t="shared" si="14"/>
        <v>-0.10931174089068829</v>
      </c>
      <c r="V206" s="103">
        <f t="shared" si="15"/>
        <v>-0.26978417266187049</v>
      </c>
    </row>
    <row r="207" spans="1:22" x14ac:dyDescent="0.25">
      <c r="A207">
        <v>5105</v>
      </c>
      <c r="B207" t="s">
        <v>90</v>
      </c>
      <c r="C207" t="s">
        <v>314</v>
      </c>
      <c r="D207" t="s">
        <v>320</v>
      </c>
      <c r="E207">
        <v>580</v>
      </c>
      <c r="F207">
        <v>360</v>
      </c>
      <c r="G207" s="101">
        <v>153</v>
      </c>
      <c r="H207" s="101">
        <v>228</v>
      </c>
      <c r="I207" s="101">
        <v>208</v>
      </c>
      <c r="J207" s="101">
        <v>509</v>
      </c>
      <c r="K207" s="101">
        <v>176</v>
      </c>
      <c r="L207" s="101">
        <v>262</v>
      </c>
      <c r="M207" s="101">
        <v>239</v>
      </c>
      <c r="N207" s="101">
        <v>585</v>
      </c>
      <c r="O207" s="102">
        <f>Aktiv!G222</f>
        <v>135</v>
      </c>
      <c r="P207" s="102">
        <f>Aktiv!H222</f>
        <v>157</v>
      </c>
      <c r="Q207" s="102">
        <f>Aktiv!I222</f>
        <v>185</v>
      </c>
      <c r="R207" s="102">
        <f>Aktiv!J222</f>
        <v>372</v>
      </c>
      <c r="S207" s="103">
        <f t="shared" si="12"/>
        <v>-0.11764705882352944</v>
      </c>
      <c r="T207" s="103">
        <f t="shared" si="13"/>
        <v>-0.31140350877192979</v>
      </c>
      <c r="U207" s="103">
        <f t="shared" si="14"/>
        <v>-0.11057692307692313</v>
      </c>
      <c r="V207" s="103">
        <f t="shared" si="15"/>
        <v>-0.26915520628683698</v>
      </c>
    </row>
    <row r="208" spans="1:22" x14ac:dyDescent="0.25">
      <c r="A208">
        <v>5106</v>
      </c>
      <c r="B208" t="s">
        <v>90</v>
      </c>
      <c r="C208" t="s">
        <v>314</v>
      </c>
      <c r="D208" t="s">
        <v>321</v>
      </c>
      <c r="E208">
        <v>580</v>
      </c>
      <c r="F208">
        <v>720</v>
      </c>
      <c r="G208" s="101">
        <v>210</v>
      </c>
      <c r="H208" s="101">
        <v>332</v>
      </c>
      <c r="I208" s="101">
        <v>306</v>
      </c>
      <c r="J208" s="101">
        <v>585</v>
      </c>
      <c r="K208" s="101">
        <v>242</v>
      </c>
      <c r="L208" s="101">
        <v>382</v>
      </c>
      <c r="M208" s="101">
        <v>352</v>
      </c>
      <c r="N208" s="101">
        <v>673</v>
      </c>
      <c r="O208" s="102">
        <f>Aktiv!G223</f>
        <v>185</v>
      </c>
      <c r="P208" s="102">
        <f>Aktiv!H223</f>
        <v>229</v>
      </c>
      <c r="Q208" s="102">
        <f>Aktiv!I223</f>
        <v>272</v>
      </c>
      <c r="R208" s="102">
        <f>Aktiv!J223</f>
        <v>427</v>
      </c>
      <c r="S208" s="103">
        <f t="shared" si="12"/>
        <v>-0.11904761904761907</v>
      </c>
      <c r="T208" s="103">
        <f t="shared" si="13"/>
        <v>-0.31024096385542166</v>
      </c>
      <c r="U208" s="103">
        <f t="shared" si="14"/>
        <v>-0.11111111111111116</v>
      </c>
      <c r="V208" s="103">
        <f t="shared" si="15"/>
        <v>-0.27008547008547013</v>
      </c>
    </row>
    <row r="209" spans="1:22" x14ac:dyDescent="0.25">
      <c r="A209">
        <v>5107</v>
      </c>
      <c r="B209" t="s">
        <v>90</v>
      </c>
      <c r="C209" t="s">
        <v>314</v>
      </c>
      <c r="D209" t="s">
        <v>322</v>
      </c>
      <c r="E209">
        <v>580</v>
      </c>
      <c r="F209">
        <v>1080</v>
      </c>
      <c r="G209" s="101">
        <v>278</v>
      </c>
      <c r="H209" s="101">
        <v>459</v>
      </c>
      <c r="I209" s="101">
        <v>415</v>
      </c>
      <c r="J209" s="101">
        <v>709</v>
      </c>
      <c r="K209" s="101">
        <v>320</v>
      </c>
      <c r="L209" s="101">
        <v>528</v>
      </c>
      <c r="M209" s="101">
        <v>477</v>
      </c>
      <c r="N209" s="101">
        <v>815</v>
      </c>
      <c r="O209" s="102">
        <f>Aktiv!G224</f>
        <v>245</v>
      </c>
      <c r="P209" s="102">
        <f>Aktiv!H224</f>
        <v>317</v>
      </c>
      <c r="Q209" s="102">
        <f>Aktiv!I224</f>
        <v>369</v>
      </c>
      <c r="R209" s="102">
        <f>Aktiv!J224</f>
        <v>518</v>
      </c>
      <c r="S209" s="103">
        <f t="shared" si="12"/>
        <v>-0.11870503597122306</v>
      </c>
      <c r="T209" s="103">
        <f t="shared" si="13"/>
        <v>-0.30936819172113295</v>
      </c>
      <c r="U209" s="103">
        <f t="shared" si="14"/>
        <v>-0.11084337349397588</v>
      </c>
      <c r="V209" s="103">
        <f t="shared" si="15"/>
        <v>-0.26939351198871653</v>
      </c>
    </row>
    <row r="210" spans="1:22" x14ac:dyDescent="0.25">
      <c r="A210">
        <v>5108</v>
      </c>
      <c r="B210" t="s">
        <v>90</v>
      </c>
      <c r="C210" t="s">
        <v>314</v>
      </c>
      <c r="D210" t="s">
        <v>323</v>
      </c>
      <c r="E210">
        <v>580</v>
      </c>
      <c r="F210">
        <v>1440</v>
      </c>
      <c r="G210" s="101">
        <v>337</v>
      </c>
      <c r="H210" s="101">
        <v>560</v>
      </c>
      <c r="I210" s="101">
        <v>503</v>
      </c>
      <c r="J210" s="101">
        <v>946</v>
      </c>
      <c r="K210" s="101">
        <v>388</v>
      </c>
      <c r="L210" s="101">
        <v>644</v>
      </c>
      <c r="M210" s="101">
        <v>578</v>
      </c>
      <c r="N210" s="101">
        <v>1088</v>
      </c>
      <c r="O210" s="102">
        <f>Aktiv!G225</f>
        <v>297</v>
      </c>
      <c r="P210" s="102">
        <f>Aktiv!H225</f>
        <v>386</v>
      </c>
      <c r="Q210" s="102">
        <f>Aktiv!I225</f>
        <v>448</v>
      </c>
      <c r="R210" s="102">
        <f>Aktiv!J225</f>
        <v>691</v>
      </c>
      <c r="S210" s="103">
        <f t="shared" si="12"/>
        <v>-0.11869436201780414</v>
      </c>
      <c r="T210" s="103">
        <f t="shared" si="13"/>
        <v>-0.31071428571428572</v>
      </c>
      <c r="U210" s="103">
        <f t="shared" si="14"/>
        <v>-0.10934393638170969</v>
      </c>
      <c r="V210" s="103">
        <f t="shared" si="15"/>
        <v>-0.26955602536997891</v>
      </c>
    </row>
    <row r="211" spans="1:22" x14ac:dyDescent="0.25">
      <c r="A211">
        <v>5109</v>
      </c>
      <c r="B211" t="s">
        <v>90</v>
      </c>
      <c r="C211" t="s">
        <v>314</v>
      </c>
      <c r="D211" t="s">
        <v>324</v>
      </c>
      <c r="E211">
        <v>580</v>
      </c>
      <c r="F211">
        <v>1800</v>
      </c>
      <c r="G211" s="101">
        <v>417</v>
      </c>
      <c r="H211" s="101">
        <v>821</v>
      </c>
      <c r="I211" s="101">
        <v>619</v>
      </c>
      <c r="J211" s="101">
        <v>1164</v>
      </c>
      <c r="K211" s="101">
        <v>480</v>
      </c>
      <c r="L211" s="101">
        <v>944</v>
      </c>
      <c r="M211" s="101">
        <v>712</v>
      </c>
      <c r="N211" s="101">
        <v>1339</v>
      </c>
      <c r="O211" s="102">
        <f>Aktiv!G226</f>
        <v>367</v>
      </c>
      <c r="P211" s="102">
        <f>Aktiv!H226</f>
        <v>566</v>
      </c>
      <c r="Q211" s="102">
        <f>Aktiv!I226</f>
        <v>551</v>
      </c>
      <c r="R211" s="102">
        <f>Aktiv!J226</f>
        <v>850</v>
      </c>
      <c r="S211" s="103">
        <f t="shared" si="12"/>
        <v>-0.11990407673860914</v>
      </c>
      <c r="T211" s="103">
        <f t="shared" si="13"/>
        <v>-0.31059683313032882</v>
      </c>
      <c r="U211" s="103">
        <f t="shared" si="14"/>
        <v>-0.10985460420032311</v>
      </c>
      <c r="V211" s="103">
        <f t="shared" si="15"/>
        <v>-0.26975945017182135</v>
      </c>
    </row>
    <row r="212" spans="1:22" x14ac:dyDescent="0.25">
      <c r="A212">
        <v>5110</v>
      </c>
      <c r="B212" t="s">
        <v>90</v>
      </c>
      <c r="C212" t="s">
        <v>314</v>
      </c>
      <c r="D212" t="s">
        <v>325</v>
      </c>
      <c r="E212">
        <v>360</v>
      </c>
      <c r="F212">
        <v>360</v>
      </c>
      <c r="G212" s="101">
        <v>136</v>
      </c>
      <c r="H212" s="101">
        <v>268</v>
      </c>
      <c r="I212" s="101">
        <v>237</v>
      </c>
      <c r="J212" s="101">
        <v>446</v>
      </c>
      <c r="K212" s="101">
        <v>156</v>
      </c>
      <c r="L212" s="101">
        <v>308</v>
      </c>
      <c r="M212" s="101">
        <v>273</v>
      </c>
      <c r="N212" s="101">
        <v>513</v>
      </c>
      <c r="O212" s="102">
        <f>Aktiv!G227</f>
        <v>120</v>
      </c>
      <c r="P212" s="102">
        <f>Aktiv!H227</f>
        <v>185</v>
      </c>
      <c r="Q212" s="102">
        <f>Aktiv!I227</f>
        <v>211</v>
      </c>
      <c r="R212" s="102">
        <f>Aktiv!J227</f>
        <v>326</v>
      </c>
      <c r="S212" s="103">
        <f t="shared" si="12"/>
        <v>-0.11764705882352944</v>
      </c>
      <c r="T212" s="103">
        <f t="shared" si="13"/>
        <v>-0.30970149253731338</v>
      </c>
      <c r="U212" s="103">
        <f t="shared" si="14"/>
        <v>-0.10970464135021096</v>
      </c>
      <c r="V212" s="103">
        <f t="shared" si="15"/>
        <v>-0.26905829596412556</v>
      </c>
    </row>
    <row r="213" spans="1:22" x14ac:dyDescent="0.25">
      <c r="A213">
        <v>5111</v>
      </c>
      <c r="B213" t="s">
        <v>90</v>
      </c>
      <c r="C213" t="s">
        <v>314</v>
      </c>
      <c r="D213" t="s">
        <v>326</v>
      </c>
      <c r="E213">
        <v>780</v>
      </c>
      <c r="F213">
        <v>360</v>
      </c>
      <c r="G213" s="101"/>
      <c r="H213" s="101"/>
      <c r="I213" s="101">
        <v>259</v>
      </c>
      <c r="J213" s="101">
        <v>487</v>
      </c>
      <c r="K213" s="101"/>
      <c r="L213" s="101"/>
      <c r="M213" s="101">
        <v>298</v>
      </c>
      <c r="N213" s="101">
        <v>560</v>
      </c>
      <c r="O213" s="102" t="str">
        <f>Aktiv!G228</f>
        <v/>
      </c>
      <c r="P213" s="102" t="str">
        <f>Aktiv!H228</f>
        <v/>
      </c>
      <c r="Q213" s="102">
        <f>Aktiv!I228</f>
        <v>231</v>
      </c>
      <c r="R213" s="102">
        <f>Aktiv!J228</f>
        <v>356</v>
      </c>
      <c r="S213" s="103" t="str">
        <f t="shared" si="12"/>
        <v/>
      </c>
      <c r="T213" s="103" t="str">
        <f t="shared" si="13"/>
        <v/>
      </c>
      <c r="U213" s="103">
        <f t="shared" si="14"/>
        <v>-0.10810810810810811</v>
      </c>
      <c r="V213" s="103">
        <f t="shared" si="15"/>
        <v>-0.268993839835729</v>
      </c>
    </row>
    <row r="214" spans="1:22" x14ac:dyDescent="0.25">
      <c r="A214">
        <v>5200</v>
      </c>
      <c r="B214" t="s">
        <v>90</v>
      </c>
      <c r="C214" t="s">
        <v>327</v>
      </c>
      <c r="D214" t="s">
        <v>328</v>
      </c>
      <c r="E214">
        <v>780</v>
      </c>
      <c r="F214">
        <v>360</v>
      </c>
      <c r="G214" s="101">
        <v>255</v>
      </c>
      <c r="H214" s="101">
        <v>367</v>
      </c>
      <c r="I214" s="101">
        <v>334</v>
      </c>
      <c r="J214" s="101">
        <v>867</v>
      </c>
      <c r="K214" s="101">
        <v>293</v>
      </c>
      <c r="L214" s="101">
        <v>422</v>
      </c>
      <c r="M214" s="101">
        <v>384</v>
      </c>
      <c r="N214" s="101">
        <v>997</v>
      </c>
      <c r="O214" s="102">
        <f>Aktiv!G230</f>
        <v>224</v>
      </c>
      <c r="P214" s="102">
        <f>Aktiv!H230</f>
        <v>264</v>
      </c>
      <c r="Q214" s="102">
        <f>Aktiv!I230</f>
        <v>301</v>
      </c>
      <c r="R214" s="102">
        <f>Aktiv!J230</f>
        <v>642</v>
      </c>
      <c r="S214" s="103">
        <f t="shared" si="12"/>
        <v>-0.1215686274509804</v>
      </c>
      <c r="T214" s="103">
        <f t="shared" si="13"/>
        <v>-0.28065395095367851</v>
      </c>
      <c r="U214" s="103">
        <f t="shared" si="14"/>
        <v>-9.8802395209580784E-2</v>
      </c>
      <c r="V214" s="103">
        <f t="shared" si="15"/>
        <v>-0.25951557093425603</v>
      </c>
    </row>
    <row r="215" spans="1:22" x14ac:dyDescent="0.25">
      <c r="A215">
        <v>5210</v>
      </c>
      <c r="B215" t="s">
        <v>90</v>
      </c>
      <c r="C215" t="s">
        <v>327</v>
      </c>
      <c r="D215" t="s">
        <v>329</v>
      </c>
      <c r="E215">
        <v>780</v>
      </c>
      <c r="F215">
        <v>660</v>
      </c>
      <c r="G215" s="101">
        <v>314</v>
      </c>
      <c r="H215" s="101">
        <v>618</v>
      </c>
      <c r="I215" s="101">
        <v>423</v>
      </c>
      <c r="J215" s="101">
        <v>796</v>
      </c>
      <c r="K215" s="101">
        <v>361</v>
      </c>
      <c r="L215" s="101">
        <v>711</v>
      </c>
      <c r="M215" s="101">
        <v>486</v>
      </c>
      <c r="N215" s="101">
        <v>915</v>
      </c>
      <c r="O215" s="102">
        <f>Aktiv!G231</f>
        <v>276</v>
      </c>
      <c r="P215" s="102">
        <f>Aktiv!H231</f>
        <v>445</v>
      </c>
      <c r="Q215" s="102">
        <f>Aktiv!I231</f>
        <v>381</v>
      </c>
      <c r="R215" s="102">
        <f>Aktiv!J231</f>
        <v>589</v>
      </c>
      <c r="S215" s="103">
        <f t="shared" si="12"/>
        <v>-0.12101910828025475</v>
      </c>
      <c r="T215" s="103">
        <f t="shared" si="13"/>
        <v>-0.2799352750809061</v>
      </c>
      <c r="U215" s="103">
        <f t="shared" si="14"/>
        <v>-9.9290780141844004E-2</v>
      </c>
      <c r="V215" s="103">
        <f t="shared" si="15"/>
        <v>-0.26005025125628145</v>
      </c>
    </row>
    <row r="216" spans="1:22" x14ac:dyDescent="0.25">
      <c r="A216">
        <v>5201</v>
      </c>
      <c r="B216" t="s">
        <v>90</v>
      </c>
      <c r="C216" t="s">
        <v>327</v>
      </c>
      <c r="D216" t="s">
        <v>330</v>
      </c>
      <c r="E216">
        <v>780</v>
      </c>
      <c r="F216">
        <v>720</v>
      </c>
      <c r="G216" s="101">
        <v>314</v>
      </c>
      <c r="H216" s="101">
        <v>484</v>
      </c>
      <c r="I216" s="101">
        <v>423</v>
      </c>
      <c r="J216" s="101">
        <v>902</v>
      </c>
      <c r="K216" s="101">
        <v>361</v>
      </c>
      <c r="L216" s="101">
        <v>557</v>
      </c>
      <c r="M216" s="101">
        <v>486</v>
      </c>
      <c r="N216" s="101">
        <v>1037</v>
      </c>
      <c r="O216" s="102">
        <f>Aktiv!G232</f>
        <v>276</v>
      </c>
      <c r="P216" s="102">
        <f>Aktiv!H232</f>
        <v>348</v>
      </c>
      <c r="Q216" s="102">
        <f>Aktiv!I232</f>
        <v>381</v>
      </c>
      <c r="R216" s="102">
        <f>Aktiv!J232</f>
        <v>667</v>
      </c>
      <c r="S216" s="103">
        <f t="shared" si="12"/>
        <v>-0.12101910828025475</v>
      </c>
      <c r="T216" s="103">
        <f t="shared" si="13"/>
        <v>-0.28099173553719003</v>
      </c>
      <c r="U216" s="103">
        <f t="shared" si="14"/>
        <v>-9.9290780141844004E-2</v>
      </c>
      <c r="V216" s="103">
        <f t="shared" si="15"/>
        <v>-0.26053215077605318</v>
      </c>
    </row>
    <row r="217" spans="1:22" x14ac:dyDescent="0.25">
      <c r="A217">
        <v>5202</v>
      </c>
      <c r="B217" t="s">
        <v>90</v>
      </c>
      <c r="C217" t="s">
        <v>327</v>
      </c>
      <c r="D217" t="s">
        <v>331</v>
      </c>
      <c r="E217">
        <v>780</v>
      </c>
      <c r="F217">
        <v>1080</v>
      </c>
      <c r="G217" s="101">
        <v>464</v>
      </c>
      <c r="H217" s="101">
        <v>716</v>
      </c>
      <c r="I217" s="101">
        <v>624</v>
      </c>
      <c r="J217" s="101">
        <v>1139</v>
      </c>
      <c r="K217" s="101">
        <v>534</v>
      </c>
      <c r="L217" s="101">
        <v>823</v>
      </c>
      <c r="M217" s="101">
        <v>718</v>
      </c>
      <c r="N217" s="101">
        <v>1310</v>
      </c>
      <c r="O217" s="102">
        <f>Aktiv!G233</f>
        <v>408</v>
      </c>
      <c r="P217" s="102">
        <f>Aktiv!H233</f>
        <v>516</v>
      </c>
      <c r="Q217" s="102">
        <f>Aktiv!I233</f>
        <v>562</v>
      </c>
      <c r="R217" s="102">
        <f>Aktiv!J233</f>
        <v>843</v>
      </c>
      <c r="S217" s="103">
        <f t="shared" si="12"/>
        <v>-0.12068965517241381</v>
      </c>
      <c r="T217" s="103">
        <f t="shared" si="13"/>
        <v>-0.27932960893854752</v>
      </c>
      <c r="U217" s="103">
        <f t="shared" si="14"/>
        <v>-9.9358974358974339E-2</v>
      </c>
      <c r="V217" s="103">
        <f t="shared" si="15"/>
        <v>-0.25987708516242314</v>
      </c>
    </row>
    <row r="218" spans="1:22" x14ac:dyDescent="0.25">
      <c r="A218">
        <v>5203</v>
      </c>
      <c r="B218" t="s">
        <v>90</v>
      </c>
      <c r="C218" t="s">
        <v>327</v>
      </c>
      <c r="D218" t="s">
        <v>332</v>
      </c>
      <c r="E218">
        <v>780</v>
      </c>
      <c r="F218">
        <v>1440</v>
      </c>
      <c r="G218" s="101">
        <v>542</v>
      </c>
      <c r="H218" s="101">
        <v>863</v>
      </c>
      <c r="I218" s="101">
        <v>746</v>
      </c>
      <c r="J218" s="101">
        <v>1265</v>
      </c>
      <c r="K218" s="101">
        <v>623</v>
      </c>
      <c r="L218" s="101">
        <v>992</v>
      </c>
      <c r="M218" s="101">
        <v>858</v>
      </c>
      <c r="N218" s="101">
        <v>1455</v>
      </c>
      <c r="O218" s="102">
        <f>Aktiv!G234</f>
        <v>477</v>
      </c>
      <c r="P218" s="102">
        <f>Aktiv!H234</f>
        <v>621</v>
      </c>
      <c r="Q218" s="102">
        <f>Aktiv!I234</f>
        <v>671</v>
      </c>
      <c r="R218" s="102">
        <f>Aktiv!J234</f>
        <v>936</v>
      </c>
      <c r="S218" s="103">
        <f t="shared" si="12"/>
        <v>-0.11992619926199266</v>
      </c>
      <c r="T218" s="103">
        <f t="shared" si="13"/>
        <v>-0.28041714947856311</v>
      </c>
      <c r="U218" s="103">
        <f t="shared" si="14"/>
        <v>-0.10053619302949057</v>
      </c>
      <c r="V218" s="103">
        <f t="shared" si="15"/>
        <v>-0.26007905138339926</v>
      </c>
    </row>
    <row r="219" spans="1:22" x14ac:dyDescent="0.25">
      <c r="A219">
        <v>5204</v>
      </c>
      <c r="B219" t="s">
        <v>90</v>
      </c>
      <c r="C219" t="s">
        <v>327</v>
      </c>
      <c r="D219" t="s">
        <v>333</v>
      </c>
      <c r="E219">
        <v>780</v>
      </c>
      <c r="F219">
        <v>1800</v>
      </c>
      <c r="G219" s="101">
        <v>668</v>
      </c>
      <c r="H219" s="101">
        <v>1315</v>
      </c>
      <c r="I219" s="101">
        <v>917</v>
      </c>
      <c r="J219" s="101">
        <v>1496</v>
      </c>
      <c r="K219" s="101">
        <v>768</v>
      </c>
      <c r="L219" s="101">
        <v>1512</v>
      </c>
      <c r="M219" s="101">
        <v>1055</v>
      </c>
      <c r="N219" s="101">
        <v>1720</v>
      </c>
      <c r="O219" s="102">
        <f>Aktiv!G235</f>
        <v>588</v>
      </c>
      <c r="P219" s="102">
        <f>Aktiv!H235</f>
        <v>947</v>
      </c>
      <c r="Q219" s="102">
        <f>Aktiv!I235</f>
        <v>825</v>
      </c>
      <c r="R219" s="102">
        <f>Aktiv!J235</f>
        <v>1107</v>
      </c>
      <c r="S219" s="103">
        <f t="shared" si="12"/>
        <v>-0.11976047904191611</v>
      </c>
      <c r="T219" s="103">
        <f t="shared" si="13"/>
        <v>-0.27984790874524712</v>
      </c>
      <c r="U219" s="103">
        <f t="shared" si="14"/>
        <v>-0.10032715376226831</v>
      </c>
      <c r="V219" s="103">
        <f t="shared" si="15"/>
        <v>-0.26002673796791442</v>
      </c>
    </row>
    <row r="220" spans="1:22" x14ac:dyDescent="0.25">
      <c r="A220">
        <v>5205</v>
      </c>
      <c r="B220" t="s">
        <v>90</v>
      </c>
      <c r="C220" t="s">
        <v>327</v>
      </c>
      <c r="D220" t="s">
        <v>334</v>
      </c>
      <c r="E220">
        <v>980</v>
      </c>
      <c r="F220">
        <v>360</v>
      </c>
      <c r="G220" s="101">
        <v>269</v>
      </c>
      <c r="H220" s="101">
        <v>406</v>
      </c>
      <c r="I220" s="101">
        <v>363</v>
      </c>
      <c r="J220" s="101">
        <v>888</v>
      </c>
      <c r="K220" s="101">
        <v>309</v>
      </c>
      <c r="L220" s="101">
        <v>467</v>
      </c>
      <c r="M220" s="101">
        <v>417</v>
      </c>
      <c r="N220" s="101">
        <v>1021</v>
      </c>
      <c r="O220" s="102">
        <f>Aktiv!G236</f>
        <v>237</v>
      </c>
      <c r="P220" s="102">
        <f>Aktiv!H236</f>
        <v>292</v>
      </c>
      <c r="Q220" s="102">
        <f>Aktiv!I236</f>
        <v>327</v>
      </c>
      <c r="R220" s="102">
        <f>Aktiv!J236</f>
        <v>657</v>
      </c>
      <c r="S220" s="103">
        <f t="shared" si="12"/>
        <v>-0.1189591078066915</v>
      </c>
      <c r="T220" s="103">
        <f t="shared" si="13"/>
        <v>-0.28078817733990147</v>
      </c>
      <c r="U220" s="103">
        <f t="shared" si="14"/>
        <v>-9.9173553719008267E-2</v>
      </c>
      <c r="V220" s="103">
        <f t="shared" si="15"/>
        <v>-0.26013513513513509</v>
      </c>
    </row>
    <row r="221" spans="1:22" x14ac:dyDescent="0.25">
      <c r="A221">
        <v>5206</v>
      </c>
      <c r="B221" t="s">
        <v>90</v>
      </c>
      <c r="C221" t="s">
        <v>327</v>
      </c>
      <c r="D221" t="s">
        <v>335</v>
      </c>
      <c r="E221">
        <v>980</v>
      </c>
      <c r="F221">
        <v>720</v>
      </c>
      <c r="G221" s="101">
        <v>375</v>
      </c>
      <c r="H221" s="101">
        <v>587</v>
      </c>
      <c r="I221" s="101">
        <v>517</v>
      </c>
      <c r="J221" s="101">
        <v>944</v>
      </c>
      <c r="K221" s="101">
        <v>431</v>
      </c>
      <c r="L221" s="101">
        <v>675</v>
      </c>
      <c r="M221" s="101">
        <v>595</v>
      </c>
      <c r="N221" s="101">
        <v>1086</v>
      </c>
      <c r="O221" s="102">
        <f>Aktiv!G237</f>
        <v>330</v>
      </c>
      <c r="P221" s="102">
        <f>Aktiv!H237</f>
        <v>423</v>
      </c>
      <c r="Q221" s="102">
        <f>Aktiv!I237</f>
        <v>465</v>
      </c>
      <c r="R221" s="102">
        <f>Aktiv!J237</f>
        <v>699</v>
      </c>
      <c r="S221" s="103">
        <f t="shared" si="12"/>
        <v>-0.12</v>
      </c>
      <c r="T221" s="103">
        <f t="shared" si="13"/>
        <v>-0.27938671209540034</v>
      </c>
      <c r="U221" s="103">
        <f t="shared" si="14"/>
        <v>-0.10058027079303677</v>
      </c>
      <c r="V221" s="103">
        <f t="shared" si="15"/>
        <v>-0.25953389830508478</v>
      </c>
    </row>
    <row r="222" spans="1:22" x14ac:dyDescent="0.25">
      <c r="A222">
        <v>5207</v>
      </c>
      <c r="B222" t="s">
        <v>90</v>
      </c>
      <c r="C222" t="s">
        <v>327</v>
      </c>
      <c r="D222" t="s">
        <v>336</v>
      </c>
      <c r="E222">
        <v>980</v>
      </c>
      <c r="F222">
        <v>1080</v>
      </c>
      <c r="G222" s="101">
        <v>523</v>
      </c>
      <c r="H222" s="101">
        <v>817</v>
      </c>
      <c r="I222" s="101">
        <v>717</v>
      </c>
      <c r="J222" s="101">
        <v>1349</v>
      </c>
      <c r="K222" s="101">
        <v>601</v>
      </c>
      <c r="L222" s="101">
        <v>940</v>
      </c>
      <c r="M222" s="101">
        <v>825</v>
      </c>
      <c r="N222" s="101">
        <v>1551</v>
      </c>
      <c r="O222" s="102">
        <f>Aktiv!G238</f>
        <v>460</v>
      </c>
      <c r="P222" s="102">
        <f>Aktiv!H238</f>
        <v>588</v>
      </c>
      <c r="Q222" s="102">
        <f>Aktiv!I238</f>
        <v>645</v>
      </c>
      <c r="R222" s="102">
        <f>Aktiv!J238</f>
        <v>998</v>
      </c>
      <c r="S222" s="103">
        <f t="shared" si="12"/>
        <v>-0.12045889101338436</v>
      </c>
      <c r="T222" s="103">
        <f t="shared" si="13"/>
        <v>-0.2802937576499388</v>
      </c>
      <c r="U222" s="103">
        <f t="shared" si="14"/>
        <v>-0.10041841004184104</v>
      </c>
      <c r="V222" s="103">
        <f t="shared" si="15"/>
        <v>-0.26019273535952558</v>
      </c>
    </row>
    <row r="223" spans="1:22" x14ac:dyDescent="0.25">
      <c r="A223">
        <v>5208</v>
      </c>
      <c r="B223" t="s">
        <v>90</v>
      </c>
      <c r="C223" t="s">
        <v>327</v>
      </c>
      <c r="D223" t="s">
        <v>337</v>
      </c>
      <c r="E223">
        <v>980</v>
      </c>
      <c r="F223">
        <v>1440</v>
      </c>
      <c r="G223" s="101">
        <v>625</v>
      </c>
      <c r="H223" s="101">
        <v>998</v>
      </c>
      <c r="I223" s="101">
        <v>869</v>
      </c>
      <c r="J223" s="101">
        <v>1635</v>
      </c>
      <c r="K223" s="101">
        <v>719</v>
      </c>
      <c r="L223" s="101">
        <v>1148</v>
      </c>
      <c r="M223" s="101">
        <v>999</v>
      </c>
      <c r="N223" s="101">
        <v>1880</v>
      </c>
      <c r="O223" s="102">
        <f>Aktiv!G239</f>
        <v>550</v>
      </c>
      <c r="P223" s="102">
        <f>Aktiv!H239</f>
        <v>719</v>
      </c>
      <c r="Q223" s="102">
        <f>Aktiv!I239</f>
        <v>782</v>
      </c>
      <c r="R223" s="102">
        <f>Aktiv!J239</f>
        <v>1210</v>
      </c>
      <c r="S223" s="103">
        <f t="shared" si="12"/>
        <v>-0.12</v>
      </c>
      <c r="T223" s="103">
        <f t="shared" si="13"/>
        <v>-0.27955911823647295</v>
      </c>
      <c r="U223" s="103">
        <f t="shared" si="14"/>
        <v>-0.10011507479861914</v>
      </c>
      <c r="V223" s="103">
        <f t="shared" si="15"/>
        <v>-0.25993883792048933</v>
      </c>
    </row>
    <row r="224" spans="1:22" x14ac:dyDescent="0.25">
      <c r="A224">
        <v>5209</v>
      </c>
      <c r="B224" t="s">
        <v>90</v>
      </c>
      <c r="C224" t="s">
        <v>327</v>
      </c>
      <c r="D224" t="s">
        <v>338</v>
      </c>
      <c r="E224">
        <v>980</v>
      </c>
      <c r="F224">
        <v>1800</v>
      </c>
      <c r="G224" s="101">
        <v>769</v>
      </c>
      <c r="H224" s="101">
        <v>1514</v>
      </c>
      <c r="I224" s="101">
        <v>1072</v>
      </c>
      <c r="J224" s="101">
        <v>2017</v>
      </c>
      <c r="K224" s="101">
        <v>884</v>
      </c>
      <c r="L224" s="101">
        <v>1741</v>
      </c>
      <c r="M224" s="101">
        <v>1233</v>
      </c>
      <c r="N224" s="101">
        <v>2320</v>
      </c>
      <c r="O224" s="102">
        <f>Aktiv!G240</f>
        <v>677</v>
      </c>
      <c r="P224" s="102">
        <f>Aktiv!H240</f>
        <v>1090</v>
      </c>
      <c r="Q224" s="102">
        <f>Aktiv!I240</f>
        <v>965</v>
      </c>
      <c r="R224" s="102">
        <f>Aktiv!J240</f>
        <v>1493</v>
      </c>
      <c r="S224" s="103">
        <f t="shared" si="12"/>
        <v>-0.11963589076723014</v>
      </c>
      <c r="T224" s="103">
        <f t="shared" si="13"/>
        <v>-0.2800528401585205</v>
      </c>
      <c r="U224" s="103">
        <f t="shared" si="14"/>
        <v>-9.9813432835820892E-2</v>
      </c>
      <c r="V224" s="103">
        <f t="shared" si="15"/>
        <v>-0.25979176995537923</v>
      </c>
    </row>
    <row r="225" spans="1:22" x14ac:dyDescent="0.25">
      <c r="A225">
        <v>5300</v>
      </c>
      <c r="B225" t="s">
        <v>90</v>
      </c>
      <c r="C225" t="s">
        <v>12</v>
      </c>
      <c r="D225" t="s">
        <v>339</v>
      </c>
      <c r="E225">
        <v>420</v>
      </c>
      <c r="F225">
        <v>180</v>
      </c>
      <c r="G225" s="101">
        <v>285</v>
      </c>
      <c r="H225" s="101">
        <v>345</v>
      </c>
      <c r="I225" s="101">
        <v>329</v>
      </c>
      <c r="J225" s="101">
        <v>619</v>
      </c>
      <c r="K225" s="101">
        <v>328</v>
      </c>
      <c r="L225" s="101">
        <v>397</v>
      </c>
      <c r="M225" s="101">
        <v>378</v>
      </c>
      <c r="N225" s="101">
        <v>712</v>
      </c>
      <c r="O225" s="102">
        <f>Aktiv!G242</f>
        <v>257</v>
      </c>
      <c r="P225" s="102">
        <f>Aktiv!H242</f>
        <v>248</v>
      </c>
      <c r="Q225" s="102">
        <f>Aktiv!I242</f>
        <v>253</v>
      </c>
      <c r="R225" s="102">
        <f>Aktiv!J242</f>
        <v>464</v>
      </c>
      <c r="S225" s="103">
        <f t="shared" si="12"/>
        <v>-9.8245614035087692E-2</v>
      </c>
      <c r="T225" s="103">
        <f t="shared" si="13"/>
        <v>-0.28115942028985508</v>
      </c>
      <c r="U225" s="103">
        <f t="shared" si="14"/>
        <v>-0.23100303951367784</v>
      </c>
      <c r="V225" s="103">
        <f t="shared" si="15"/>
        <v>-0.25040387722132473</v>
      </c>
    </row>
    <row r="226" spans="1:22" x14ac:dyDescent="0.25">
      <c r="A226">
        <v>5301</v>
      </c>
      <c r="B226" t="s">
        <v>90</v>
      </c>
      <c r="C226" t="s">
        <v>12</v>
      </c>
      <c r="D226" t="s">
        <v>340</v>
      </c>
      <c r="E226">
        <v>420</v>
      </c>
      <c r="F226">
        <v>360</v>
      </c>
      <c r="G226" s="101">
        <v>352</v>
      </c>
      <c r="H226" s="101">
        <v>439</v>
      </c>
      <c r="I226" s="101">
        <v>420</v>
      </c>
      <c r="J226" s="101">
        <v>429</v>
      </c>
      <c r="K226" s="101">
        <v>405</v>
      </c>
      <c r="L226" s="101">
        <v>505</v>
      </c>
      <c r="M226" s="101">
        <v>483</v>
      </c>
      <c r="N226" s="101">
        <v>493</v>
      </c>
      <c r="O226" s="102">
        <f>Aktiv!G243</f>
        <v>317</v>
      </c>
      <c r="P226" s="102">
        <f>Aktiv!H243</f>
        <v>316</v>
      </c>
      <c r="Q226" s="102">
        <f>Aktiv!I243</f>
        <v>323</v>
      </c>
      <c r="R226" s="102">
        <f>Aktiv!J243</f>
        <v>322</v>
      </c>
      <c r="S226" s="103">
        <f t="shared" si="12"/>
        <v>-9.9431818181818232E-2</v>
      </c>
      <c r="T226" s="103">
        <f t="shared" si="13"/>
        <v>-0.28018223234624151</v>
      </c>
      <c r="U226" s="103">
        <f t="shared" si="14"/>
        <v>-0.23095238095238091</v>
      </c>
      <c r="V226" s="103">
        <f t="shared" si="15"/>
        <v>-0.24941724941724941</v>
      </c>
    </row>
    <row r="227" spans="1:22" x14ac:dyDescent="0.25">
      <c r="A227">
        <v>5302</v>
      </c>
      <c r="B227" t="s">
        <v>90</v>
      </c>
      <c r="C227" t="s">
        <v>12</v>
      </c>
      <c r="D227" t="s">
        <v>341</v>
      </c>
      <c r="E227">
        <v>580</v>
      </c>
      <c r="F227">
        <v>180</v>
      </c>
      <c r="G227" s="101">
        <v>298</v>
      </c>
      <c r="H227" s="101">
        <v>368</v>
      </c>
      <c r="I227" s="101">
        <v>351</v>
      </c>
      <c r="J227" s="101">
        <v>358</v>
      </c>
      <c r="K227" s="101">
        <v>343</v>
      </c>
      <c r="L227" s="101">
        <v>423</v>
      </c>
      <c r="M227" s="101">
        <v>404</v>
      </c>
      <c r="N227" s="101">
        <v>412</v>
      </c>
      <c r="O227" s="102">
        <f>Aktiv!G244</f>
        <v>268</v>
      </c>
      <c r="P227" s="102">
        <f>Aktiv!H244</f>
        <v>265</v>
      </c>
      <c r="Q227" s="102">
        <f>Aktiv!I244</f>
        <v>270</v>
      </c>
      <c r="R227" s="102">
        <f>Aktiv!J244</f>
        <v>269</v>
      </c>
      <c r="S227" s="103">
        <f t="shared" si="12"/>
        <v>-0.10067114093959728</v>
      </c>
      <c r="T227" s="103">
        <f t="shared" si="13"/>
        <v>-0.27989130434782605</v>
      </c>
      <c r="U227" s="103">
        <f t="shared" si="14"/>
        <v>-0.23076923076923073</v>
      </c>
      <c r="V227" s="103">
        <f t="shared" si="15"/>
        <v>-0.24860335195530725</v>
      </c>
    </row>
    <row r="228" spans="1:22" x14ac:dyDescent="0.25">
      <c r="A228">
        <v>5303</v>
      </c>
      <c r="B228" t="s">
        <v>90</v>
      </c>
      <c r="C228" t="s">
        <v>12</v>
      </c>
      <c r="D228" t="s">
        <v>342</v>
      </c>
      <c r="E228">
        <v>580</v>
      </c>
      <c r="F228">
        <v>360</v>
      </c>
      <c r="G228" s="101">
        <v>353</v>
      </c>
      <c r="H228" s="101">
        <v>470</v>
      </c>
      <c r="I228" s="101">
        <v>445</v>
      </c>
      <c r="J228" s="101">
        <v>460</v>
      </c>
      <c r="K228" s="101">
        <v>406</v>
      </c>
      <c r="L228" s="101">
        <v>541</v>
      </c>
      <c r="M228" s="101">
        <v>512</v>
      </c>
      <c r="N228" s="101">
        <v>529</v>
      </c>
      <c r="O228" s="102">
        <f>Aktiv!G245</f>
        <v>318</v>
      </c>
      <c r="P228" s="102">
        <f>Aktiv!H245</f>
        <v>338</v>
      </c>
      <c r="Q228" s="102">
        <f>Aktiv!I245</f>
        <v>343</v>
      </c>
      <c r="R228" s="102">
        <f>Aktiv!J245</f>
        <v>345</v>
      </c>
      <c r="S228" s="103">
        <f t="shared" si="12"/>
        <v>-9.9150141643059464E-2</v>
      </c>
      <c r="T228" s="103">
        <f t="shared" si="13"/>
        <v>-0.2808510638297872</v>
      </c>
      <c r="U228" s="103">
        <f t="shared" si="14"/>
        <v>-0.22921348314606738</v>
      </c>
      <c r="V228" s="103">
        <f t="shared" si="15"/>
        <v>-0.25</v>
      </c>
    </row>
    <row r="229" spans="1:22" x14ac:dyDescent="0.25">
      <c r="A229">
        <v>5304</v>
      </c>
      <c r="B229" t="s">
        <v>90</v>
      </c>
      <c r="C229" t="s">
        <v>12</v>
      </c>
      <c r="D229" t="s">
        <v>343</v>
      </c>
      <c r="E229">
        <v>780</v>
      </c>
      <c r="F229">
        <v>180</v>
      </c>
      <c r="G229" s="101">
        <v>309</v>
      </c>
      <c r="H229" s="101">
        <v>391</v>
      </c>
      <c r="I229" s="101">
        <v>372</v>
      </c>
      <c r="J229" s="101">
        <v>381</v>
      </c>
      <c r="K229" s="101">
        <v>355</v>
      </c>
      <c r="L229" s="101">
        <v>450</v>
      </c>
      <c r="M229" s="101">
        <v>428</v>
      </c>
      <c r="N229" s="101">
        <v>438</v>
      </c>
      <c r="O229" s="102">
        <f>Aktiv!G246</f>
        <v>278</v>
      </c>
      <c r="P229" s="102">
        <f>Aktiv!H246</f>
        <v>282</v>
      </c>
      <c r="Q229" s="102">
        <f>Aktiv!I246</f>
        <v>286</v>
      </c>
      <c r="R229" s="102">
        <f>Aktiv!J246</f>
        <v>286</v>
      </c>
      <c r="S229" s="103">
        <f t="shared" si="12"/>
        <v>-0.10032362459546929</v>
      </c>
      <c r="T229" s="103">
        <f t="shared" si="13"/>
        <v>-0.27877237851662406</v>
      </c>
      <c r="U229" s="103">
        <f t="shared" si="14"/>
        <v>-0.23118279569892475</v>
      </c>
      <c r="V229" s="103">
        <f t="shared" si="15"/>
        <v>-0.24934383202099741</v>
      </c>
    </row>
    <row r="230" spans="1:22" x14ac:dyDescent="0.25">
      <c r="A230">
        <v>5305</v>
      </c>
      <c r="B230" t="s">
        <v>90</v>
      </c>
      <c r="C230" t="s">
        <v>12</v>
      </c>
      <c r="D230" t="s">
        <v>344</v>
      </c>
      <c r="E230">
        <v>780</v>
      </c>
      <c r="F230">
        <v>360</v>
      </c>
      <c r="G230" s="101">
        <v>356</v>
      </c>
      <c r="H230" s="101">
        <v>501</v>
      </c>
      <c r="I230" s="101">
        <v>471</v>
      </c>
      <c r="J230" s="101">
        <v>491</v>
      </c>
      <c r="K230" s="101">
        <v>409</v>
      </c>
      <c r="L230" s="101">
        <v>576</v>
      </c>
      <c r="M230" s="101">
        <v>542</v>
      </c>
      <c r="N230" s="101">
        <v>565</v>
      </c>
      <c r="O230" s="102">
        <f>Aktiv!G247</f>
        <v>320</v>
      </c>
      <c r="P230" s="102">
        <f>Aktiv!H247</f>
        <v>361</v>
      </c>
      <c r="Q230" s="102">
        <f>Aktiv!I247</f>
        <v>363</v>
      </c>
      <c r="R230" s="102">
        <f>Aktiv!J247</f>
        <v>368</v>
      </c>
      <c r="S230" s="103">
        <f t="shared" si="12"/>
        <v>-0.101123595505618</v>
      </c>
      <c r="T230" s="103">
        <f t="shared" si="13"/>
        <v>-0.279441117764471</v>
      </c>
      <c r="U230" s="103">
        <f t="shared" si="14"/>
        <v>-0.22929936305732479</v>
      </c>
      <c r="V230" s="103">
        <f t="shared" si="15"/>
        <v>-0.25050916496945008</v>
      </c>
    </row>
    <row r="231" spans="1:22" x14ac:dyDescent="0.25">
      <c r="A231">
        <v>5306</v>
      </c>
      <c r="B231" t="s">
        <v>90</v>
      </c>
      <c r="C231" t="s">
        <v>12</v>
      </c>
      <c r="D231" t="s">
        <v>345</v>
      </c>
      <c r="E231">
        <v>980</v>
      </c>
      <c r="F231">
        <v>180</v>
      </c>
      <c r="G231" s="101">
        <v>348</v>
      </c>
      <c r="H231" s="101">
        <v>474</v>
      </c>
      <c r="I231" s="101">
        <v>417</v>
      </c>
      <c r="J231" s="101">
        <v>464</v>
      </c>
      <c r="K231" s="101">
        <v>400</v>
      </c>
      <c r="L231" s="101">
        <v>545</v>
      </c>
      <c r="M231" s="101">
        <v>480</v>
      </c>
      <c r="N231" s="101">
        <v>534</v>
      </c>
      <c r="O231" s="102">
        <f>Aktiv!G248</f>
        <v>313</v>
      </c>
      <c r="P231" s="102">
        <f>Aktiv!H248</f>
        <v>341</v>
      </c>
      <c r="Q231" s="102">
        <f>Aktiv!I248</f>
        <v>321</v>
      </c>
      <c r="R231" s="102">
        <f>Aktiv!J248</f>
        <v>348</v>
      </c>
      <c r="S231" s="103">
        <f t="shared" si="12"/>
        <v>-0.10057471264367812</v>
      </c>
      <c r="T231" s="103">
        <f t="shared" si="13"/>
        <v>-0.28059071729957807</v>
      </c>
      <c r="U231" s="103">
        <f t="shared" si="14"/>
        <v>-0.23021582733812951</v>
      </c>
      <c r="V231" s="103">
        <f t="shared" si="15"/>
        <v>-0.25</v>
      </c>
    </row>
    <row r="232" spans="1:22" x14ac:dyDescent="0.25">
      <c r="A232">
        <v>5307</v>
      </c>
      <c r="B232" t="s">
        <v>90</v>
      </c>
      <c r="C232" t="s">
        <v>12</v>
      </c>
      <c r="D232" t="s">
        <v>346</v>
      </c>
      <c r="E232">
        <v>980</v>
      </c>
      <c r="F232">
        <v>360</v>
      </c>
      <c r="G232" s="101">
        <v>429</v>
      </c>
      <c r="H232" s="101">
        <v>610</v>
      </c>
      <c r="I232" s="101">
        <v>553</v>
      </c>
      <c r="J232" s="101">
        <v>600</v>
      </c>
      <c r="K232" s="101">
        <v>493</v>
      </c>
      <c r="L232" s="101">
        <v>702</v>
      </c>
      <c r="M232" s="101">
        <v>636</v>
      </c>
      <c r="N232" s="101">
        <v>690</v>
      </c>
      <c r="O232" s="102">
        <f>Aktiv!G249</f>
        <v>386</v>
      </c>
      <c r="P232" s="102">
        <f>Aktiv!H249</f>
        <v>439</v>
      </c>
      <c r="Q232" s="102">
        <f>Aktiv!I249</f>
        <v>426</v>
      </c>
      <c r="R232" s="102">
        <f>Aktiv!J249</f>
        <v>450</v>
      </c>
      <c r="S232" s="103">
        <f t="shared" si="12"/>
        <v>-0.10023310023310028</v>
      </c>
      <c r="T232" s="103">
        <f t="shared" si="13"/>
        <v>-0.28032786885245897</v>
      </c>
      <c r="U232" s="103">
        <f t="shared" si="14"/>
        <v>-0.22965641952983729</v>
      </c>
      <c r="V232" s="103">
        <f t="shared" si="15"/>
        <v>-0.25</v>
      </c>
    </row>
    <row r="233" spans="1:22" x14ac:dyDescent="0.25">
      <c r="A233" t="s">
        <v>347</v>
      </c>
      <c r="B233" t="s">
        <v>90</v>
      </c>
      <c r="C233" t="s">
        <v>348</v>
      </c>
      <c r="D233" t="s">
        <v>349</v>
      </c>
      <c r="E233">
        <v>780</v>
      </c>
      <c r="F233">
        <v>180</v>
      </c>
      <c r="G233" s="101">
        <v>309</v>
      </c>
      <c r="H233" s="101">
        <v>608</v>
      </c>
      <c r="I233" s="101">
        <v>372</v>
      </c>
      <c r="J233" s="101"/>
      <c r="K233" s="101">
        <v>355</v>
      </c>
      <c r="L233" s="101">
        <v>699</v>
      </c>
      <c r="M233" s="101">
        <v>428</v>
      </c>
      <c r="N233" s="101"/>
      <c r="O233" s="102">
        <f>Aktiv!G250</f>
        <v>309</v>
      </c>
      <c r="P233" s="102">
        <f>Aktiv!H250</f>
        <v>608</v>
      </c>
      <c r="Q233" s="102">
        <f>Aktiv!I250</f>
        <v>372</v>
      </c>
      <c r="R233" s="102" t="str">
        <f>Aktiv!J250</f>
        <v/>
      </c>
      <c r="S233" s="103">
        <f t="shared" si="12"/>
        <v>0</v>
      </c>
      <c r="T233" s="103">
        <f t="shared" si="13"/>
        <v>0</v>
      </c>
      <c r="U233" s="103">
        <f t="shared" si="14"/>
        <v>0</v>
      </c>
      <c r="V233" s="103" t="str">
        <f t="shared" si="15"/>
        <v/>
      </c>
    </row>
    <row r="234" spans="1:22" x14ac:dyDescent="0.25">
      <c r="A234" t="s">
        <v>350</v>
      </c>
      <c r="B234" t="s">
        <v>90</v>
      </c>
      <c r="C234" t="s">
        <v>12</v>
      </c>
      <c r="D234" t="s">
        <v>351</v>
      </c>
      <c r="E234">
        <v>420</v>
      </c>
      <c r="F234">
        <v>134</v>
      </c>
      <c r="G234" s="101">
        <v>285</v>
      </c>
      <c r="H234" s="101">
        <v>561</v>
      </c>
      <c r="I234" s="101"/>
      <c r="J234" s="101"/>
      <c r="K234" s="101">
        <v>328</v>
      </c>
      <c r="L234" s="101">
        <v>645</v>
      </c>
      <c r="M234" s="101"/>
      <c r="N234" s="101"/>
      <c r="O234" s="102">
        <f>Aktiv!G251</f>
        <v>257</v>
      </c>
      <c r="P234" s="102">
        <f>Aktiv!H251</f>
        <v>404</v>
      </c>
      <c r="Q234" s="102" t="str">
        <f>Aktiv!I251</f>
        <v/>
      </c>
      <c r="R234" s="102" t="str">
        <f>Aktiv!J251</f>
        <v/>
      </c>
      <c r="S234" s="103">
        <f t="shared" si="12"/>
        <v>-9.8245614035087692E-2</v>
      </c>
      <c r="T234" s="103">
        <f t="shared" si="13"/>
        <v>-0.27985739750445637</v>
      </c>
      <c r="U234" s="103" t="str">
        <f t="shared" si="14"/>
        <v/>
      </c>
      <c r="V234" s="103" t="str">
        <f t="shared" si="15"/>
        <v/>
      </c>
    </row>
    <row r="235" spans="1:22" x14ac:dyDescent="0.25">
      <c r="A235" t="s">
        <v>353</v>
      </c>
      <c r="B235" t="s">
        <v>90</v>
      </c>
      <c r="C235" t="s">
        <v>12</v>
      </c>
      <c r="D235" t="s">
        <v>354</v>
      </c>
      <c r="E235">
        <v>420</v>
      </c>
      <c r="F235">
        <v>220</v>
      </c>
      <c r="G235" s="101">
        <v>285</v>
      </c>
      <c r="H235" s="101">
        <v>561</v>
      </c>
      <c r="I235" s="101"/>
      <c r="J235" s="101"/>
      <c r="K235" s="101">
        <v>328</v>
      </c>
      <c r="L235" s="101">
        <v>645</v>
      </c>
      <c r="M235" s="101"/>
      <c r="N235" s="101"/>
      <c r="O235" s="102">
        <f>Aktiv!G252</f>
        <v>257</v>
      </c>
      <c r="P235" s="102">
        <f>Aktiv!H252</f>
        <v>404</v>
      </c>
      <c r="Q235" s="102" t="str">
        <f>Aktiv!I252</f>
        <v/>
      </c>
      <c r="R235" s="102" t="str">
        <f>Aktiv!J252</f>
        <v/>
      </c>
      <c r="S235" s="103">
        <f t="shared" si="12"/>
        <v>-9.8245614035087692E-2</v>
      </c>
      <c r="T235" s="103">
        <f t="shared" si="13"/>
        <v>-0.27985739750445637</v>
      </c>
      <c r="U235" s="103" t="str">
        <f t="shared" si="14"/>
        <v/>
      </c>
      <c r="V235" s="103" t="str">
        <f t="shared" si="15"/>
        <v/>
      </c>
    </row>
    <row r="236" spans="1:22" x14ac:dyDescent="0.25">
      <c r="A236" t="s">
        <v>355</v>
      </c>
      <c r="B236" t="s">
        <v>90</v>
      </c>
      <c r="C236" t="s">
        <v>12</v>
      </c>
      <c r="D236" t="s">
        <v>356</v>
      </c>
      <c r="E236">
        <v>412</v>
      </c>
      <c r="F236">
        <v>121</v>
      </c>
      <c r="G236" s="101">
        <v>285</v>
      </c>
      <c r="H236" s="101">
        <v>561</v>
      </c>
      <c r="I236" s="101"/>
      <c r="J236" s="101"/>
      <c r="K236" s="101">
        <v>328</v>
      </c>
      <c r="L236" s="101">
        <v>645</v>
      </c>
      <c r="M236" s="101"/>
      <c r="N236" s="101"/>
      <c r="O236" s="102">
        <f>Aktiv!G253</f>
        <v>257</v>
      </c>
      <c r="P236" s="102">
        <f>Aktiv!H253</f>
        <v>404</v>
      </c>
      <c r="Q236" s="102" t="str">
        <f>Aktiv!I253</f>
        <v/>
      </c>
      <c r="R236" s="102" t="str">
        <f>Aktiv!J253</f>
        <v/>
      </c>
      <c r="S236" s="103">
        <f t="shared" si="12"/>
        <v>-9.8245614035087692E-2</v>
      </c>
      <c r="T236" s="103">
        <f t="shared" si="13"/>
        <v>-0.27985739750445637</v>
      </c>
      <c r="U236" s="103" t="str">
        <f t="shared" si="14"/>
        <v/>
      </c>
      <c r="V236" s="103" t="str">
        <f t="shared" si="15"/>
        <v/>
      </c>
    </row>
    <row r="237" spans="1:22" x14ac:dyDescent="0.25">
      <c r="A237" t="s">
        <v>357</v>
      </c>
      <c r="B237" t="s">
        <v>90</v>
      </c>
      <c r="C237" t="s">
        <v>12</v>
      </c>
      <c r="D237" t="s">
        <v>358</v>
      </c>
      <c r="E237">
        <v>412</v>
      </c>
      <c r="F237">
        <v>400</v>
      </c>
      <c r="G237" s="101">
        <v>352</v>
      </c>
      <c r="H237" s="101">
        <v>693</v>
      </c>
      <c r="I237" s="101"/>
      <c r="J237" s="101"/>
      <c r="K237" s="101">
        <v>405</v>
      </c>
      <c r="L237" s="101">
        <v>797</v>
      </c>
      <c r="M237" s="101"/>
      <c r="N237" s="101"/>
      <c r="O237" s="102">
        <f>Aktiv!G254</f>
        <v>317</v>
      </c>
      <c r="P237" s="102">
        <f>Aktiv!H254</f>
        <v>499</v>
      </c>
      <c r="Q237" s="102" t="str">
        <f>Aktiv!I254</f>
        <v/>
      </c>
      <c r="R237" s="102" t="str">
        <f>Aktiv!J254</f>
        <v/>
      </c>
      <c r="S237" s="103">
        <f t="shared" si="12"/>
        <v>-9.9431818181818232E-2</v>
      </c>
      <c r="T237" s="103">
        <f t="shared" si="13"/>
        <v>-0.27994227994227994</v>
      </c>
      <c r="U237" s="103" t="str">
        <f t="shared" si="14"/>
        <v/>
      </c>
      <c r="V237" s="103" t="str">
        <f t="shared" si="15"/>
        <v/>
      </c>
    </row>
    <row r="238" spans="1:22" x14ac:dyDescent="0.25">
      <c r="A238" t="s">
        <v>359</v>
      </c>
      <c r="B238" t="s">
        <v>90</v>
      </c>
      <c r="C238" t="s">
        <v>12</v>
      </c>
      <c r="D238" t="s">
        <v>360</v>
      </c>
      <c r="E238">
        <v>420</v>
      </c>
      <c r="F238">
        <v>145</v>
      </c>
      <c r="G238" s="101">
        <v>285</v>
      </c>
      <c r="H238" s="101">
        <v>561</v>
      </c>
      <c r="I238" s="101"/>
      <c r="J238" s="101"/>
      <c r="K238" s="101">
        <v>328</v>
      </c>
      <c r="L238" s="101">
        <v>645</v>
      </c>
      <c r="M238" s="101"/>
      <c r="N238" s="101"/>
      <c r="O238" s="102">
        <f>Aktiv!G255</f>
        <v>257</v>
      </c>
      <c r="P238" s="102">
        <f>Aktiv!H255</f>
        <v>404</v>
      </c>
      <c r="Q238" s="102" t="str">
        <f>Aktiv!I255</f>
        <v/>
      </c>
      <c r="R238" s="102" t="str">
        <f>Aktiv!J255</f>
        <v/>
      </c>
      <c r="S238" s="103">
        <f t="shared" si="12"/>
        <v>-9.8245614035087692E-2</v>
      </c>
      <c r="T238" s="103">
        <f t="shared" si="13"/>
        <v>-0.27985739750445637</v>
      </c>
      <c r="U238" s="103" t="str">
        <f t="shared" si="14"/>
        <v/>
      </c>
      <c r="V238" s="103" t="str">
        <f t="shared" si="15"/>
        <v/>
      </c>
    </row>
    <row r="239" spans="1:22" x14ac:dyDescent="0.25">
      <c r="A239" t="s">
        <v>361</v>
      </c>
      <c r="B239" t="s">
        <v>90</v>
      </c>
      <c r="C239" t="s">
        <v>12</v>
      </c>
      <c r="D239" t="s">
        <v>362</v>
      </c>
      <c r="E239">
        <v>420</v>
      </c>
      <c r="F239">
        <v>293</v>
      </c>
      <c r="G239" s="101">
        <v>352</v>
      </c>
      <c r="H239" s="101">
        <v>693</v>
      </c>
      <c r="I239" s="101"/>
      <c r="J239" s="101"/>
      <c r="K239" s="101">
        <v>405</v>
      </c>
      <c r="L239" s="101">
        <v>797</v>
      </c>
      <c r="M239" s="101"/>
      <c r="N239" s="101"/>
      <c r="O239" s="102">
        <f>Aktiv!G256</f>
        <v>317</v>
      </c>
      <c r="P239" s="102">
        <f>Aktiv!H256</f>
        <v>499</v>
      </c>
      <c r="Q239" s="102" t="str">
        <f>Aktiv!I256</f>
        <v/>
      </c>
      <c r="R239" s="102" t="str">
        <f>Aktiv!J256</f>
        <v/>
      </c>
      <c r="S239" s="103">
        <f t="shared" si="12"/>
        <v>-9.9431818181818232E-2</v>
      </c>
      <c r="T239" s="103">
        <f t="shared" si="13"/>
        <v>-0.27994227994227994</v>
      </c>
      <c r="U239" s="103" t="str">
        <f t="shared" si="14"/>
        <v/>
      </c>
      <c r="V239" s="103" t="str">
        <f t="shared" si="15"/>
        <v/>
      </c>
    </row>
    <row r="240" spans="1:22" x14ac:dyDescent="0.25">
      <c r="A240" t="s">
        <v>363</v>
      </c>
      <c r="B240" t="s">
        <v>90</v>
      </c>
      <c r="C240" t="s">
        <v>12</v>
      </c>
      <c r="D240" t="s">
        <v>364</v>
      </c>
      <c r="E240">
        <v>420</v>
      </c>
      <c r="F240">
        <v>67</v>
      </c>
      <c r="G240" s="101">
        <v>285</v>
      </c>
      <c r="H240" s="101">
        <v>561</v>
      </c>
      <c r="I240" s="101"/>
      <c r="J240" s="101"/>
      <c r="K240" s="101">
        <v>328</v>
      </c>
      <c r="L240" s="101">
        <v>645</v>
      </c>
      <c r="M240" s="101"/>
      <c r="N240" s="101"/>
      <c r="O240" s="102">
        <f>Aktiv!G257</f>
        <v>257</v>
      </c>
      <c r="P240" s="102">
        <f>Aktiv!H257</f>
        <v>404</v>
      </c>
      <c r="Q240" s="102" t="str">
        <f>Aktiv!I257</f>
        <v/>
      </c>
      <c r="R240" s="102" t="str">
        <f>Aktiv!J257</f>
        <v/>
      </c>
      <c r="S240" s="103">
        <f t="shared" si="12"/>
        <v>-9.8245614035087692E-2</v>
      </c>
      <c r="T240" s="103">
        <f t="shared" si="13"/>
        <v>-0.27985739750445637</v>
      </c>
      <c r="U240" s="103" t="str">
        <f t="shared" si="14"/>
        <v/>
      </c>
      <c r="V240" s="103" t="str">
        <f t="shared" si="15"/>
        <v/>
      </c>
    </row>
    <row r="241" spans="1:22" x14ac:dyDescent="0.25">
      <c r="A241" t="s">
        <v>365</v>
      </c>
      <c r="B241" t="s">
        <v>90</v>
      </c>
      <c r="C241" t="s">
        <v>12</v>
      </c>
      <c r="D241" t="s">
        <v>366</v>
      </c>
      <c r="E241">
        <v>420</v>
      </c>
      <c r="F241">
        <v>142</v>
      </c>
      <c r="G241" s="101">
        <v>285</v>
      </c>
      <c r="H241" s="101">
        <v>561</v>
      </c>
      <c r="I241" s="101"/>
      <c r="J241" s="101"/>
      <c r="K241" s="101">
        <v>328</v>
      </c>
      <c r="L241" s="101">
        <v>645</v>
      </c>
      <c r="M241" s="101"/>
      <c r="N241" s="101"/>
      <c r="O241" s="102">
        <f>Aktiv!G258</f>
        <v>257</v>
      </c>
      <c r="P241" s="102">
        <f>Aktiv!H258</f>
        <v>404</v>
      </c>
      <c r="Q241" s="102" t="str">
        <f>Aktiv!I258</f>
        <v/>
      </c>
      <c r="R241" s="102" t="str">
        <f>Aktiv!J258</f>
        <v/>
      </c>
      <c r="S241" s="103">
        <f t="shared" si="12"/>
        <v>-9.8245614035087692E-2</v>
      </c>
      <c r="T241" s="103">
        <f t="shared" si="13"/>
        <v>-0.27985739750445637</v>
      </c>
      <c r="U241" s="103" t="str">
        <f t="shared" si="14"/>
        <v/>
      </c>
      <c r="V241" s="103" t="str">
        <f t="shared" si="15"/>
        <v/>
      </c>
    </row>
    <row r="242" spans="1:22" x14ac:dyDescent="0.25">
      <c r="A242" t="s">
        <v>367</v>
      </c>
      <c r="B242" t="s">
        <v>90</v>
      </c>
      <c r="C242" t="s">
        <v>12</v>
      </c>
      <c r="D242" t="s">
        <v>368</v>
      </c>
      <c r="E242">
        <v>420</v>
      </c>
      <c r="F242">
        <v>280</v>
      </c>
      <c r="G242" s="101">
        <v>285</v>
      </c>
      <c r="H242" s="101">
        <v>561</v>
      </c>
      <c r="I242" s="101"/>
      <c r="J242" s="101"/>
      <c r="K242" s="101">
        <v>328</v>
      </c>
      <c r="L242" s="101">
        <v>645</v>
      </c>
      <c r="M242" s="101"/>
      <c r="N242" s="101"/>
      <c r="O242" s="102">
        <f>Aktiv!G259</f>
        <v>257</v>
      </c>
      <c r="P242" s="102">
        <f>Aktiv!H259</f>
        <v>404</v>
      </c>
      <c r="Q242" s="102" t="str">
        <f>Aktiv!I259</f>
        <v/>
      </c>
      <c r="R242" s="102" t="str">
        <f>Aktiv!J259</f>
        <v/>
      </c>
      <c r="S242" s="103">
        <f t="shared" si="12"/>
        <v>-9.8245614035087692E-2</v>
      </c>
      <c r="T242" s="103">
        <f t="shared" si="13"/>
        <v>-0.27985739750445637</v>
      </c>
      <c r="U242" s="103" t="str">
        <f t="shared" si="14"/>
        <v/>
      </c>
      <c r="V242" s="103" t="str">
        <f t="shared" si="15"/>
        <v/>
      </c>
    </row>
    <row r="243" spans="1:22" x14ac:dyDescent="0.25">
      <c r="A243" t="s">
        <v>369</v>
      </c>
      <c r="B243" t="s">
        <v>90</v>
      </c>
      <c r="C243" t="s">
        <v>12</v>
      </c>
      <c r="D243" t="s">
        <v>370</v>
      </c>
      <c r="E243">
        <v>420</v>
      </c>
      <c r="F243">
        <v>141</v>
      </c>
      <c r="G243" s="101">
        <v>285</v>
      </c>
      <c r="H243" s="101">
        <v>561</v>
      </c>
      <c r="I243" s="101"/>
      <c r="J243" s="101"/>
      <c r="K243" s="101">
        <v>328</v>
      </c>
      <c r="L243" s="101">
        <v>645</v>
      </c>
      <c r="M243" s="101"/>
      <c r="N243" s="101"/>
      <c r="O243" s="102">
        <f>Aktiv!G260</f>
        <v>257</v>
      </c>
      <c r="P243" s="102">
        <f>Aktiv!H260</f>
        <v>404</v>
      </c>
      <c r="Q243" s="102" t="str">
        <f>Aktiv!I260</f>
        <v/>
      </c>
      <c r="R243" s="102" t="str">
        <f>Aktiv!J260</f>
        <v/>
      </c>
      <c r="S243" s="103">
        <f t="shared" si="12"/>
        <v>-9.8245614035087692E-2</v>
      </c>
      <c r="T243" s="103">
        <f t="shared" si="13"/>
        <v>-0.27985739750445637</v>
      </c>
      <c r="U243" s="103" t="str">
        <f t="shared" si="14"/>
        <v/>
      </c>
      <c r="V243" s="103" t="str">
        <f t="shared" si="15"/>
        <v/>
      </c>
    </row>
    <row r="244" spans="1:22" x14ac:dyDescent="0.25">
      <c r="A244">
        <v>5400</v>
      </c>
      <c r="B244" t="s">
        <v>90</v>
      </c>
      <c r="C244" t="s">
        <v>371</v>
      </c>
      <c r="D244" t="s">
        <v>372</v>
      </c>
      <c r="E244">
        <v>420</v>
      </c>
      <c r="F244">
        <v>180</v>
      </c>
      <c r="G244" s="101">
        <v>285</v>
      </c>
      <c r="H244" s="101">
        <v>345</v>
      </c>
      <c r="I244" s="101">
        <v>329</v>
      </c>
      <c r="J244" s="101">
        <v>335</v>
      </c>
      <c r="K244" s="101">
        <v>328</v>
      </c>
      <c r="L244" s="101">
        <v>397</v>
      </c>
      <c r="M244" s="101">
        <v>378</v>
      </c>
      <c r="N244" s="101">
        <v>385</v>
      </c>
      <c r="O244" s="102">
        <f>Aktiv!G262</f>
        <v>257</v>
      </c>
      <c r="P244" s="102">
        <f>Aktiv!H262</f>
        <v>248</v>
      </c>
      <c r="Q244" s="102">
        <f>Aktiv!I262</f>
        <v>253</v>
      </c>
      <c r="R244" s="102">
        <f>Aktiv!J262</f>
        <v>251</v>
      </c>
      <c r="S244" s="103">
        <f t="shared" si="12"/>
        <v>-9.8245614035087692E-2</v>
      </c>
      <c r="T244" s="103">
        <f t="shared" si="13"/>
        <v>-0.28115942028985508</v>
      </c>
      <c r="U244" s="103">
        <f t="shared" si="14"/>
        <v>-0.23100303951367784</v>
      </c>
      <c r="V244" s="103">
        <f t="shared" si="15"/>
        <v>-0.25074626865671645</v>
      </c>
    </row>
    <row r="245" spans="1:22" x14ac:dyDescent="0.25">
      <c r="A245">
        <v>5401</v>
      </c>
      <c r="B245" t="s">
        <v>90</v>
      </c>
      <c r="C245" t="s">
        <v>371</v>
      </c>
      <c r="D245" t="s">
        <v>373</v>
      </c>
      <c r="E245">
        <v>420</v>
      </c>
      <c r="F245">
        <v>360</v>
      </c>
      <c r="G245" s="101">
        <v>352</v>
      </c>
      <c r="H245" s="101">
        <v>439</v>
      </c>
      <c r="I245" s="101">
        <v>420</v>
      </c>
      <c r="J245" s="101">
        <v>429</v>
      </c>
      <c r="K245" s="101">
        <v>405</v>
      </c>
      <c r="L245" s="101">
        <v>505</v>
      </c>
      <c r="M245" s="101">
        <v>483</v>
      </c>
      <c r="N245" s="101">
        <v>493</v>
      </c>
      <c r="O245" s="102">
        <f>Aktiv!G263</f>
        <v>317</v>
      </c>
      <c r="P245" s="102">
        <f>Aktiv!H263</f>
        <v>316</v>
      </c>
      <c r="Q245" s="102">
        <f>Aktiv!I263</f>
        <v>323</v>
      </c>
      <c r="R245" s="102">
        <f>Aktiv!J263</f>
        <v>322</v>
      </c>
      <c r="S245" s="103">
        <f t="shared" si="12"/>
        <v>-9.9431818181818232E-2</v>
      </c>
      <c r="T245" s="103">
        <f t="shared" si="13"/>
        <v>-0.28018223234624151</v>
      </c>
      <c r="U245" s="103">
        <f t="shared" si="14"/>
        <v>-0.23095238095238091</v>
      </c>
      <c r="V245" s="103">
        <f t="shared" si="15"/>
        <v>-0.24941724941724941</v>
      </c>
    </row>
    <row r="246" spans="1:22" x14ac:dyDescent="0.25">
      <c r="A246">
        <v>5402</v>
      </c>
      <c r="B246" t="s">
        <v>90</v>
      </c>
      <c r="C246" t="s">
        <v>371</v>
      </c>
      <c r="D246" t="s">
        <v>374</v>
      </c>
      <c r="E246">
        <v>580</v>
      </c>
      <c r="F246">
        <v>180</v>
      </c>
      <c r="G246" s="101">
        <v>298</v>
      </c>
      <c r="H246" s="101">
        <v>368</v>
      </c>
      <c r="I246" s="101">
        <v>351</v>
      </c>
      <c r="J246" s="101">
        <v>358</v>
      </c>
      <c r="K246" s="101">
        <v>343</v>
      </c>
      <c r="L246" s="101">
        <v>423</v>
      </c>
      <c r="M246" s="101">
        <v>404</v>
      </c>
      <c r="N246" s="101">
        <v>412</v>
      </c>
      <c r="O246" s="102">
        <f>Aktiv!G264</f>
        <v>268</v>
      </c>
      <c r="P246" s="102">
        <f>Aktiv!H264</f>
        <v>265</v>
      </c>
      <c r="Q246" s="102">
        <f>Aktiv!I264</f>
        <v>270</v>
      </c>
      <c r="R246" s="102">
        <f>Aktiv!J264</f>
        <v>269</v>
      </c>
      <c r="S246" s="103">
        <f t="shared" si="12"/>
        <v>-0.10067114093959728</v>
      </c>
      <c r="T246" s="103">
        <f t="shared" si="13"/>
        <v>-0.27989130434782605</v>
      </c>
      <c r="U246" s="103">
        <f t="shared" si="14"/>
        <v>-0.23076923076923073</v>
      </c>
      <c r="V246" s="103">
        <f t="shared" si="15"/>
        <v>-0.24860335195530725</v>
      </c>
    </row>
    <row r="247" spans="1:22" x14ac:dyDescent="0.25">
      <c r="A247">
        <v>5403</v>
      </c>
      <c r="B247" t="s">
        <v>90</v>
      </c>
      <c r="C247" t="s">
        <v>371</v>
      </c>
      <c r="D247" t="s">
        <v>375</v>
      </c>
      <c r="E247">
        <v>580</v>
      </c>
      <c r="F247">
        <v>360</v>
      </c>
      <c r="G247" s="101">
        <v>353</v>
      </c>
      <c r="H247" s="101">
        <v>470</v>
      </c>
      <c r="I247" s="101">
        <v>445</v>
      </c>
      <c r="J247" s="101">
        <v>460</v>
      </c>
      <c r="K247" s="101">
        <v>406</v>
      </c>
      <c r="L247" s="101">
        <v>541</v>
      </c>
      <c r="M247" s="101">
        <v>512</v>
      </c>
      <c r="N247" s="101">
        <v>529</v>
      </c>
      <c r="O247" s="102">
        <f>Aktiv!G265</f>
        <v>318</v>
      </c>
      <c r="P247" s="102">
        <f>Aktiv!H265</f>
        <v>338</v>
      </c>
      <c r="Q247" s="102">
        <f>Aktiv!I265</f>
        <v>343</v>
      </c>
      <c r="R247" s="102">
        <f>Aktiv!J265</f>
        <v>345</v>
      </c>
      <c r="S247" s="103">
        <f t="shared" si="12"/>
        <v>-9.9150141643059464E-2</v>
      </c>
      <c r="T247" s="103">
        <f t="shared" si="13"/>
        <v>-0.2808510638297872</v>
      </c>
      <c r="U247" s="103">
        <f t="shared" si="14"/>
        <v>-0.22921348314606738</v>
      </c>
      <c r="V247" s="103">
        <f t="shared" si="15"/>
        <v>-0.25</v>
      </c>
    </row>
    <row r="248" spans="1:22" x14ac:dyDescent="0.25">
      <c r="A248">
        <v>5404</v>
      </c>
      <c r="B248" t="s">
        <v>90</v>
      </c>
      <c r="C248" t="s">
        <v>371</v>
      </c>
      <c r="D248" t="s">
        <v>376</v>
      </c>
      <c r="E248">
        <v>780</v>
      </c>
      <c r="F248">
        <v>180</v>
      </c>
      <c r="G248" s="101">
        <v>309</v>
      </c>
      <c r="H248" s="101">
        <v>391</v>
      </c>
      <c r="I248" s="101">
        <v>372</v>
      </c>
      <c r="J248" s="101">
        <v>381</v>
      </c>
      <c r="K248" s="101">
        <v>355</v>
      </c>
      <c r="L248" s="101">
        <v>450</v>
      </c>
      <c r="M248" s="101">
        <v>428</v>
      </c>
      <c r="N248" s="101">
        <v>438</v>
      </c>
      <c r="O248" s="102">
        <f>Aktiv!G266</f>
        <v>278</v>
      </c>
      <c r="P248" s="102">
        <f>Aktiv!H266</f>
        <v>282</v>
      </c>
      <c r="Q248" s="102">
        <f>Aktiv!I266</f>
        <v>286</v>
      </c>
      <c r="R248" s="102">
        <f>Aktiv!J266</f>
        <v>286</v>
      </c>
      <c r="S248" s="103">
        <f t="shared" si="12"/>
        <v>-0.10032362459546929</v>
      </c>
      <c r="T248" s="103">
        <f t="shared" si="13"/>
        <v>-0.27877237851662406</v>
      </c>
      <c r="U248" s="103">
        <f t="shared" si="14"/>
        <v>-0.23118279569892475</v>
      </c>
      <c r="V248" s="103">
        <f t="shared" si="15"/>
        <v>-0.24934383202099741</v>
      </c>
    </row>
    <row r="249" spans="1:22" x14ac:dyDescent="0.25">
      <c r="A249">
        <v>5405</v>
      </c>
      <c r="B249" t="s">
        <v>90</v>
      </c>
      <c r="C249" t="s">
        <v>371</v>
      </c>
      <c r="D249" t="s">
        <v>377</v>
      </c>
      <c r="E249">
        <v>780</v>
      </c>
      <c r="F249">
        <v>360</v>
      </c>
      <c r="G249" s="101">
        <v>356</v>
      </c>
      <c r="H249" s="101">
        <v>501</v>
      </c>
      <c r="I249" s="101">
        <v>471</v>
      </c>
      <c r="J249" s="101">
        <v>491</v>
      </c>
      <c r="K249" s="101">
        <v>409</v>
      </c>
      <c r="L249" s="101">
        <v>576</v>
      </c>
      <c r="M249" s="101">
        <v>542</v>
      </c>
      <c r="N249" s="101">
        <v>565</v>
      </c>
      <c r="O249" s="102">
        <f>Aktiv!G267</f>
        <v>320</v>
      </c>
      <c r="P249" s="102">
        <f>Aktiv!H267</f>
        <v>361</v>
      </c>
      <c r="Q249" s="102">
        <f>Aktiv!I267</f>
        <v>363</v>
      </c>
      <c r="R249" s="102">
        <f>Aktiv!J267</f>
        <v>368</v>
      </c>
      <c r="S249" s="103">
        <f t="shared" si="12"/>
        <v>-0.101123595505618</v>
      </c>
      <c r="T249" s="103">
        <f t="shared" si="13"/>
        <v>-0.279441117764471</v>
      </c>
      <c r="U249" s="103">
        <f t="shared" si="14"/>
        <v>-0.22929936305732479</v>
      </c>
      <c r="V249" s="103">
        <f t="shared" si="15"/>
        <v>-0.25050916496945008</v>
      </c>
    </row>
    <row r="250" spans="1:22" x14ac:dyDescent="0.25">
      <c r="A250">
        <v>5406</v>
      </c>
      <c r="B250" t="s">
        <v>90</v>
      </c>
      <c r="C250" t="s">
        <v>371</v>
      </c>
      <c r="D250" t="s">
        <v>378</v>
      </c>
      <c r="E250">
        <v>980</v>
      </c>
      <c r="F250">
        <v>180</v>
      </c>
      <c r="G250" s="101">
        <v>348</v>
      </c>
      <c r="H250" s="101">
        <v>474</v>
      </c>
      <c r="I250" s="101">
        <v>417</v>
      </c>
      <c r="J250" s="101">
        <v>464</v>
      </c>
      <c r="K250" s="101">
        <v>400</v>
      </c>
      <c r="L250" s="101">
        <v>545</v>
      </c>
      <c r="M250" s="101">
        <v>480</v>
      </c>
      <c r="N250" s="101">
        <v>534</v>
      </c>
      <c r="O250" s="102">
        <f>Aktiv!G268</f>
        <v>313</v>
      </c>
      <c r="P250" s="102">
        <f>Aktiv!H268</f>
        <v>341</v>
      </c>
      <c r="Q250" s="102">
        <f>Aktiv!I268</f>
        <v>321</v>
      </c>
      <c r="R250" s="102">
        <f>Aktiv!J268</f>
        <v>348</v>
      </c>
      <c r="S250" s="103">
        <f t="shared" si="12"/>
        <v>-0.10057471264367812</v>
      </c>
      <c r="T250" s="103">
        <f t="shared" si="13"/>
        <v>-0.28059071729957807</v>
      </c>
      <c r="U250" s="103">
        <f t="shared" si="14"/>
        <v>-0.23021582733812951</v>
      </c>
      <c r="V250" s="103">
        <f t="shared" si="15"/>
        <v>-0.25</v>
      </c>
    </row>
    <row r="251" spans="1:22" x14ac:dyDescent="0.25">
      <c r="A251">
        <v>5407</v>
      </c>
      <c r="B251" t="s">
        <v>90</v>
      </c>
      <c r="C251" t="s">
        <v>371</v>
      </c>
      <c r="D251" t="s">
        <v>379</v>
      </c>
      <c r="E251">
        <v>980</v>
      </c>
      <c r="F251">
        <v>360</v>
      </c>
      <c r="G251" s="101">
        <v>429</v>
      </c>
      <c r="H251" s="101">
        <v>610</v>
      </c>
      <c r="I251" s="101">
        <v>553</v>
      </c>
      <c r="J251" s="101">
        <v>600</v>
      </c>
      <c r="K251" s="101">
        <v>493</v>
      </c>
      <c r="L251" s="101">
        <v>702</v>
      </c>
      <c r="M251" s="101">
        <v>636</v>
      </c>
      <c r="N251" s="101">
        <v>690</v>
      </c>
      <c r="O251" s="102">
        <f>Aktiv!G269</f>
        <v>386</v>
      </c>
      <c r="P251" s="102">
        <f>Aktiv!H269</f>
        <v>439</v>
      </c>
      <c r="Q251" s="102">
        <f>Aktiv!I269</f>
        <v>426</v>
      </c>
      <c r="R251" s="102">
        <f>Aktiv!J269</f>
        <v>450</v>
      </c>
      <c r="S251" s="103">
        <f t="shared" si="12"/>
        <v>-0.10023310023310028</v>
      </c>
      <c r="T251" s="103">
        <f t="shared" si="13"/>
        <v>-0.28032786885245897</v>
      </c>
      <c r="U251" s="103">
        <f t="shared" si="14"/>
        <v>-0.22965641952983729</v>
      </c>
      <c r="V251" s="103">
        <f t="shared" si="15"/>
        <v>-0.25</v>
      </c>
    </row>
    <row r="252" spans="1:22" x14ac:dyDescent="0.25">
      <c r="A252">
        <v>5500</v>
      </c>
      <c r="B252" t="s">
        <v>90</v>
      </c>
      <c r="C252" t="s">
        <v>380</v>
      </c>
      <c r="D252" t="s">
        <v>381</v>
      </c>
      <c r="E252">
        <v>420</v>
      </c>
      <c r="F252">
        <v>180</v>
      </c>
      <c r="G252" s="101">
        <v>285</v>
      </c>
      <c r="H252" s="101">
        <v>345</v>
      </c>
      <c r="I252" s="101">
        <v>329</v>
      </c>
      <c r="J252" s="101">
        <v>335</v>
      </c>
      <c r="K252" s="101">
        <v>328</v>
      </c>
      <c r="L252" s="101">
        <v>397</v>
      </c>
      <c r="M252" s="101">
        <v>378</v>
      </c>
      <c r="N252" s="101">
        <v>385</v>
      </c>
      <c r="O252" s="102">
        <f>Aktiv!G271</f>
        <v>257</v>
      </c>
      <c r="P252" s="102">
        <f>Aktiv!H271</f>
        <v>248</v>
      </c>
      <c r="Q252" s="102">
        <f>Aktiv!I271</f>
        <v>253</v>
      </c>
      <c r="R252" s="102">
        <f>Aktiv!J271</f>
        <v>251</v>
      </c>
      <c r="S252" s="103">
        <f t="shared" si="12"/>
        <v>-9.8245614035087692E-2</v>
      </c>
      <c r="T252" s="103">
        <f t="shared" si="13"/>
        <v>-0.28115942028985508</v>
      </c>
      <c r="U252" s="103">
        <f t="shared" si="14"/>
        <v>-0.23100303951367784</v>
      </c>
      <c r="V252" s="103">
        <f t="shared" si="15"/>
        <v>-0.25074626865671645</v>
      </c>
    </row>
    <row r="253" spans="1:22" x14ac:dyDescent="0.25">
      <c r="A253">
        <v>5501</v>
      </c>
      <c r="B253" t="s">
        <v>90</v>
      </c>
      <c r="C253" t="s">
        <v>380</v>
      </c>
      <c r="D253" t="s">
        <v>382</v>
      </c>
      <c r="E253">
        <v>420</v>
      </c>
      <c r="F253">
        <v>360</v>
      </c>
      <c r="G253" s="101">
        <v>352</v>
      </c>
      <c r="H253" s="101">
        <v>439</v>
      </c>
      <c r="I253" s="101">
        <v>420</v>
      </c>
      <c r="J253" s="101">
        <v>429</v>
      </c>
      <c r="K253" s="101">
        <v>405</v>
      </c>
      <c r="L253" s="101">
        <v>505</v>
      </c>
      <c r="M253" s="101">
        <v>483</v>
      </c>
      <c r="N253" s="101">
        <v>493</v>
      </c>
      <c r="O253" s="102">
        <f>Aktiv!G272</f>
        <v>317</v>
      </c>
      <c r="P253" s="102">
        <f>Aktiv!H272</f>
        <v>316</v>
      </c>
      <c r="Q253" s="102">
        <f>Aktiv!I272</f>
        <v>323</v>
      </c>
      <c r="R253" s="102">
        <f>Aktiv!J272</f>
        <v>322</v>
      </c>
      <c r="S253" s="103">
        <f t="shared" si="12"/>
        <v>-9.9431818181818232E-2</v>
      </c>
      <c r="T253" s="103">
        <f t="shared" si="13"/>
        <v>-0.28018223234624151</v>
      </c>
      <c r="U253" s="103">
        <f t="shared" si="14"/>
        <v>-0.23095238095238091</v>
      </c>
      <c r="V253" s="103">
        <f t="shared" si="15"/>
        <v>-0.24941724941724941</v>
      </c>
    </row>
    <row r="254" spans="1:22" x14ac:dyDescent="0.25">
      <c r="A254">
        <v>5502</v>
      </c>
      <c r="B254" t="s">
        <v>90</v>
      </c>
      <c r="C254" t="s">
        <v>380</v>
      </c>
      <c r="D254" t="s">
        <v>383</v>
      </c>
      <c r="E254">
        <v>580</v>
      </c>
      <c r="F254">
        <v>180</v>
      </c>
      <c r="G254" s="101">
        <v>298</v>
      </c>
      <c r="H254" s="101">
        <v>368</v>
      </c>
      <c r="I254" s="101">
        <v>351</v>
      </c>
      <c r="J254" s="101">
        <v>358</v>
      </c>
      <c r="K254" s="101">
        <v>343</v>
      </c>
      <c r="L254" s="101">
        <v>423</v>
      </c>
      <c r="M254" s="101">
        <v>404</v>
      </c>
      <c r="N254" s="101">
        <v>412</v>
      </c>
      <c r="O254" s="102">
        <f>Aktiv!G273</f>
        <v>268</v>
      </c>
      <c r="P254" s="102">
        <f>Aktiv!H273</f>
        <v>265</v>
      </c>
      <c r="Q254" s="102">
        <f>Aktiv!I273</f>
        <v>270</v>
      </c>
      <c r="R254" s="102">
        <f>Aktiv!J273</f>
        <v>269</v>
      </c>
      <c r="S254" s="103">
        <f t="shared" si="12"/>
        <v>-0.10067114093959728</v>
      </c>
      <c r="T254" s="103">
        <f t="shared" si="13"/>
        <v>-0.27989130434782605</v>
      </c>
      <c r="U254" s="103">
        <f t="shared" si="14"/>
        <v>-0.23076923076923073</v>
      </c>
      <c r="V254" s="103">
        <f t="shared" si="15"/>
        <v>-0.24860335195530725</v>
      </c>
    </row>
    <row r="255" spans="1:22" x14ac:dyDescent="0.25">
      <c r="A255">
        <v>5503</v>
      </c>
      <c r="B255" t="s">
        <v>90</v>
      </c>
      <c r="C255" t="s">
        <v>380</v>
      </c>
      <c r="D255" t="s">
        <v>384</v>
      </c>
      <c r="E255">
        <v>580</v>
      </c>
      <c r="F255">
        <v>360</v>
      </c>
      <c r="G255" s="101">
        <v>353</v>
      </c>
      <c r="H255" s="101">
        <v>470</v>
      </c>
      <c r="I255" s="101">
        <v>445</v>
      </c>
      <c r="J255" s="101">
        <v>460</v>
      </c>
      <c r="K255" s="101">
        <v>406</v>
      </c>
      <c r="L255" s="101">
        <v>541</v>
      </c>
      <c r="M255" s="101">
        <v>512</v>
      </c>
      <c r="N255" s="101">
        <v>529</v>
      </c>
      <c r="O255" s="102">
        <f>Aktiv!G274</f>
        <v>318</v>
      </c>
      <c r="P255" s="102">
        <f>Aktiv!H274</f>
        <v>338</v>
      </c>
      <c r="Q255" s="102">
        <f>Aktiv!I274</f>
        <v>343</v>
      </c>
      <c r="R255" s="102">
        <f>Aktiv!J274</f>
        <v>345</v>
      </c>
      <c r="S255" s="103">
        <f t="shared" si="12"/>
        <v>-9.9150141643059464E-2</v>
      </c>
      <c r="T255" s="103">
        <f t="shared" si="13"/>
        <v>-0.2808510638297872</v>
      </c>
      <c r="U255" s="103">
        <f t="shared" si="14"/>
        <v>-0.22921348314606738</v>
      </c>
      <c r="V255" s="103">
        <f t="shared" si="15"/>
        <v>-0.25</v>
      </c>
    </row>
    <row r="256" spans="1:22" x14ac:dyDescent="0.25">
      <c r="A256">
        <v>5504</v>
      </c>
      <c r="B256" t="s">
        <v>90</v>
      </c>
      <c r="C256" t="s">
        <v>380</v>
      </c>
      <c r="D256" t="s">
        <v>385</v>
      </c>
      <c r="E256">
        <v>780</v>
      </c>
      <c r="F256">
        <v>180</v>
      </c>
      <c r="G256" s="101">
        <v>309</v>
      </c>
      <c r="H256" s="101">
        <v>391</v>
      </c>
      <c r="I256" s="101">
        <v>372</v>
      </c>
      <c r="J256" s="101">
        <v>381</v>
      </c>
      <c r="K256" s="101">
        <v>355</v>
      </c>
      <c r="L256" s="101">
        <v>450</v>
      </c>
      <c r="M256" s="101">
        <v>428</v>
      </c>
      <c r="N256" s="101">
        <v>438</v>
      </c>
      <c r="O256" s="102">
        <f>Aktiv!G275</f>
        <v>278</v>
      </c>
      <c r="P256" s="102">
        <f>Aktiv!H275</f>
        <v>282</v>
      </c>
      <c r="Q256" s="102">
        <f>Aktiv!I275</f>
        <v>286</v>
      </c>
      <c r="R256" s="102">
        <f>Aktiv!J275</f>
        <v>286</v>
      </c>
      <c r="S256" s="103">
        <f t="shared" si="12"/>
        <v>-0.10032362459546929</v>
      </c>
      <c r="T256" s="103">
        <f t="shared" si="13"/>
        <v>-0.27877237851662406</v>
      </c>
      <c r="U256" s="103">
        <f t="shared" si="14"/>
        <v>-0.23118279569892475</v>
      </c>
      <c r="V256" s="103">
        <f t="shared" si="15"/>
        <v>-0.24934383202099741</v>
      </c>
    </row>
    <row r="257" spans="1:22" x14ac:dyDescent="0.25">
      <c r="A257">
        <v>5505</v>
      </c>
      <c r="B257" t="s">
        <v>90</v>
      </c>
      <c r="C257" t="s">
        <v>380</v>
      </c>
      <c r="D257" t="s">
        <v>386</v>
      </c>
      <c r="E257">
        <v>780</v>
      </c>
      <c r="F257">
        <v>360</v>
      </c>
      <c r="G257" s="101">
        <v>356</v>
      </c>
      <c r="H257" s="101">
        <v>501</v>
      </c>
      <c r="I257" s="101">
        <v>471</v>
      </c>
      <c r="J257" s="101">
        <v>491</v>
      </c>
      <c r="K257" s="101">
        <v>409</v>
      </c>
      <c r="L257" s="101">
        <v>576</v>
      </c>
      <c r="M257" s="101">
        <v>542</v>
      </c>
      <c r="N257" s="101">
        <v>565</v>
      </c>
      <c r="O257" s="102">
        <f>Aktiv!G276</f>
        <v>320</v>
      </c>
      <c r="P257" s="102">
        <f>Aktiv!H276</f>
        <v>361</v>
      </c>
      <c r="Q257" s="102">
        <f>Aktiv!I276</f>
        <v>363</v>
      </c>
      <c r="R257" s="102">
        <f>Aktiv!J276</f>
        <v>368</v>
      </c>
      <c r="S257" s="103">
        <f t="shared" si="12"/>
        <v>-0.101123595505618</v>
      </c>
      <c r="T257" s="103">
        <f t="shared" si="13"/>
        <v>-0.279441117764471</v>
      </c>
      <c r="U257" s="103">
        <f t="shared" si="14"/>
        <v>-0.22929936305732479</v>
      </c>
      <c r="V257" s="103">
        <f t="shared" si="15"/>
        <v>-0.25050916496945008</v>
      </c>
    </row>
    <row r="258" spans="1:22" x14ac:dyDescent="0.25">
      <c r="A258">
        <v>5506</v>
      </c>
      <c r="B258" t="s">
        <v>90</v>
      </c>
      <c r="C258" t="s">
        <v>380</v>
      </c>
      <c r="D258" t="s">
        <v>387</v>
      </c>
      <c r="E258">
        <v>980</v>
      </c>
      <c r="F258">
        <v>180</v>
      </c>
      <c r="G258" s="101">
        <v>348</v>
      </c>
      <c r="H258" s="101">
        <v>474</v>
      </c>
      <c r="I258" s="101">
        <v>417</v>
      </c>
      <c r="J258" s="101">
        <v>464</v>
      </c>
      <c r="K258" s="101">
        <v>400</v>
      </c>
      <c r="L258" s="101">
        <v>545</v>
      </c>
      <c r="M258" s="101">
        <v>480</v>
      </c>
      <c r="N258" s="101">
        <v>534</v>
      </c>
      <c r="O258" s="102">
        <f>Aktiv!G277</f>
        <v>313</v>
      </c>
      <c r="P258" s="102">
        <f>Aktiv!H277</f>
        <v>341</v>
      </c>
      <c r="Q258" s="102">
        <f>Aktiv!I277</f>
        <v>321</v>
      </c>
      <c r="R258" s="102">
        <f>Aktiv!J277</f>
        <v>348</v>
      </c>
      <c r="S258" s="103">
        <f t="shared" si="12"/>
        <v>-0.10057471264367812</v>
      </c>
      <c r="T258" s="103">
        <f t="shared" si="13"/>
        <v>-0.28059071729957807</v>
      </c>
      <c r="U258" s="103">
        <f t="shared" si="14"/>
        <v>-0.23021582733812951</v>
      </c>
      <c r="V258" s="103">
        <f t="shared" si="15"/>
        <v>-0.25</v>
      </c>
    </row>
    <row r="259" spans="1:22" x14ac:dyDescent="0.25">
      <c r="A259">
        <v>5507</v>
      </c>
      <c r="B259" t="s">
        <v>90</v>
      </c>
      <c r="C259" t="s">
        <v>380</v>
      </c>
      <c r="D259" t="s">
        <v>388</v>
      </c>
      <c r="E259">
        <v>980</v>
      </c>
      <c r="F259">
        <v>360</v>
      </c>
      <c r="G259" s="101">
        <v>429</v>
      </c>
      <c r="H259" s="101">
        <v>610</v>
      </c>
      <c r="I259" s="101">
        <v>553</v>
      </c>
      <c r="J259" s="101">
        <v>600</v>
      </c>
      <c r="K259" s="101">
        <v>493</v>
      </c>
      <c r="L259" s="101">
        <v>702</v>
      </c>
      <c r="M259" s="101">
        <v>636</v>
      </c>
      <c r="N259" s="101">
        <v>690</v>
      </c>
      <c r="O259" s="102">
        <f>Aktiv!G278</f>
        <v>386</v>
      </c>
      <c r="P259" s="102">
        <f>Aktiv!H278</f>
        <v>439</v>
      </c>
      <c r="Q259" s="102">
        <f>Aktiv!I278</f>
        <v>426</v>
      </c>
      <c r="R259" s="102">
        <f>Aktiv!J278</f>
        <v>450</v>
      </c>
      <c r="S259" s="103">
        <f t="shared" ref="S259:S306" si="16">IF(OR(G259="",G259=0,O259=""),"",O259/G259-1)</f>
        <v>-0.10023310023310028</v>
      </c>
      <c r="T259" s="103">
        <f t="shared" ref="T259:T306" si="17">IF(OR(H259="",H259=0,P259=""),"",P259/H259-1)</f>
        <v>-0.28032786885245897</v>
      </c>
      <c r="U259" s="103">
        <f t="shared" ref="U259:U306" si="18">IF(OR(I259="",I259=0,Q259=""),"",Q259/I259-1)</f>
        <v>-0.22965641952983729</v>
      </c>
      <c r="V259" s="103">
        <f t="shared" ref="V259:V306" si="19">IF(OR(J259="",J259=0,R259=""),"",R259/J259-1)</f>
        <v>-0.25</v>
      </c>
    </row>
    <row r="260" spans="1:22" x14ac:dyDescent="0.25">
      <c r="A260">
        <v>1000</v>
      </c>
      <c r="B260" t="s">
        <v>391</v>
      </c>
      <c r="D260" t="s">
        <v>392</v>
      </c>
      <c r="G260" s="101">
        <v>6</v>
      </c>
      <c r="H260" s="101"/>
      <c r="I260" s="101"/>
      <c r="J260" s="101"/>
      <c r="K260" s="101">
        <v>7</v>
      </c>
      <c r="L260" s="101"/>
      <c r="M260" s="101"/>
      <c r="N260" s="101"/>
      <c r="O260" s="102">
        <f>Aktiv!G280</f>
        <v>6</v>
      </c>
      <c r="P260" s="102" t="str">
        <f>Aktiv!H280</f>
        <v/>
      </c>
      <c r="Q260" s="102" t="str">
        <f>Aktiv!I280</f>
        <v/>
      </c>
      <c r="R260" s="102" t="str">
        <f>Aktiv!J280</f>
        <v/>
      </c>
      <c r="S260" s="103">
        <f t="shared" si="16"/>
        <v>0</v>
      </c>
      <c r="T260" s="103" t="str">
        <f t="shared" si="17"/>
        <v/>
      </c>
      <c r="U260" s="103" t="str">
        <f t="shared" si="18"/>
        <v/>
      </c>
      <c r="V260" s="103" t="str">
        <f t="shared" si="19"/>
        <v/>
      </c>
    </row>
    <row r="261" spans="1:22" x14ac:dyDescent="0.25">
      <c r="A261">
        <v>1001</v>
      </c>
      <c r="B261" t="s">
        <v>391</v>
      </c>
      <c r="D261" t="s">
        <v>392</v>
      </c>
      <c r="G261" s="101">
        <v>6</v>
      </c>
      <c r="H261" s="101"/>
      <c r="I261" s="101"/>
      <c r="J261" s="101"/>
      <c r="K261" s="101">
        <v>7</v>
      </c>
      <c r="L261" s="101"/>
      <c r="M261" s="101"/>
      <c r="N261" s="101"/>
      <c r="O261" s="102">
        <f>Aktiv!G281</f>
        <v>6</v>
      </c>
      <c r="P261" s="102" t="str">
        <f>Aktiv!H281</f>
        <v/>
      </c>
      <c r="Q261" s="102" t="str">
        <f>Aktiv!I281</f>
        <v/>
      </c>
      <c r="R261" s="102" t="str">
        <f>Aktiv!J281</f>
        <v/>
      </c>
      <c r="S261" s="103">
        <f t="shared" si="16"/>
        <v>0</v>
      </c>
      <c r="T261" s="103" t="str">
        <f t="shared" si="17"/>
        <v/>
      </c>
      <c r="U261" s="103" t="str">
        <f t="shared" si="18"/>
        <v/>
      </c>
      <c r="V261" s="103" t="str">
        <f t="shared" si="19"/>
        <v/>
      </c>
    </row>
    <row r="262" spans="1:22" x14ac:dyDescent="0.25">
      <c r="A262">
        <v>1002</v>
      </c>
      <c r="B262" t="s">
        <v>391</v>
      </c>
      <c r="D262" t="s">
        <v>392</v>
      </c>
      <c r="G262" s="101">
        <v>6</v>
      </c>
      <c r="H262" s="101"/>
      <c r="I262" s="101"/>
      <c r="J262" s="101"/>
      <c r="K262" s="101">
        <v>7</v>
      </c>
      <c r="L262" s="101"/>
      <c r="M262" s="101"/>
      <c r="N262" s="101"/>
      <c r="O262" s="102">
        <f>Aktiv!G282</f>
        <v>6</v>
      </c>
      <c r="P262" s="102" t="str">
        <f>Aktiv!H282</f>
        <v/>
      </c>
      <c r="Q262" s="102" t="str">
        <f>Aktiv!I282</f>
        <v/>
      </c>
      <c r="R262" s="102" t="str">
        <f>Aktiv!J282</f>
        <v/>
      </c>
      <c r="S262" s="103">
        <f t="shared" si="16"/>
        <v>0</v>
      </c>
      <c r="T262" s="103" t="str">
        <f t="shared" si="17"/>
        <v/>
      </c>
      <c r="U262" s="103" t="str">
        <f t="shared" si="18"/>
        <v/>
      </c>
      <c r="V262" s="103" t="str">
        <f t="shared" si="19"/>
        <v/>
      </c>
    </row>
    <row r="263" spans="1:22" x14ac:dyDescent="0.25">
      <c r="A263">
        <v>1100</v>
      </c>
      <c r="B263" t="s">
        <v>391</v>
      </c>
      <c r="D263" t="s">
        <v>393</v>
      </c>
      <c r="G263" s="101">
        <v>6</v>
      </c>
      <c r="H263" s="101"/>
      <c r="I263" s="101"/>
      <c r="J263" s="101"/>
      <c r="K263" s="101">
        <v>7</v>
      </c>
      <c r="L263" s="101"/>
      <c r="M263" s="101"/>
      <c r="N263" s="101"/>
      <c r="O263" s="102">
        <f>Aktiv!G283</f>
        <v>6</v>
      </c>
      <c r="P263" s="102" t="str">
        <f>Aktiv!H283</f>
        <v/>
      </c>
      <c r="Q263" s="102" t="str">
        <f>Aktiv!I283</f>
        <v/>
      </c>
      <c r="R263" s="102" t="str">
        <f>Aktiv!J283</f>
        <v/>
      </c>
      <c r="S263" s="103">
        <f t="shared" si="16"/>
        <v>0</v>
      </c>
      <c r="T263" s="103" t="str">
        <f t="shared" si="17"/>
        <v/>
      </c>
      <c r="U263" s="103" t="str">
        <f t="shared" si="18"/>
        <v/>
      </c>
      <c r="V263" s="103" t="str">
        <f t="shared" si="19"/>
        <v/>
      </c>
    </row>
    <row r="264" spans="1:22" x14ac:dyDescent="0.25">
      <c r="A264">
        <v>1101</v>
      </c>
      <c r="B264" t="s">
        <v>391</v>
      </c>
      <c r="D264" t="s">
        <v>393</v>
      </c>
      <c r="G264" s="101">
        <v>6</v>
      </c>
      <c r="H264" s="101"/>
      <c r="I264" s="101"/>
      <c r="J264" s="101"/>
      <c r="K264" s="101">
        <v>7</v>
      </c>
      <c r="L264" s="101"/>
      <c r="M264" s="101"/>
      <c r="N264" s="101"/>
      <c r="O264" s="102">
        <f>Aktiv!G284</f>
        <v>6</v>
      </c>
      <c r="P264" s="102" t="str">
        <f>Aktiv!H284</f>
        <v/>
      </c>
      <c r="Q264" s="102" t="str">
        <f>Aktiv!I284</f>
        <v/>
      </c>
      <c r="R264" s="102" t="str">
        <f>Aktiv!J284</f>
        <v/>
      </c>
      <c r="S264" s="103">
        <f t="shared" si="16"/>
        <v>0</v>
      </c>
      <c r="T264" s="103" t="str">
        <f t="shared" si="17"/>
        <v/>
      </c>
      <c r="U264" s="103" t="str">
        <f t="shared" si="18"/>
        <v/>
      </c>
      <c r="V264" s="103" t="str">
        <f t="shared" si="19"/>
        <v/>
      </c>
    </row>
    <row r="265" spans="1:22" x14ac:dyDescent="0.25">
      <c r="A265">
        <v>1102</v>
      </c>
      <c r="B265" t="s">
        <v>391</v>
      </c>
      <c r="D265" t="s">
        <v>393</v>
      </c>
      <c r="G265" s="101">
        <v>6</v>
      </c>
      <c r="H265" s="101"/>
      <c r="I265" s="101"/>
      <c r="J265" s="101"/>
      <c r="K265" s="101">
        <v>7</v>
      </c>
      <c r="L265" s="101"/>
      <c r="M265" s="101"/>
      <c r="N265" s="101"/>
      <c r="O265" s="102">
        <f>Aktiv!G285</f>
        <v>6</v>
      </c>
      <c r="P265" s="102" t="str">
        <f>Aktiv!H285</f>
        <v/>
      </c>
      <c r="Q265" s="102" t="str">
        <f>Aktiv!I285</f>
        <v/>
      </c>
      <c r="R265" s="102" t="str">
        <f>Aktiv!J285</f>
        <v/>
      </c>
      <c r="S265" s="103">
        <f t="shared" si="16"/>
        <v>0</v>
      </c>
      <c r="T265" s="103" t="str">
        <f t="shared" si="17"/>
        <v/>
      </c>
      <c r="U265" s="103" t="str">
        <f t="shared" si="18"/>
        <v/>
      </c>
      <c r="V265" s="103" t="str">
        <f t="shared" si="19"/>
        <v/>
      </c>
    </row>
    <row r="266" spans="1:22" x14ac:dyDescent="0.25">
      <c r="A266">
        <v>2000</v>
      </c>
      <c r="B266" t="s">
        <v>391</v>
      </c>
      <c r="C266" t="s">
        <v>394</v>
      </c>
      <c r="D266" t="s">
        <v>395</v>
      </c>
      <c r="G266" s="101">
        <v>80</v>
      </c>
      <c r="H266" s="101"/>
      <c r="I266" s="101"/>
      <c r="J266" s="101"/>
      <c r="K266" s="101">
        <v>92</v>
      </c>
      <c r="L266" s="101"/>
      <c r="M266" s="101"/>
      <c r="N266" s="101"/>
      <c r="O266" s="102">
        <f>Aktiv!G286</f>
        <v>60</v>
      </c>
      <c r="P266" s="102" t="str">
        <f>Aktiv!H286</f>
        <v/>
      </c>
      <c r="Q266" s="102" t="str">
        <f>Aktiv!I286</f>
        <v/>
      </c>
      <c r="R266" s="102" t="str">
        <f>Aktiv!J286</f>
        <v/>
      </c>
      <c r="S266" s="103">
        <f t="shared" si="16"/>
        <v>-0.25</v>
      </c>
      <c r="T266" s="103" t="str">
        <f t="shared" si="17"/>
        <v/>
      </c>
      <c r="U266" s="103" t="str">
        <f t="shared" si="18"/>
        <v/>
      </c>
      <c r="V266" s="103" t="str">
        <f t="shared" si="19"/>
        <v/>
      </c>
    </row>
    <row r="267" spans="1:22" x14ac:dyDescent="0.25">
      <c r="A267">
        <v>2001</v>
      </c>
      <c r="B267" t="s">
        <v>391</v>
      </c>
      <c r="C267" t="s">
        <v>394</v>
      </c>
      <c r="D267" t="s">
        <v>395</v>
      </c>
      <c r="G267" s="101">
        <v>40</v>
      </c>
      <c r="H267" s="101"/>
      <c r="I267" s="101"/>
      <c r="J267" s="101"/>
      <c r="K267" s="101">
        <v>46</v>
      </c>
      <c r="L267" s="101"/>
      <c r="M267" s="101"/>
      <c r="N267" s="101"/>
      <c r="O267" s="102">
        <f>Aktiv!G287</f>
        <v>30</v>
      </c>
      <c r="P267" s="102" t="str">
        <f>Aktiv!H287</f>
        <v/>
      </c>
      <c r="Q267" s="102" t="str">
        <f>Aktiv!I287</f>
        <v/>
      </c>
      <c r="R267" s="102" t="str">
        <f>Aktiv!J287</f>
        <v/>
      </c>
      <c r="S267" s="103">
        <f t="shared" si="16"/>
        <v>-0.25</v>
      </c>
      <c r="T267" s="103" t="str">
        <f t="shared" si="17"/>
        <v/>
      </c>
      <c r="U267" s="103" t="str">
        <f t="shared" si="18"/>
        <v/>
      </c>
      <c r="V267" s="103" t="str">
        <f t="shared" si="19"/>
        <v/>
      </c>
    </row>
    <row r="268" spans="1:22" x14ac:dyDescent="0.25">
      <c r="A268">
        <v>2005</v>
      </c>
      <c r="B268" t="s">
        <v>391</v>
      </c>
      <c r="C268" t="s">
        <v>394</v>
      </c>
      <c r="D268" t="s">
        <v>396</v>
      </c>
      <c r="G268" s="101">
        <v>20</v>
      </c>
      <c r="H268" s="101"/>
      <c r="I268" s="101"/>
      <c r="J268" s="101"/>
      <c r="K268" s="101">
        <v>23</v>
      </c>
      <c r="L268" s="101"/>
      <c r="M268" s="101"/>
      <c r="N268" s="101"/>
      <c r="O268" s="102">
        <f>Aktiv!G288</f>
        <v>15</v>
      </c>
      <c r="P268" s="102" t="str">
        <f>Aktiv!H288</f>
        <v/>
      </c>
      <c r="Q268" s="102" t="str">
        <f>Aktiv!I288</f>
        <v/>
      </c>
      <c r="R268" s="102" t="str">
        <f>Aktiv!J288</f>
        <v/>
      </c>
      <c r="S268" s="103">
        <f t="shared" si="16"/>
        <v>-0.25</v>
      </c>
      <c r="T268" s="103" t="str">
        <f t="shared" si="17"/>
        <v/>
      </c>
      <c r="U268" s="103" t="str">
        <f t="shared" si="18"/>
        <v/>
      </c>
      <c r="V268" s="103" t="str">
        <f t="shared" si="19"/>
        <v/>
      </c>
    </row>
    <row r="269" spans="1:22" x14ac:dyDescent="0.25">
      <c r="A269">
        <v>2010</v>
      </c>
      <c r="B269" t="s">
        <v>391</v>
      </c>
      <c r="C269" t="s">
        <v>394</v>
      </c>
      <c r="D269" t="s">
        <v>397</v>
      </c>
      <c r="G269" s="101">
        <v>20</v>
      </c>
      <c r="H269" s="101"/>
      <c r="I269" s="101"/>
      <c r="J269" s="101"/>
      <c r="K269" s="101">
        <v>23</v>
      </c>
      <c r="L269" s="101"/>
      <c r="M269" s="101"/>
      <c r="N269" s="101"/>
      <c r="O269" s="102">
        <f>Aktiv!G289</f>
        <v>15</v>
      </c>
      <c r="P269" s="102" t="str">
        <f>Aktiv!H289</f>
        <v/>
      </c>
      <c r="Q269" s="102" t="str">
        <f>Aktiv!I289</f>
        <v/>
      </c>
      <c r="R269" s="102" t="str">
        <f>Aktiv!J289</f>
        <v/>
      </c>
      <c r="S269" s="103">
        <f t="shared" si="16"/>
        <v>-0.25</v>
      </c>
      <c r="T269" s="103" t="str">
        <f t="shared" si="17"/>
        <v/>
      </c>
      <c r="U269" s="103" t="str">
        <f t="shared" si="18"/>
        <v/>
      </c>
      <c r="V269" s="103" t="str">
        <f t="shared" si="19"/>
        <v/>
      </c>
    </row>
    <row r="270" spans="1:22" x14ac:dyDescent="0.25">
      <c r="A270">
        <v>2015</v>
      </c>
      <c r="B270" t="s">
        <v>391</v>
      </c>
      <c r="C270" t="s">
        <v>394</v>
      </c>
      <c r="D270" t="s">
        <v>398</v>
      </c>
      <c r="G270" s="101">
        <v>20</v>
      </c>
      <c r="H270" s="101"/>
      <c r="I270" s="101"/>
      <c r="J270" s="101"/>
      <c r="K270" s="101">
        <v>23</v>
      </c>
      <c r="L270" s="101"/>
      <c r="M270" s="101"/>
      <c r="N270" s="101"/>
      <c r="O270" s="102">
        <f>Aktiv!G290</f>
        <v>15</v>
      </c>
      <c r="P270" s="102" t="str">
        <f>Aktiv!H290</f>
        <v/>
      </c>
      <c r="Q270" s="102" t="str">
        <f>Aktiv!I290</f>
        <v/>
      </c>
      <c r="R270" s="102" t="str">
        <f>Aktiv!J290</f>
        <v/>
      </c>
      <c r="S270" s="103">
        <f t="shared" si="16"/>
        <v>-0.25</v>
      </c>
      <c r="T270" s="103" t="str">
        <f t="shared" si="17"/>
        <v/>
      </c>
      <c r="U270" s="103" t="str">
        <f t="shared" si="18"/>
        <v/>
      </c>
      <c r="V270" s="103" t="str">
        <f t="shared" si="19"/>
        <v/>
      </c>
    </row>
    <row r="271" spans="1:22" x14ac:dyDescent="0.25">
      <c r="A271">
        <v>2020</v>
      </c>
      <c r="B271" t="s">
        <v>391</v>
      </c>
      <c r="C271" t="s">
        <v>394</v>
      </c>
      <c r="D271" t="s">
        <v>399</v>
      </c>
      <c r="G271" s="101">
        <v>22</v>
      </c>
      <c r="H271" s="101"/>
      <c r="I271" s="101"/>
      <c r="J271" s="101"/>
      <c r="K271" s="101">
        <v>25</v>
      </c>
      <c r="L271" s="101"/>
      <c r="M271" s="101"/>
      <c r="N271" s="101"/>
      <c r="O271" s="102">
        <f>Aktiv!G291</f>
        <v>17</v>
      </c>
      <c r="P271" s="102" t="str">
        <f>Aktiv!H291</f>
        <v/>
      </c>
      <c r="Q271" s="102" t="str">
        <f>Aktiv!I291</f>
        <v/>
      </c>
      <c r="R271" s="102" t="str">
        <f>Aktiv!J291</f>
        <v/>
      </c>
      <c r="S271" s="103">
        <f t="shared" si="16"/>
        <v>-0.22727272727272729</v>
      </c>
      <c r="T271" s="103" t="str">
        <f t="shared" si="17"/>
        <v/>
      </c>
      <c r="U271" s="103" t="str">
        <f t="shared" si="18"/>
        <v/>
      </c>
      <c r="V271" s="103" t="str">
        <f t="shared" si="19"/>
        <v/>
      </c>
    </row>
    <row r="272" spans="1:22" x14ac:dyDescent="0.25">
      <c r="A272">
        <v>2021</v>
      </c>
      <c r="B272" t="s">
        <v>391</v>
      </c>
      <c r="C272" t="s">
        <v>394</v>
      </c>
      <c r="D272" t="s">
        <v>400</v>
      </c>
      <c r="G272" s="101">
        <v>22</v>
      </c>
      <c r="H272" s="101"/>
      <c r="I272" s="101"/>
      <c r="J272" s="101"/>
      <c r="K272" s="101">
        <v>25</v>
      </c>
      <c r="L272" s="101"/>
      <c r="M272" s="101"/>
      <c r="N272" s="101"/>
      <c r="O272" s="102">
        <f>Aktiv!G292</f>
        <v>17</v>
      </c>
      <c r="P272" s="102" t="str">
        <f>Aktiv!H292</f>
        <v/>
      </c>
      <c r="Q272" s="102" t="str">
        <f>Aktiv!I292</f>
        <v/>
      </c>
      <c r="R272" s="102" t="str">
        <f>Aktiv!J292</f>
        <v/>
      </c>
      <c r="S272" s="103">
        <f t="shared" si="16"/>
        <v>-0.22727272727272729</v>
      </c>
      <c r="T272" s="103" t="str">
        <f t="shared" si="17"/>
        <v/>
      </c>
      <c r="U272" s="103" t="str">
        <f t="shared" si="18"/>
        <v/>
      </c>
      <c r="V272" s="103" t="str">
        <f t="shared" si="19"/>
        <v/>
      </c>
    </row>
    <row r="273" spans="1:22" x14ac:dyDescent="0.25">
      <c r="A273">
        <v>2025</v>
      </c>
      <c r="B273" t="s">
        <v>391</v>
      </c>
      <c r="C273" t="s">
        <v>394</v>
      </c>
      <c r="D273" t="s">
        <v>401</v>
      </c>
      <c r="G273" s="101">
        <v>25</v>
      </c>
      <c r="H273" s="101"/>
      <c r="I273" s="101"/>
      <c r="J273" s="101"/>
      <c r="K273" s="101">
        <v>29</v>
      </c>
      <c r="L273" s="101"/>
      <c r="M273" s="101"/>
      <c r="N273" s="101"/>
      <c r="O273" s="102">
        <f>Aktiv!G293</f>
        <v>19</v>
      </c>
      <c r="P273" s="102" t="str">
        <f>Aktiv!H293</f>
        <v/>
      </c>
      <c r="Q273" s="102" t="str">
        <f>Aktiv!I293</f>
        <v/>
      </c>
      <c r="R273" s="102" t="str">
        <f>Aktiv!J293</f>
        <v/>
      </c>
      <c r="S273" s="103">
        <f t="shared" si="16"/>
        <v>-0.24</v>
      </c>
      <c r="T273" s="103" t="str">
        <f t="shared" si="17"/>
        <v/>
      </c>
      <c r="U273" s="103" t="str">
        <f t="shared" si="18"/>
        <v/>
      </c>
      <c r="V273" s="103" t="str">
        <f t="shared" si="19"/>
        <v/>
      </c>
    </row>
    <row r="274" spans="1:22" x14ac:dyDescent="0.25">
      <c r="A274">
        <v>2030</v>
      </c>
      <c r="B274" t="s">
        <v>391</v>
      </c>
      <c r="C274" t="s">
        <v>394</v>
      </c>
      <c r="D274" t="s">
        <v>402</v>
      </c>
      <c r="G274" s="101">
        <v>25</v>
      </c>
      <c r="H274" s="101"/>
      <c r="I274" s="101"/>
      <c r="J274" s="101"/>
      <c r="K274" s="101">
        <v>29</v>
      </c>
      <c r="L274" s="101"/>
      <c r="M274" s="101"/>
      <c r="N274" s="101"/>
      <c r="O274" s="102">
        <f>Aktiv!G294</f>
        <v>19</v>
      </c>
      <c r="P274" s="102" t="str">
        <f>Aktiv!H294</f>
        <v/>
      </c>
      <c r="Q274" s="102" t="str">
        <f>Aktiv!I294</f>
        <v/>
      </c>
      <c r="R274" s="102" t="str">
        <f>Aktiv!J294</f>
        <v/>
      </c>
      <c r="S274" s="103">
        <f t="shared" si="16"/>
        <v>-0.24</v>
      </c>
      <c r="T274" s="103" t="str">
        <f t="shared" si="17"/>
        <v/>
      </c>
      <c r="U274" s="103" t="str">
        <f t="shared" si="18"/>
        <v/>
      </c>
      <c r="V274" s="103" t="str">
        <f t="shared" si="19"/>
        <v/>
      </c>
    </row>
    <row r="275" spans="1:22" x14ac:dyDescent="0.25">
      <c r="A275">
        <v>2035</v>
      </c>
      <c r="B275" t="s">
        <v>391</v>
      </c>
      <c r="C275" t="s">
        <v>394</v>
      </c>
      <c r="D275" t="s">
        <v>403</v>
      </c>
      <c r="G275" s="101">
        <v>27</v>
      </c>
      <c r="H275" s="101"/>
      <c r="I275" s="101"/>
      <c r="J275" s="101"/>
      <c r="K275" s="101">
        <v>31</v>
      </c>
      <c r="L275" s="101"/>
      <c r="M275" s="101"/>
      <c r="N275" s="101"/>
      <c r="O275" s="102">
        <f>Aktiv!G295</f>
        <v>20</v>
      </c>
      <c r="P275" s="102" t="str">
        <f>Aktiv!H295</f>
        <v/>
      </c>
      <c r="Q275" s="102" t="str">
        <f>Aktiv!I295</f>
        <v/>
      </c>
      <c r="R275" s="102" t="str">
        <f>Aktiv!J295</f>
        <v/>
      </c>
      <c r="S275" s="103">
        <f t="shared" si="16"/>
        <v>-0.2592592592592593</v>
      </c>
      <c r="T275" s="103" t="str">
        <f t="shared" si="17"/>
        <v/>
      </c>
      <c r="U275" s="103" t="str">
        <f t="shared" si="18"/>
        <v/>
      </c>
      <c r="V275" s="103" t="str">
        <f t="shared" si="19"/>
        <v/>
      </c>
    </row>
    <row r="276" spans="1:22" x14ac:dyDescent="0.25">
      <c r="A276">
        <v>2040</v>
      </c>
      <c r="B276" t="s">
        <v>391</v>
      </c>
      <c r="C276" t="s">
        <v>394</v>
      </c>
      <c r="D276" t="s">
        <v>404</v>
      </c>
      <c r="G276" s="101">
        <v>29</v>
      </c>
      <c r="H276" s="101"/>
      <c r="I276" s="101"/>
      <c r="J276" s="101"/>
      <c r="K276" s="101">
        <v>33</v>
      </c>
      <c r="L276" s="101"/>
      <c r="M276" s="101"/>
      <c r="N276" s="101"/>
      <c r="O276" s="102">
        <f>Aktiv!G296</f>
        <v>22</v>
      </c>
      <c r="P276" s="102" t="str">
        <f>Aktiv!H296</f>
        <v/>
      </c>
      <c r="Q276" s="102" t="str">
        <f>Aktiv!I296</f>
        <v/>
      </c>
      <c r="R276" s="102" t="str">
        <f>Aktiv!J296</f>
        <v/>
      </c>
      <c r="S276" s="103">
        <f t="shared" si="16"/>
        <v>-0.24137931034482762</v>
      </c>
      <c r="T276" s="103" t="str">
        <f t="shared" si="17"/>
        <v/>
      </c>
      <c r="U276" s="103" t="str">
        <f t="shared" si="18"/>
        <v/>
      </c>
      <c r="V276" s="103" t="str">
        <f t="shared" si="19"/>
        <v/>
      </c>
    </row>
    <row r="277" spans="1:22" x14ac:dyDescent="0.25">
      <c r="A277">
        <v>2045</v>
      </c>
      <c r="B277" t="s">
        <v>391</v>
      </c>
      <c r="C277" t="s">
        <v>394</v>
      </c>
      <c r="D277" t="s">
        <v>405</v>
      </c>
      <c r="G277" s="101">
        <v>35</v>
      </c>
      <c r="H277" s="101"/>
      <c r="I277" s="101"/>
      <c r="J277" s="101"/>
      <c r="K277" s="101">
        <v>40</v>
      </c>
      <c r="L277" s="101"/>
      <c r="M277" s="101"/>
      <c r="N277" s="101"/>
      <c r="O277" s="102">
        <f>Aktiv!G297</f>
        <v>26</v>
      </c>
      <c r="P277" s="102" t="str">
        <f>Aktiv!H297</f>
        <v/>
      </c>
      <c r="Q277" s="102" t="str">
        <f>Aktiv!I297</f>
        <v/>
      </c>
      <c r="R277" s="102" t="str">
        <f>Aktiv!J297</f>
        <v/>
      </c>
      <c r="S277" s="103">
        <f t="shared" si="16"/>
        <v>-0.25714285714285712</v>
      </c>
      <c r="T277" s="103" t="str">
        <f t="shared" si="17"/>
        <v/>
      </c>
      <c r="U277" s="103" t="str">
        <f t="shared" si="18"/>
        <v/>
      </c>
      <c r="V277" s="103" t="str">
        <f t="shared" si="19"/>
        <v/>
      </c>
    </row>
    <row r="278" spans="1:22" x14ac:dyDescent="0.25">
      <c r="A278">
        <v>2050</v>
      </c>
      <c r="B278" t="s">
        <v>391</v>
      </c>
      <c r="C278" t="s">
        <v>394</v>
      </c>
      <c r="D278" t="s">
        <v>406</v>
      </c>
      <c r="G278" s="101">
        <v>39</v>
      </c>
      <c r="H278" s="101"/>
      <c r="I278" s="101"/>
      <c r="J278" s="101"/>
      <c r="K278" s="101">
        <v>45</v>
      </c>
      <c r="L278" s="101"/>
      <c r="M278" s="101"/>
      <c r="N278" s="101"/>
      <c r="O278" s="102">
        <f>Aktiv!G298</f>
        <v>29</v>
      </c>
      <c r="P278" s="102" t="str">
        <f>Aktiv!H298</f>
        <v/>
      </c>
      <c r="Q278" s="102" t="str">
        <f>Aktiv!I298</f>
        <v/>
      </c>
      <c r="R278" s="102" t="str">
        <f>Aktiv!J298</f>
        <v/>
      </c>
      <c r="S278" s="103">
        <f t="shared" si="16"/>
        <v>-0.25641025641025639</v>
      </c>
      <c r="T278" s="103" t="str">
        <f t="shared" si="17"/>
        <v/>
      </c>
      <c r="U278" s="103" t="str">
        <f t="shared" si="18"/>
        <v/>
      </c>
      <c r="V278" s="103" t="str">
        <f t="shared" si="19"/>
        <v/>
      </c>
    </row>
    <row r="279" spans="1:22" x14ac:dyDescent="0.25">
      <c r="A279">
        <v>2300</v>
      </c>
      <c r="B279" t="s">
        <v>391</v>
      </c>
      <c r="C279" t="s">
        <v>394</v>
      </c>
      <c r="D279" t="s">
        <v>407</v>
      </c>
      <c r="G279" s="101">
        <v>100</v>
      </c>
      <c r="H279" s="101"/>
      <c r="I279" s="101"/>
      <c r="J279" s="101"/>
      <c r="K279" s="101">
        <v>115</v>
      </c>
      <c r="L279" s="101"/>
      <c r="M279" s="101"/>
      <c r="N279" s="101"/>
      <c r="O279" s="102">
        <f>Aktiv!G299</f>
        <v>75</v>
      </c>
      <c r="P279" s="102" t="str">
        <f>Aktiv!H299</f>
        <v/>
      </c>
      <c r="Q279" s="102" t="str">
        <f>Aktiv!I299</f>
        <v/>
      </c>
      <c r="R279" s="102" t="str">
        <f>Aktiv!J299</f>
        <v/>
      </c>
      <c r="S279" s="103">
        <f t="shared" si="16"/>
        <v>-0.25</v>
      </c>
      <c r="T279" s="103" t="str">
        <f t="shared" si="17"/>
        <v/>
      </c>
      <c r="U279" s="103" t="str">
        <f t="shared" si="18"/>
        <v/>
      </c>
      <c r="V279" s="103" t="str">
        <f t="shared" si="19"/>
        <v/>
      </c>
    </row>
    <row r="280" spans="1:22" x14ac:dyDescent="0.25">
      <c r="A280">
        <v>8140</v>
      </c>
      <c r="B280" t="s">
        <v>391</v>
      </c>
      <c r="C280" t="s">
        <v>408</v>
      </c>
      <c r="D280" t="s">
        <v>409</v>
      </c>
      <c r="G280" s="101">
        <v>180</v>
      </c>
      <c r="H280" s="101"/>
      <c r="I280" s="101"/>
      <c r="J280" s="101"/>
      <c r="K280" s="101">
        <v>207</v>
      </c>
      <c r="L280" s="101"/>
      <c r="M280" s="101"/>
      <c r="N280" s="101"/>
      <c r="O280" s="102">
        <f>Aktiv!G300</f>
        <v>144</v>
      </c>
      <c r="P280" s="102" t="str">
        <f>Aktiv!H300</f>
        <v/>
      </c>
      <c r="Q280" s="102" t="str">
        <f>Aktiv!I300</f>
        <v/>
      </c>
      <c r="R280" s="102" t="str">
        <f>Aktiv!J300</f>
        <v/>
      </c>
      <c r="S280" s="103">
        <f t="shared" si="16"/>
        <v>-0.19999999999999996</v>
      </c>
      <c r="T280" s="103" t="str">
        <f t="shared" si="17"/>
        <v/>
      </c>
      <c r="U280" s="103" t="str">
        <f t="shared" si="18"/>
        <v/>
      </c>
      <c r="V280" s="103" t="str">
        <f t="shared" si="19"/>
        <v/>
      </c>
    </row>
    <row r="281" spans="1:22" x14ac:dyDescent="0.25">
      <c r="A281">
        <v>8300</v>
      </c>
      <c r="B281" t="s">
        <v>391</v>
      </c>
      <c r="C281" t="s">
        <v>410</v>
      </c>
      <c r="D281" t="s">
        <v>411</v>
      </c>
      <c r="G281" s="101">
        <v>25</v>
      </c>
      <c r="H281" s="101"/>
      <c r="I281" s="101"/>
      <c r="J281" s="101"/>
      <c r="K281" s="101">
        <v>29</v>
      </c>
      <c r="L281" s="101"/>
      <c r="M281" s="101"/>
      <c r="N281" s="101"/>
      <c r="O281" s="102">
        <f>Aktiv!G301</f>
        <v>20</v>
      </c>
      <c r="P281" s="102" t="str">
        <f>Aktiv!H301</f>
        <v/>
      </c>
      <c r="Q281" s="102" t="str">
        <f>Aktiv!I301</f>
        <v/>
      </c>
      <c r="R281" s="102" t="str">
        <f>Aktiv!J301</f>
        <v/>
      </c>
      <c r="S281" s="103">
        <f t="shared" si="16"/>
        <v>-0.19999999999999996</v>
      </c>
      <c r="T281" s="103" t="str">
        <f t="shared" si="17"/>
        <v/>
      </c>
      <c r="U281" s="103" t="str">
        <f t="shared" si="18"/>
        <v/>
      </c>
      <c r="V281" s="103" t="str">
        <f t="shared" si="19"/>
        <v/>
      </c>
    </row>
    <row r="282" spans="1:22" x14ac:dyDescent="0.25">
      <c r="A282">
        <v>8301</v>
      </c>
      <c r="B282" t="s">
        <v>391</v>
      </c>
      <c r="C282" t="s">
        <v>410</v>
      </c>
      <c r="D282" t="s">
        <v>412</v>
      </c>
      <c r="G282" s="101">
        <v>29</v>
      </c>
      <c r="H282" s="101"/>
      <c r="I282" s="101"/>
      <c r="J282" s="101"/>
      <c r="K282" s="101">
        <v>33</v>
      </c>
      <c r="L282" s="101"/>
      <c r="M282" s="101"/>
      <c r="N282" s="101"/>
      <c r="O282" s="102">
        <f>Aktiv!G302</f>
        <v>23</v>
      </c>
      <c r="P282" s="102" t="str">
        <f>Aktiv!H302</f>
        <v/>
      </c>
      <c r="Q282" s="102" t="str">
        <f>Aktiv!I302</f>
        <v/>
      </c>
      <c r="R282" s="102" t="str">
        <f>Aktiv!J302</f>
        <v/>
      </c>
      <c r="S282" s="103">
        <f t="shared" si="16"/>
        <v>-0.2068965517241379</v>
      </c>
      <c r="T282" s="103" t="str">
        <f t="shared" si="17"/>
        <v/>
      </c>
      <c r="U282" s="103" t="str">
        <f t="shared" si="18"/>
        <v/>
      </c>
      <c r="V282" s="103" t="str">
        <f t="shared" si="19"/>
        <v/>
      </c>
    </row>
    <row r="283" spans="1:22" x14ac:dyDescent="0.25">
      <c r="A283">
        <v>8302</v>
      </c>
      <c r="B283" t="s">
        <v>391</v>
      </c>
      <c r="C283" t="s">
        <v>410</v>
      </c>
      <c r="D283" t="s">
        <v>413</v>
      </c>
      <c r="G283" s="101">
        <v>17</v>
      </c>
      <c r="H283" s="101"/>
      <c r="I283" s="101"/>
      <c r="J283" s="101"/>
      <c r="K283" s="101">
        <v>20</v>
      </c>
      <c r="L283" s="101"/>
      <c r="M283" s="101"/>
      <c r="N283" s="101"/>
      <c r="O283" s="102">
        <f>Aktiv!G303</f>
        <v>14</v>
      </c>
      <c r="P283" s="102" t="str">
        <f>Aktiv!H303</f>
        <v/>
      </c>
      <c r="Q283" s="102" t="str">
        <f>Aktiv!I303</f>
        <v/>
      </c>
      <c r="R283" s="102" t="str">
        <f>Aktiv!J303</f>
        <v/>
      </c>
      <c r="S283" s="103">
        <f t="shared" si="16"/>
        <v>-0.17647058823529416</v>
      </c>
      <c r="T283" s="103" t="str">
        <f t="shared" si="17"/>
        <v/>
      </c>
      <c r="U283" s="103" t="str">
        <f t="shared" si="18"/>
        <v/>
      </c>
      <c r="V283" s="103" t="str">
        <f t="shared" si="19"/>
        <v/>
      </c>
    </row>
    <row r="284" spans="1:22" x14ac:dyDescent="0.25">
      <c r="A284">
        <v>8303</v>
      </c>
      <c r="B284" t="s">
        <v>391</v>
      </c>
      <c r="C284" t="s">
        <v>410</v>
      </c>
      <c r="D284" t="s">
        <v>414</v>
      </c>
      <c r="G284" s="101">
        <v>10</v>
      </c>
      <c r="H284" s="101"/>
      <c r="I284" s="101"/>
      <c r="J284" s="101"/>
      <c r="K284" s="101">
        <v>12</v>
      </c>
      <c r="L284" s="101"/>
      <c r="M284" s="101"/>
      <c r="N284" s="101"/>
      <c r="O284" s="102">
        <f>Aktiv!G304</f>
        <v>8</v>
      </c>
      <c r="P284" s="102" t="str">
        <f>Aktiv!H304</f>
        <v/>
      </c>
      <c r="Q284" s="102" t="str">
        <f>Aktiv!I304</f>
        <v/>
      </c>
      <c r="R284" s="102" t="str">
        <f>Aktiv!J304</f>
        <v/>
      </c>
      <c r="S284" s="103">
        <f t="shared" si="16"/>
        <v>-0.19999999999999996</v>
      </c>
      <c r="T284" s="103" t="str">
        <f t="shared" si="17"/>
        <v/>
      </c>
      <c r="U284" s="103" t="str">
        <f t="shared" si="18"/>
        <v/>
      </c>
      <c r="V284" s="103" t="str">
        <f t="shared" si="19"/>
        <v/>
      </c>
    </row>
    <row r="285" spans="1:22" x14ac:dyDescent="0.25">
      <c r="A285">
        <v>8304</v>
      </c>
      <c r="B285" t="s">
        <v>391</v>
      </c>
      <c r="C285" t="s">
        <v>410</v>
      </c>
      <c r="D285" t="s">
        <v>415</v>
      </c>
      <c r="G285" s="101">
        <v>29</v>
      </c>
      <c r="H285" s="101"/>
      <c r="I285" s="101"/>
      <c r="J285" s="101"/>
      <c r="K285" s="101">
        <v>33</v>
      </c>
      <c r="L285" s="101"/>
      <c r="M285" s="101"/>
      <c r="N285" s="101"/>
      <c r="O285" s="102">
        <f>Aktiv!G305</f>
        <v>23</v>
      </c>
      <c r="P285" s="102" t="str">
        <f>Aktiv!H305</f>
        <v/>
      </c>
      <c r="Q285" s="102" t="str">
        <f>Aktiv!I305</f>
        <v/>
      </c>
      <c r="R285" s="102" t="str">
        <f>Aktiv!J305</f>
        <v/>
      </c>
      <c r="S285" s="103">
        <f t="shared" si="16"/>
        <v>-0.2068965517241379</v>
      </c>
      <c r="T285" s="103" t="str">
        <f t="shared" si="17"/>
        <v/>
      </c>
      <c r="U285" s="103" t="str">
        <f t="shared" si="18"/>
        <v/>
      </c>
      <c r="V285" s="103" t="str">
        <f t="shared" si="19"/>
        <v/>
      </c>
    </row>
    <row r="286" spans="1:22" x14ac:dyDescent="0.25">
      <c r="A286">
        <v>8305</v>
      </c>
      <c r="B286" t="s">
        <v>391</v>
      </c>
      <c r="C286" t="s">
        <v>410</v>
      </c>
      <c r="D286" t="s">
        <v>416</v>
      </c>
      <c r="G286" s="101">
        <v>41</v>
      </c>
      <c r="H286" s="101"/>
      <c r="I286" s="101"/>
      <c r="J286" s="101"/>
      <c r="K286" s="101">
        <v>47</v>
      </c>
      <c r="L286" s="101"/>
      <c r="M286" s="101"/>
      <c r="N286" s="101"/>
      <c r="O286" s="102">
        <f>Aktiv!G306</f>
        <v>33</v>
      </c>
      <c r="P286" s="102" t="str">
        <f>Aktiv!H306</f>
        <v/>
      </c>
      <c r="Q286" s="102" t="str">
        <f>Aktiv!I306</f>
        <v/>
      </c>
      <c r="R286" s="102" t="str">
        <f>Aktiv!J306</f>
        <v/>
      </c>
      <c r="S286" s="103">
        <f t="shared" si="16"/>
        <v>-0.19512195121951215</v>
      </c>
      <c r="T286" s="103" t="str">
        <f t="shared" si="17"/>
        <v/>
      </c>
      <c r="U286" s="103" t="str">
        <f t="shared" si="18"/>
        <v/>
      </c>
      <c r="V286" s="103" t="str">
        <f t="shared" si="19"/>
        <v/>
      </c>
    </row>
    <row r="287" spans="1:22" x14ac:dyDescent="0.25">
      <c r="A287">
        <v>8306</v>
      </c>
      <c r="B287" t="s">
        <v>391</v>
      </c>
      <c r="C287" t="s">
        <v>410</v>
      </c>
      <c r="D287" t="s">
        <v>417</v>
      </c>
      <c r="G287" s="101">
        <v>19</v>
      </c>
      <c r="H287" s="101"/>
      <c r="I287" s="101"/>
      <c r="J287" s="101"/>
      <c r="K287" s="101">
        <v>22</v>
      </c>
      <c r="L287" s="101"/>
      <c r="M287" s="101"/>
      <c r="N287" s="101"/>
      <c r="O287" s="102">
        <f>Aktiv!G307</f>
        <v>15</v>
      </c>
      <c r="P287" s="102" t="str">
        <f>Aktiv!H307</f>
        <v/>
      </c>
      <c r="Q287" s="102" t="str">
        <f>Aktiv!I307</f>
        <v/>
      </c>
      <c r="R287" s="102" t="str">
        <f>Aktiv!J307</f>
        <v/>
      </c>
      <c r="S287" s="103">
        <f t="shared" si="16"/>
        <v>-0.21052631578947367</v>
      </c>
      <c r="T287" s="103" t="str">
        <f t="shared" si="17"/>
        <v/>
      </c>
      <c r="U287" s="103" t="str">
        <f t="shared" si="18"/>
        <v/>
      </c>
      <c r="V287" s="103" t="str">
        <f t="shared" si="19"/>
        <v/>
      </c>
    </row>
    <row r="288" spans="1:22" x14ac:dyDescent="0.25">
      <c r="A288">
        <v>8307</v>
      </c>
      <c r="B288" t="s">
        <v>391</v>
      </c>
      <c r="C288" t="s">
        <v>410</v>
      </c>
      <c r="D288" t="s">
        <v>418</v>
      </c>
      <c r="G288" s="101">
        <v>12</v>
      </c>
      <c r="H288" s="101"/>
      <c r="I288" s="101"/>
      <c r="J288" s="101"/>
      <c r="K288" s="101">
        <v>14</v>
      </c>
      <c r="L288" s="101"/>
      <c r="M288" s="101"/>
      <c r="N288" s="101"/>
      <c r="O288" s="102">
        <f>Aktiv!G308</f>
        <v>10</v>
      </c>
      <c r="P288" s="102" t="str">
        <f>Aktiv!H308</f>
        <v/>
      </c>
      <c r="Q288" s="102" t="str">
        <f>Aktiv!I308</f>
        <v/>
      </c>
      <c r="R288" s="102" t="str">
        <f>Aktiv!J308</f>
        <v/>
      </c>
      <c r="S288" s="103">
        <f t="shared" si="16"/>
        <v>-0.16666666666666663</v>
      </c>
      <c r="T288" s="103" t="str">
        <f t="shared" si="17"/>
        <v/>
      </c>
      <c r="U288" s="103" t="str">
        <f t="shared" si="18"/>
        <v/>
      </c>
      <c r="V288" s="103" t="str">
        <f t="shared" si="19"/>
        <v/>
      </c>
    </row>
    <row r="289" spans="1:22" x14ac:dyDescent="0.25">
      <c r="A289">
        <v>8308</v>
      </c>
      <c r="B289" t="s">
        <v>391</v>
      </c>
      <c r="C289" t="s">
        <v>410</v>
      </c>
      <c r="D289" t="s">
        <v>419</v>
      </c>
      <c r="G289" s="101">
        <v>15</v>
      </c>
      <c r="H289" s="101"/>
      <c r="I289" s="101"/>
      <c r="J289" s="101"/>
      <c r="K289" s="101">
        <v>17</v>
      </c>
      <c r="L289" s="101"/>
      <c r="M289" s="101"/>
      <c r="N289" s="101"/>
      <c r="O289" s="102">
        <f>Aktiv!G309</f>
        <v>12</v>
      </c>
      <c r="P289" s="102" t="str">
        <f>Aktiv!H309</f>
        <v/>
      </c>
      <c r="Q289" s="102" t="str">
        <f>Aktiv!I309</f>
        <v/>
      </c>
      <c r="R289" s="102" t="str">
        <f>Aktiv!J309</f>
        <v/>
      </c>
      <c r="S289" s="103">
        <f t="shared" si="16"/>
        <v>-0.19999999999999996</v>
      </c>
      <c r="T289" s="103" t="str">
        <f t="shared" si="17"/>
        <v/>
      </c>
      <c r="U289" s="103" t="str">
        <f t="shared" si="18"/>
        <v/>
      </c>
      <c r="V289" s="103" t="str">
        <f t="shared" si="19"/>
        <v/>
      </c>
    </row>
    <row r="290" spans="1:22" x14ac:dyDescent="0.25">
      <c r="A290">
        <v>8309</v>
      </c>
      <c r="B290" t="s">
        <v>391</v>
      </c>
      <c r="C290" t="s">
        <v>410</v>
      </c>
      <c r="D290" t="s">
        <v>420</v>
      </c>
      <c r="G290" s="101">
        <v>18</v>
      </c>
      <c r="H290" s="101"/>
      <c r="I290" s="101"/>
      <c r="J290" s="101"/>
      <c r="K290" s="101">
        <v>21</v>
      </c>
      <c r="L290" s="101"/>
      <c r="M290" s="101"/>
      <c r="N290" s="101"/>
      <c r="O290" s="102">
        <f>Aktiv!G310</f>
        <v>14</v>
      </c>
      <c r="P290" s="102" t="str">
        <f>Aktiv!H310</f>
        <v/>
      </c>
      <c r="Q290" s="102" t="str">
        <f>Aktiv!I310</f>
        <v/>
      </c>
      <c r="R290" s="102" t="str">
        <f>Aktiv!J310</f>
        <v/>
      </c>
      <c r="S290" s="103">
        <f t="shared" si="16"/>
        <v>-0.22222222222222221</v>
      </c>
      <c r="T290" s="103" t="str">
        <f t="shared" si="17"/>
        <v/>
      </c>
      <c r="U290" s="103" t="str">
        <f t="shared" si="18"/>
        <v/>
      </c>
      <c r="V290" s="103" t="str">
        <f t="shared" si="19"/>
        <v/>
      </c>
    </row>
    <row r="291" spans="1:22" x14ac:dyDescent="0.25">
      <c r="A291">
        <v>8310</v>
      </c>
      <c r="B291" t="s">
        <v>391</v>
      </c>
      <c r="C291" t="s">
        <v>410</v>
      </c>
      <c r="D291" t="s">
        <v>421</v>
      </c>
      <c r="G291" s="101">
        <v>39</v>
      </c>
      <c r="H291" s="101"/>
      <c r="I291" s="101"/>
      <c r="J291" s="101"/>
      <c r="K291" s="101">
        <v>45</v>
      </c>
      <c r="L291" s="101"/>
      <c r="M291" s="101"/>
      <c r="N291" s="101"/>
      <c r="O291" s="102">
        <f>Aktiv!G311</f>
        <v>31</v>
      </c>
      <c r="P291" s="102" t="str">
        <f>Aktiv!H311</f>
        <v/>
      </c>
      <c r="Q291" s="102" t="str">
        <f>Aktiv!I311</f>
        <v/>
      </c>
      <c r="R291" s="102" t="str">
        <f>Aktiv!J311</f>
        <v/>
      </c>
      <c r="S291" s="103">
        <f t="shared" si="16"/>
        <v>-0.20512820512820518</v>
      </c>
      <c r="T291" s="103" t="str">
        <f t="shared" si="17"/>
        <v/>
      </c>
      <c r="U291" s="103" t="str">
        <f t="shared" si="18"/>
        <v/>
      </c>
      <c r="V291" s="103" t="str">
        <f t="shared" si="19"/>
        <v/>
      </c>
    </row>
    <row r="292" spans="1:22" x14ac:dyDescent="0.25">
      <c r="A292">
        <v>8311</v>
      </c>
      <c r="B292" t="s">
        <v>391</v>
      </c>
      <c r="C292" t="s">
        <v>410</v>
      </c>
      <c r="D292" t="s">
        <v>422</v>
      </c>
      <c r="G292" s="101">
        <v>44</v>
      </c>
      <c r="H292" s="101"/>
      <c r="I292" s="101"/>
      <c r="J292" s="101"/>
      <c r="K292" s="101">
        <v>51</v>
      </c>
      <c r="L292" s="101"/>
      <c r="M292" s="101"/>
      <c r="N292" s="101"/>
      <c r="O292" s="102">
        <f>Aktiv!G312</f>
        <v>35</v>
      </c>
      <c r="P292" s="102" t="str">
        <f>Aktiv!H312</f>
        <v/>
      </c>
      <c r="Q292" s="102" t="str">
        <f>Aktiv!I312</f>
        <v/>
      </c>
      <c r="R292" s="102" t="str">
        <f>Aktiv!J312</f>
        <v/>
      </c>
      <c r="S292" s="103">
        <f t="shared" si="16"/>
        <v>-0.20454545454545459</v>
      </c>
      <c r="T292" s="103" t="str">
        <f t="shared" si="17"/>
        <v/>
      </c>
      <c r="U292" s="103" t="str">
        <f t="shared" si="18"/>
        <v/>
      </c>
      <c r="V292" s="103" t="str">
        <f t="shared" si="19"/>
        <v/>
      </c>
    </row>
    <row r="293" spans="1:22" x14ac:dyDescent="0.25">
      <c r="A293">
        <v>8312</v>
      </c>
      <c r="B293" t="s">
        <v>391</v>
      </c>
      <c r="C293" t="s">
        <v>410</v>
      </c>
      <c r="D293" t="s">
        <v>423</v>
      </c>
      <c r="G293" s="101">
        <v>38</v>
      </c>
      <c r="H293" s="101"/>
      <c r="I293" s="101"/>
      <c r="J293" s="101"/>
      <c r="K293" s="101">
        <v>44</v>
      </c>
      <c r="L293" s="101"/>
      <c r="M293" s="101"/>
      <c r="N293" s="101"/>
      <c r="O293" s="102">
        <f>Aktiv!G313</f>
        <v>30</v>
      </c>
      <c r="P293" s="102" t="str">
        <f>Aktiv!H313</f>
        <v/>
      </c>
      <c r="Q293" s="102" t="str">
        <f>Aktiv!I313</f>
        <v/>
      </c>
      <c r="R293" s="102" t="str">
        <f>Aktiv!J313</f>
        <v/>
      </c>
      <c r="S293" s="103">
        <f t="shared" si="16"/>
        <v>-0.21052631578947367</v>
      </c>
      <c r="T293" s="103" t="str">
        <f t="shared" si="17"/>
        <v/>
      </c>
      <c r="U293" s="103" t="str">
        <f t="shared" si="18"/>
        <v/>
      </c>
      <c r="V293" s="103" t="str">
        <f t="shared" si="19"/>
        <v/>
      </c>
    </row>
    <row r="294" spans="1:22" x14ac:dyDescent="0.25">
      <c r="A294">
        <v>8313</v>
      </c>
      <c r="B294" t="s">
        <v>391</v>
      </c>
      <c r="C294" t="s">
        <v>410</v>
      </c>
      <c r="D294" t="s">
        <v>424</v>
      </c>
      <c r="G294" s="101">
        <v>19</v>
      </c>
      <c r="H294" s="101"/>
      <c r="I294" s="101"/>
      <c r="J294" s="101"/>
      <c r="K294" s="101">
        <v>22</v>
      </c>
      <c r="L294" s="101"/>
      <c r="M294" s="101"/>
      <c r="N294" s="101"/>
      <c r="O294" s="102">
        <f>Aktiv!G314</f>
        <v>15</v>
      </c>
      <c r="P294" s="102" t="str">
        <f>Aktiv!H314</f>
        <v/>
      </c>
      <c r="Q294" s="102" t="str">
        <f>Aktiv!I314</f>
        <v/>
      </c>
      <c r="R294" s="102" t="str">
        <f>Aktiv!J314</f>
        <v/>
      </c>
      <c r="S294" s="103">
        <f t="shared" si="16"/>
        <v>-0.21052631578947367</v>
      </c>
      <c r="T294" s="103" t="str">
        <f t="shared" si="17"/>
        <v/>
      </c>
      <c r="U294" s="103" t="str">
        <f t="shared" si="18"/>
        <v/>
      </c>
      <c r="V294" s="103" t="str">
        <f t="shared" si="19"/>
        <v/>
      </c>
    </row>
    <row r="295" spans="1:22" x14ac:dyDescent="0.25">
      <c r="A295">
        <v>8314</v>
      </c>
      <c r="B295" t="s">
        <v>391</v>
      </c>
      <c r="C295" t="s">
        <v>410</v>
      </c>
      <c r="D295" t="s">
        <v>425</v>
      </c>
      <c r="G295" s="101">
        <v>22</v>
      </c>
      <c r="H295" s="101"/>
      <c r="I295" s="101"/>
      <c r="J295" s="101"/>
      <c r="K295" s="101">
        <v>25</v>
      </c>
      <c r="L295" s="101"/>
      <c r="M295" s="101"/>
      <c r="N295" s="101"/>
      <c r="O295" s="102">
        <f>Aktiv!G315</f>
        <v>18</v>
      </c>
      <c r="P295" s="102" t="str">
        <f>Aktiv!H315</f>
        <v/>
      </c>
      <c r="Q295" s="102" t="str">
        <f>Aktiv!I315</f>
        <v/>
      </c>
      <c r="R295" s="102" t="str">
        <f>Aktiv!J315</f>
        <v/>
      </c>
      <c r="S295" s="103">
        <f t="shared" si="16"/>
        <v>-0.18181818181818177</v>
      </c>
      <c r="T295" s="103" t="str">
        <f t="shared" si="17"/>
        <v/>
      </c>
      <c r="U295" s="103" t="str">
        <f t="shared" si="18"/>
        <v/>
      </c>
      <c r="V295" s="103" t="str">
        <f t="shared" si="19"/>
        <v/>
      </c>
    </row>
    <row r="296" spans="1:22" x14ac:dyDescent="0.25">
      <c r="A296">
        <v>8315</v>
      </c>
      <c r="B296" t="s">
        <v>391</v>
      </c>
      <c r="C296" t="s">
        <v>410</v>
      </c>
      <c r="D296" t="s">
        <v>426</v>
      </c>
      <c r="G296" s="101">
        <v>29</v>
      </c>
      <c r="H296" s="101"/>
      <c r="I296" s="101"/>
      <c r="J296" s="101"/>
      <c r="K296" s="101">
        <v>33</v>
      </c>
      <c r="L296" s="101"/>
      <c r="M296" s="101"/>
      <c r="N296" s="101"/>
      <c r="O296" s="102">
        <f>Aktiv!G316</f>
        <v>23</v>
      </c>
      <c r="P296" s="102" t="str">
        <f>Aktiv!H316</f>
        <v/>
      </c>
      <c r="Q296" s="102" t="str">
        <f>Aktiv!I316</f>
        <v/>
      </c>
      <c r="R296" s="102" t="str">
        <f>Aktiv!J316</f>
        <v/>
      </c>
      <c r="S296" s="103">
        <f t="shared" si="16"/>
        <v>-0.2068965517241379</v>
      </c>
      <c r="T296" s="103" t="str">
        <f t="shared" si="17"/>
        <v/>
      </c>
      <c r="U296" s="103" t="str">
        <f t="shared" si="18"/>
        <v/>
      </c>
      <c r="V296" s="103" t="str">
        <f t="shared" si="19"/>
        <v/>
      </c>
    </row>
    <row r="297" spans="1:22" x14ac:dyDescent="0.25">
      <c r="A297">
        <v>8503</v>
      </c>
      <c r="B297" t="s">
        <v>391</v>
      </c>
      <c r="C297" t="s">
        <v>427</v>
      </c>
      <c r="D297" t="s">
        <v>427</v>
      </c>
      <c r="G297" s="101">
        <v>262</v>
      </c>
      <c r="H297" s="101"/>
      <c r="I297" s="101"/>
      <c r="J297" s="101"/>
      <c r="K297" s="101">
        <v>301</v>
      </c>
      <c r="L297" s="101"/>
      <c r="M297" s="101"/>
      <c r="N297" s="101"/>
      <c r="O297" s="102">
        <f>Aktiv!G317</f>
        <v>210</v>
      </c>
      <c r="P297" s="102" t="str">
        <f>Aktiv!H317</f>
        <v/>
      </c>
      <c r="Q297" s="102" t="str">
        <f>Aktiv!I317</f>
        <v/>
      </c>
      <c r="R297" s="102" t="str">
        <f>Aktiv!J317</f>
        <v/>
      </c>
      <c r="S297" s="103">
        <f t="shared" si="16"/>
        <v>-0.19847328244274809</v>
      </c>
      <c r="T297" s="103" t="str">
        <f t="shared" si="17"/>
        <v/>
      </c>
      <c r="U297" s="103" t="str">
        <f t="shared" si="18"/>
        <v/>
      </c>
      <c r="V297" s="103" t="str">
        <f t="shared" si="19"/>
        <v/>
      </c>
    </row>
    <row r="298" spans="1:22" x14ac:dyDescent="0.25">
      <c r="A298">
        <v>8504</v>
      </c>
      <c r="B298" t="s">
        <v>391</v>
      </c>
      <c r="C298" t="s">
        <v>427</v>
      </c>
      <c r="D298" t="s">
        <v>427</v>
      </c>
      <c r="G298" s="101">
        <v>263</v>
      </c>
      <c r="H298" s="101"/>
      <c r="I298" s="101"/>
      <c r="J298" s="101"/>
      <c r="K298" s="101">
        <v>302</v>
      </c>
      <c r="L298" s="101"/>
      <c r="M298" s="101"/>
      <c r="N298" s="101"/>
      <c r="O298" s="102">
        <f>Aktiv!G318</f>
        <v>210</v>
      </c>
      <c r="P298" s="102" t="str">
        <f>Aktiv!H318</f>
        <v/>
      </c>
      <c r="Q298" s="102" t="str">
        <f>Aktiv!I318</f>
        <v/>
      </c>
      <c r="R298" s="102" t="str">
        <f>Aktiv!J318</f>
        <v/>
      </c>
      <c r="S298" s="103">
        <f t="shared" si="16"/>
        <v>-0.20152091254752846</v>
      </c>
      <c r="T298" s="103" t="str">
        <f t="shared" si="17"/>
        <v/>
      </c>
      <c r="U298" s="103" t="str">
        <f t="shared" si="18"/>
        <v/>
      </c>
      <c r="V298" s="103" t="str">
        <f t="shared" si="19"/>
        <v/>
      </c>
    </row>
    <row r="299" spans="1:22" x14ac:dyDescent="0.25">
      <c r="A299">
        <v>8505</v>
      </c>
      <c r="B299" t="s">
        <v>391</v>
      </c>
      <c r="C299" t="s">
        <v>427</v>
      </c>
      <c r="D299" t="s">
        <v>427</v>
      </c>
      <c r="G299" s="101">
        <v>265</v>
      </c>
      <c r="H299" s="101"/>
      <c r="I299" s="101"/>
      <c r="J299" s="101"/>
      <c r="K299" s="101">
        <v>305</v>
      </c>
      <c r="L299" s="101"/>
      <c r="M299" s="101"/>
      <c r="N299" s="101"/>
      <c r="O299" s="102">
        <f>Aktiv!G319</f>
        <v>212</v>
      </c>
      <c r="P299" s="102" t="str">
        <f>Aktiv!H319</f>
        <v/>
      </c>
      <c r="Q299" s="102" t="str">
        <f>Aktiv!I319</f>
        <v/>
      </c>
      <c r="R299" s="102" t="str">
        <f>Aktiv!J319</f>
        <v/>
      </c>
      <c r="S299" s="103">
        <f t="shared" si="16"/>
        <v>-0.19999999999999996</v>
      </c>
      <c r="T299" s="103" t="str">
        <f t="shared" si="17"/>
        <v/>
      </c>
      <c r="U299" s="103" t="str">
        <f t="shared" si="18"/>
        <v/>
      </c>
      <c r="V299" s="103" t="str">
        <f t="shared" si="19"/>
        <v/>
      </c>
    </row>
    <row r="300" spans="1:22" x14ac:dyDescent="0.25">
      <c r="A300">
        <v>8506</v>
      </c>
      <c r="B300" t="s">
        <v>391</v>
      </c>
      <c r="C300" t="s">
        <v>427</v>
      </c>
      <c r="D300" t="s">
        <v>427</v>
      </c>
      <c r="G300" s="101">
        <v>319</v>
      </c>
      <c r="H300" s="101"/>
      <c r="I300" s="101"/>
      <c r="J300" s="101"/>
      <c r="K300" s="101">
        <v>367</v>
      </c>
      <c r="L300" s="101"/>
      <c r="M300" s="101"/>
      <c r="N300" s="101"/>
      <c r="O300" s="102">
        <f>Aktiv!G320</f>
        <v>255</v>
      </c>
      <c r="P300" s="102" t="str">
        <f>Aktiv!H320</f>
        <v/>
      </c>
      <c r="Q300" s="102" t="str">
        <f>Aktiv!I320</f>
        <v/>
      </c>
      <c r="R300" s="102" t="str">
        <f>Aktiv!J320</f>
        <v/>
      </c>
      <c r="S300" s="103">
        <f t="shared" si="16"/>
        <v>-0.20062695924764895</v>
      </c>
      <c r="T300" s="103" t="str">
        <f t="shared" si="17"/>
        <v/>
      </c>
      <c r="U300" s="103" t="str">
        <f t="shared" si="18"/>
        <v/>
      </c>
      <c r="V300" s="103" t="str">
        <f t="shared" si="19"/>
        <v/>
      </c>
    </row>
    <row r="301" spans="1:22" x14ac:dyDescent="0.25">
      <c r="A301">
        <v>8050</v>
      </c>
      <c r="B301" t="s">
        <v>391</v>
      </c>
      <c r="C301" t="s">
        <v>428</v>
      </c>
      <c r="D301" t="s">
        <v>429</v>
      </c>
      <c r="G301" s="101">
        <v>5</v>
      </c>
      <c r="H301" s="101"/>
      <c r="I301" s="101"/>
      <c r="J301" s="101"/>
      <c r="K301" s="101">
        <v>6</v>
      </c>
      <c r="L301" s="101"/>
      <c r="M301" s="101"/>
      <c r="N301" s="101"/>
      <c r="O301" s="102">
        <f>Aktiv!G321</f>
        <v>4</v>
      </c>
      <c r="P301" s="102" t="str">
        <f>Aktiv!H321</f>
        <v/>
      </c>
      <c r="Q301" s="102" t="str">
        <f>Aktiv!I321</f>
        <v/>
      </c>
      <c r="R301" s="102" t="str">
        <f>Aktiv!J321</f>
        <v/>
      </c>
      <c r="S301" s="103">
        <f t="shared" si="16"/>
        <v>-0.19999999999999996</v>
      </c>
      <c r="T301" s="103" t="str">
        <f t="shared" si="17"/>
        <v/>
      </c>
      <c r="U301" s="103" t="str">
        <f t="shared" si="18"/>
        <v/>
      </c>
      <c r="V301" s="103" t="str">
        <f t="shared" si="19"/>
        <v/>
      </c>
    </row>
    <row r="302" spans="1:22" x14ac:dyDescent="0.25">
      <c r="A302">
        <v>8051</v>
      </c>
      <c r="B302" t="s">
        <v>391</v>
      </c>
      <c r="C302" t="s">
        <v>428</v>
      </c>
      <c r="D302" t="s">
        <v>430</v>
      </c>
      <c r="G302" s="101">
        <v>5</v>
      </c>
      <c r="H302" s="101"/>
      <c r="I302" s="101"/>
      <c r="J302" s="101"/>
      <c r="K302" s="101">
        <v>6</v>
      </c>
      <c r="L302" s="101"/>
      <c r="M302" s="101"/>
      <c r="N302" s="101"/>
      <c r="O302" s="102">
        <f>Aktiv!G322</f>
        <v>4</v>
      </c>
      <c r="P302" s="102" t="str">
        <f>Aktiv!H322</f>
        <v/>
      </c>
      <c r="Q302" s="102" t="str">
        <f>Aktiv!I322</f>
        <v/>
      </c>
      <c r="R302" s="102" t="str">
        <f>Aktiv!J322</f>
        <v/>
      </c>
      <c r="S302" s="103">
        <f t="shared" si="16"/>
        <v>-0.19999999999999996</v>
      </c>
      <c r="T302" s="103" t="str">
        <f t="shared" si="17"/>
        <v/>
      </c>
      <c r="U302" s="103" t="str">
        <f t="shared" si="18"/>
        <v/>
      </c>
      <c r="V302" s="103" t="str">
        <f t="shared" si="19"/>
        <v/>
      </c>
    </row>
    <row r="303" spans="1:22" x14ac:dyDescent="0.25">
      <c r="A303">
        <v>8080</v>
      </c>
      <c r="B303" t="s">
        <v>391</v>
      </c>
      <c r="C303" t="s">
        <v>428</v>
      </c>
      <c r="D303" t="s">
        <v>431</v>
      </c>
      <c r="G303" s="101">
        <v>8</v>
      </c>
      <c r="H303" s="101"/>
      <c r="I303" s="101"/>
      <c r="J303" s="101"/>
      <c r="K303" s="101">
        <v>9</v>
      </c>
      <c r="L303" s="101"/>
      <c r="M303" s="101"/>
      <c r="N303" s="101"/>
      <c r="O303" s="102">
        <f>Aktiv!G323</f>
        <v>6</v>
      </c>
      <c r="P303" s="102" t="str">
        <f>Aktiv!H323</f>
        <v/>
      </c>
      <c r="Q303" s="102" t="str">
        <f>Aktiv!I323</f>
        <v/>
      </c>
      <c r="R303" s="102" t="str">
        <f>Aktiv!J323</f>
        <v/>
      </c>
      <c r="S303" s="103">
        <f t="shared" si="16"/>
        <v>-0.25</v>
      </c>
      <c r="T303" s="103" t="str">
        <f t="shared" si="17"/>
        <v/>
      </c>
      <c r="U303" s="103" t="str">
        <f t="shared" si="18"/>
        <v/>
      </c>
      <c r="V303" s="103" t="str">
        <f t="shared" si="19"/>
        <v/>
      </c>
    </row>
    <row r="304" spans="1:22" x14ac:dyDescent="0.25">
      <c r="A304">
        <v>8081</v>
      </c>
      <c r="B304" t="s">
        <v>391</v>
      </c>
      <c r="C304" t="s">
        <v>428</v>
      </c>
      <c r="D304" t="s">
        <v>432</v>
      </c>
      <c r="G304" s="101">
        <v>6</v>
      </c>
      <c r="H304" s="101"/>
      <c r="I304" s="101"/>
      <c r="J304" s="101"/>
      <c r="K304" s="101">
        <v>7</v>
      </c>
      <c r="L304" s="101"/>
      <c r="M304" s="101"/>
      <c r="N304" s="101"/>
      <c r="O304" s="102">
        <f>Aktiv!G324</f>
        <v>5</v>
      </c>
      <c r="P304" s="102" t="str">
        <f>Aktiv!H324</f>
        <v/>
      </c>
      <c r="Q304" s="102" t="str">
        <f>Aktiv!I324</f>
        <v/>
      </c>
      <c r="R304" s="102" t="str">
        <f>Aktiv!J324</f>
        <v/>
      </c>
      <c r="S304" s="103">
        <f t="shared" si="16"/>
        <v>-0.16666666666666663</v>
      </c>
      <c r="T304" s="103" t="str">
        <f t="shared" si="17"/>
        <v/>
      </c>
      <c r="U304" s="103" t="str">
        <f t="shared" si="18"/>
        <v/>
      </c>
      <c r="V304" s="103" t="str">
        <f t="shared" si="19"/>
        <v/>
      </c>
    </row>
    <row r="305" spans="1:22" x14ac:dyDescent="0.25">
      <c r="A305">
        <v>8152</v>
      </c>
      <c r="B305" t="s">
        <v>391</v>
      </c>
      <c r="C305" t="s">
        <v>428</v>
      </c>
      <c r="D305" t="s">
        <v>433</v>
      </c>
      <c r="G305" s="101">
        <v>70</v>
      </c>
      <c r="H305" s="101"/>
      <c r="I305" s="101"/>
      <c r="J305" s="101"/>
      <c r="K305" s="101">
        <v>81</v>
      </c>
      <c r="L305" s="101"/>
      <c r="M305" s="101"/>
      <c r="N305" s="101"/>
      <c r="O305" s="102">
        <f>Aktiv!G325</f>
        <v>56</v>
      </c>
      <c r="P305" s="102" t="str">
        <f>Aktiv!H325</f>
        <v/>
      </c>
      <c r="Q305" s="102" t="str">
        <f>Aktiv!I325</f>
        <v/>
      </c>
      <c r="R305" s="102" t="str">
        <f>Aktiv!J325</f>
        <v/>
      </c>
      <c r="S305" s="103">
        <f t="shared" si="16"/>
        <v>-0.19999999999999996</v>
      </c>
      <c r="T305" s="103" t="str">
        <f t="shared" si="17"/>
        <v/>
      </c>
      <c r="U305" s="103" t="str">
        <f t="shared" si="18"/>
        <v/>
      </c>
      <c r="V305" s="103" t="str">
        <f t="shared" si="19"/>
        <v/>
      </c>
    </row>
    <row r="306" spans="1:22" x14ac:dyDescent="0.25">
      <c r="A306">
        <v>8411</v>
      </c>
      <c r="B306" t="s">
        <v>391</v>
      </c>
      <c r="C306" t="s">
        <v>434</v>
      </c>
      <c r="D306" t="s">
        <v>435</v>
      </c>
      <c r="G306" s="101">
        <v>500</v>
      </c>
      <c r="H306" s="101"/>
      <c r="I306" s="101"/>
      <c r="J306" s="101"/>
      <c r="K306" s="101">
        <v>575</v>
      </c>
      <c r="L306" s="101"/>
      <c r="M306" s="101"/>
      <c r="N306" s="101"/>
      <c r="O306" s="102">
        <f>Aktiv!G326</f>
        <v>400</v>
      </c>
      <c r="P306" s="102" t="str">
        <f>Aktiv!H326</f>
        <v/>
      </c>
      <c r="Q306" s="102" t="str">
        <f>Aktiv!I326</f>
        <v/>
      </c>
      <c r="R306" s="102" t="str">
        <f>Aktiv!J326</f>
        <v/>
      </c>
      <c r="S306" s="103">
        <f t="shared" si="16"/>
        <v>-0.19999999999999996</v>
      </c>
      <c r="T306" s="103" t="str">
        <f t="shared" si="17"/>
        <v/>
      </c>
      <c r="U306" s="103" t="str">
        <f t="shared" si="18"/>
        <v/>
      </c>
      <c r="V306" s="103" t="str">
        <f t="shared" si="19"/>
        <v/>
      </c>
    </row>
  </sheetData>
  <conditionalFormatting sqref="S2:V306">
    <cfRule type="cellIs" dxfId="24" priority="1" operator="lessThan">
      <formula>0</formula>
    </cfRule>
    <cfRule type="cellIs" dxfId="23" priority="2" operator="greaterThan">
      <formula>0</formula>
    </cfRule>
    <cfRule type="cellIs" dxfId="22" priority="3" operator="equal">
      <formula>0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8FD-8081-4328-9540-F47860102715}">
  <dimension ref="A1:T165"/>
  <sheetViews>
    <sheetView showGridLines="0" zoomScaleNormal="100" workbookViewId="0">
      <pane xSplit="4" ySplit="3" topLeftCell="E18" activePane="bottomRight" state="frozen"/>
      <selection pane="topRight" activeCell="E1" sqref="E1"/>
      <selection pane="bottomLeft" activeCell="A4" sqref="A4"/>
      <selection pane="bottomRight" activeCell="M25" sqref="M25"/>
    </sheetView>
  </sheetViews>
  <sheetFormatPr baseColWidth="10" defaultColWidth="8.7109375" defaultRowHeight="15" customHeight="1" x14ac:dyDescent="0.25"/>
  <cols>
    <col min="1" max="1" width="24" bestFit="1" customWidth="1"/>
    <col min="2" max="2" width="22" customWidth="1"/>
    <col min="3" max="3" width="11.140625" bestFit="1" customWidth="1"/>
    <col min="4" max="4" width="20" customWidth="1"/>
    <col min="5" max="20" width="9" customWidth="1"/>
  </cols>
  <sheetData>
    <row r="1" spans="1:20" ht="30" customHeight="1" x14ac:dyDescent="0.25">
      <c r="A1" s="115" t="s">
        <v>502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</row>
    <row r="2" spans="1:20" x14ac:dyDescent="0.25">
      <c r="A2" s="116" t="s">
        <v>503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</row>
    <row r="3" spans="1:20" ht="18" customHeight="1" x14ac:dyDescent="0.25">
      <c r="A3" s="117" t="s">
        <v>504</v>
      </c>
      <c r="B3" s="117"/>
      <c r="C3" s="117"/>
      <c r="D3" s="117"/>
      <c r="E3" s="118" t="s">
        <v>505</v>
      </c>
      <c r="F3" s="118"/>
      <c r="G3" s="118"/>
      <c r="H3" s="118"/>
      <c r="I3" s="118"/>
      <c r="J3" s="118"/>
      <c r="K3" s="118"/>
      <c r="L3" s="118"/>
      <c r="M3" s="119" t="s">
        <v>506</v>
      </c>
      <c r="N3" s="119"/>
      <c r="O3" s="119"/>
      <c r="P3" s="119"/>
      <c r="Q3" s="119"/>
      <c r="R3" s="119"/>
      <c r="S3" s="119"/>
      <c r="T3" s="119"/>
    </row>
    <row r="4" spans="1:20" ht="18" customHeight="1" x14ac:dyDescent="0.25">
      <c r="A4" s="120" t="s">
        <v>507</v>
      </c>
      <c r="B4" s="120" t="s">
        <v>508</v>
      </c>
      <c r="C4" s="120" t="s">
        <v>76</v>
      </c>
      <c r="D4" s="120" t="s">
        <v>509</v>
      </c>
      <c r="E4" s="121" t="s">
        <v>510</v>
      </c>
      <c r="F4" s="121" t="s">
        <v>511</v>
      </c>
      <c r="G4" s="121" t="s">
        <v>512</v>
      </c>
      <c r="H4" s="121" t="s">
        <v>513</v>
      </c>
      <c r="I4" s="121" t="s">
        <v>514</v>
      </c>
      <c r="J4" s="121" t="s">
        <v>515</v>
      </c>
      <c r="K4" s="121" t="s">
        <v>516</v>
      </c>
      <c r="L4" s="121" t="s">
        <v>517</v>
      </c>
      <c r="M4" s="122" t="s">
        <v>518</v>
      </c>
      <c r="N4" s="122" t="s">
        <v>519</v>
      </c>
      <c r="O4" s="122" t="s">
        <v>520</v>
      </c>
      <c r="P4" s="122" t="s">
        <v>521</v>
      </c>
      <c r="Q4" s="122" t="s">
        <v>522</v>
      </c>
      <c r="R4" s="122" t="s">
        <v>523</v>
      </c>
      <c r="S4" s="122" t="s">
        <v>524</v>
      </c>
      <c r="T4" s="122" t="s">
        <v>525</v>
      </c>
    </row>
    <row r="5" spans="1:20" ht="18" customHeight="1" x14ac:dyDescent="0.25">
      <c r="A5" s="123" t="s">
        <v>526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 spans="1:20" ht="15" customHeight="1" x14ac:dyDescent="0.25">
      <c r="A6" s="124" t="s">
        <v>526</v>
      </c>
      <c r="B6" s="125" t="s">
        <v>527</v>
      </c>
      <c r="C6" s="125" t="s">
        <v>528</v>
      </c>
      <c r="D6" s="125" t="s">
        <v>529</v>
      </c>
      <c r="E6" s="126">
        <v>4</v>
      </c>
      <c r="F6" s="127"/>
      <c r="G6" s="127"/>
      <c r="H6" s="127"/>
      <c r="I6" s="127"/>
      <c r="J6" s="127"/>
      <c r="K6" s="127"/>
      <c r="L6" s="127"/>
      <c r="M6" s="126">
        <v>6</v>
      </c>
      <c r="N6" s="127"/>
      <c r="O6" s="127"/>
      <c r="P6" s="127"/>
      <c r="Q6" s="127"/>
      <c r="R6" s="127"/>
      <c r="S6" s="127"/>
      <c r="T6" s="127"/>
    </row>
    <row r="7" spans="1:20" ht="15" customHeight="1" x14ac:dyDescent="0.25">
      <c r="A7" s="124" t="s">
        <v>526</v>
      </c>
      <c r="B7" s="125" t="s">
        <v>530</v>
      </c>
      <c r="C7" s="125" t="s">
        <v>528</v>
      </c>
      <c r="D7" s="125" t="s">
        <v>531</v>
      </c>
      <c r="E7" s="126">
        <v>67</v>
      </c>
      <c r="F7" s="127"/>
      <c r="G7" s="127"/>
      <c r="H7" s="127"/>
      <c r="I7" s="127"/>
      <c r="J7" s="127"/>
      <c r="K7" s="127"/>
      <c r="L7" s="127"/>
      <c r="M7" s="126">
        <v>99</v>
      </c>
      <c r="N7" s="127"/>
      <c r="O7" s="127"/>
      <c r="P7" s="127"/>
      <c r="Q7" s="127"/>
      <c r="R7" s="127"/>
      <c r="S7" s="127"/>
      <c r="T7" s="127"/>
    </row>
    <row r="8" spans="1:20" ht="15" customHeight="1" x14ac:dyDescent="0.25">
      <c r="A8" s="128" t="s">
        <v>526</v>
      </c>
      <c r="B8" s="129" t="s">
        <v>530</v>
      </c>
      <c r="C8" s="129" t="s">
        <v>528</v>
      </c>
      <c r="D8" s="129" t="s">
        <v>532</v>
      </c>
      <c r="E8" s="130">
        <v>67</v>
      </c>
      <c r="F8" s="131"/>
      <c r="G8" s="131"/>
      <c r="H8" s="131"/>
      <c r="I8" s="131"/>
      <c r="J8" s="131"/>
      <c r="K8" s="131"/>
      <c r="L8" s="131"/>
      <c r="M8" s="130">
        <v>99</v>
      </c>
      <c r="N8" s="131"/>
      <c r="O8" s="131"/>
      <c r="P8" s="131"/>
      <c r="Q8" s="131"/>
      <c r="R8" s="131"/>
      <c r="S8" s="131"/>
      <c r="T8" s="131"/>
    </row>
    <row r="9" spans="1:20" ht="15" customHeight="1" x14ac:dyDescent="0.25">
      <c r="A9" s="124" t="s">
        <v>526</v>
      </c>
      <c r="B9" s="125" t="s">
        <v>533</v>
      </c>
      <c r="C9" s="125" t="s">
        <v>528</v>
      </c>
      <c r="D9" s="125" t="s">
        <v>534</v>
      </c>
      <c r="E9" s="126">
        <v>15</v>
      </c>
      <c r="F9" s="127"/>
      <c r="G9" s="127"/>
      <c r="H9" s="127"/>
      <c r="I9" s="127"/>
      <c r="J9" s="127"/>
      <c r="K9" s="127"/>
      <c r="L9" s="127"/>
      <c r="M9" s="126">
        <v>22</v>
      </c>
      <c r="N9" s="127"/>
      <c r="O9" s="127"/>
      <c r="P9" s="127"/>
      <c r="Q9" s="127"/>
      <c r="R9" s="127"/>
      <c r="S9" s="127"/>
      <c r="T9" s="127"/>
    </row>
    <row r="10" spans="1:20" ht="15" customHeight="1" x14ac:dyDescent="0.25">
      <c r="A10" s="128" t="s">
        <v>526</v>
      </c>
      <c r="B10" s="129" t="s">
        <v>535</v>
      </c>
      <c r="C10" s="129" t="s">
        <v>528</v>
      </c>
      <c r="D10" s="129" t="s">
        <v>536</v>
      </c>
      <c r="E10" s="130">
        <v>15</v>
      </c>
      <c r="F10" s="131"/>
      <c r="G10" s="131"/>
      <c r="H10" s="131"/>
      <c r="I10" s="131"/>
      <c r="J10" s="131"/>
      <c r="K10" s="131"/>
      <c r="L10" s="131"/>
      <c r="M10" s="130">
        <v>22</v>
      </c>
      <c r="N10" s="131"/>
      <c r="O10" s="131"/>
      <c r="P10" s="131"/>
      <c r="Q10" s="131"/>
      <c r="R10" s="131"/>
      <c r="S10" s="131"/>
      <c r="T10" s="131"/>
    </row>
    <row r="11" spans="1:20" ht="15" customHeight="1" x14ac:dyDescent="0.25">
      <c r="A11" s="124" t="s">
        <v>526</v>
      </c>
      <c r="B11" s="125" t="s">
        <v>537</v>
      </c>
      <c r="C11" s="125" t="s">
        <v>528</v>
      </c>
      <c r="D11" s="125" t="s">
        <v>538</v>
      </c>
      <c r="E11" s="126">
        <v>15</v>
      </c>
      <c r="F11" s="127"/>
      <c r="G11" s="127"/>
      <c r="H11" s="127"/>
      <c r="I11" s="127"/>
      <c r="J11" s="127"/>
      <c r="K11" s="127"/>
      <c r="L11" s="127"/>
      <c r="M11" s="126">
        <v>22</v>
      </c>
      <c r="N11" s="127"/>
      <c r="O11" s="127"/>
      <c r="P11" s="127"/>
      <c r="Q11" s="127"/>
      <c r="R11" s="127"/>
      <c r="S11" s="127"/>
      <c r="T11" s="127"/>
    </row>
    <row r="12" spans="1:20" ht="15" customHeight="1" x14ac:dyDescent="0.25">
      <c r="A12" s="128" t="s">
        <v>526</v>
      </c>
      <c r="B12" s="129" t="s">
        <v>539</v>
      </c>
      <c r="C12" s="129" t="s">
        <v>528</v>
      </c>
      <c r="D12" s="129" t="s">
        <v>540</v>
      </c>
      <c r="E12" s="130">
        <v>17</v>
      </c>
      <c r="F12" s="131"/>
      <c r="G12" s="131"/>
      <c r="H12" s="131"/>
      <c r="I12" s="131"/>
      <c r="J12" s="131"/>
      <c r="K12" s="131"/>
      <c r="L12" s="131"/>
      <c r="M12" s="130">
        <v>25</v>
      </c>
      <c r="N12" s="131"/>
      <c r="O12" s="131"/>
      <c r="P12" s="131"/>
      <c r="Q12" s="131"/>
      <c r="R12" s="131"/>
      <c r="S12" s="131"/>
      <c r="T12" s="131"/>
    </row>
    <row r="13" spans="1:20" ht="15" customHeight="1" x14ac:dyDescent="0.25">
      <c r="A13" s="124" t="s">
        <v>526</v>
      </c>
      <c r="B13" s="125" t="s">
        <v>541</v>
      </c>
      <c r="C13" s="125" t="s">
        <v>528</v>
      </c>
      <c r="D13" s="125" t="s">
        <v>542</v>
      </c>
      <c r="E13" s="126">
        <v>20</v>
      </c>
      <c r="F13" s="127"/>
      <c r="G13" s="127"/>
      <c r="H13" s="127"/>
      <c r="I13" s="127"/>
      <c r="J13" s="127"/>
      <c r="K13" s="127"/>
      <c r="L13" s="127"/>
      <c r="M13" s="126">
        <v>29</v>
      </c>
      <c r="N13" s="127"/>
      <c r="O13" s="127"/>
      <c r="P13" s="127"/>
      <c r="Q13" s="127"/>
      <c r="R13" s="127"/>
      <c r="S13" s="127"/>
      <c r="T13" s="127"/>
    </row>
    <row r="14" spans="1:20" ht="15" customHeight="1" x14ac:dyDescent="0.25">
      <c r="A14" s="128" t="s">
        <v>526</v>
      </c>
      <c r="B14" s="129" t="s">
        <v>543</v>
      </c>
      <c r="C14" s="129" t="s">
        <v>528</v>
      </c>
      <c r="D14" s="129" t="s">
        <v>544</v>
      </c>
      <c r="E14" s="130">
        <v>20</v>
      </c>
      <c r="F14" s="131"/>
      <c r="G14" s="131"/>
      <c r="H14" s="131"/>
      <c r="I14" s="131"/>
      <c r="J14" s="131"/>
      <c r="K14" s="131"/>
      <c r="L14" s="131"/>
      <c r="M14" s="130">
        <v>30</v>
      </c>
      <c r="N14" s="131"/>
      <c r="O14" s="131"/>
      <c r="P14" s="131"/>
      <c r="Q14" s="131"/>
      <c r="R14" s="131"/>
      <c r="S14" s="131"/>
      <c r="T14" s="131"/>
    </row>
    <row r="15" spans="1:20" ht="15" customHeight="1" x14ac:dyDescent="0.25">
      <c r="A15" s="124" t="s">
        <v>526</v>
      </c>
      <c r="B15" s="125" t="s">
        <v>545</v>
      </c>
      <c r="C15" s="125" t="s">
        <v>528</v>
      </c>
      <c r="D15" s="125" t="s">
        <v>546</v>
      </c>
      <c r="E15" s="126">
        <v>23</v>
      </c>
      <c r="F15" s="127"/>
      <c r="G15" s="127"/>
      <c r="H15" s="127"/>
      <c r="I15" s="127"/>
      <c r="J15" s="127"/>
      <c r="K15" s="127"/>
      <c r="L15" s="127"/>
      <c r="M15" s="126">
        <v>34</v>
      </c>
      <c r="N15" s="127"/>
      <c r="O15" s="127"/>
      <c r="P15" s="127"/>
      <c r="Q15" s="127"/>
      <c r="R15" s="127"/>
      <c r="S15" s="127"/>
      <c r="T15" s="127"/>
    </row>
    <row r="16" spans="1:20" ht="15" customHeight="1" x14ac:dyDescent="0.25">
      <c r="A16" s="128" t="s">
        <v>526</v>
      </c>
      <c r="B16" s="129" t="s">
        <v>547</v>
      </c>
      <c r="C16" s="129" t="s">
        <v>528</v>
      </c>
      <c r="D16" s="129" t="s">
        <v>548</v>
      </c>
      <c r="E16" s="130">
        <v>24</v>
      </c>
      <c r="F16" s="131"/>
      <c r="G16" s="131"/>
      <c r="H16" s="131"/>
      <c r="I16" s="131"/>
      <c r="J16" s="131"/>
      <c r="K16" s="131"/>
      <c r="L16" s="131"/>
      <c r="M16" s="130">
        <v>36</v>
      </c>
      <c r="N16" s="131"/>
      <c r="O16" s="131"/>
      <c r="P16" s="131"/>
      <c r="Q16" s="131"/>
      <c r="R16" s="131"/>
      <c r="S16" s="131"/>
      <c r="T16" s="131"/>
    </row>
    <row r="17" spans="1:20" ht="15" customHeight="1" x14ac:dyDescent="0.25">
      <c r="A17" s="124" t="s">
        <v>526</v>
      </c>
      <c r="B17" s="125" t="s">
        <v>549</v>
      </c>
      <c r="C17" s="125" t="s">
        <v>528</v>
      </c>
      <c r="D17" s="125" t="s">
        <v>550</v>
      </c>
      <c r="E17" s="126">
        <v>30</v>
      </c>
      <c r="F17" s="127"/>
      <c r="G17" s="127"/>
      <c r="H17" s="127"/>
      <c r="I17" s="127"/>
      <c r="J17" s="127"/>
      <c r="K17" s="127"/>
      <c r="L17" s="127"/>
      <c r="M17" s="126">
        <v>44</v>
      </c>
      <c r="N17" s="127"/>
      <c r="O17" s="127"/>
      <c r="P17" s="127"/>
      <c r="Q17" s="127"/>
      <c r="R17" s="127"/>
      <c r="S17" s="127"/>
      <c r="T17" s="127"/>
    </row>
    <row r="18" spans="1:20" ht="15" customHeight="1" x14ac:dyDescent="0.25">
      <c r="A18" s="128" t="s">
        <v>526</v>
      </c>
      <c r="B18" s="129" t="s">
        <v>551</v>
      </c>
      <c r="C18" s="129" t="s">
        <v>528</v>
      </c>
      <c r="D18" s="129" t="s">
        <v>552</v>
      </c>
      <c r="E18" s="130">
        <v>34</v>
      </c>
      <c r="F18" s="131"/>
      <c r="G18" s="131"/>
      <c r="H18" s="131"/>
      <c r="I18" s="131"/>
      <c r="J18" s="131"/>
      <c r="K18" s="131"/>
      <c r="L18" s="131"/>
      <c r="M18" s="130">
        <v>51</v>
      </c>
      <c r="N18" s="131"/>
      <c r="O18" s="131"/>
      <c r="P18" s="131"/>
      <c r="Q18" s="131"/>
      <c r="R18" s="131"/>
      <c r="S18" s="131"/>
      <c r="T18" s="131"/>
    </row>
    <row r="19" spans="1:20" ht="15" customHeight="1" x14ac:dyDescent="0.25">
      <c r="A19" s="124" t="s">
        <v>526</v>
      </c>
      <c r="B19" s="125" t="s">
        <v>432</v>
      </c>
      <c r="C19" s="125" t="s">
        <v>528</v>
      </c>
      <c r="D19" s="125" t="s">
        <v>553</v>
      </c>
      <c r="E19" s="126">
        <v>4</v>
      </c>
      <c r="F19" s="127"/>
      <c r="G19" s="127"/>
      <c r="H19" s="127"/>
      <c r="I19" s="127"/>
      <c r="J19" s="127"/>
      <c r="K19" s="127"/>
      <c r="L19" s="127"/>
      <c r="M19" s="126">
        <v>6</v>
      </c>
      <c r="N19" s="127"/>
      <c r="O19" s="127"/>
      <c r="P19" s="127"/>
      <c r="Q19" s="127"/>
      <c r="R19" s="127"/>
      <c r="S19" s="127"/>
      <c r="T19" s="127"/>
    </row>
    <row r="20" spans="1:20" ht="15" customHeight="1" x14ac:dyDescent="0.25">
      <c r="A20" s="128" t="s">
        <v>526</v>
      </c>
      <c r="B20" s="129" t="s">
        <v>554</v>
      </c>
      <c r="C20" s="129" t="s">
        <v>528</v>
      </c>
      <c r="D20" s="129" t="s">
        <v>555</v>
      </c>
      <c r="E20" s="130">
        <v>7</v>
      </c>
      <c r="F20" s="131"/>
      <c r="G20" s="131"/>
      <c r="H20" s="131"/>
      <c r="I20" s="131"/>
      <c r="J20" s="131"/>
      <c r="K20" s="131"/>
      <c r="L20" s="131"/>
      <c r="M20" s="130">
        <v>10</v>
      </c>
      <c r="N20" s="131"/>
      <c r="O20" s="131"/>
      <c r="P20" s="131"/>
      <c r="Q20" s="131"/>
      <c r="R20" s="131"/>
      <c r="S20" s="131"/>
      <c r="T20" s="131"/>
    </row>
    <row r="21" spans="1:20" ht="15" customHeight="1" x14ac:dyDescent="0.25">
      <c r="A21" s="124" t="s">
        <v>526</v>
      </c>
      <c r="B21" s="125" t="s">
        <v>556</v>
      </c>
      <c r="C21" s="125" t="s">
        <v>528</v>
      </c>
      <c r="D21" s="125" t="s">
        <v>557</v>
      </c>
      <c r="E21" s="126">
        <v>11</v>
      </c>
      <c r="F21" s="127"/>
      <c r="G21" s="127"/>
      <c r="H21" s="127"/>
      <c r="I21" s="127"/>
      <c r="J21" s="127"/>
      <c r="K21" s="127"/>
      <c r="L21" s="127"/>
      <c r="M21" s="126">
        <v>16</v>
      </c>
      <c r="N21" s="127"/>
      <c r="O21" s="127"/>
      <c r="P21" s="127"/>
      <c r="Q21" s="127"/>
      <c r="R21" s="127"/>
      <c r="S21" s="127"/>
      <c r="T21" s="127"/>
    </row>
    <row r="22" spans="1:20" ht="15" customHeight="1" x14ac:dyDescent="0.25">
      <c r="A22" s="128" t="s">
        <v>526</v>
      </c>
      <c r="B22" s="129" t="s">
        <v>558</v>
      </c>
      <c r="C22" s="129" t="s">
        <v>528</v>
      </c>
      <c r="D22" s="129" t="s">
        <v>553</v>
      </c>
      <c r="E22" s="130">
        <v>1</v>
      </c>
      <c r="F22" s="131"/>
      <c r="G22" s="131"/>
      <c r="H22" s="131"/>
      <c r="I22" s="131"/>
      <c r="J22" s="131"/>
      <c r="K22" s="131"/>
      <c r="L22" s="131"/>
      <c r="M22" s="130">
        <v>1</v>
      </c>
      <c r="N22" s="131"/>
      <c r="O22" s="131"/>
      <c r="P22" s="131"/>
      <c r="Q22" s="131"/>
      <c r="R22" s="131"/>
      <c r="S22" s="131"/>
      <c r="T22" s="131"/>
    </row>
    <row r="23" spans="1:20" ht="3.75" customHeigh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</row>
    <row r="24" spans="1:20" ht="18" customHeight="1" x14ac:dyDescent="0.25">
      <c r="A24" s="123" t="s">
        <v>559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</row>
    <row r="25" spans="1:20" ht="15" customHeight="1" x14ac:dyDescent="0.25">
      <c r="A25" s="133" t="s">
        <v>559</v>
      </c>
      <c r="B25" s="134" t="s">
        <v>91</v>
      </c>
      <c r="C25" s="134" t="s">
        <v>90</v>
      </c>
      <c r="D25" s="134" t="s">
        <v>560</v>
      </c>
      <c r="E25" s="135">
        <v>18</v>
      </c>
      <c r="F25" s="135">
        <v>70</v>
      </c>
      <c r="G25" s="135">
        <v>124</v>
      </c>
      <c r="H25" s="135">
        <v>133</v>
      </c>
      <c r="I25" s="135">
        <v>59</v>
      </c>
      <c r="J25" s="135">
        <v>76</v>
      </c>
      <c r="K25" s="135">
        <v>95</v>
      </c>
      <c r="L25" s="135">
        <v>114</v>
      </c>
      <c r="M25" s="135">
        <v>26</v>
      </c>
      <c r="N25" s="135">
        <v>103</v>
      </c>
      <c r="O25" s="135">
        <v>183</v>
      </c>
      <c r="P25" s="135">
        <v>196</v>
      </c>
      <c r="Q25" s="135">
        <v>88</v>
      </c>
      <c r="R25" s="135">
        <v>112</v>
      </c>
      <c r="S25" s="135">
        <v>140</v>
      </c>
      <c r="T25" s="135">
        <v>168</v>
      </c>
    </row>
    <row r="26" spans="1:20" ht="15" customHeight="1" x14ac:dyDescent="0.25">
      <c r="A26" s="128" t="s">
        <v>559</v>
      </c>
      <c r="B26" s="129" t="s">
        <v>91</v>
      </c>
      <c r="C26" s="129" t="s">
        <v>90</v>
      </c>
      <c r="D26" s="129" t="s">
        <v>561</v>
      </c>
      <c r="E26" s="130">
        <v>21</v>
      </c>
      <c r="F26" s="130">
        <v>75</v>
      </c>
      <c r="G26" s="130">
        <v>125</v>
      </c>
      <c r="H26" s="130">
        <v>135</v>
      </c>
      <c r="I26" s="130">
        <v>61</v>
      </c>
      <c r="J26" s="130">
        <v>80</v>
      </c>
      <c r="K26" s="130">
        <v>100</v>
      </c>
      <c r="L26" s="130">
        <v>120</v>
      </c>
      <c r="M26" s="130">
        <v>31</v>
      </c>
      <c r="N26" s="130">
        <v>111</v>
      </c>
      <c r="O26" s="130">
        <v>185</v>
      </c>
      <c r="P26" s="130">
        <v>199</v>
      </c>
      <c r="Q26" s="130">
        <v>90</v>
      </c>
      <c r="R26" s="130">
        <v>118</v>
      </c>
      <c r="S26" s="130">
        <v>148</v>
      </c>
      <c r="T26" s="130">
        <v>177</v>
      </c>
    </row>
    <row r="27" spans="1:20" ht="15" customHeight="1" x14ac:dyDescent="0.25">
      <c r="A27" s="133" t="s">
        <v>559</v>
      </c>
      <c r="B27" s="134" t="s">
        <v>91</v>
      </c>
      <c r="C27" s="134" t="s">
        <v>90</v>
      </c>
      <c r="D27" s="134" t="s">
        <v>562</v>
      </c>
      <c r="E27" s="135">
        <v>33</v>
      </c>
      <c r="F27" s="135">
        <v>120</v>
      </c>
      <c r="G27" s="135">
        <v>131</v>
      </c>
      <c r="H27" s="135">
        <v>139</v>
      </c>
      <c r="I27" s="135">
        <v>102</v>
      </c>
      <c r="J27" s="135">
        <v>128</v>
      </c>
      <c r="K27" s="135">
        <v>160</v>
      </c>
      <c r="L27" s="135">
        <v>192</v>
      </c>
      <c r="M27" s="135">
        <v>49</v>
      </c>
      <c r="N27" s="135">
        <v>177</v>
      </c>
      <c r="O27" s="135">
        <v>193</v>
      </c>
      <c r="P27" s="135">
        <v>207</v>
      </c>
      <c r="Q27" s="135">
        <v>151</v>
      </c>
      <c r="R27" s="135">
        <v>190</v>
      </c>
      <c r="S27" s="135">
        <v>238</v>
      </c>
      <c r="T27" s="135">
        <v>285</v>
      </c>
    </row>
    <row r="28" spans="1:20" ht="15" customHeight="1" x14ac:dyDescent="0.25">
      <c r="A28" s="128" t="s">
        <v>559</v>
      </c>
      <c r="B28" s="129" t="s">
        <v>91</v>
      </c>
      <c r="C28" s="129" t="s">
        <v>90</v>
      </c>
      <c r="D28" s="129" t="s">
        <v>563</v>
      </c>
      <c r="E28" s="130">
        <v>28</v>
      </c>
      <c r="F28" s="130">
        <v>105</v>
      </c>
      <c r="G28" s="130">
        <v>130</v>
      </c>
      <c r="H28" s="130">
        <v>140</v>
      </c>
      <c r="I28" s="130">
        <v>89</v>
      </c>
      <c r="J28" s="130">
        <v>114</v>
      </c>
      <c r="K28" s="130">
        <v>143</v>
      </c>
      <c r="L28" s="130">
        <v>171</v>
      </c>
      <c r="M28" s="130">
        <v>42</v>
      </c>
      <c r="N28" s="130">
        <v>155</v>
      </c>
      <c r="O28" s="130">
        <v>192</v>
      </c>
      <c r="P28" s="130">
        <v>206</v>
      </c>
      <c r="Q28" s="130">
        <v>131</v>
      </c>
      <c r="R28" s="130">
        <v>169</v>
      </c>
      <c r="S28" s="130">
        <v>211</v>
      </c>
      <c r="T28" s="130">
        <v>254</v>
      </c>
    </row>
    <row r="29" spans="1:20" ht="15" customHeight="1" x14ac:dyDescent="0.25">
      <c r="A29" s="133" t="s">
        <v>559</v>
      </c>
      <c r="B29" s="134" t="s">
        <v>91</v>
      </c>
      <c r="C29" s="134" t="s">
        <v>90</v>
      </c>
      <c r="D29" s="134" t="s">
        <v>564</v>
      </c>
      <c r="E29" s="135">
        <v>46</v>
      </c>
      <c r="F29" s="135">
        <v>155</v>
      </c>
      <c r="G29" s="135">
        <v>135</v>
      </c>
      <c r="H29" s="135">
        <v>151</v>
      </c>
      <c r="I29" s="135">
        <v>129</v>
      </c>
      <c r="J29" s="135">
        <v>169</v>
      </c>
      <c r="K29" s="135">
        <v>211</v>
      </c>
      <c r="L29" s="135">
        <v>254</v>
      </c>
      <c r="M29" s="135">
        <v>68</v>
      </c>
      <c r="N29" s="135">
        <v>230</v>
      </c>
      <c r="O29" s="135">
        <v>199</v>
      </c>
      <c r="P29" s="135">
        <v>223</v>
      </c>
      <c r="Q29" s="135">
        <v>191</v>
      </c>
      <c r="R29" s="135">
        <v>250</v>
      </c>
      <c r="S29" s="135">
        <v>313</v>
      </c>
      <c r="T29" s="135">
        <v>375</v>
      </c>
    </row>
    <row r="30" spans="1:20" ht="15" customHeight="1" x14ac:dyDescent="0.25">
      <c r="A30" s="128" t="s">
        <v>559</v>
      </c>
      <c r="B30" s="129" t="s">
        <v>91</v>
      </c>
      <c r="C30" s="129" t="s">
        <v>90</v>
      </c>
      <c r="D30" s="129" t="s">
        <v>565</v>
      </c>
      <c r="E30" s="130">
        <v>38</v>
      </c>
      <c r="F30" s="130">
        <v>123</v>
      </c>
      <c r="G30" s="130">
        <v>134</v>
      </c>
      <c r="H30" s="130">
        <v>144</v>
      </c>
      <c r="I30" s="130">
        <v>100</v>
      </c>
      <c r="J30" s="130">
        <v>131</v>
      </c>
      <c r="K30" s="130">
        <v>164</v>
      </c>
      <c r="L30" s="130">
        <v>197</v>
      </c>
      <c r="M30" s="130">
        <v>56</v>
      </c>
      <c r="N30" s="130">
        <v>182</v>
      </c>
      <c r="O30" s="130">
        <v>197</v>
      </c>
      <c r="P30" s="130">
        <v>212</v>
      </c>
      <c r="Q30" s="130">
        <v>148</v>
      </c>
      <c r="R30" s="130">
        <v>194</v>
      </c>
      <c r="S30" s="130">
        <v>343</v>
      </c>
      <c r="T30" s="130">
        <v>291</v>
      </c>
    </row>
    <row r="31" spans="1:20" ht="15" customHeight="1" x14ac:dyDescent="0.25">
      <c r="A31" s="133" t="s">
        <v>559</v>
      </c>
      <c r="B31" s="134" t="s">
        <v>91</v>
      </c>
      <c r="C31" s="134" t="s">
        <v>90</v>
      </c>
      <c r="D31" s="134" t="s">
        <v>566</v>
      </c>
      <c r="E31" s="135">
        <v>61</v>
      </c>
      <c r="F31" s="135">
        <v>190</v>
      </c>
      <c r="G31" s="135">
        <v>169</v>
      </c>
      <c r="H31" s="135">
        <v>184</v>
      </c>
      <c r="I31" s="135">
        <v>160</v>
      </c>
      <c r="J31" s="135">
        <v>222</v>
      </c>
      <c r="K31" s="135">
        <v>278</v>
      </c>
      <c r="L31" s="135">
        <v>333</v>
      </c>
      <c r="M31" s="135">
        <v>91</v>
      </c>
      <c r="N31" s="135">
        <v>281</v>
      </c>
      <c r="O31" s="135">
        <v>249</v>
      </c>
      <c r="P31" s="135">
        <v>271</v>
      </c>
      <c r="Q31" s="135">
        <v>237</v>
      </c>
      <c r="R31" s="135">
        <v>329</v>
      </c>
      <c r="S31" s="135">
        <v>411</v>
      </c>
      <c r="T31" s="135">
        <v>494</v>
      </c>
    </row>
    <row r="32" spans="1:20" ht="15" customHeight="1" x14ac:dyDescent="0.25">
      <c r="A32" s="128" t="s">
        <v>559</v>
      </c>
      <c r="B32" s="129" t="s">
        <v>91</v>
      </c>
      <c r="C32" s="129" t="s">
        <v>90</v>
      </c>
      <c r="D32" s="129" t="s">
        <v>567</v>
      </c>
      <c r="E32" s="130">
        <v>48</v>
      </c>
      <c r="F32" s="130">
        <v>151</v>
      </c>
      <c r="G32" s="130">
        <v>148</v>
      </c>
      <c r="H32" s="130">
        <v>159</v>
      </c>
      <c r="I32" s="130">
        <v>122</v>
      </c>
      <c r="J32" s="130">
        <v>158</v>
      </c>
      <c r="K32" s="130">
        <v>198</v>
      </c>
      <c r="L32" s="130">
        <v>237</v>
      </c>
      <c r="M32" s="130">
        <v>71</v>
      </c>
      <c r="N32" s="130">
        <v>224</v>
      </c>
      <c r="O32" s="130">
        <v>218</v>
      </c>
      <c r="P32" s="130">
        <v>235</v>
      </c>
      <c r="Q32" s="130">
        <v>181</v>
      </c>
      <c r="R32" s="130">
        <v>234</v>
      </c>
      <c r="S32" s="130">
        <v>293</v>
      </c>
      <c r="T32" s="130">
        <v>351</v>
      </c>
    </row>
    <row r="33" spans="1:20" ht="15" customHeight="1" x14ac:dyDescent="0.25">
      <c r="A33" s="133" t="s">
        <v>559</v>
      </c>
      <c r="B33" s="134" t="s">
        <v>91</v>
      </c>
      <c r="C33" s="134" t="s">
        <v>90</v>
      </c>
      <c r="D33" s="134" t="s">
        <v>568</v>
      </c>
      <c r="E33" s="135">
        <v>78</v>
      </c>
      <c r="F33" s="135">
        <v>249</v>
      </c>
      <c r="G33" s="135">
        <v>198</v>
      </c>
      <c r="H33" s="135">
        <v>214</v>
      </c>
      <c r="I33" s="135">
        <v>205</v>
      </c>
      <c r="J33" s="135">
        <v>269</v>
      </c>
      <c r="K33" s="135">
        <v>336</v>
      </c>
      <c r="L33" s="135">
        <v>404</v>
      </c>
      <c r="M33" s="135">
        <v>115</v>
      </c>
      <c r="N33" s="135">
        <v>368</v>
      </c>
      <c r="O33" s="135">
        <v>292</v>
      </c>
      <c r="P33" s="135">
        <v>316</v>
      </c>
      <c r="Q33" s="135">
        <v>304</v>
      </c>
      <c r="R33" s="135">
        <v>398</v>
      </c>
      <c r="S33" s="135">
        <v>498</v>
      </c>
      <c r="T33" s="135">
        <v>597</v>
      </c>
    </row>
    <row r="34" spans="1:20" ht="15" customHeight="1" x14ac:dyDescent="0.25">
      <c r="A34" s="128" t="s">
        <v>559</v>
      </c>
      <c r="B34" s="129" t="s">
        <v>569</v>
      </c>
      <c r="C34" s="129" t="s">
        <v>90</v>
      </c>
      <c r="D34" s="129" t="s">
        <v>570</v>
      </c>
      <c r="E34" s="130">
        <v>18</v>
      </c>
      <c r="F34" s="130">
        <v>70</v>
      </c>
      <c r="G34" s="130">
        <v>142</v>
      </c>
      <c r="H34" s="130">
        <v>158</v>
      </c>
      <c r="I34" s="130">
        <v>59</v>
      </c>
      <c r="J34" s="130">
        <v>76</v>
      </c>
      <c r="K34" s="130">
        <v>95</v>
      </c>
      <c r="L34" s="130">
        <v>114</v>
      </c>
      <c r="M34" s="130">
        <v>26</v>
      </c>
      <c r="N34" s="130">
        <v>103</v>
      </c>
      <c r="O34" s="130">
        <v>211</v>
      </c>
      <c r="P34" s="130">
        <v>234</v>
      </c>
      <c r="Q34" s="130">
        <v>88</v>
      </c>
      <c r="R34" s="130">
        <v>112</v>
      </c>
      <c r="S34" s="130">
        <v>140</v>
      </c>
      <c r="T34" s="130">
        <v>168</v>
      </c>
    </row>
    <row r="35" spans="1:20" ht="15" customHeight="1" x14ac:dyDescent="0.25">
      <c r="A35" s="133" t="s">
        <v>559</v>
      </c>
      <c r="B35" s="134" t="s">
        <v>569</v>
      </c>
      <c r="C35" s="134" t="s">
        <v>90</v>
      </c>
      <c r="D35" s="134" t="s">
        <v>571</v>
      </c>
      <c r="E35" s="135">
        <v>35</v>
      </c>
      <c r="F35" s="135">
        <v>120</v>
      </c>
      <c r="G35" s="135">
        <v>150</v>
      </c>
      <c r="H35" s="135">
        <v>166</v>
      </c>
      <c r="I35" s="135">
        <v>99</v>
      </c>
      <c r="J35" s="135">
        <v>130</v>
      </c>
      <c r="K35" s="135">
        <v>162</v>
      </c>
      <c r="L35" s="135">
        <v>195</v>
      </c>
      <c r="M35" s="135">
        <v>52</v>
      </c>
      <c r="N35" s="135">
        <v>178</v>
      </c>
      <c r="O35" s="135">
        <v>221</v>
      </c>
      <c r="P35" s="135">
        <v>246</v>
      </c>
      <c r="Q35" s="135">
        <v>147</v>
      </c>
      <c r="R35" s="135">
        <v>192</v>
      </c>
      <c r="S35" s="135">
        <v>240</v>
      </c>
      <c r="T35" s="135">
        <v>288</v>
      </c>
    </row>
    <row r="36" spans="1:20" ht="15" customHeight="1" x14ac:dyDescent="0.25">
      <c r="A36" s="128" t="s">
        <v>559</v>
      </c>
      <c r="B36" s="129" t="s">
        <v>569</v>
      </c>
      <c r="C36" s="129" t="s">
        <v>90</v>
      </c>
      <c r="D36" s="129" t="s">
        <v>572</v>
      </c>
      <c r="E36" s="130">
        <v>53</v>
      </c>
      <c r="F36" s="130">
        <v>184</v>
      </c>
      <c r="G36" s="130">
        <v>171</v>
      </c>
      <c r="H36" s="130">
        <v>191</v>
      </c>
      <c r="I36" s="130">
        <v>158</v>
      </c>
      <c r="J36" s="130">
        <v>219</v>
      </c>
      <c r="K36" s="130">
        <v>274</v>
      </c>
      <c r="L36" s="130">
        <v>329</v>
      </c>
      <c r="M36" s="130">
        <v>79</v>
      </c>
      <c r="N36" s="130">
        <v>272</v>
      </c>
      <c r="O36" s="130">
        <v>254</v>
      </c>
      <c r="P36" s="130">
        <v>282</v>
      </c>
      <c r="Q36" s="130">
        <v>234</v>
      </c>
      <c r="R36" s="130">
        <v>324</v>
      </c>
      <c r="S36" s="130">
        <v>405</v>
      </c>
      <c r="T36" s="130">
        <v>486</v>
      </c>
    </row>
    <row r="37" spans="1:20" ht="15" customHeight="1" x14ac:dyDescent="0.25">
      <c r="A37" s="133" t="s">
        <v>559</v>
      </c>
      <c r="B37" s="134" t="s">
        <v>569</v>
      </c>
      <c r="C37" s="134" t="s">
        <v>90</v>
      </c>
      <c r="D37" s="134" t="s">
        <v>573</v>
      </c>
      <c r="E37" s="135">
        <v>71</v>
      </c>
      <c r="F37" s="135">
        <v>235</v>
      </c>
      <c r="G37" s="136"/>
      <c r="H37" s="136"/>
      <c r="I37" s="135">
        <v>202</v>
      </c>
      <c r="J37" s="135">
        <v>281</v>
      </c>
      <c r="K37" s="135">
        <v>351</v>
      </c>
      <c r="L37" s="135">
        <v>422</v>
      </c>
      <c r="M37" s="135">
        <v>105</v>
      </c>
      <c r="N37" s="135">
        <v>348</v>
      </c>
      <c r="O37" s="136"/>
      <c r="P37" s="136"/>
      <c r="Q37" s="135">
        <v>299</v>
      </c>
      <c r="R37" s="135">
        <v>416</v>
      </c>
      <c r="S37" s="135">
        <v>520</v>
      </c>
      <c r="T37" s="135">
        <v>624</v>
      </c>
    </row>
    <row r="38" spans="1:20" ht="15" customHeight="1" x14ac:dyDescent="0.25">
      <c r="A38" s="128" t="s">
        <v>559</v>
      </c>
      <c r="B38" s="129" t="s">
        <v>569</v>
      </c>
      <c r="C38" s="129" t="s">
        <v>90</v>
      </c>
      <c r="D38" s="129" t="s">
        <v>574</v>
      </c>
      <c r="E38" s="130">
        <v>89</v>
      </c>
      <c r="F38" s="130">
        <v>287</v>
      </c>
      <c r="G38" s="131"/>
      <c r="H38" s="131"/>
      <c r="I38" s="130">
        <v>248</v>
      </c>
      <c r="J38" s="130">
        <v>343</v>
      </c>
      <c r="K38" s="130">
        <v>428</v>
      </c>
      <c r="L38" s="130">
        <v>515</v>
      </c>
      <c r="M38" s="130">
        <v>131</v>
      </c>
      <c r="N38" s="130">
        <v>425</v>
      </c>
      <c r="O38" s="131"/>
      <c r="P38" s="131"/>
      <c r="Q38" s="130">
        <v>367</v>
      </c>
      <c r="R38" s="130">
        <v>507</v>
      </c>
      <c r="S38" s="130">
        <v>634</v>
      </c>
      <c r="T38" s="130">
        <v>761</v>
      </c>
    </row>
    <row r="39" spans="1:20" ht="15" customHeight="1" x14ac:dyDescent="0.25">
      <c r="A39" s="133" t="s">
        <v>559</v>
      </c>
      <c r="B39" s="134" t="s">
        <v>569</v>
      </c>
      <c r="C39" s="134" t="s">
        <v>90</v>
      </c>
      <c r="D39" s="134" t="s">
        <v>575</v>
      </c>
      <c r="E39" s="135">
        <v>28</v>
      </c>
      <c r="F39" s="135">
        <v>105</v>
      </c>
      <c r="G39" s="135">
        <v>147</v>
      </c>
      <c r="H39" s="135">
        <v>164</v>
      </c>
      <c r="I39" s="135">
        <v>89</v>
      </c>
      <c r="J39" s="135">
        <v>114</v>
      </c>
      <c r="K39" s="135">
        <v>143</v>
      </c>
      <c r="L39" s="135">
        <v>171</v>
      </c>
      <c r="M39" s="135">
        <v>42</v>
      </c>
      <c r="N39" s="135">
        <v>155</v>
      </c>
      <c r="O39" s="135">
        <v>218</v>
      </c>
      <c r="P39" s="135">
        <v>242</v>
      </c>
      <c r="Q39" s="135">
        <v>131</v>
      </c>
      <c r="R39" s="135">
        <v>169</v>
      </c>
      <c r="S39" s="135">
        <v>211</v>
      </c>
      <c r="T39" s="135">
        <v>254</v>
      </c>
    </row>
    <row r="40" spans="1:20" ht="15" customHeight="1" x14ac:dyDescent="0.25">
      <c r="A40" s="128" t="s">
        <v>559</v>
      </c>
      <c r="B40" s="129" t="s">
        <v>569</v>
      </c>
      <c r="C40" s="129" t="s">
        <v>90</v>
      </c>
      <c r="D40" s="129" t="s">
        <v>576</v>
      </c>
      <c r="E40" s="130">
        <v>57</v>
      </c>
      <c r="F40" s="130">
        <v>180</v>
      </c>
      <c r="G40" s="130">
        <v>175</v>
      </c>
      <c r="H40" s="130">
        <v>194</v>
      </c>
      <c r="I40" s="130">
        <v>153</v>
      </c>
      <c r="J40" s="130">
        <v>207</v>
      </c>
      <c r="K40" s="130">
        <v>258</v>
      </c>
      <c r="L40" s="130">
        <v>311</v>
      </c>
      <c r="M40" s="130">
        <v>85</v>
      </c>
      <c r="N40" s="130">
        <v>267</v>
      </c>
      <c r="O40" s="130">
        <v>258</v>
      </c>
      <c r="P40" s="130">
        <v>287</v>
      </c>
      <c r="Q40" s="130">
        <v>226</v>
      </c>
      <c r="R40" s="130">
        <v>306</v>
      </c>
      <c r="S40" s="130">
        <v>383</v>
      </c>
      <c r="T40" s="130">
        <v>459</v>
      </c>
    </row>
    <row r="41" spans="1:20" ht="15" customHeight="1" x14ac:dyDescent="0.25">
      <c r="A41" s="133" t="s">
        <v>559</v>
      </c>
      <c r="B41" s="134" t="s">
        <v>569</v>
      </c>
      <c r="C41" s="134" t="s">
        <v>90</v>
      </c>
      <c r="D41" s="134" t="s">
        <v>577</v>
      </c>
      <c r="E41" s="135">
        <v>85</v>
      </c>
      <c r="F41" s="135">
        <v>266</v>
      </c>
      <c r="G41" s="135">
        <v>221</v>
      </c>
      <c r="H41" s="135">
        <v>246</v>
      </c>
      <c r="I41" s="135">
        <v>216</v>
      </c>
      <c r="J41" s="135">
        <v>309</v>
      </c>
      <c r="K41" s="135">
        <v>387</v>
      </c>
      <c r="L41" s="135">
        <v>464</v>
      </c>
      <c r="M41" s="135">
        <v>126</v>
      </c>
      <c r="N41" s="135">
        <v>394</v>
      </c>
      <c r="O41" s="135">
        <v>328</v>
      </c>
      <c r="P41" s="135">
        <v>364</v>
      </c>
      <c r="Q41" s="135">
        <v>320</v>
      </c>
      <c r="R41" s="135">
        <v>458</v>
      </c>
      <c r="S41" s="135">
        <v>573</v>
      </c>
      <c r="T41" s="135">
        <v>687</v>
      </c>
    </row>
    <row r="42" spans="1:20" ht="15" customHeight="1" x14ac:dyDescent="0.25">
      <c r="A42" s="128" t="s">
        <v>559</v>
      </c>
      <c r="B42" s="129" t="s">
        <v>569</v>
      </c>
      <c r="C42" s="129" t="s">
        <v>90</v>
      </c>
      <c r="D42" s="129" t="s">
        <v>578</v>
      </c>
      <c r="E42" s="130">
        <v>114</v>
      </c>
      <c r="F42" s="130">
        <v>349</v>
      </c>
      <c r="G42" s="131"/>
      <c r="H42" s="131"/>
      <c r="I42" s="130">
        <v>290</v>
      </c>
      <c r="J42" s="130">
        <v>403</v>
      </c>
      <c r="K42" s="130">
        <v>504</v>
      </c>
      <c r="L42" s="130">
        <v>605</v>
      </c>
      <c r="M42" s="130">
        <v>168</v>
      </c>
      <c r="N42" s="130">
        <v>516</v>
      </c>
      <c r="O42" s="131"/>
      <c r="P42" s="131"/>
      <c r="Q42" s="130">
        <v>429</v>
      </c>
      <c r="R42" s="130">
        <v>597</v>
      </c>
      <c r="S42" s="130">
        <v>746</v>
      </c>
      <c r="T42" s="130">
        <v>896</v>
      </c>
    </row>
    <row r="43" spans="1:20" ht="15" customHeight="1" x14ac:dyDescent="0.25">
      <c r="A43" s="133" t="s">
        <v>559</v>
      </c>
      <c r="B43" s="134" t="s">
        <v>569</v>
      </c>
      <c r="C43" s="134" t="s">
        <v>90</v>
      </c>
      <c r="D43" s="134" t="s">
        <v>579</v>
      </c>
      <c r="E43" s="135">
        <v>143</v>
      </c>
      <c r="F43" s="135">
        <v>424</v>
      </c>
      <c r="G43" s="136"/>
      <c r="H43" s="136"/>
      <c r="I43" s="135">
        <v>340</v>
      </c>
      <c r="J43" s="135">
        <v>495</v>
      </c>
      <c r="K43" s="135">
        <v>619</v>
      </c>
      <c r="L43" s="135">
        <v>743</v>
      </c>
      <c r="M43" s="135">
        <v>211</v>
      </c>
      <c r="N43" s="135">
        <v>627</v>
      </c>
      <c r="O43" s="136"/>
      <c r="P43" s="136"/>
      <c r="Q43" s="135">
        <v>503</v>
      </c>
      <c r="R43" s="135">
        <v>733</v>
      </c>
      <c r="S43" s="135">
        <v>916</v>
      </c>
      <c r="T43" s="135">
        <v>1100</v>
      </c>
    </row>
    <row r="44" spans="1:20" ht="3.75" customHeight="1" x14ac:dyDescent="0.25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</row>
    <row r="45" spans="1:20" ht="18" customHeight="1" x14ac:dyDescent="0.25">
      <c r="A45" s="123" t="s">
        <v>170</v>
      </c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</row>
    <row r="46" spans="1:20" ht="15" customHeight="1" x14ac:dyDescent="0.25">
      <c r="A46" s="128" t="s">
        <v>170</v>
      </c>
      <c r="B46" s="129" t="s">
        <v>580</v>
      </c>
      <c r="C46" s="129" t="s">
        <v>90</v>
      </c>
      <c r="D46" s="129" t="s">
        <v>581</v>
      </c>
      <c r="E46" s="130">
        <v>21</v>
      </c>
      <c r="F46" s="130">
        <v>75</v>
      </c>
      <c r="G46" s="130">
        <v>143</v>
      </c>
      <c r="H46" s="130">
        <v>159</v>
      </c>
      <c r="I46" s="130">
        <v>61</v>
      </c>
      <c r="J46" s="130">
        <v>80</v>
      </c>
      <c r="K46" s="130">
        <v>100</v>
      </c>
      <c r="L46" s="130">
        <v>120</v>
      </c>
      <c r="M46" s="130">
        <v>31</v>
      </c>
      <c r="N46" s="130">
        <v>111</v>
      </c>
      <c r="O46" s="130">
        <v>212</v>
      </c>
      <c r="P46" s="130">
        <v>235</v>
      </c>
      <c r="Q46" s="130">
        <v>90</v>
      </c>
      <c r="R46" s="130">
        <v>118</v>
      </c>
      <c r="S46" s="130">
        <v>148</v>
      </c>
      <c r="T46" s="130">
        <v>177</v>
      </c>
    </row>
    <row r="47" spans="1:20" ht="15" customHeight="1" x14ac:dyDescent="0.25">
      <c r="A47" s="137" t="s">
        <v>170</v>
      </c>
      <c r="B47" s="138" t="s">
        <v>580</v>
      </c>
      <c r="C47" s="138" t="s">
        <v>90</v>
      </c>
      <c r="D47" s="138" t="s">
        <v>582</v>
      </c>
      <c r="E47" s="139">
        <v>41</v>
      </c>
      <c r="F47" s="139">
        <v>143</v>
      </c>
      <c r="G47" s="139">
        <v>150</v>
      </c>
      <c r="H47" s="139">
        <v>167</v>
      </c>
      <c r="I47" s="139">
        <v>116</v>
      </c>
      <c r="J47" s="139">
        <v>155</v>
      </c>
      <c r="K47" s="139">
        <v>194</v>
      </c>
      <c r="L47" s="139">
        <v>233</v>
      </c>
      <c r="M47" s="139">
        <v>61</v>
      </c>
      <c r="N47" s="139">
        <v>211</v>
      </c>
      <c r="O47" s="139">
        <v>222</v>
      </c>
      <c r="P47" s="139">
        <v>247</v>
      </c>
      <c r="Q47" s="139">
        <v>172</v>
      </c>
      <c r="R47" s="139">
        <v>230</v>
      </c>
      <c r="S47" s="139">
        <v>288</v>
      </c>
      <c r="T47" s="139">
        <v>345</v>
      </c>
    </row>
    <row r="48" spans="1:20" ht="15" customHeight="1" x14ac:dyDescent="0.25">
      <c r="A48" s="128" t="s">
        <v>170</v>
      </c>
      <c r="B48" s="129" t="s">
        <v>580</v>
      </c>
      <c r="C48" s="129" t="s">
        <v>90</v>
      </c>
      <c r="D48" s="129" t="s">
        <v>583</v>
      </c>
      <c r="E48" s="130">
        <v>62</v>
      </c>
      <c r="F48" s="130">
        <v>211</v>
      </c>
      <c r="G48" s="130">
        <v>185</v>
      </c>
      <c r="H48" s="130">
        <v>205</v>
      </c>
      <c r="I48" s="130">
        <v>172</v>
      </c>
      <c r="J48" s="130">
        <v>231</v>
      </c>
      <c r="K48" s="130">
        <v>289</v>
      </c>
      <c r="L48" s="130">
        <v>347</v>
      </c>
      <c r="M48" s="130">
        <v>92</v>
      </c>
      <c r="N48" s="130">
        <v>313</v>
      </c>
      <c r="O48" s="130">
        <v>274</v>
      </c>
      <c r="P48" s="130">
        <v>304</v>
      </c>
      <c r="Q48" s="130">
        <v>255</v>
      </c>
      <c r="R48" s="130">
        <v>342</v>
      </c>
      <c r="S48" s="130">
        <v>428</v>
      </c>
      <c r="T48" s="130">
        <v>513</v>
      </c>
    </row>
    <row r="49" spans="1:20" ht="15" customHeight="1" x14ac:dyDescent="0.25">
      <c r="A49" s="137" t="s">
        <v>170</v>
      </c>
      <c r="B49" s="138" t="s">
        <v>580</v>
      </c>
      <c r="C49" s="138" t="s">
        <v>90</v>
      </c>
      <c r="D49" s="138" t="s">
        <v>584</v>
      </c>
      <c r="E49" s="139">
        <v>82</v>
      </c>
      <c r="F49" s="139">
        <v>257</v>
      </c>
      <c r="G49" s="140"/>
      <c r="H49" s="139">
        <v>240</v>
      </c>
      <c r="I49" s="139">
        <v>209</v>
      </c>
      <c r="J49" s="139">
        <v>298</v>
      </c>
      <c r="K49" s="139">
        <v>372</v>
      </c>
      <c r="L49" s="139">
        <v>447</v>
      </c>
      <c r="M49" s="139">
        <v>122</v>
      </c>
      <c r="N49" s="139">
        <v>380</v>
      </c>
      <c r="O49" s="140"/>
      <c r="P49" s="140"/>
      <c r="Q49" s="139">
        <v>309</v>
      </c>
      <c r="R49" s="139">
        <v>441</v>
      </c>
      <c r="S49" s="139">
        <v>551</v>
      </c>
      <c r="T49" s="139">
        <v>662</v>
      </c>
    </row>
    <row r="50" spans="1:20" ht="15" customHeight="1" x14ac:dyDescent="0.25">
      <c r="A50" s="128" t="s">
        <v>170</v>
      </c>
      <c r="B50" s="129" t="s">
        <v>580</v>
      </c>
      <c r="C50" s="129" t="s">
        <v>90</v>
      </c>
      <c r="D50" s="129" t="s">
        <v>585</v>
      </c>
      <c r="E50" s="130">
        <v>103</v>
      </c>
      <c r="F50" s="130">
        <v>313</v>
      </c>
      <c r="G50" s="131"/>
      <c r="H50" s="131"/>
      <c r="I50" s="130">
        <v>253</v>
      </c>
      <c r="J50" s="130">
        <v>366</v>
      </c>
      <c r="K50" s="130">
        <v>458</v>
      </c>
      <c r="L50" s="130">
        <v>549</v>
      </c>
      <c r="M50" s="130">
        <v>153</v>
      </c>
      <c r="N50" s="130">
        <v>463</v>
      </c>
      <c r="O50" s="131"/>
      <c r="P50" s="131"/>
      <c r="Q50" s="130">
        <v>374</v>
      </c>
      <c r="R50" s="130">
        <v>542</v>
      </c>
      <c r="S50" s="130">
        <v>678</v>
      </c>
      <c r="T50" s="130">
        <v>813</v>
      </c>
    </row>
    <row r="51" spans="1:20" ht="15" customHeight="1" x14ac:dyDescent="0.25">
      <c r="A51" s="137" t="s">
        <v>170</v>
      </c>
      <c r="B51" s="138" t="s">
        <v>580</v>
      </c>
      <c r="C51" s="138" t="s">
        <v>90</v>
      </c>
      <c r="D51" s="138" t="s">
        <v>575</v>
      </c>
      <c r="E51" s="139">
        <v>28</v>
      </c>
      <c r="F51" s="139">
        <v>105</v>
      </c>
      <c r="G51" s="139">
        <v>147</v>
      </c>
      <c r="H51" s="139">
        <v>164</v>
      </c>
      <c r="I51" s="139">
        <v>89</v>
      </c>
      <c r="J51" s="139">
        <v>114</v>
      </c>
      <c r="K51" s="139">
        <v>143</v>
      </c>
      <c r="L51" s="139">
        <v>171</v>
      </c>
      <c r="M51" s="139">
        <v>42</v>
      </c>
      <c r="N51" s="139">
        <v>155</v>
      </c>
      <c r="O51" s="139">
        <v>218</v>
      </c>
      <c r="P51" s="139">
        <v>242</v>
      </c>
      <c r="Q51" s="139">
        <v>131</v>
      </c>
      <c r="R51" s="139">
        <v>169</v>
      </c>
      <c r="S51" s="139">
        <v>211</v>
      </c>
      <c r="T51" s="139">
        <v>254</v>
      </c>
    </row>
    <row r="52" spans="1:20" ht="15" customHeight="1" x14ac:dyDescent="0.25">
      <c r="A52" s="128" t="s">
        <v>170</v>
      </c>
      <c r="B52" s="129" t="s">
        <v>580</v>
      </c>
      <c r="C52" s="129" t="s">
        <v>90</v>
      </c>
      <c r="D52" s="129" t="s">
        <v>576</v>
      </c>
      <c r="E52" s="130">
        <v>57</v>
      </c>
      <c r="F52" s="130">
        <v>180</v>
      </c>
      <c r="G52" s="130">
        <v>175</v>
      </c>
      <c r="H52" s="130">
        <v>194</v>
      </c>
      <c r="I52" s="130">
        <v>153</v>
      </c>
      <c r="J52" s="130">
        <v>207</v>
      </c>
      <c r="K52" s="130">
        <v>258</v>
      </c>
      <c r="L52" s="130">
        <v>311</v>
      </c>
      <c r="M52" s="130">
        <v>85</v>
      </c>
      <c r="N52" s="130">
        <v>267</v>
      </c>
      <c r="O52" s="130">
        <v>258</v>
      </c>
      <c r="P52" s="130">
        <v>287</v>
      </c>
      <c r="Q52" s="130">
        <v>226</v>
      </c>
      <c r="R52" s="130">
        <v>306</v>
      </c>
      <c r="S52" s="130">
        <v>383</v>
      </c>
      <c r="T52" s="130">
        <v>459</v>
      </c>
    </row>
    <row r="53" spans="1:20" ht="15" customHeight="1" x14ac:dyDescent="0.25">
      <c r="A53" s="137" t="s">
        <v>170</v>
      </c>
      <c r="B53" s="138" t="s">
        <v>580</v>
      </c>
      <c r="C53" s="138" t="s">
        <v>90</v>
      </c>
      <c r="D53" s="138" t="s">
        <v>577</v>
      </c>
      <c r="E53" s="139">
        <v>85</v>
      </c>
      <c r="F53" s="139">
        <v>266</v>
      </c>
      <c r="G53" s="139">
        <v>221</v>
      </c>
      <c r="H53" s="139">
        <v>246</v>
      </c>
      <c r="I53" s="139">
        <v>216</v>
      </c>
      <c r="J53" s="139">
        <v>309</v>
      </c>
      <c r="K53" s="139">
        <v>387</v>
      </c>
      <c r="L53" s="139">
        <v>464</v>
      </c>
      <c r="M53" s="139">
        <v>126</v>
      </c>
      <c r="N53" s="139">
        <v>394</v>
      </c>
      <c r="O53" s="139">
        <v>328</v>
      </c>
      <c r="P53" s="139">
        <v>364</v>
      </c>
      <c r="Q53" s="139">
        <v>320</v>
      </c>
      <c r="R53" s="139">
        <v>458</v>
      </c>
      <c r="S53" s="139">
        <v>573</v>
      </c>
      <c r="T53" s="139">
        <v>687</v>
      </c>
    </row>
    <row r="54" spans="1:20" ht="15" customHeight="1" x14ac:dyDescent="0.25">
      <c r="A54" s="128" t="s">
        <v>170</v>
      </c>
      <c r="B54" s="129" t="s">
        <v>580</v>
      </c>
      <c r="C54" s="129" t="s">
        <v>90</v>
      </c>
      <c r="D54" s="129" t="s">
        <v>578</v>
      </c>
      <c r="E54" s="130">
        <v>114</v>
      </c>
      <c r="F54" s="130">
        <v>345</v>
      </c>
      <c r="G54" s="131"/>
      <c r="H54" s="131"/>
      <c r="I54" s="130">
        <v>278</v>
      </c>
      <c r="J54" s="130">
        <v>403</v>
      </c>
      <c r="K54" s="130">
        <v>504</v>
      </c>
      <c r="L54" s="130">
        <v>605</v>
      </c>
      <c r="M54" s="130">
        <v>168</v>
      </c>
      <c r="N54" s="130">
        <v>510</v>
      </c>
      <c r="O54" s="131"/>
      <c r="P54" s="131"/>
      <c r="Q54" s="130">
        <v>412</v>
      </c>
      <c r="R54" s="130">
        <v>597</v>
      </c>
      <c r="S54" s="130">
        <v>746</v>
      </c>
      <c r="T54" s="130">
        <v>896</v>
      </c>
    </row>
    <row r="55" spans="1:20" ht="15" customHeight="1" x14ac:dyDescent="0.25">
      <c r="A55" s="137" t="s">
        <v>170</v>
      </c>
      <c r="B55" s="138" t="s">
        <v>580</v>
      </c>
      <c r="C55" s="138" t="s">
        <v>90</v>
      </c>
      <c r="D55" s="138" t="s">
        <v>579</v>
      </c>
      <c r="E55" s="139">
        <v>143</v>
      </c>
      <c r="F55" s="139">
        <v>424</v>
      </c>
      <c r="G55" s="140"/>
      <c r="H55" s="140"/>
      <c r="I55" s="139">
        <v>340</v>
      </c>
      <c r="J55" s="139">
        <v>495</v>
      </c>
      <c r="K55" s="139">
        <v>619</v>
      </c>
      <c r="L55" s="139">
        <v>743</v>
      </c>
      <c r="M55" s="139">
        <v>211</v>
      </c>
      <c r="N55" s="139">
        <v>627</v>
      </c>
      <c r="O55" s="140"/>
      <c r="P55" s="140"/>
      <c r="Q55" s="139">
        <v>503</v>
      </c>
      <c r="R55" s="139">
        <v>733</v>
      </c>
      <c r="S55" s="139">
        <v>916</v>
      </c>
      <c r="T55" s="139">
        <v>1100</v>
      </c>
    </row>
    <row r="56" spans="1:20" ht="15" customHeight="1" x14ac:dyDescent="0.25">
      <c r="A56" s="128" t="s">
        <v>170</v>
      </c>
      <c r="B56" s="129" t="s">
        <v>580</v>
      </c>
      <c r="C56" s="129" t="s">
        <v>90</v>
      </c>
      <c r="D56" s="129" t="s">
        <v>586</v>
      </c>
      <c r="E56" s="130">
        <v>38</v>
      </c>
      <c r="F56" s="130">
        <v>123</v>
      </c>
      <c r="G56" s="130">
        <v>150</v>
      </c>
      <c r="H56" s="130">
        <v>167</v>
      </c>
      <c r="I56" s="130">
        <v>100</v>
      </c>
      <c r="J56" s="130">
        <v>130</v>
      </c>
      <c r="K56" s="130">
        <v>162</v>
      </c>
      <c r="L56" s="130">
        <v>195</v>
      </c>
      <c r="M56" s="130">
        <v>56</v>
      </c>
      <c r="N56" s="130">
        <v>182</v>
      </c>
      <c r="O56" s="130">
        <v>222</v>
      </c>
      <c r="P56" s="130">
        <v>247</v>
      </c>
      <c r="Q56" s="130">
        <v>148</v>
      </c>
      <c r="R56" s="130">
        <v>192</v>
      </c>
      <c r="S56" s="130">
        <v>240</v>
      </c>
      <c r="T56" s="130">
        <v>288</v>
      </c>
    </row>
    <row r="57" spans="1:20" ht="15" customHeight="1" x14ac:dyDescent="0.25">
      <c r="A57" s="137" t="s">
        <v>170</v>
      </c>
      <c r="B57" s="138" t="s">
        <v>580</v>
      </c>
      <c r="C57" s="138" t="s">
        <v>90</v>
      </c>
      <c r="D57" s="138" t="s">
        <v>587</v>
      </c>
      <c r="E57" s="139">
        <v>76</v>
      </c>
      <c r="F57" s="139">
        <v>249</v>
      </c>
      <c r="G57" s="139">
        <v>192</v>
      </c>
      <c r="H57" s="139">
        <v>214</v>
      </c>
      <c r="I57" s="139">
        <v>199</v>
      </c>
      <c r="J57" s="139">
        <v>270</v>
      </c>
      <c r="K57" s="139">
        <v>338</v>
      </c>
      <c r="L57" s="139">
        <v>405</v>
      </c>
      <c r="M57" s="139">
        <v>113</v>
      </c>
      <c r="N57" s="139">
        <v>368</v>
      </c>
      <c r="O57" s="139">
        <v>284</v>
      </c>
      <c r="P57" s="139">
        <v>316</v>
      </c>
      <c r="Q57" s="139">
        <v>295</v>
      </c>
      <c r="R57" s="139">
        <v>400</v>
      </c>
      <c r="S57" s="139">
        <v>500</v>
      </c>
      <c r="T57" s="139">
        <v>600</v>
      </c>
    </row>
    <row r="58" spans="1:20" ht="15" customHeight="1" x14ac:dyDescent="0.25">
      <c r="A58" s="128" t="s">
        <v>170</v>
      </c>
      <c r="B58" s="129" t="s">
        <v>580</v>
      </c>
      <c r="C58" s="129" t="s">
        <v>90</v>
      </c>
      <c r="D58" s="129" t="s">
        <v>588</v>
      </c>
      <c r="E58" s="130">
        <v>116</v>
      </c>
      <c r="F58" s="130">
        <v>370</v>
      </c>
      <c r="G58" s="130">
        <v>279</v>
      </c>
      <c r="H58" s="130">
        <v>309</v>
      </c>
      <c r="I58" s="130">
        <v>297</v>
      </c>
      <c r="J58" s="130">
        <v>404</v>
      </c>
      <c r="K58" s="130">
        <v>505</v>
      </c>
      <c r="L58" s="130">
        <v>606</v>
      </c>
      <c r="M58" s="130">
        <v>171</v>
      </c>
      <c r="N58" s="130">
        <v>547</v>
      </c>
      <c r="O58" s="130">
        <v>412</v>
      </c>
      <c r="P58" s="130">
        <v>458</v>
      </c>
      <c r="Q58" s="130">
        <v>439</v>
      </c>
      <c r="R58" s="130">
        <v>598</v>
      </c>
      <c r="S58" s="130">
        <v>748</v>
      </c>
      <c r="T58" s="130">
        <v>897</v>
      </c>
    </row>
    <row r="59" spans="1:20" ht="15" customHeight="1" x14ac:dyDescent="0.25">
      <c r="A59" s="137" t="s">
        <v>170</v>
      </c>
      <c r="B59" s="138" t="s">
        <v>580</v>
      </c>
      <c r="C59" s="138" t="s">
        <v>90</v>
      </c>
      <c r="D59" s="138" t="s">
        <v>589</v>
      </c>
      <c r="E59" s="139">
        <v>153</v>
      </c>
      <c r="F59" s="139">
        <v>454</v>
      </c>
      <c r="G59" s="140"/>
      <c r="H59" s="140"/>
      <c r="I59" s="139">
        <v>364</v>
      </c>
      <c r="J59" s="139">
        <v>530</v>
      </c>
      <c r="K59" s="139">
        <v>662</v>
      </c>
      <c r="L59" s="139">
        <v>795</v>
      </c>
      <c r="M59" s="139">
        <v>227</v>
      </c>
      <c r="N59" s="139">
        <v>672</v>
      </c>
      <c r="O59" s="140"/>
      <c r="P59" s="140"/>
      <c r="Q59" s="139">
        <v>538</v>
      </c>
      <c r="R59" s="139">
        <v>784</v>
      </c>
      <c r="S59" s="139">
        <v>980</v>
      </c>
      <c r="T59" s="139">
        <v>1176</v>
      </c>
    </row>
    <row r="60" spans="1:20" ht="15" customHeight="1" x14ac:dyDescent="0.25">
      <c r="A60" s="128" t="s">
        <v>170</v>
      </c>
      <c r="B60" s="129" t="s">
        <v>580</v>
      </c>
      <c r="C60" s="129" t="s">
        <v>90</v>
      </c>
      <c r="D60" s="129" t="s">
        <v>590</v>
      </c>
      <c r="E60" s="130">
        <v>193</v>
      </c>
      <c r="F60" s="130">
        <v>559</v>
      </c>
      <c r="G60" s="131"/>
      <c r="H60" s="131"/>
      <c r="I60" s="130">
        <v>448</v>
      </c>
      <c r="J60" s="130">
        <v>655</v>
      </c>
      <c r="K60" s="130">
        <v>818</v>
      </c>
      <c r="L60" s="130">
        <v>983</v>
      </c>
      <c r="M60" s="130">
        <v>285</v>
      </c>
      <c r="N60" s="130">
        <v>827</v>
      </c>
      <c r="O60" s="131"/>
      <c r="P60" s="131"/>
      <c r="Q60" s="130">
        <v>663</v>
      </c>
      <c r="R60" s="130">
        <v>969</v>
      </c>
      <c r="S60" s="130">
        <v>1211</v>
      </c>
      <c r="T60" s="130">
        <v>1454</v>
      </c>
    </row>
    <row r="61" spans="1:20" ht="15" customHeight="1" x14ac:dyDescent="0.25">
      <c r="A61" s="137" t="s">
        <v>170</v>
      </c>
      <c r="B61" s="138" t="s">
        <v>580</v>
      </c>
      <c r="C61" s="138" t="s">
        <v>90</v>
      </c>
      <c r="D61" s="138" t="s">
        <v>591</v>
      </c>
      <c r="E61" s="139">
        <v>48</v>
      </c>
      <c r="F61" s="139">
        <v>151</v>
      </c>
      <c r="G61" s="139">
        <v>163</v>
      </c>
      <c r="H61" s="139">
        <v>181</v>
      </c>
      <c r="I61" s="139">
        <v>122</v>
      </c>
      <c r="J61" s="139">
        <v>158</v>
      </c>
      <c r="K61" s="139">
        <v>198</v>
      </c>
      <c r="L61" s="139">
        <v>237</v>
      </c>
      <c r="M61" s="139">
        <v>71</v>
      </c>
      <c r="N61" s="139">
        <v>224</v>
      </c>
      <c r="O61" s="139">
        <v>241</v>
      </c>
      <c r="P61" s="139">
        <v>268</v>
      </c>
      <c r="Q61" s="139">
        <v>181</v>
      </c>
      <c r="R61" s="139">
        <v>234</v>
      </c>
      <c r="S61" s="139">
        <v>293</v>
      </c>
      <c r="T61" s="139">
        <v>351</v>
      </c>
    </row>
    <row r="62" spans="1:20" ht="15" customHeight="1" x14ac:dyDescent="0.25">
      <c r="A62" s="128" t="s">
        <v>170</v>
      </c>
      <c r="B62" s="129" t="s">
        <v>580</v>
      </c>
      <c r="C62" s="129" t="s">
        <v>90</v>
      </c>
      <c r="D62" s="129" t="s">
        <v>592</v>
      </c>
      <c r="E62" s="130">
        <v>96</v>
      </c>
      <c r="F62" s="130">
        <v>287</v>
      </c>
      <c r="G62" s="130">
        <v>237</v>
      </c>
      <c r="H62" s="130">
        <v>264</v>
      </c>
      <c r="I62" s="130">
        <v>231</v>
      </c>
      <c r="J62" s="130">
        <v>336</v>
      </c>
      <c r="K62" s="130">
        <v>420</v>
      </c>
      <c r="L62" s="130">
        <v>504</v>
      </c>
      <c r="M62" s="130">
        <v>142</v>
      </c>
      <c r="N62" s="130">
        <v>425</v>
      </c>
      <c r="O62" s="130">
        <v>351</v>
      </c>
      <c r="P62" s="130">
        <v>390</v>
      </c>
      <c r="Q62" s="130">
        <v>342</v>
      </c>
      <c r="R62" s="130">
        <v>497</v>
      </c>
      <c r="S62" s="130">
        <v>621</v>
      </c>
      <c r="T62" s="130">
        <v>746</v>
      </c>
    </row>
    <row r="63" spans="1:20" ht="15" customHeight="1" x14ac:dyDescent="0.25">
      <c r="A63" s="137" t="s">
        <v>170</v>
      </c>
      <c r="B63" s="138" t="s">
        <v>580</v>
      </c>
      <c r="C63" s="138" t="s">
        <v>90</v>
      </c>
      <c r="D63" s="138" t="s">
        <v>593</v>
      </c>
      <c r="E63" s="139">
        <v>145</v>
      </c>
      <c r="F63" s="139">
        <v>451</v>
      </c>
      <c r="G63" s="139">
        <v>313</v>
      </c>
      <c r="H63" s="139">
        <v>347</v>
      </c>
      <c r="I63" s="139">
        <v>345</v>
      </c>
      <c r="J63" s="139">
        <v>501</v>
      </c>
      <c r="K63" s="139">
        <v>627</v>
      </c>
      <c r="L63" s="139">
        <v>752</v>
      </c>
      <c r="M63" s="139">
        <v>214</v>
      </c>
      <c r="N63" s="139">
        <v>667</v>
      </c>
      <c r="O63" s="139">
        <v>463</v>
      </c>
      <c r="P63" s="139">
        <v>514</v>
      </c>
      <c r="Q63" s="139">
        <v>511</v>
      </c>
      <c r="R63" s="139">
        <v>742</v>
      </c>
      <c r="S63" s="139">
        <v>928</v>
      </c>
      <c r="T63" s="139">
        <v>1113</v>
      </c>
    </row>
    <row r="64" spans="1:20" ht="15" customHeight="1" x14ac:dyDescent="0.25">
      <c r="A64" s="128" t="s">
        <v>170</v>
      </c>
      <c r="B64" s="129" t="s">
        <v>580</v>
      </c>
      <c r="C64" s="129" t="s">
        <v>90</v>
      </c>
      <c r="D64" s="129" t="s">
        <v>594</v>
      </c>
      <c r="E64" s="130">
        <v>193</v>
      </c>
      <c r="F64" s="130">
        <v>564</v>
      </c>
      <c r="G64" s="131"/>
      <c r="H64" s="131"/>
      <c r="I64" s="130">
        <v>451</v>
      </c>
      <c r="J64" s="130">
        <v>657</v>
      </c>
      <c r="K64" s="130">
        <v>821</v>
      </c>
      <c r="L64" s="130">
        <v>986</v>
      </c>
      <c r="M64" s="130">
        <v>285</v>
      </c>
      <c r="N64" s="130">
        <v>835</v>
      </c>
      <c r="O64" s="131"/>
      <c r="P64" s="131"/>
      <c r="Q64" s="130">
        <v>667</v>
      </c>
      <c r="R64" s="130">
        <v>972</v>
      </c>
      <c r="S64" s="130">
        <v>1215</v>
      </c>
      <c r="T64" s="130">
        <v>1458</v>
      </c>
    </row>
    <row r="65" spans="1:20" ht="15" customHeight="1" x14ac:dyDescent="0.25">
      <c r="A65" s="137" t="s">
        <v>170</v>
      </c>
      <c r="B65" s="138" t="s">
        <v>580</v>
      </c>
      <c r="C65" s="138" t="s">
        <v>90</v>
      </c>
      <c r="D65" s="138" t="s">
        <v>595</v>
      </c>
      <c r="E65" s="139">
        <v>241</v>
      </c>
      <c r="F65" s="139">
        <v>697</v>
      </c>
      <c r="G65" s="140"/>
      <c r="H65" s="140"/>
      <c r="I65" s="139">
        <v>553</v>
      </c>
      <c r="J65" s="139">
        <v>814</v>
      </c>
      <c r="K65" s="139">
        <v>1018</v>
      </c>
      <c r="L65" s="139">
        <v>1221</v>
      </c>
      <c r="M65" s="139">
        <v>356</v>
      </c>
      <c r="N65" s="139">
        <v>1031</v>
      </c>
      <c r="O65" s="140"/>
      <c r="P65" s="140"/>
      <c r="Q65" s="139">
        <v>819</v>
      </c>
      <c r="R65" s="139">
        <v>1205</v>
      </c>
      <c r="S65" s="139">
        <v>1506</v>
      </c>
      <c r="T65" s="139">
        <v>1808</v>
      </c>
    </row>
    <row r="66" spans="1:20" ht="3.75" customHeight="1" x14ac:dyDescent="0.25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</row>
    <row r="67" spans="1:20" ht="18" customHeight="1" x14ac:dyDescent="0.25">
      <c r="A67" s="123" t="s">
        <v>596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</row>
    <row r="68" spans="1:20" ht="15" customHeight="1" x14ac:dyDescent="0.25">
      <c r="A68" s="128" t="s">
        <v>596</v>
      </c>
      <c r="B68" s="129" t="s">
        <v>10</v>
      </c>
      <c r="C68" s="129" t="s">
        <v>10</v>
      </c>
      <c r="D68" s="129" t="s">
        <v>581</v>
      </c>
      <c r="E68" s="130">
        <v>126</v>
      </c>
      <c r="F68" s="130">
        <v>175</v>
      </c>
      <c r="G68" s="131"/>
      <c r="H68" s="131"/>
      <c r="I68" s="130">
        <v>169</v>
      </c>
      <c r="J68" s="130">
        <v>188</v>
      </c>
      <c r="K68" s="130">
        <v>235</v>
      </c>
      <c r="L68" s="130">
        <v>282</v>
      </c>
      <c r="M68" s="130">
        <v>186</v>
      </c>
      <c r="N68" s="130">
        <v>259</v>
      </c>
      <c r="O68" s="131"/>
      <c r="P68" s="131"/>
      <c r="Q68" s="130">
        <v>250</v>
      </c>
      <c r="R68" s="130">
        <v>278</v>
      </c>
      <c r="S68" s="130">
        <v>348</v>
      </c>
      <c r="T68" s="130">
        <v>417</v>
      </c>
    </row>
    <row r="69" spans="1:20" ht="15" customHeight="1" x14ac:dyDescent="0.25">
      <c r="A69" s="141" t="s">
        <v>596</v>
      </c>
      <c r="B69" s="142" t="s">
        <v>10</v>
      </c>
      <c r="C69" s="142" t="s">
        <v>10</v>
      </c>
      <c r="D69" s="142" t="s">
        <v>575</v>
      </c>
      <c r="E69" s="143">
        <v>137</v>
      </c>
      <c r="F69" s="143">
        <v>196</v>
      </c>
      <c r="G69" s="144"/>
      <c r="H69" s="144"/>
      <c r="I69" s="143">
        <v>185</v>
      </c>
      <c r="J69" s="143">
        <v>211</v>
      </c>
      <c r="K69" s="143">
        <v>264</v>
      </c>
      <c r="L69" s="143">
        <v>317</v>
      </c>
      <c r="M69" s="143">
        <v>203</v>
      </c>
      <c r="N69" s="143">
        <v>290</v>
      </c>
      <c r="O69" s="144"/>
      <c r="P69" s="144"/>
      <c r="Q69" s="143">
        <v>274</v>
      </c>
      <c r="R69" s="143">
        <v>312</v>
      </c>
      <c r="S69" s="143">
        <v>390</v>
      </c>
      <c r="T69" s="143">
        <v>468</v>
      </c>
    </row>
    <row r="70" spans="1:20" ht="15" customHeight="1" x14ac:dyDescent="0.25">
      <c r="A70" s="128" t="s">
        <v>596</v>
      </c>
      <c r="B70" s="129" t="s">
        <v>10</v>
      </c>
      <c r="C70" s="129" t="s">
        <v>10</v>
      </c>
      <c r="D70" s="129" t="s">
        <v>586</v>
      </c>
      <c r="E70" s="130">
        <v>147</v>
      </c>
      <c r="F70" s="130">
        <v>216</v>
      </c>
      <c r="G70" s="131"/>
      <c r="H70" s="131"/>
      <c r="I70" s="130">
        <v>201</v>
      </c>
      <c r="J70" s="130">
        <v>226</v>
      </c>
      <c r="K70" s="130">
        <v>282</v>
      </c>
      <c r="L70" s="130">
        <v>339</v>
      </c>
      <c r="M70" s="130">
        <v>217</v>
      </c>
      <c r="N70" s="130">
        <v>319</v>
      </c>
      <c r="O70" s="131"/>
      <c r="P70" s="131"/>
      <c r="Q70" s="130">
        <v>298</v>
      </c>
      <c r="R70" s="130">
        <v>334</v>
      </c>
      <c r="S70" s="130">
        <v>418</v>
      </c>
      <c r="T70" s="130">
        <v>501</v>
      </c>
    </row>
    <row r="71" spans="1:20" ht="15" customHeight="1" x14ac:dyDescent="0.25">
      <c r="A71" s="141" t="s">
        <v>596</v>
      </c>
      <c r="B71" s="142" t="s">
        <v>10</v>
      </c>
      <c r="C71" s="142" t="s">
        <v>10</v>
      </c>
      <c r="D71" s="142" t="s">
        <v>591</v>
      </c>
      <c r="E71" s="143">
        <v>186</v>
      </c>
      <c r="F71" s="143">
        <v>260</v>
      </c>
      <c r="G71" s="144"/>
      <c r="H71" s="144"/>
      <c r="I71" s="143">
        <v>249</v>
      </c>
      <c r="J71" s="143">
        <v>302</v>
      </c>
      <c r="K71" s="143">
        <v>430</v>
      </c>
      <c r="L71" s="143">
        <v>453</v>
      </c>
      <c r="M71" s="143">
        <v>279</v>
      </c>
      <c r="N71" s="143">
        <v>391</v>
      </c>
      <c r="O71" s="144"/>
      <c r="P71" s="144"/>
      <c r="Q71" s="143">
        <v>360</v>
      </c>
      <c r="R71" s="143">
        <v>451</v>
      </c>
      <c r="S71" s="143">
        <v>619</v>
      </c>
      <c r="T71" s="143">
        <v>677</v>
      </c>
    </row>
    <row r="72" spans="1:20" ht="15" customHeight="1" x14ac:dyDescent="0.25">
      <c r="A72" s="128" t="s">
        <v>596</v>
      </c>
      <c r="B72" s="129" t="s">
        <v>314</v>
      </c>
      <c r="C72" s="129" t="s">
        <v>314</v>
      </c>
      <c r="D72" s="129" t="s">
        <v>561</v>
      </c>
      <c r="E72" s="130">
        <v>101</v>
      </c>
      <c r="F72" s="130">
        <v>138</v>
      </c>
      <c r="G72" s="130">
        <v>314</v>
      </c>
      <c r="H72" s="130">
        <v>349</v>
      </c>
      <c r="I72" s="130">
        <v>128</v>
      </c>
      <c r="J72" s="130">
        <v>147</v>
      </c>
      <c r="K72" s="130">
        <v>184</v>
      </c>
      <c r="L72" s="130">
        <v>221</v>
      </c>
      <c r="M72" s="130">
        <v>150</v>
      </c>
      <c r="N72" s="130">
        <v>204</v>
      </c>
      <c r="O72" s="130">
        <v>465</v>
      </c>
      <c r="P72" s="130">
        <v>517</v>
      </c>
      <c r="Q72" s="130">
        <v>190</v>
      </c>
      <c r="R72" s="130">
        <v>218</v>
      </c>
      <c r="S72" s="130">
        <v>273</v>
      </c>
      <c r="T72" s="130">
        <v>327</v>
      </c>
    </row>
    <row r="73" spans="1:20" ht="15" customHeight="1" x14ac:dyDescent="0.25">
      <c r="A73" s="141" t="s">
        <v>596</v>
      </c>
      <c r="B73" s="129" t="s">
        <v>314</v>
      </c>
      <c r="C73" s="142" t="s">
        <v>314</v>
      </c>
      <c r="D73" s="142" t="s">
        <v>582</v>
      </c>
      <c r="E73" s="143">
        <v>118</v>
      </c>
      <c r="F73" s="143">
        <v>186</v>
      </c>
      <c r="G73" s="143">
        <v>358</v>
      </c>
      <c r="H73" s="143">
        <v>397</v>
      </c>
      <c r="I73" s="143">
        <v>164</v>
      </c>
      <c r="J73" s="143">
        <v>195</v>
      </c>
      <c r="K73" s="143">
        <v>244</v>
      </c>
      <c r="L73" s="143">
        <v>293</v>
      </c>
      <c r="M73" s="143">
        <v>174</v>
      </c>
      <c r="N73" s="143">
        <v>276</v>
      </c>
      <c r="O73" s="143">
        <v>529</v>
      </c>
      <c r="P73" s="143">
        <v>588</v>
      </c>
      <c r="Q73" s="143">
        <v>243</v>
      </c>
      <c r="R73" s="143">
        <v>289</v>
      </c>
      <c r="S73" s="143">
        <v>361</v>
      </c>
      <c r="T73" s="143">
        <v>434</v>
      </c>
    </row>
    <row r="74" spans="1:20" ht="15" customHeight="1" x14ac:dyDescent="0.25">
      <c r="A74" s="128" t="s">
        <v>596</v>
      </c>
      <c r="B74" s="129" t="s">
        <v>314</v>
      </c>
      <c r="C74" s="129" t="s">
        <v>314</v>
      </c>
      <c r="D74" s="129" t="s">
        <v>583</v>
      </c>
      <c r="E74" s="130">
        <v>175</v>
      </c>
      <c r="F74" s="130">
        <v>263</v>
      </c>
      <c r="G74" s="130">
        <v>490</v>
      </c>
      <c r="H74" s="130">
        <v>471</v>
      </c>
      <c r="I74" s="130">
        <v>245</v>
      </c>
      <c r="J74" s="130">
        <v>299</v>
      </c>
      <c r="K74" s="130">
        <v>374</v>
      </c>
      <c r="L74" s="130">
        <v>449</v>
      </c>
      <c r="M74" s="130">
        <v>259</v>
      </c>
      <c r="N74" s="130">
        <v>389</v>
      </c>
      <c r="O74" s="130">
        <v>735</v>
      </c>
      <c r="P74" s="130">
        <v>707</v>
      </c>
      <c r="Q74" s="130">
        <v>363</v>
      </c>
      <c r="R74" s="130">
        <v>443</v>
      </c>
      <c r="S74" s="130">
        <v>554</v>
      </c>
      <c r="T74" s="130">
        <v>665</v>
      </c>
    </row>
    <row r="75" spans="1:20" ht="15" customHeight="1" x14ac:dyDescent="0.25">
      <c r="A75" s="141" t="s">
        <v>596</v>
      </c>
      <c r="B75" s="129" t="s">
        <v>314</v>
      </c>
      <c r="C75" s="142" t="s">
        <v>314</v>
      </c>
      <c r="D75" s="142" t="s">
        <v>584</v>
      </c>
      <c r="E75" s="143">
        <v>191</v>
      </c>
      <c r="F75" s="143">
        <v>336</v>
      </c>
      <c r="G75" s="143">
        <v>544</v>
      </c>
      <c r="H75" s="143">
        <v>522</v>
      </c>
      <c r="I75" s="143">
        <v>292</v>
      </c>
      <c r="J75" s="143">
        <v>362</v>
      </c>
      <c r="K75" s="143">
        <v>453</v>
      </c>
      <c r="L75" s="143">
        <v>543</v>
      </c>
      <c r="M75" s="143">
        <v>283</v>
      </c>
      <c r="N75" s="143">
        <v>497</v>
      </c>
      <c r="O75" s="144"/>
      <c r="P75" s="144"/>
      <c r="Q75" s="143">
        <v>432</v>
      </c>
      <c r="R75" s="143">
        <v>536</v>
      </c>
      <c r="S75" s="143">
        <v>670</v>
      </c>
      <c r="T75" s="143">
        <v>804</v>
      </c>
    </row>
    <row r="76" spans="1:20" ht="15" customHeight="1" x14ac:dyDescent="0.25">
      <c r="A76" s="128" t="s">
        <v>596</v>
      </c>
      <c r="B76" s="129" t="s">
        <v>314</v>
      </c>
      <c r="C76" s="129" t="s">
        <v>314</v>
      </c>
      <c r="D76" s="129" t="s">
        <v>585</v>
      </c>
      <c r="E76" s="130">
        <v>253</v>
      </c>
      <c r="F76" s="130">
        <v>393</v>
      </c>
      <c r="G76" s="130">
        <v>641</v>
      </c>
      <c r="H76" s="130">
        <v>613</v>
      </c>
      <c r="I76" s="130">
        <v>360</v>
      </c>
      <c r="J76" s="130">
        <v>444</v>
      </c>
      <c r="K76" s="130">
        <v>555</v>
      </c>
      <c r="L76" s="130">
        <v>666</v>
      </c>
      <c r="M76" s="130">
        <v>374</v>
      </c>
      <c r="N76" s="130">
        <v>582</v>
      </c>
      <c r="O76" s="131"/>
      <c r="P76" s="131"/>
      <c r="Q76" s="130">
        <v>533</v>
      </c>
      <c r="R76" s="130">
        <v>657</v>
      </c>
      <c r="S76" s="130">
        <v>821</v>
      </c>
      <c r="T76" s="130">
        <v>986</v>
      </c>
    </row>
    <row r="77" spans="1:20" ht="15" customHeight="1" x14ac:dyDescent="0.25">
      <c r="A77" s="141" t="s">
        <v>596</v>
      </c>
      <c r="B77" s="129" t="s">
        <v>314</v>
      </c>
      <c r="C77" s="142" t="s">
        <v>314</v>
      </c>
      <c r="D77" s="142" t="s">
        <v>563</v>
      </c>
      <c r="E77" s="143">
        <v>114</v>
      </c>
      <c r="F77" s="143">
        <v>155</v>
      </c>
      <c r="G77" s="143">
        <v>334</v>
      </c>
      <c r="H77" s="143">
        <v>371</v>
      </c>
      <c r="I77" s="143">
        <v>147</v>
      </c>
      <c r="J77" s="143">
        <v>176</v>
      </c>
      <c r="K77" s="143">
        <v>220</v>
      </c>
      <c r="L77" s="143">
        <v>264</v>
      </c>
      <c r="M77" s="143">
        <v>169</v>
      </c>
      <c r="N77" s="143">
        <v>230</v>
      </c>
      <c r="O77" s="143">
        <v>494</v>
      </c>
      <c r="P77" s="143">
        <v>549</v>
      </c>
      <c r="Q77" s="143">
        <v>218</v>
      </c>
      <c r="R77" s="143">
        <v>261</v>
      </c>
      <c r="S77" s="143">
        <v>326</v>
      </c>
      <c r="T77" s="143">
        <v>392</v>
      </c>
    </row>
    <row r="78" spans="1:20" ht="15" customHeight="1" x14ac:dyDescent="0.25">
      <c r="A78" s="128" t="s">
        <v>596</v>
      </c>
      <c r="B78" s="129" t="s">
        <v>314</v>
      </c>
      <c r="C78" s="129" t="s">
        <v>314</v>
      </c>
      <c r="D78" s="129" t="s">
        <v>576</v>
      </c>
      <c r="E78" s="130">
        <v>156</v>
      </c>
      <c r="F78" s="130">
        <v>232</v>
      </c>
      <c r="G78" s="130">
        <v>385</v>
      </c>
      <c r="H78" s="130">
        <v>428</v>
      </c>
      <c r="I78" s="130">
        <v>220</v>
      </c>
      <c r="J78" s="130">
        <v>268</v>
      </c>
      <c r="K78" s="130">
        <v>335</v>
      </c>
      <c r="L78" s="130">
        <v>402</v>
      </c>
      <c r="M78" s="130">
        <v>231</v>
      </c>
      <c r="N78" s="130">
        <v>343</v>
      </c>
      <c r="O78" s="130">
        <v>570</v>
      </c>
      <c r="P78" s="130">
        <v>633</v>
      </c>
      <c r="Q78" s="130">
        <v>326</v>
      </c>
      <c r="R78" s="130">
        <v>397</v>
      </c>
      <c r="S78" s="130">
        <v>496</v>
      </c>
      <c r="T78" s="130">
        <v>596</v>
      </c>
    </row>
    <row r="79" spans="1:20" ht="15" customHeight="1" x14ac:dyDescent="0.25">
      <c r="A79" s="141" t="s">
        <v>596</v>
      </c>
      <c r="B79" s="129" t="s">
        <v>314</v>
      </c>
      <c r="C79" s="142" t="s">
        <v>314</v>
      </c>
      <c r="D79" s="142" t="s">
        <v>577</v>
      </c>
      <c r="E79" s="143">
        <v>207</v>
      </c>
      <c r="F79" s="143">
        <v>327</v>
      </c>
      <c r="G79" s="143">
        <v>550</v>
      </c>
      <c r="H79" s="143">
        <v>520</v>
      </c>
      <c r="I79" s="143">
        <v>301</v>
      </c>
      <c r="J79" s="143">
        <v>370</v>
      </c>
      <c r="K79" s="143">
        <v>462</v>
      </c>
      <c r="L79" s="143">
        <v>555</v>
      </c>
      <c r="M79" s="143">
        <v>307</v>
      </c>
      <c r="N79" s="143">
        <v>484</v>
      </c>
      <c r="O79" s="143">
        <v>826</v>
      </c>
      <c r="P79" s="143">
        <v>780</v>
      </c>
      <c r="Q79" s="143">
        <v>445</v>
      </c>
      <c r="R79" s="143">
        <v>547</v>
      </c>
      <c r="S79" s="143">
        <v>684</v>
      </c>
      <c r="T79" s="143">
        <v>821</v>
      </c>
    </row>
    <row r="80" spans="1:20" ht="15" customHeight="1" x14ac:dyDescent="0.25">
      <c r="A80" s="128" t="s">
        <v>596</v>
      </c>
      <c r="B80" s="129" t="s">
        <v>314</v>
      </c>
      <c r="C80" s="129" t="s">
        <v>314</v>
      </c>
      <c r="D80" s="129" t="s">
        <v>578</v>
      </c>
      <c r="E80" s="130">
        <v>251</v>
      </c>
      <c r="F80" s="130">
        <v>402</v>
      </c>
      <c r="G80" s="131"/>
      <c r="H80" s="131"/>
      <c r="I80" s="130">
        <v>367</v>
      </c>
      <c r="J80" s="130">
        <v>460</v>
      </c>
      <c r="K80" s="130">
        <v>575</v>
      </c>
      <c r="L80" s="130">
        <v>690</v>
      </c>
      <c r="M80" s="130">
        <v>371</v>
      </c>
      <c r="N80" s="130">
        <v>595</v>
      </c>
      <c r="O80" s="131"/>
      <c r="P80" s="131"/>
      <c r="Q80" s="130">
        <v>543</v>
      </c>
      <c r="R80" s="130">
        <v>681</v>
      </c>
      <c r="S80" s="130">
        <v>851</v>
      </c>
      <c r="T80" s="130">
        <v>1022</v>
      </c>
    </row>
    <row r="81" spans="1:20" ht="15" customHeight="1" x14ac:dyDescent="0.25">
      <c r="A81" s="141" t="s">
        <v>596</v>
      </c>
      <c r="B81" s="129" t="s">
        <v>314</v>
      </c>
      <c r="C81" s="142" t="s">
        <v>314</v>
      </c>
      <c r="D81" s="142" t="s">
        <v>579</v>
      </c>
      <c r="E81" s="143">
        <v>310</v>
      </c>
      <c r="F81" s="143">
        <v>497</v>
      </c>
      <c r="G81" s="144"/>
      <c r="H81" s="144"/>
      <c r="I81" s="143">
        <v>453</v>
      </c>
      <c r="J81" s="143">
        <v>569</v>
      </c>
      <c r="K81" s="143">
        <v>711</v>
      </c>
      <c r="L81" s="143">
        <v>854</v>
      </c>
      <c r="M81" s="143">
        <v>459</v>
      </c>
      <c r="N81" s="143">
        <v>735</v>
      </c>
      <c r="O81" s="144"/>
      <c r="P81" s="144"/>
      <c r="Q81" s="143">
        <v>670</v>
      </c>
      <c r="R81" s="143">
        <v>842</v>
      </c>
      <c r="S81" s="143">
        <v>1053</v>
      </c>
      <c r="T81" s="143">
        <v>1263</v>
      </c>
    </row>
    <row r="82" spans="1:20" ht="15" customHeight="1" x14ac:dyDescent="0.25">
      <c r="A82" s="128" t="s">
        <v>596</v>
      </c>
      <c r="B82" s="129" t="s">
        <v>327</v>
      </c>
      <c r="C82" s="129" t="s">
        <v>0</v>
      </c>
      <c r="D82" s="129" t="s">
        <v>565</v>
      </c>
      <c r="E82" s="130">
        <v>190</v>
      </c>
      <c r="F82" s="130">
        <v>258</v>
      </c>
      <c r="G82" s="130">
        <v>574</v>
      </c>
      <c r="H82" s="130">
        <v>638</v>
      </c>
      <c r="I82" s="130">
        <v>241</v>
      </c>
      <c r="J82" s="130">
        <v>274</v>
      </c>
      <c r="K82" s="130">
        <v>343</v>
      </c>
      <c r="L82" s="130">
        <v>411</v>
      </c>
      <c r="M82" s="130">
        <v>281</v>
      </c>
      <c r="N82" s="130">
        <v>382</v>
      </c>
      <c r="O82" s="130">
        <v>850</v>
      </c>
      <c r="P82" s="130">
        <v>944</v>
      </c>
      <c r="Q82" s="130">
        <v>356</v>
      </c>
      <c r="R82" s="130">
        <v>406</v>
      </c>
      <c r="S82" s="130">
        <v>508</v>
      </c>
      <c r="T82" s="130">
        <v>609</v>
      </c>
    </row>
    <row r="83" spans="1:20" ht="15" customHeight="1" x14ac:dyDescent="0.25">
      <c r="A83" s="141" t="s">
        <v>596</v>
      </c>
      <c r="B83" s="129" t="s">
        <v>327</v>
      </c>
      <c r="C83" s="142" t="s">
        <v>0</v>
      </c>
      <c r="D83" s="142" t="s">
        <v>587</v>
      </c>
      <c r="E83" s="143">
        <v>234</v>
      </c>
      <c r="F83" s="143">
        <v>345</v>
      </c>
      <c r="G83" s="143">
        <v>598</v>
      </c>
      <c r="H83" s="143">
        <v>664</v>
      </c>
      <c r="I83" s="143">
        <v>307</v>
      </c>
      <c r="J83" s="143">
        <v>365</v>
      </c>
      <c r="K83" s="143">
        <v>456</v>
      </c>
      <c r="L83" s="143">
        <v>548</v>
      </c>
      <c r="M83" s="143">
        <v>347</v>
      </c>
      <c r="N83" s="143">
        <v>511</v>
      </c>
      <c r="O83" s="143">
        <v>885</v>
      </c>
      <c r="P83" s="143">
        <v>983</v>
      </c>
      <c r="Q83" s="143">
        <v>455</v>
      </c>
      <c r="R83" s="143">
        <v>540</v>
      </c>
      <c r="S83" s="143">
        <v>675</v>
      </c>
      <c r="T83" s="143">
        <v>810</v>
      </c>
    </row>
    <row r="84" spans="1:20" ht="15" customHeight="1" x14ac:dyDescent="0.25">
      <c r="A84" s="128" t="s">
        <v>596</v>
      </c>
      <c r="B84" s="129" t="s">
        <v>327</v>
      </c>
      <c r="C84" s="129" t="s">
        <v>0</v>
      </c>
      <c r="D84" s="129" t="s">
        <v>588</v>
      </c>
      <c r="E84" s="130">
        <v>345</v>
      </c>
      <c r="F84" s="130">
        <v>518</v>
      </c>
      <c r="G84" s="130">
        <v>863</v>
      </c>
      <c r="H84" s="130">
        <v>840</v>
      </c>
      <c r="I84" s="130">
        <v>457</v>
      </c>
      <c r="J84" s="130">
        <v>555</v>
      </c>
      <c r="K84" s="130">
        <v>694</v>
      </c>
      <c r="L84" s="130">
        <v>833</v>
      </c>
      <c r="M84" s="130">
        <v>510</v>
      </c>
      <c r="N84" s="130">
        <v>767</v>
      </c>
      <c r="O84" s="130">
        <v>1295</v>
      </c>
      <c r="P84" s="130">
        <v>1260</v>
      </c>
      <c r="Q84" s="130">
        <v>677</v>
      </c>
      <c r="R84" s="130">
        <v>822</v>
      </c>
      <c r="S84" s="130">
        <v>1028</v>
      </c>
      <c r="T84" s="130">
        <v>1233</v>
      </c>
    </row>
    <row r="85" spans="1:20" ht="15" customHeight="1" x14ac:dyDescent="0.25">
      <c r="A85" s="141" t="s">
        <v>596</v>
      </c>
      <c r="B85" s="129" t="s">
        <v>327</v>
      </c>
      <c r="C85" s="142" t="s">
        <v>0</v>
      </c>
      <c r="D85" s="142" t="s">
        <v>589</v>
      </c>
      <c r="E85" s="143">
        <v>403</v>
      </c>
      <c r="F85" s="143">
        <v>627</v>
      </c>
      <c r="G85" s="143">
        <v>980</v>
      </c>
      <c r="H85" s="143">
        <v>934</v>
      </c>
      <c r="I85" s="143">
        <v>548</v>
      </c>
      <c r="J85" s="143">
        <v>675</v>
      </c>
      <c r="K85" s="143">
        <v>844</v>
      </c>
      <c r="L85" s="143">
        <v>1013</v>
      </c>
      <c r="M85" s="143">
        <v>597</v>
      </c>
      <c r="N85" s="143">
        <v>928</v>
      </c>
      <c r="O85" s="143">
        <v>1470</v>
      </c>
      <c r="P85" s="143">
        <v>1400</v>
      </c>
      <c r="Q85" s="143">
        <v>811</v>
      </c>
      <c r="R85" s="143">
        <v>999</v>
      </c>
      <c r="S85" s="143">
        <v>1249</v>
      </c>
      <c r="T85" s="143">
        <v>1499</v>
      </c>
    </row>
    <row r="86" spans="1:20" ht="15" customHeight="1" x14ac:dyDescent="0.25">
      <c r="A86" s="128" t="s">
        <v>596</v>
      </c>
      <c r="B86" s="129" t="s">
        <v>327</v>
      </c>
      <c r="C86" s="129" t="s">
        <v>0</v>
      </c>
      <c r="D86" s="129" t="s">
        <v>590</v>
      </c>
      <c r="E86" s="130">
        <v>497</v>
      </c>
      <c r="F86" s="130">
        <v>761</v>
      </c>
      <c r="G86" s="130">
        <v>1166</v>
      </c>
      <c r="H86" s="130">
        <v>1106</v>
      </c>
      <c r="I86" s="130">
        <v>675</v>
      </c>
      <c r="J86" s="130">
        <v>832</v>
      </c>
      <c r="K86" s="130">
        <v>1041</v>
      </c>
      <c r="L86" s="130">
        <v>1248</v>
      </c>
      <c r="M86" s="130">
        <v>736</v>
      </c>
      <c r="N86" s="130">
        <v>1127</v>
      </c>
      <c r="O86" s="130">
        <v>1750</v>
      </c>
      <c r="P86" s="130">
        <v>1659</v>
      </c>
      <c r="Q86" s="130">
        <v>999</v>
      </c>
      <c r="R86" s="130">
        <v>1232</v>
      </c>
      <c r="S86" s="130">
        <v>1540</v>
      </c>
      <c r="T86" s="130">
        <v>1848</v>
      </c>
    </row>
    <row r="87" spans="1:20" ht="15" customHeight="1" x14ac:dyDescent="0.25">
      <c r="A87" s="141" t="s">
        <v>596</v>
      </c>
      <c r="B87" s="129" t="s">
        <v>327</v>
      </c>
      <c r="C87" s="142" t="s">
        <v>0</v>
      </c>
      <c r="D87" s="142" t="s">
        <v>567</v>
      </c>
      <c r="E87" s="143">
        <v>200</v>
      </c>
      <c r="F87" s="143">
        <v>287</v>
      </c>
      <c r="G87" s="143">
        <v>588</v>
      </c>
      <c r="H87" s="143">
        <v>653</v>
      </c>
      <c r="I87" s="143">
        <v>263</v>
      </c>
      <c r="J87" s="143">
        <v>305</v>
      </c>
      <c r="K87" s="143">
        <v>382</v>
      </c>
      <c r="L87" s="143">
        <v>458</v>
      </c>
      <c r="M87" s="143">
        <v>296</v>
      </c>
      <c r="N87" s="143">
        <v>425</v>
      </c>
      <c r="O87" s="143">
        <v>870</v>
      </c>
      <c r="P87" s="143">
        <v>967</v>
      </c>
      <c r="Q87" s="143">
        <v>389</v>
      </c>
      <c r="R87" s="143">
        <v>452</v>
      </c>
      <c r="S87" s="143">
        <v>565</v>
      </c>
      <c r="T87" s="143">
        <v>678</v>
      </c>
    </row>
    <row r="88" spans="1:20" ht="15" customHeight="1" x14ac:dyDescent="0.25">
      <c r="A88" s="128" t="s">
        <v>596</v>
      </c>
      <c r="B88" s="129" t="s">
        <v>327</v>
      </c>
      <c r="C88" s="129" t="s">
        <v>0</v>
      </c>
      <c r="D88" s="129" t="s">
        <v>592</v>
      </c>
      <c r="E88" s="130">
        <v>279</v>
      </c>
      <c r="F88" s="130">
        <v>422</v>
      </c>
      <c r="G88" s="130">
        <v>625</v>
      </c>
      <c r="H88" s="130">
        <v>695</v>
      </c>
      <c r="I88" s="130">
        <v>377</v>
      </c>
      <c r="J88" s="130">
        <v>457</v>
      </c>
      <c r="K88" s="130">
        <v>571</v>
      </c>
      <c r="L88" s="130">
        <v>656</v>
      </c>
      <c r="M88" s="130">
        <v>413</v>
      </c>
      <c r="N88" s="130">
        <v>624</v>
      </c>
      <c r="O88" s="130">
        <v>925</v>
      </c>
      <c r="P88" s="130">
        <v>1028</v>
      </c>
      <c r="Q88" s="130">
        <v>558</v>
      </c>
      <c r="R88" s="130">
        <v>676</v>
      </c>
      <c r="S88" s="130">
        <v>845</v>
      </c>
      <c r="T88" s="130">
        <v>1014</v>
      </c>
    </row>
    <row r="89" spans="1:20" ht="15" customHeight="1" x14ac:dyDescent="0.25">
      <c r="A89" s="141" t="s">
        <v>596</v>
      </c>
      <c r="B89" s="129" t="s">
        <v>327</v>
      </c>
      <c r="C89" s="142" t="s">
        <v>0</v>
      </c>
      <c r="D89" s="142" t="s">
        <v>593</v>
      </c>
      <c r="E89" s="143">
        <v>389</v>
      </c>
      <c r="F89" s="143">
        <v>593</v>
      </c>
      <c r="G89" s="144"/>
      <c r="H89" s="144"/>
      <c r="I89" s="143">
        <v>526</v>
      </c>
      <c r="J89" s="143">
        <v>648</v>
      </c>
      <c r="K89" s="143">
        <v>810</v>
      </c>
      <c r="L89" s="143">
        <v>972</v>
      </c>
      <c r="M89" s="143">
        <v>576</v>
      </c>
      <c r="N89" s="143">
        <v>878</v>
      </c>
      <c r="O89" s="144"/>
      <c r="P89" s="144"/>
      <c r="Q89" s="143">
        <v>779</v>
      </c>
      <c r="R89" s="143">
        <v>959</v>
      </c>
      <c r="S89" s="143">
        <v>1199</v>
      </c>
      <c r="T89" s="143">
        <v>1439</v>
      </c>
    </row>
    <row r="90" spans="1:20" ht="15" customHeight="1" x14ac:dyDescent="0.25">
      <c r="A90" s="128" t="s">
        <v>596</v>
      </c>
      <c r="B90" s="129" t="s">
        <v>327</v>
      </c>
      <c r="C90" s="129" t="s">
        <v>0</v>
      </c>
      <c r="D90" s="129" t="s">
        <v>594</v>
      </c>
      <c r="E90" s="130">
        <v>465</v>
      </c>
      <c r="F90" s="130">
        <v>728</v>
      </c>
      <c r="G90" s="131"/>
      <c r="H90" s="131"/>
      <c r="I90" s="130">
        <v>639</v>
      </c>
      <c r="J90" s="130">
        <v>799</v>
      </c>
      <c r="K90" s="130">
        <v>998</v>
      </c>
      <c r="L90" s="130">
        <v>1199</v>
      </c>
      <c r="M90" s="130">
        <v>688</v>
      </c>
      <c r="N90" s="130">
        <v>1078</v>
      </c>
      <c r="O90" s="131"/>
      <c r="P90" s="131"/>
      <c r="Q90" s="130">
        <v>946</v>
      </c>
      <c r="R90" s="130">
        <v>1182</v>
      </c>
      <c r="S90" s="130">
        <v>1478</v>
      </c>
      <c r="T90" s="130">
        <v>1773</v>
      </c>
    </row>
    <row r="91" spans="1:20" ht="15" customHeight="1" x14ac:dyDescent="0.25">
      <c r="A91" s="141" t="s">
        <v>596</v>
      </c>
      <c r="B91" s="129" t="s">
        <v>327</v>
      </c>
      <c r="C91" s="142" t="s">
        <v>0</v>
      </c>
      <c r="D91" s="142" t="s">
        <v>595</v>
      </c>
      <c r="E91" s="143">
        <v>572</v>
      </c>
      <c r="F91" s="143">
        <v>901</v>
      </c>
      <c r="G91" s="144"/>
      <c r="H91" s="144"/>
      <c r="I91" s="143">
        <v>790</v>
      </c>
      <c r="J91" s="143">
        <v>989</v>
      </c>
      <c r="K91" s="143">
        <v>1236</v>
      </c>
      <c r="L91" s="143">
        <v>1484</v>
      </c>
      <c r="M91" s="143">
        <v>846</v>
      </c>
      <c r="N91" s="143">
        <v>1333</v>
      </c>
      <c r="O91" s="144"/>
      <c r="P91" s="144"/>
      <c r="Q91" s="143">
        <v>1169</v>
      </c>
      <c r="R91" s="143">
        <v>1463</v>
      </c>
      <c r="S91" s="143">
        <v>1829</v>
      </c>
      <c r="T91" s="143">
        <v>2195</v>
      </c>
    </row>
    <row r="92" spans="1:20" ht="3.75" customHeight="1" x14ac:dyDescent="0.25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</row>
    <row r="93" spans="1:20" ht="18" customHeight="1" x14ac:dyDescent="0.25">
      <c r="A93" s="123" t="s">
        <v>597</v>
      </c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</row>
    <row r="94" spans="1:20" ht="15" customHeight="1" x14ac:dyDescent="0.25">
      <c r="A94" s="128" t="s">
        <v>597</v>
      </c>
      <c r="B94" s="129" t="s">
        <v>348</v>
      </c>
      <c r="C94" s="129" t="s">
        <v>12</v>
      </c>
      <c r="D94" s="129" t="s">
        <v>598</v>
      </c>
      <c r="E94" s="130">
        <v>212</v>
      </c>
      <c r="F94" s="130">
        <v>242</v>
      </c>
      <c r="G94" s="131"/>
      <c r="H94" s="131"/>
      <c r="I94" s="130">
        <v>237</v>
      </c>
      <c r="J94" s="130">
        <v>246</v>
      </c>
      <c r="K94" s="130">
        <v>307</v>
      </c>
      <c r="L94" s="130">
        <v>369</v>
      </c>
      <c r="M94" s="130">
        <v>314</v>
      </c>
      <c r="N94" s="130">
        <v>358</v>
      </c>
      <c r="O94" s="131"/>
      <c r="P94" s="131"/>
      <c r="Q94" s="130">
        <v>351</v>
      </c>
      <c r="R94" s="130">
        <v>364</v>
      </c>
      <c r="S94" s="130">
        <v>455</v>
      </c>
      <c r="T94" s="130">
        <v>546</v>
      </c>
    </row>
    <row r="95" spans="1:20" ht="15" customHeight="1" x14ac:dyDescent="0.25">
      <c r="A95" s="145" t="s">
        <v>597</v>
      </c>
      <c r="B95" s="146" t="s">
        <v>348</v>
      </c>
      <c r="C95" s="146" t="s">
        <v>0</v>
      </c>
      <c r="D95" s="146" t="s">
        <v>561</v>
      </c>
      <c r="E95" s="147">
        <v>262</v>
      </c>
      <c r="F95" s="147">
        <v>312</v>
      </c>
      <c r="G95" s="148"/>
      <c r="H95" s="148"/>
      <c r="I95" s="147">
        <v>305</v>
      </c>
      <c r="J95" s="147">
        <v>321</v>
      </c>
      <c r="K95" s="147">
        <v>401</v>
      </c>
      <c r="L95" s="147">
        <v>482</v>
      </c>
      <c r="M95" s="147">
        <v>387</v>
      </c>
      <c r="N95" s="147">
        <v>462</v>
      </c>
      <c r="O95" s="148"/>
      <c r="P95" s="148"/>
      <c r="Q95" s="147">
        <v>451</v>
      </c>
      <c r="R95" s="147">
        <v>474</v>
      </c>
      <c r="S95" s="147">
        <v>593</v>
      </c>
      <c r="T95" s="147">
        <v>711</v>
      </c>
    </row>
    <row r="96" spans="1:20" ht="15" customHeight="1" x14ac:dyDescent="0.25">
      <c r="A96" s="128" t="s">
        <v>597</v>
      </c>
      <c r="B96" s="129" t="s">
        <v>348</v>
      </c>
      <c r="C96" s="129" t="s">
        <v>12</v>
      </c>
      <c r="D96" s="129" t="s">
        <v>599</v>
      </c>
      <c r="E96" s="130">
        <v>222</v>
      </c>
      <c r="F96" s="130">
        <v>259</v>
      </c>
      <c r="G96" s="131"/>
      <c r="H96" s="131"/>
      <c r="I96" s="130">
        <v>254</v>
      </c>
      <c r="J96" s="130">
        <v>265</v>
      </c>
      <c r="K96" s="130">
        <v>331</v>
      </c>
      <c r="L96" s="130">
        <v>398</v>
      </c>
      <c r="M96" s="130">
        <v>328</v>
      </c>
      <c r="N96" s="130">
        <v>383</v>
      </c>
      <c r="O96" s="131"/>
      <c r="P96" s="131"/>
      <c r="Q96" s="130">
        <v>375</v>
      </c>
      <c r="R96" s="130">
        <v>392</v>
      </c>
      <c r="S96" s="130">
        <v>490</v>
      </c>
      <c r="T96" s="130">
        <v>588</v>
      </c>
    </row>
    <row r="97" spans="1:20" ht="15" customHeight="1" x14ac:dyDescent="0.25">
      <c r="A97" s="145" t="s">
        <v>597</v>
      </c>
      <c r="B97" s="146" t="s">
        <v>348</v>
      </c>
      <c r="C97" s="146" t="s">
        <v>12</v>
      </c>
      <c r="D97" s="146" t="s">
        <v>563</v>
      </c>
      <c r="E97" s="147">
        <v>263</v>
      </c>
      <c r="F97" s="147">
        <v>335</v>
      </c>
      <c r="G97" s="148"/>
      <c r="H97" s="148"/>
      <c r="I97" s="147">
        <v>324</v>
      </c>
      <c r="J97" s="147">
        <v>343</v>
      </c>
      <c r="K97" s="147">
        <v>429</v>
      </c>
      <c r="L97" s="147">
        <v>515</v>
      </c>
      <c r="M97" s="147">
        <v>390</v>
      </c>
      <c r="N97" s="147">
        <v>496</v>
      </c>
      <c r="O97" s="148"/>
      <c r="P97" s="148"/>
      <c r="Q97" s="147">
        <v>479</v>
      </c>
      <c r="R97" s="147">
        <v>508</v>
      </c>
      <c r="S97" s="147">
        <v>635</v>
      </c>
      <c r="T97" s="147">
        <v>762</v>
      </c>
    </row>
    <row r="98" spans="1:20" ht="15" customHeight="1" x14ac:dyDescent="0.25">
      <c r="A98" s="128" t="s">
        <v>597</v>
      </c>
      <c r="B98" s="129" t="s">
        <v>348</v>
      </c>
      <c r="C98" s="129" t="s">
        <v>12</v>
      </c>
      <c r="D98" s="129" t="s">
        <v>600</v>
      </c>
      <c r="E98" s="130">
        <v>230</v>
      </c>
      <c r="F98" s="130">
        <v>276</v>
      </c>
      <c r="G98" s="131"/>
      <c r="H98" s="131"/>
      <c r="I98" s="130">
        <v>269</v>
      </c>
      <c r="J98" s="130">
        <v>284</v>
      </c>
      <c r="K98" s="130">
        <v>355</v>
      </c>
      <c r="L98" s="130">
        <v>426</v>
      </c>
      <c r="M98" s="130">
        <v>341</v>
      </c>
      <c r="N98" s="130">
        <v>409</v>
      </c>
      <c r="O98" s="131"/>
      <c r="P98" s="131"/>
      <c r="Q98" s="130">
        <v>398</v>
      </c>
      <c r="R98" s="130">
        <v>420</v>
      </c>
      <c r="S98" s="130">
        <v>525</v>
      </c>
      <c r="T98" s="130">
        <v>630</v>
      </c>
    </row>
    <row r="99" spans="1:20" ht="15" customHeight="1" x14ac:dyDescent="0.25">
      <c r="A99" s="145" t="s">
        <v>597</v>
      </c>
      <c r="B99" s="146" t="s">
        <v>348</v>
      </c>
      <c r="C99" s="146" t="s">
        <v>12</v>
      </c>
      <c r="D99" s="146" t="s">
        <v>565</v>
      </c>
      <c r="E99" s="147">
        <v>265</v>
      </c>
      <c r="F99" s="147">
        <v>358</v>
      </c>
      <c r="G99" s="148"/>
      <c r="H99" s="148"/>
      <c r="I99" s="147">
        <v>343</v>
      </c>
      <c r="J99" s="147">
        <v>365</v>
      </c>
      <c r="K99" s="147">
        <v>457</v>
      </c>
      <c r="L99" s="147">
        <v>548</v>
      </c>
      <c r="M99" s="147">
        <v>392</v>
      </c>
      <c r="N99" s="147">
        <v>530</v>
      </c>
      <c r="O99" s="148"/>
      <c r="P99" s="148"/>
      <c r="Q99" s="147">
        <v>507</v>
      </c>
      <c r="R99" s="147">
        <v>541</v>
      </c>
      <c r="S99" s="147">
        <v>676</v>
      </c>
      <c r="T99" s="147">
        <v>812</v>
      </c>
    </row>
    <row r="100" spans="1:20" ht="15" customHeight="1" x14ac:dyDescent="0.25">
      <c r="A100" s="128" t="s">
        <v>597</v>
      </c>
      <c r="B100" s="129" t="s">
        <v>348</v>
      </c>
      <c r="C100" s="129" t="s">
        <v>12</v>
      </c>
      <c r="D100" s="129" t="s">
        <v>601</v>
      </c>
      <c r="E100" s="130">
        <v>259</v>
      </c>
      <c r="F100" s="130">
        <v>338</v>
      </c>
      <c r="G100" s="131"/>
      <c r="H100" s="131"/>
      <c r="I100" s="130">
        <v>303</v>
      </c>
      <c r="J100" s="130">
        <v>318</v>
      </c>
      <c r="K100" s="130">
        <v>394</v>
      </c>
      <c r="L100" s="130">
        <v>477</v>
      </c>
      <c r="M100" s="130">
        <v>382</v>
      </c>
      <c r="N100" s="130">
        <v>499</v>
      </c>
      <c r="O100" s="131"/>
      <c r="P100" s="131"/>
      <c r="Q100" s="130">
        <v>448</v>
      </c>
      <c r="R100" s="130">
        <v>471</v>
      </c>
      <c r="S100" s="130">
        <v>583</v>
      </c>
      <c r="T100" s="130">
        <v>707</v>
      </c>
    </row>
    <row r="101" spans="1:20" ht="15" customHeight="1" x14ac:dyDescent="0.25">
      <c r="A101" s="145" t="s">
        <v>597</v>
      </c>
      <c r="B101" s="146" t="s">
        <v>348</v>
      </c>
      <c r="C101" s="146" t="s">
        <v>12</v>
      </c>
      <c r="D101" s="146" t="s">
        <v>567</v>
      </c>
      <c r="E101" s="147">
        <v>319</v>
      </c>
      <c r="F101" s="147">
        <v>439</v>
      </c>
      <c r="G101" s="148"/>
      <c r="H101" s="148"/>
      <c r="I101" s="147">
        <v>404</v>
      </c>
      <c r="J101" s="147">
        <v>420</v>
      </c>
      <c r="K101" s="147">
        <v>489</v>
      </c>
      <c r="L101" s="147">
        <v>630</v>
      </c>
      <c r="M101" s="147">
        <v>472</v>
      </c>
      <c r="N101" s="147">
        <v>649</v>
      </c>
      <c r="O101" s="148"/>
      <c r="P101" s="148"/>
      <c r="Q101" s="147">
        <v>598</v>
      </c>
      <c r="R101" s="147">
        <v>621</v>
      </c>
      <c r="S101" s="147">
        <v>723</v>
      </c>
      <c r="T101" s="147">
        <v>932</v>
      </c>
    </row>
    <row r="102" spans="1:20" ht="15" customHeight="1" x14ac:dyDescent="0.25">
      <c r="A102" s="128" t="s">
        <v>597</v>
      </c>
      <c r="B102" s="129" t="s">
        <v>348</v>
      </c>
      <c r="C102" s="129" t="s">
        <v>12</v>
      </c>
      <c r="D102" s="129" t="s">
        <v>598</v>
      </c>
      <c r="E102" s="130">
        <v>235</v>
      </c>
      <c r="F102" s="130">
        <v>271</v>
      </c>
      <c r="G102" s="131"/>
      <c r="H102" s="131"/>
      <c r="I102" s="130">
        <v>268</v>
      </c>
      <c r="J102" s="130">
        <v>276</v>
      </c>
      <c r="K102" s="130">
        <v>345</v>
      </c>
      <c r="L102" s="130">
        <v>414</v>
      </c>
      <c r="M102" s="130">
        <v>347</v>
      </c>
      <c r="N102" s="130">
        <v>402</v>
      </c>
      <c r="O102" s="131"/>
      <c r="P102" s="131"/>
      <c r="Q102" s="130">
        <v>397</v>
      </c>
      <c r="R102" s="130">
        <v>409</v>
      </c>
      <c r="S102" s="130">
        <v>511</v>
      </c>
      <c r="T102" s="130">
        <v>614</v>
      </c>
    </row>
    <row r="103" spans="1:20" ht="15" customHeight="1" x14ac:dyDescent="0.25">
      <c r="A103" s="145" t="s">
        <v>597</v>
      </c>
      <c r="B103" s="146" t="s">
        <v>348</v>
      </c>
      <c r="C103" s="146" t="s">
        <v>12</v>
      </c>
      <c r="D103" s="146" t="s">
        <v>561</v>
      </c>
      <c r="E103" s="147">
        <v>269</v>
      </c>
      <c r="F103" s="147">
        <v>341</v>
      </c>
      <c r="G103" s="148"/>
      <c r="H103" s="148"/>
      <c r="I103" s="147">
        <v>335</v>
      </c>
      <c r="J103" s="147">
        <v>350</v>
      </c>
      <c r="K103" s="147">
        <v>437</v>
      </c>
      <c r="L103" s="147">
        <v>525</v>
      </c>
      <c r="M103" s="147">
        <v>398</v>
      </c>
      <c r="N103" s="147">
        <v>505</v>
      </c>
      <c r="O103" s="148"/>
      <c r="P103" s="148"/>
      <c r="Q103" s="147">
        <v>495</v>
      </c>
      <c r="R103" s="147">
        <v>518</v>
      </c>
      <c r="S103" s="147">
        <v>647</v>
      </c>
      <c r="T103" s="147">
        <v>777</v>
      </c>
    </row>
    <row r="104" spans="1:20" ht="15" customHeight="1" x14ac:dyDescent="0.25">
      <c r="A104" s="128" t="s">
        <v>597</v>
      </c>
      <c r="B104" s="129" t="s">
        <v>348</v>
      </c>
      <c r="C104" s="129" t="s">
        <v>12</v>
      </c>
      <c r="D104" s="129" t="s">
        <v>599</v>
      </c>
      <c r="E104" s="130">
        <v>241</v>
      </c>
      <c r="F104" s="130">
        <v>282</v>
      </c>
      <c r="G104" s="131"/>
      <c r="H104" s="131"/>
      <c r="I104" s="130">
        <v>278</v>
      </c>
      <c r="J104" s="130">
        <v>289</v>
      </c>
      <c r="K104" s="130">
        <v>361</v>
      </c>
      <c r="L104" s="130">
        <v>434</v>
      </c>
      <c r="M104" s="130">
        <v>356</v>
      </c>
      <c r="N104" s="130">
        <v>418</v>
      </c>
      <c r="O104" s="131"/>
      <c r="P104" s="131"/>
      <c r="Q104" s="130">
        <v>411</v>
      </c>
      <c r="R104" s="130">
        <v>428</v>
      </c>
      <c r="S104" s="130">
        <v>535</v>
      </c>
      <c r="T104" s="130">
        <v>642</v>
      </c>
    </row>
    <row r="105" spans="1:20" ht="15" customHeight="1" x14ac:dyDescent="0.25">
      <c r="A105" s="145" t="s">
        <v>597</v>
      </c>
      <c r="B105" s="146" t="s">
        <v>348</v>
      </c>
      <c r="C105" s="146" t="s">
        <v>12</v>
      </c>
      <c r="D105" s="146" t="s">
        <v>563</v>
      </c>
      <c r="E105" s="147">
        <v>278</v>
      </c>
      <c r="F105" s="147">
        <v>359</v>
      </c>
      <c r="G105" s="148"/>
      <c r="H105" s="148"/>
      <c r="I105" s="147">
        <v>348</v>
      </c>
      <c r="J105" s="147">
        <v>367</v>
      </c>
      <c r="K105" s="147">
        <v>459</v>
      </c>
      <c r="L105" s="147">
        <v>551</v>
      </c>
      <c r="M105" s="147">
        <v>412</v>
      </c>
      <c r="N105" s="147">
        <v>531</v>
      </c>
      <c r="O105" s="148"/>
      <c r="P105" s="148"/>
      <c r="Q105" s="147">
        <v>514</v>
      </c>
      <c r="R105" s="147">
        <v>543</v>
      </c>
      <c r="S105" s="147">
        <v>679</v>
      </c>
      <c r="T105" s="147">
        <v>815</v>
      </c>
    </row>
    <row r="106" spans="1:20" ht="15" customHeight="1" x14ac:dyDescent="0.25">
      <c r="A106" s="128" t="s">
        <v>597</v>
      </c>
      <c r="B106" s="129" t="s">
        <v>348</v>
      </c>
      <c r="C106" s="129" t="s">
        <v>12</v>
      </c>
      <c r="D106" s="129" t="s">
        <v>600</v>
      </c>
      <c r="E106" s="130">
        <v>246</v>
      </c>
      <c r="F106" s="130">
        <v>293</v>
      </c>
      <c r="G106" s="131"/>
      <c r="H106" s="131"/>
      <c r="I106" s="130">
        <v>288</v>
      </c>
      <c r="J106" s="130">
        <v>302</v>
      </c>
      <c r="K106" s="130">
        <v>377</v>
      </c>
      <c r="L106" s="130">
        <v>453</v>
      </c>
      <c r="M106" s="130">
        <v>364</v>
      </c>
      <c r="N106" s="130">
        <v>434</v>
      </c>
      <c r="O106" s="131"/>
      <c r="P106" s="131"/>
      <c r="Q106" s="130">
        <v>426</v>
      </c>
      <c r="R106" s="130">
        <v>446</v>
      </c>
      <c r="S106" s="130">
        <v>558</v>
      </c>
      <c r="T106" s="130">
        <v>669</v>
      </c>
    </row>
    <row r="107" spans="1:20" ht="15" customHeight="1" x14ac:dyDescent="0.25">
      <c r="A107" s="145" t="s">
        <v>597</v>
      </c>
      <c r="B107" s="146" t="s">
        <v>348</v>
      </c>
      <c r="C107" s="146" t="s">
        <v>12</v>
      </c>
      <c r="D107" s="146" t="s">
        <v>565</v>
      </c>
      <c r="E107" s="147">
        <v>288</v>
      </c>
      <c r="F107" s="147">
        <v>376</v>
      </c>
      <c r="G107" s="148"/>
      <c r="H107" s="148"/>
      <c r="I107" s="147">
        <v>361</v>
      </c>
      <c r="J107" s="147">
        <v>384</v>
      </c>
      <c r="K107" s="147">
        <v>480</v>
      </c>
      <c r="L107" s="147">
        <v>576</v>
      </c>
      <c r="M107" s="147">
        <v>426</v>
      </c>
      <c r="N107" s="147">
        <v>557</v>
      </c>
      <c r="O107" s="148"/>
      <c r="P107" s="148"/>
      <c r="Q107" s="147">
        <v>534</v>
      </c>
      <c r="R107" s="147">
        <v>568</v>
      </c>
      <c r="S107" s="147">
        <v>710</v>
      </c>
      <c r="T107" s="147">
        <v>852</v>
      </c>
    </row>
    <row r="108" spans="1:20" ht="15" customHeight="1" x14ac:dyDescent="0.25">
      <c r="A108" s="128" t="s">
        <v>597</v>
      </c>
      <c r="B108" s="129" t="s">
        <v>348</v>
      </c>
      <c r="C108" s="129" t="s">
        <v>12</v>
      </c>
      <c r="D108" s="129" t="s">
        <v>601</v>
      </c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</row>
    <row r="109" spans="1:20" ht="15" customHeight="1" x14ac:dyDescent="0.25">
      <c r="A109" s="145" t="s">
        <v>597</v>
      </c>
      <c r="B109" s="146" t="s">
        <v>348</v>
      </c>
      <c r="C109" s="146" t="s">
        <v>12</v>
      </c>
      <c r="D109" s="146" t="s">
        <v>567</v>
      </c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</row>
    <row r="110" spans="1:20" ht="15" customHeight="1" x14ac:dyDescent="0.25">
      <c r="A110" s="128" t="s">
        <v>597</v>
      </c>
      <c r="B110" s="129" t="s">
        <v>602</v>
      </c>
      <c r="C110" s="129" t="s">
        <v>427</v>
      </c>
      <c r="D110" s="129" t="s">
        <v>561</v>
      </c>
      <c r="E110" s="130">
        <v>262</v>
      </c>
      <c r="F110" s="130">
        <v>312</v>
      </c>
      <c r="G110" s="131"/>
      <c r="H110" s="131"/>
      <c r="I110" s="130">
        <v>305</v>
      </c>
      <c r="J110" s="130">
        <v>321</v>
      </c>
      <c r="K110" s="130">
        <v>401</v>
      </c>
      <c r="L110" s="130">
        <v>482</v>
      </c>
      <c r="M110" s="130">
        <v>387</v>
      </c>
      <c r="N110" s="130">
        <v>462</v>
      </c>
      <c r="O110" s="131"/>
      <c r="P110" s="131"/>
      <c r="Q110" s="130">
        <v>451</v>
      </c>
      <c r="R110" s="130">
        <v>474</v>
      </c>
      <c r="S110" s="130">
        <v>593</v>
      </c>
      <c r="T110" s="130">
        <v>711</v>
      </c>
    </row>
    <row r="111" spans="1:20" ht="15" customHeight="1" x14ac:dyDescent="0.25">
      <c r="A111" s="145" t="s">
        <v>597</v>
      </c>
      <c r="B111" s="146" t="s">
        <v>602</v>
      </c>
      <c r="C111" s="146" t="s">
        <v>427</v>
      </c>
      <c r="D111" s="146" t="s">
        <v>563</v>
      </c>
      <c r="E111" s="147">
        <v>263</v>
      </c>
      <c r="F111" s="147">
        <v>335</v>
      </c>
      <c r="G111" s="148"/>
      <c r="H111" s="148"/>
      <c r="I111" s="147">
        <v>324</v>
      </c>
      <c r="J111" s="147">
        <v>343</v>
      </c>
      <c r="K111" s="147">
        <v>429</v>
      </c>
      <c r="L111" s="147">
        <v>515</v>
      </c>
      <c r="M111" s="147">
        <v>390</v>
      </c>
      <c r="N111" s="147">
        <v>496</v>
      </c>
      <c r="O111" s="148"/>
      <c r="P111" s="148"/>
      <c r="Q111" s="147">
        <v>479</v>
      </c>
      <c r="R111" s="147">
        <v>508</v>
      </c>
      <c r="S111" s="147">
        <v>635</v>
      </c>
      <c r="T111" s="147">
        <v>762</v>
      </c>
    </row>
    <row r="112" spans="1:20" ht="15" customHeight="1" x14ac:dyDescent="0.25">
      <c r="A112" s="128" t="s">
        <v>597</v>
      </c>
      <c r="B112" s="129" t="s">
        <v>602</v>
      </c>
      <c r="C112" s="129" t="s">
        <v>427</v>
      </c>
      <c r="D112" s="129" t="s">
        <v>565</v>
      </c>
      <c r="E112" s="130">
        <v>265</v>
      </c>
      <c r="F112" s="130">
        <v>358</v>
      </c>
      <c r="G112" s="131"/>
      <c r="H112" s="131"/>
      <c r="I112" s="130">
        <v>343</v>
      </c>
      <c r="J112" s="130">
        <v>365</v>
      </c>
      <c r="K112" s="130">
        <v>457</v>
      </c>
      <c r="L112" s="130">
        <v>548</v>
      </c>
      <c r="M112" s="130">
        <v>392</v>
      </c>
      <c r="N112" s="130">
        <v>530</v>
      </c>
      <c r="O112" s="131"/>
      <c r="P112" s="131"/>
      <c r="Q112" s="130">
        <v>507</v>
      </c>
      <c r="R112" s="130">
        <v>541</v>
      </c>
      <c r="S112" s="130">
        <v>676</v>
      </c>
      <c r="T112" s="130">
        <v>812</v>
      </c>
    </row>
    <row r="113" spans="1:20" ht="15" customHeight="1" x14ac:dyDescent="0.25">
      <c r="A113" s="145" t="s">
        <v>597</v>
      </c>
      <c r="B113" s="146" t="s">
        <v>602</v>
      </c>
      <c r="C113" s="146" t="s">
        <v>427</v>
      </c>
      <c r="D113" s="146" t="s">
        <v>567</v>
      </c>
      <c r="E113" s="147">
        <v>319</v>
      </c>
      <c r="F113" s="147">
        <v>439</v>
      </c>
      <c r="G113" s="148"/>
      <c r="H113" s="148"/>
      <c r="I113" s="147">
        <v>404</v>
      </c>
      <c r="J113" s="147">
        <v>420</v>
      </c>
      <c r="K113" s="147">
        <v>489</v>
      </c>
      <c r="L113" s="147">
        <v>630</v>
      </c>
      <c r="M113" s="147">
        <v>472</v>
      </c>
      <c r="N113" s="147">
        <v>649</v>
      </c>
      <c r="O113" s="148"/>
      <c r="P113" s="148"/>
      <c r="Q113" s="147">
        <v>598</v>
      </c>
      <c r="R113" s="147">
        <v>621</v>
      </c>
      <c r="S113" s="147">
        <v>723</v>
      </c>
      <c r="T113" s="147">
        <v>932</v>
      </c>
    </row>
    <row r="114" spans="1:20" ht="15" customHeight="1" x14ac:dyDescent="0.25">
      <c r="A114" s="128" t="s">
        <v>597</v>
      </c>
      <c r="B114" s="129" t="s">
        <v>602</v>
      </c>
      <c r="C114" s="129" t="s">
        <v>427</v>
      </c>
      <c r="D114" s="129" t="s">
        <v>561</v>
      </c>
      <c r="E114" s="130">
        <v>269</v>
      </c>
      <c r="F114" s="130">
        <v>341</v>
      </c>
      <c r="G114" s="131"/>
      <c r="H114" s="131"/>
      <c r="I114" s="130">
        <v>335</v>
      </c>
      <c r="J114" s="130">
        <v>350</v>
      </c>
      <c r="K114" s="130">
        <v>437</v>
      </c>
      <c r="L114" s="130">
        <v>525</v>
      </c>
      <c r="M114" s="130">
        <v>398</v>
      </c>
      <c r="N114" s="130">
        <v>505</v>
      </c>
      <c r="O114" s="131"/>
      <c r="P114" s="131"/>
      <c r="Q114" s="130">
        <v>495</v>
      </c>
      <c r="R114" s="130">
        <v>518</v>
      </c>
      <c r="S114" s="130">
        <v>647</v>
      </c>
      <c r="T114" s="130">
        <v>777</v>
      </c>
    </row>
    <row r="115" spans="1:20" ht="15" customHeight="1" x14ac:dyDescent="0.25">
      <c r="A115" s="145" t="s">
        <v>597</v>
      </c>
      <c r="B115" s="146" t="s">
        <v>602</v>
      </c>
      <c r="C115" s="146" t="s">
        <v>427</v>
      </c>
      <c r="D115" s="146" t="s">
        <v>563</v>
      </c>
      <c r="E115" s="147">
        <v>278</v>
      </c>
      <c r="F115" s="147">
        <v>359</v>
      </c>
      <c r="G115" s="148"/>
      <c r="H115" s="148"/>
      <c r="I115" s="147">
        <v>348</v>
      </c>
      <c r="J115" s="147">
        <v>367</v>
      </c>
      <c r="K115" s="147">
        <v>459</v>
      </c>
      <c r="L115" s="147">
        <v>551</v>
      </c>
      <c r="M115" s="147">
        <v>412</v>
      </c>
      <c r="N115" s="147">
        <v>531</v>
      </c>
      <c r="O115" s="148"/>
      <c r="P115" s="148"/>
      <c r="Q115" s="147">
        <v>514</v>
      </c>
      <c r="R115" s="147">
        <v>543</v>
      </c>
      <c r="S115" s="147">
        <v>679</v>
      </c>
      <c r="T115" s="147">
        <v>815</v>
      </c>
    </row>
    <row r="116" spans="1:20" ht="15" customHeight="1" x14ac:dyDescent="0.25">
      <c r="A116" s="128" t="s">
        <v>597</v>
      </c>
      <c r="B116" s="129" t="s">
        <v>602</v>
      </c>
      <c r="C116" s="129" t="s">
        <v>427</v>
      </c>
      <c r="D116" s="129" t="s">
        <v>565</v>
      </c>
      <c r="E116" s="130">
        <v>288</v>
      </c>
      <c r="F116" s="130">
        <v>376</v>
      </c>
      <c r="G116" s="131"/>
      <c r="H116" s="131"/>
      <c r="I116" s="130">
        <v>361</v>
      </c>
      <c r="J116" s="130">
        <v>384</v>
      </c>
      <c r="K116" s="130">
        <v>480</v>
      </c>
      <c r="L116" s="130">
        <v>576</v>
      </c>
      <c r="M116" s="130">
        <v>426</v>
      </c>
      <c r="N116" s="130">
        <v>557</v>
      </c>
      <c r="O116" s="131"/>
      <c r="P116" s="131"/>
      <c r="Q116" s="130">
        <v>534</v>
      </c>
      <c r="R116" s="130">
        <v>568</v>
      </c>
      <c r="S116" s="130">
        <v>710</v>
      </c>
      <c r="T116" s="130">
        <v>852</v>
      </c>
    </row>
    <row r="117" spans="1:20" ht="15" customHeight="1" x14ac:dyDescent="0.25">
      <c r="A117" s="145" t="s">
        <v>597</v>
      </c>
      <c r="B117" s="146" t="s">
        <v>602</v>
      </c>
      <c r="C117" s="146" t="s">
        <v>427</v>
      </c>
      <c r="D117" s="146" t="s">
        <v>567</v>
      </c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</row>
    <row r="118" spans="1:20" ht="3.75" customHeight="1" x14ac:dyDescent="0.25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</row>
    <row r="119" spans="1:20" ht="18" customHeight="1" x14ac:dyDescent="0.25">
      <c r="A119" s="123" t="s">
        <v>603</v>
      </c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</row>
    <row r="120" spans="1:20" ht="15" customHeight="1" x14ac:dyDescent="0.25">
      <c r="A120" s="128" t="s">
        <v>603</v>
      </c>
      <c r="B120" s="129" t="s">
        <v>604</v>
      </c>
      <c r="C120" s="129" t="s">
        <v>77</v>
      </c>
      <c r="D120" s="129" t="s">
        <v>605</v>
      </c>
      <c r="E120" s="130">
        <v>872</v>
      </c>
      <c r="F120" s="131"/>
      <c r="G120" s="130">
        <v>1400</v>
      </c>
      <c r="H120" s="130">
        <v>1540</v>
      </c>
      <c r="I120" s="130">
        <v>1073</v>
      </c>
      <c r="J120" s="130">
        <v>1249</v>
      </c>
      <c r="K120" s="130">
        <v>1561</v>
      </c>
      <c r="L120" s="130">
        <v>1874</v>
      </c>
      <c r="M120" s="130">
        <v>1890</v>
      </c>
      <c r="N120" s="131"/>
      <c r="O120" s="130">
        <v>2672</v>
      </c>
      <c r="P120" s="130">
        <v>2879</v>
      </c>
      <c r="Q120" s="130">
        <v>2188</v>
      </c>
      <c r="R120" s="130">
        <v>2448</v>
      </c>
      <c r="S120" s="130">
        <v>2910</v>
      </c>
      <c r="T120" s="130">
        <v>3372</v>
      </c>
    </row>
    <row r="121" spans="1:20" ht="15" customHeight="1" x14ac:dyDescent="0.25">
      <c r="A121" s="149" t="s">
        <v>603</v>
      </c>
      <c r="B121" s="150" t="s">
        <v>606</v>
      </c>
      <c r="C121" s="150" t="s">
        <v>77</v>
      </c>
      <c r="D121" s="150" t="s">
        <v>607</v>
      </c>
      <c r="E121" s="151">
        <v>651</v>
      </c>
      <c r="F121" s="152"/>
      <c r="G121" s="151">
        <v>1074</v>
      </c>
      <c r="H121" s="151">
        <v>1181</v>
      </c>
      <c r="I121" s="151">
        <v>814</v>
      </c>
      <c r="J121" s="151">
        <v>853</v>
      </c>
      <c r="K121" s="151">
        <v>1066</v>
      </c>
      <c r="L121" s="151">
        <v>1280</v>
      </c>
      <c r="M121" s="151">
        <v>963</v>
      </c>
      <c r="N121" s="152"/>
      <c r="O121" s="151">
        <v>1589</v>
      </c>
      <c r="P121" s="151">
        <v>1748</v>
      </c>
      <c r="Q121" s="151">
        <v>1205</v>
      </c>
      <c r="R121" s="151">
        <v>1262</v>
      </c>
      <c r="S121" s="151">
        <v>1578</v>
      </c>
      <c r="T121" s="151">
        <v>1893</v>
      </c>
    </row>
    <row r="122" spans="1:20" ht="15" customHeight="1" x14ac:dyDescent="0.25">
      <c r="A122" s="128" t="s">
        <v>603</v>
      </c>
      <c r="B122" s="129" t="s">
        <v>608</v>
      </c>
      <c r="C122" s="129" t="s">
        <v>77</v>
      </c>
      <c r="D122" s="129" t="s">
        <v>609</v>
      </c>
      <c r="E122" s="130">
        <v>740</v>
      </c>
      <c r="F122" s="131"/>
      <c r="G122" s="130">
        <v>1242</v>
      </c>
      <c r="H122" s="130">
        <v>1366</v>
      </c>
      <c r="I122" s="130">
        <v>913</v>
      </c>
      <c r="J122" s="130">
        <v>1022</v>
      </c>
      <c r="K122" s="130">
        <v>1277</v>
      </c>
      <c r="L122" s="130">
        <v>1533</v>
      </c>
      <c r="M122" s="130">
        <v>1095</v>
      </c>
      <c r="N122" s="131"/>
      <c r="O122" s="130">
        <v>1838</v>
      </c>
      <c r="P122" s="130">
        <v>2022</v>
      </c>
      <c r="Q122" s="130">
        <v>1351</v>
      </c>
      <c r="R122" s="130">
        <v>1512</v>
      </c>
      <c r="S122" s="130">
        <v>1890</v>
      </c>
      <c r="T122" s="130">
        <v>2268</v>
      </c>
    </row>
    <row r="123" spans="1:20" ht="15" customHeight="1" x14ac:dyDescent="0.25">
      <c r="A123" s="149" t="s">
        <v>603</v>
      </c>
      <c r="B123" s="150" t="s">
        <v>610</v>
      </c>
      <c r="C123" s="150" t="s">
        <v>77</v>
      </c>
      <c r="D123" s="150" t="s">
        <v>611</v>
      </c>
      <c r="E123" s="151">
        <v>713</v>
      </c>
      <c r="F123" s="152"/>
      <c r="G123" s="151">
        <v>1183</v>
      </c>
      <c r="H123" s="151">
        <v>1301</v>
      </c>
      <c r="I123" s="151">
        <v>896</v>
      </c>
      <c r="J123" s="151">
        <v>1000</v>
      </c>
      <c r="K123" s="151">
        <v>1250</v>
      </c>
      <c r="L123" s="151">
        <v>1500</v>
      </c>
      <c r="M123" s="151">
        <v>1055</v>
      </c>
      <c r="N123" s="152"/>
      <c r="O123" s="151">
        <v>1751</v>
      </c>
      <c r="P123" s="151">
        <v>1926</v>
      </c>
      <c r="Q123" s="151">
        <v>1326</v>
      </c>
      <c r="R123" s="151">
        <v>1480</v>
      </c>
      <c r="S123" s="151">
        <v>1850</v>
      </c>
      <c r="T123" s="151">
        <v>2220</v>
      </c>
    </row>
    <row r="124" spans="1:20" ht="15" customHeight="1" x14ac:dyDescent="0.25">
      <c r="A124" s="128" t="s">
        <v>603</v>
      </c>
      <c r="B124" s="129" t="s">
        <v>612</v>
      </c>
      <c r="C124" s="129" t="s">
        <v>77</v>
      </c>
      <c r="D124" s="129" t="s">
        <v>613</v>
      </c>
      <c r="E124" s="130">
        <v>663</v>
      </c>
      <c r="F124" s="131"/>
      <c r="G124" s="130">
        <v>1125</v>
      </c>
      <c r="H124" s="130">
        <v>1238</v>
      </c>
      <c r="I124" s="130">
        <v>859</v>
      </c>
      <c r="J124" s="130">
        <v>953</v>
      </c>
      <c r="K124" s="130">
        <v>1192</v>
      </c>
      <c r="L124" s="130">
        <v>1430</v>
      </c>
      <c r="M124" s="130">
        <v>998</v>
      </c>
      <c r="N124" s="131"/>
      <c r="O124" s="130">
        <v>1665</v>
      </c>
      <c r="P124" s="130">
        <v>1832</v>
      </c>
      <c r="Q124" s="130">
        <v>1271</v>
      </c>
      <c r="R124" s="130">
        <v>1411</v>
      </c>
      <c r="S124" s="130">
        <v>1764</v>
      </c>
      <c r="T124" s="130">
        <v>2117</v>
      </c>
    </row>
    <row r="125" spans="1:20" ht="15" customHeight="1" x14ac:dyDescent="0.25">
      <c r="A125" s="149" t="s">
        <v>603</v>
      </c>
      <c r="B125" s="150" t="s">
        <v>614</v>
      </c>
      <c r="C125" s="150" t="s">
        <v>77</v>
      </c>
      <c r="D125" s="150" t="s">
        <v>615</v>
      </c>
      <c r="E125" s="151">
        <v>674</v>
      </c>
      <c r="F125" s="152"/>
      <c r="G125" s="151">
        <v>1076</v>
      </c>
      <c r="H125" s="151">
        <v>1184</v>
      </c>
      <c r="I125" s="151">
        <v>797</v>
      </c>
      <c r="J125" s="151">
        <v>907</v>
      </c>
      <c r="K125" s="151">
        <v>1134</v>
      </c>
      <c r="L125" s="151">
        <v>1361</v>
      </c>
      <c r="M125" s="151">
        <v>981</v>
      </c>
      <c r="N125" s="152"/>
      <c r="O125" s="151">
        <v>1593</v>
      </c>
      <c r="P125" s="151">
        <v>1752</v>
      </c>
      <c r="Q125" s="151">
        <v>1179</v>
      </c>
      <c r="R125" s="151">
        <v>1343</v>
      </c>
      <c r="S125" s="151">
        <v>1679</v>
      </c>
      <c r="T125" s="151">
        <v>2015</v>
      </c>
    </row>
    <row r="126" spans="1:20" ht="15" customHeight="1" x14ac:dyDescent="0.25">
      <c r="A126" s="128" t="s">
        <v>603</v>
      </c>
      <c r="B126" s="129" t="s">
        <v>616</v>
      </c>
      <c r="C126" s="129" t="s">
        <v>77</v>
      </c>
      <c r="D126" s="129" t="s">
        <v>617</v>
      </c>
      <c r="E126" s="130">
        <v>649</v>
      </c>
      <c r="F126" s="131"/>
      <c r="G126" s="130">
        <v>1011</v>
      </c>
      <c r="H126" s="130">
        <v>1113</v>
      </c>
      <c r="I126" s="130">
        <v>753</v>
      </c>
      <c r="J126" s="130">
        <v>836</v>
      </c>
      <c r="K126" s="130">
        <v>1045</v>
      </c>
      <c r="L126" s="130">
        <v>1254</v>
      </c>
      <c r="M126" s="130">
        <v>960</v>
      </c>
      <c r="N126" s="131"/>
      <c r="O126" s="130">
        <v>1497</v>
      </c>
      <c r="P126" s="130">
        <v>1647</v>
      </c>
      <c r="Q126" s="130">
        <v>1114</v>
      </c>
      <c r="R126" s="130">
        <v>1237</v>
      </c>
      <c r="S126" s="130">
        <v>1546</v>
      </c>
      <c r="T126" s="130">
        <v>1856</v>
      </c>
    </row>
    <row r="127" spans="1:20" ht="15" customHeight="1" x14ac:dyDescent="0.25">
      <c r="A127" s="149" t="s">
        <v>603</v>
      </c>
      <c r="B127" s="150" t="s">
        <v>618</v>
      </c>
      <c r="C127" s="150" t="s">
        <v>77</v>
      </c>
      <c r="D127" s="150" t="s">
        <v>619</v>
      </c>
      <c r="E127" s="151">
        <v>570</v>
      </c>
      <c r="F127" s="152"/>
      <c r="G127" s="151">
        <v>953</v>
      </c>
      <c r="H127" s="151">
        <v>1049</v>
      </c>
      <c r="I127" s="151">
        <v>699</v>
      </c>
      <c r="J127" s="151">
        <v>764</v>
      </c>
      <c r="K127" s="151">
        <v>954</v>
      </c>
      <c r="L127" s="151">
        <v>1146</v>
      </c>
      <c r="M127" s="151">
        <v>844</v>
      </c>
      <c r="N127" s="152"/>
      <c r="O127" s="151">
        <v>1411</v>
      </c>
      <c r="P127" s="151">
        <v>1552</v>
      </c>
      <c r="Q127" s="151">
        <v>1034</v>
      </c>
      <c r="R127" s="151">
        <v>1130</v>
      </c>
      <c r="S127" s="151">
        <v>1413</v>
      </c>
      <c r="T127" s="151">
        <v>1695</v>
      </c>
    </row>
    <row r="128" spans="1:20" ht="15" customHeight="1" x14ac:dyDescent="0.25">
      <c r="A128" s="128" t="s">
        <v>603</v>
      </c>
      <c r="B128" s="129" t="s">
        <v>620</v>
      </c>
      <c r="C128" s="129" t="s">
        <v>77</v>
      </c>
      <c r="D128" s="129" t="s">
        <v>621</v>
      </c>
      <c r="E128" s="130">
        <v>669</v>
      </c>
      <c r="F128" s="131"/>
      <c r="G128" s="130">
        <v>1001</v>
      </c>
      <c r="H128" s="130">
        <v>1101</v>
      </c>
      <c r="I128" s="130">
        <v>723</v>
      </c>
      <c r="J128" s="130">
        <v>798</v>
      </c>
      <c r="K128" s="130">
        <v>997</v>
      </c>
      <c r="L128" s="130">
        <v>1197</v>
      </c>
      <c r="M128" s="130">
        <v>990</v>
      </c>
      <c r="N128" s="131"/>
      <c r="O128" s="130">
        <v>1481</v>
      </c>
      <c r="P128" s="130">
        <v>1629</v>
      </c>
      <c r="Q128" s="130">
        <v>1070</v>
      </c>
      <c r="R128" s="130">
        <v>1181</v>
      </c>
      <c r="S128" s="130">
        <v>1476</v>
      </c>
      <c r="T128" s="130">
        <v>1772</v>
      </c>
    </row>
    <row r="129" spans="1:20" ht="15" customHeight="1" x14ac:dyDescent="0.25">
      <c r="A129" s="149" t="s">
        <v>603</v>
      </c>
      <c r="B129" s="150" t="s">
        <v>622</v>
      </c>
      <c r="C129" s="150" t="s">
        <v>77</v>
      </c>
      <c r="D129" s="150" t="s">
        <v>568</v>
      </c>
      <c r="E129" s="151">
        <v>636</v>
      </c>
      <c r="F129" s="152"/>
      <c r="G129" s="151">
        <v>947</v>
      </c>
      <c r="H129" s="151">
        <v>1041</v>
      </c>
      <c r="I129" s="151">
        <v>689</v>
      </c>
      <c r="J129" s="151">
        <v>751</v>
      </c>
      <c r="K129" s="151">
        <v>939</v>
      </c>
      <c r="L129" s="151">
        <v>1127</v>
      </c>
      <c r="M129" s="151">
        <v>942</v>
      </c>
      <c r="N129" s="152"/>
      <c r="O129" s="151">
        <v>1401</v>
      </c>
      <c r="P129" s="151">
        <v>1541</v>
      </c>
      <c r="Q129" s="151">
        <v>1020</v>
      </c>
      <c r="R129" s="151">
        <v>1112</v>
      </c>
      <c r="S129" s="151">
        <v>1390</v>
      </c>
      <c r="T129" s="151">
        <v>1668</v>
      </c>
    </row>
    <row r="130" spans="1:20" ht="15" customHeight="1" x14ac:dyDescent="0.25">
      <c r="A130" s="128" t="s">
        <v>603</v>
      </c>
      <c r="B130" s="129" t="s">
        <v>623</v>
      </c>
      <c r="C130" s="129" t="s">
        <v>77</v>
      </c>
      <c r="D130" s="129" t="s">
        <v>564</v>
      </c>
      <c r="E130" s="130">
        <v>582</v>
      </c>
      <c r="F130" s="131"/>
      <c r="G130" s="130">
        <v>845</v>
      </c>
      <c r="H130" s="130">
        <v>930</v>
      </c>
      <c r="I130" s="130">
        <v>603</v>
      </c>
      <c r="J130" s="130">
        <v>631</v>
      </c>
      <c r="K130" s="130">
        <v>789</v>
      </c>
      <c r="L130" s="130">
        <v>947</v>
      </c>
      <c r="M130" s="130">
        <v>861</v>
      </c>
      <c r="N130" s="131"/>
      <c r="O130" s="130">
        <v>1251</v>
      </c>
      <c r="P130" s="130">
        <v>1376</v>
      </c>
      <c r="Q130" s="130">
        <v>892</v>
      </c>
      <c r="R130" s="130">
        <v>934</v>
      </c>
      <c r="S130" s="130">
        <v>1168</v>
      </c>
      <c r="T130" s="130">
        <v>1401</v>
      </c>
    </row>
    <row r="131" spans="1:20" ht="3.75" customHeight="1" x14ac:dyDescent="0.25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</row>
    <row r="132" spans="1:20" ht="18" customHeight="1" x14ac:dyDescent="0.25">
      <c r="A132" s="123" t="s">
        <v>658</v>
      </c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</row>
    <row r="133" spans="1:20" ht="15" customHeight="1" x14ac:dyDescent="0.25">
      <c r="A133" s="153" t="s">
        <v>658</v>
      </c>
      <c r="B133" s="154" t="s">
        <v>624</v>
      </c>
      <c r="C133" s="154" t="s">
        <v>660</v>
      </c>
      <c r="D133" s="154" t="s">
        <v>625</v>
      </c>
      <c r="E133" s="155">
        <v>71</v>
      </c>
      <c r="F133" s="156"/>
      <c r="G133" s="156"/>
      <c r="H133" s="156"/>
      <c r="I133" s="156"/>
      <c r="J133" s="156"/>
      <c r="K133" s="156"/>
      <c r="L133" s="156"/>
      <c r="M133" s="155">
        <v>105</v>
      </c>
      <c r="N133" s="156"/>
      <c r="O133" s="156"/>
      <c r="P133" s="156"/>
      <c r="Q133" s="156"/>
      <c r="R133" s="156"/>
      <c r="S133" s="156"/>
      <c r="T133" s="156"/>
    </row>
    <row r="134" spans="1:20" ht="15" customHeight="1" x14ac:dyDescent="0.25">
      <c r="A134" s="128" t="s">
        <v>658</v>
      </c>
      <c r="B134" s="129" t="s">
        <v>624</v>
      </c>
      <c r="C134" s="129" t="s">
        <v>660</v>
      </c>
      <c r="D134" s="129" t="s">
        <v>626</v>
      </c>
      <c r="E134" s="130">
        <v>71</v>
      </c>
      <c r="F134" s="131"/>
      <c r="G134" s="131"/>
      <c r="H134" s="131"/>
      <c r="I134" s="131"/>
      <c r="J134" s="131"/>
      <c r="K134" s="131"/>
      <c r="L134" s="131"/>
      <c r="M134" s="130">
        <v>105</v>
      </c>
      <c r="N134" s="131"/>
      <c r="O134" s="131"/>
      <c r="P134" s="131"/>
      <c r="Q134" s="131"/>
      <c r="R134" s="131"/>
      <c r="S134" s="131"/>
      <c r="T134" s="131"/>
    </row>
    <row r="135" spans="1:20" ht="15" customHeight="1" x14ac:dyDescent="0.25">
      <c r="A135" s="153" t="s">
        <v>658</v>
      </c>
      <c r="B135" s="154" t="s">
        <v>627</v>
      </c>
      <c r="C135" s="154" t="s">
        <v>660</v>
      </c>
      <c r="D135" s="154" t="s">
        <v>628</v>
      </c>
      <c r="E135" s="155">
        <v>95</v>
      </c>
      <c r="F135" s="156"/>
      <c r="G135" s="156"/>
      <c r="H135" s="156"/>
      <c r="I135" s="156"/>
      <c r="J135" s="156"/>
      <c r="K135" s="156"/>
      <c r="L135" s="156"/>
      <c r="M135" s="155">
        <v>140</v>
      </c>
      <c r="N135" s="156"/>
      <c r="O135" s="156"/>
      <c r="P135" s="156"/>
      <c r="Q135" s="156"/>
      <c r="R135" s="156"/>
      <c r="S135" s="156"/>
      <c r="T135" s="156"/>
    </row>
    <row r="136" spans="1:20" ht="15" customHeight="1" x14ac:dyDescent="0.25">
      <c r="A136" s="128" t="s">
        <v>658</v>
      </c>
      <c r="B136" s="129" t="s">
        <v>627</v>
      </c>
      <c r="C136" s="129" t="s">
        <v>660</v>
      </c>
      <c r="D136" s="129" t="s">
        <v>629</v>
      </c>
      <c r="E136" s="130">
        <v>89</v>
      </c>
      <c r="F136" s="131"/>
      <c r="G136" s="131"/>
      <c r="H136" s="131"/>
      <c r="I136" s="131"/>
      <c r="J136" s="131"/>
      <c r="K136" s="131"/>
      <c r="L136" s="131"/>
      <c r="M136" s="130">
        <v>132</v>
      </c>
      <c r="N136" s="131"/>
      <c r="O136" s="131"/>
      <c r="P136" s="131"/>
      <c r="Q136" s="131"/>
      <c r="R136" s="131"/>
      <c r="S136" s="131"/>
      <c r="T136" s="131"/>
    </row>
    <row r="137" spans="1:20" ht="15" customHeight="1" x14ac:dyDescent="0.25">
      <c r="A137" s="153" t="s">
        <v>658</v>
      </c>
      <c r="B137" s="154" t="s">
        <v>627</v>
      </c>
      <c r="C137" s="154" t="s">
        <v>660</v>
      </c>
      <c r="D137" s="154" t="s">
        <v>630</v>
      </c>
      <c r="E137" s="155">
        <v>83</v>
      </c>
      <c r="F137" s="156"/>
      <c r="G137" s="156"/>
      <c r="H137" s="156"/>
      <c r="I137" s="156"/>
      <c r="J137" s="156"/>
      <c r="K137" s="156"/>
      <c r="L137" s="156"/>
      <c r="M137" s="155">
        <v>123</v>
      </c>
      <c r="N137" s="156"/>
      <c r="O137" s="156"/>
      <c r="P137" s="156"/>
      <c r="Q137" s="156"/>
      <c r="R137" s="156"/>
      <c r="S137" s="156"/>
      <c r="T137" s="156"/>
    </row>
    <row r="138" spans="1:20" ht="15" customHeight="1" x14ac:dyDescent="0.25">
      <c r="A138" s="128" t="s">
        <v>658</v>
      </c>
      <c r="B138" s="129" t="s">
        <v>627</v>
      </c>
      <c r="C138" s="129" t="s">
        <v>660</v>
      </c>
      <c r="D138" s="129" t="s">
        <v>631</v>
      </c>
      <c r="E138" s="130">
        <v>78</v>
      </c>
      <c r="F138" s="131"/>
      <c r="G138" s="131"/>
      <c r="H138" s="131"/>
      <c r="I138" s="131"/>
      <c r="J138" s="131"/>
      <c r="K138" s="131"/>
      <c r="L138" s="131"/>
      <c r="M138" s="130">
        <v>115</v>
      </c>
      <c r="N138" s="131"/>
      <c r="O138" s="131"/>
      <c r="P138" s="131"/>
      <c r="Q138" s="131"/>
      <c r="R138" s="131"/>
      <c r="S138" s="131"/>
      <c r="T138" s="131"/>
    </row>
    <row r="139" spans="1:20" ht="15" customHeight="1" x14ac:dyDescent="0.25">
      <c r="A139" s="153" t="s">
        <v>658</v>
      </c>
      <c r="B139" s="154" t="s">
        <v>627</v>
      </c>
      <c r="C139" s="154" t="s">
        <v>660</v>
      </c>
      <c r="D139" s="154" t="s">
        <v>632</v>
      </c>
      <c r="E139" s="155">
        <v>72</v>
      </c>
      <c r="F139" s="156"/>
      <c r="G139" s="156"/>
      <c r="H139" s="156"/>
      <c r="I139" s="156"/>
      <c r="J139" s="156"/>
      <c r="K139" s="156"/>
      <c r="L139" s="156"/>
      <c r="M139" s="155">
        <v>106</v>
      </c>
      <c r="N139" s="156"/>
      <c r="O139" s="156"/>
      <c r="P139" s="156"/>
      <c r="Q139" s="156"/>
      <c r="R139" s="156"/>
      <c r="S139" s="156"/>
      <c r="T139" s="156"/>
    </row>
    <row r="140" spans="1:20" ht="15" customHeight="1" x14ac:dyDescent="0.25">
      <c r="A140" s="128" t="s">
        <v>658</v>
      </c>
      <c r="B140" s="129" t="s">
        <v>627</v>
      </c>
      <c r="C140" s="129" t="s">
        <v>660</v>
      </c>
      <c r="D140" s="129" t="s">
        <v>633</v>
      </c>
      <c r="E140" s="130">
        <v>66</v>
      </c>
      <c r="F140" s="131"/>
      <c r="G140" s="131"/>
      <c r="H140" s="131"/>
      <c r="I140" s="131"/>
      <c r="J140" s="131"/>
      <c r="K140" s="131"/>
      <c r="L140" s="131"/>
      <c r="M140" s="130">
        <v>98</v>
      </c>
      <c r="N140" s="131"/>
      <c r="O140" s="131"/>
      <c r="P140" s="131"/>
      <c r="Q140" s="131"/>
      <c r="R140" s="131"/>
      <c r="S140" s="131"/>
      <c r="T140" s="131"/>
    </row>
    <row r="141" spans="1:20" ht="15" customHeight="1" x14ac:dyDescent="0.25">
      <c r="A141" s="153" t="s">
        <v>658</v>
      </c>
      <c r="B141" s="154" t="s">
        <v>627</v>
      </c>
      <c r="C141" s="154" t="s">
        <v>660</v>
      </c>
      <c r="D141" s="154" t="s">
        <v>634</v>
      </c>
      <c r="E141" s="155">
        <v>61</v>
      </c>
      <c r="F141" s="156"/>
      <c r="G141" s="156"/>
      <c r="H141" s="156"/>
      <c r="I141" s="156"/>
      <c r="J141" s="156"/>
      <c r="K141" s="156"/>
      <c r="L141" s="156"/>
      <c r="M141" s="155">
        <v>90</v>
      </c>
      <c r="N141" s="156"/>
      <c r="O141" s="156"/>
      <c r="P141" s="156"/>
      <c r="Q141" s="156"/>
      <c r="R141" s="156"/>
      <c r="S141" s="156"/>
      <c r="T141" s="156"/>
    </row>
    <row r="142" spans="1:20" ht="15" customHeight="1" x14ac:dyDescent="0.25">
      <c r="A142" s="128" t="s">
        <v>658</v>
      </c>
      <c r="B142" s="129" t="s">
        <v>627</v>
      </c>
      <c r="C142" s="129" t="s">
        <v>660</v>
      </c>
      <c r="D142" s="129" t="s">
        <v>635</v>
      </c>
      <c r="E142" s="130">
        <v>55</v>
      </c>
      <c r="F142" s="131"/>
      <c r="G142" s="131"/>
      <c r="H142" s="131"/>
      <c r="I142" s="131"/>
      <c r="J142" s="131"/>
      <c r="K142" s="131"/>
      <c r="L142" s="131"/>
      <c r="M142" s="130">
        <v>81</v>
      </c>
      <c r="N142" s="131"/>
      <c r="O142" s="131"/>
      <c r="P142" s="131"/>
      <c r="Q142" s="131"/>
      <c r="R142" s="131"/>
      <c r="S142" s="131"/>
      <c r="T142" s="131"/>
    </row>
    <row r="143" spans="1:20" ht="15" customHeight="1" x14ac:dyDescent="0.25">
      <c r="A143" s="153" t="s">
        <v>658</v>
      </c>
      <c r="B143" s="154" t="s">
        <v>636</v>
      </c>
      <c r="C143" s="154" t="s">
        <v>659</v>
      </c>
      <c r="D143" s="154" t="s">
        <v>605</v>
      </c>
      <c r="E143" s="155">
        <v>265</v>
      </c>
      <c r="F143" s="156"/>
      <c r="G143" s="155">
        <v>755</v>
      </c>
      <c r="H143" s="155">
        <v>831</v>
      </c>
      <c r="I143" s="155">
        <v>444</v>
      </c>
      <c r="J143" s="155">
        <v>611</v>
      </c>
      <c r="K143" s="155">
        <v>764</v>
      </c>
      <c r="L143" s="155">
        <v>917</v>
      </c>
      <c r="M143" s="155">
        <v>392</v>
      </c>
      <c r="N143" s="156"/>
      <c r="O143" s="155">
        <v>1118</v>
      </c>
      <c r="P143" s="155">
        <v>1230</v>
      </c>
      <c r="Q143" s="155">
        <v>657</v>
      </c>
      <c r="R143" s="155">
        <v>905</v>
      </c>
      <c r="S143" s="155">
        <v>1131</v>
      </c>
      <c r="T143" s="155">
        <v>1358</v>
      </c>
    </row>
    <row r="144" spans="1:20" ht="15" customHeight="1" x14ac:dyDescent="0.25">
      <c r="A144" s="128" t="s">
        <v>658</v>
      </c>
      <c r="B144" s="129" t="s">
        <v>637</v>
      </c>
      <c r="C144" s="129" t="s">
        <v>659</v>
      </c>
      <c r="D144" s="129" t="s">
        <v>607</v>
      </c>
      <c r="E144" s="130">
        <v>166</v>
      </c>
      <c r="F144" s="131"/>
      <c r="G144" s="130">
        <v>499</v>
      </c>
      <c r="H144" s="130">
        <v>549</v>
      </c>
      <c r="I144" s="130">
        <v>252</v>
      </c>
      <c r="J144" s="130">
        <v>351</v>
      </c>
      <c r="K144" s="130">
        <v>439</v>
      </c>
      <c r="L144" s="130">
        <v>527</v>
      </c>
      <c r="M144" s="130">
        <v>246</v>
      </c>
      <c r="N144" s="131"/>
      <c r="O144" s="130">
        <v>738</v>
      </c>
      <c r="P144" s="130">
        <v>812</v>
      </c>
      <c r="Q144" s="130">
        <v>373</v>
      </c>
      <c r="R144" s="130">
        <v>520</v>
      </c>
      <c r="S144" s="130">
        <v>650</v>
      </c>
      <c r="T144" s="130">
        <v>780</v>
      </c>
    </row>
    <row r="145" spans="1:20" ht="15" customHeight="1" x14ac:dyDescent="0.25">
      <c r="A145" s="153" t="s">
        <v>658</v>
      </c>
      <c r="B145" s="154" t="s">
        <v>638</v>
      </c>
      <c r="C145" s="154" t="s">
        <v>659</v>
      </c>
      <c r="D145" s="154" t="s">
        <v>609</v>
      </c>
      <c r="E145" s="155">
        <v>174</v>
      </c>
      <c r="F145" s="156"/>
      <c r="G145" s="155">
        <v>622</v>
      </c>
      <c r="H145" s="155">
        <v>684</v>
      </c>
      <c r="I145" s="155">
        <v>309</v>
      </c>
      <c r="J145" s="155">
        <v>412</v>
      </c>
      <c r="K145" s="155">
        <v>515</v>
      </c>
      <c r="L145" s="155">
        <v>618</v>
      </c>
      <c r="M145" s="155">
        <v>258</v>
      </c>
      <c r="N145" s="156"/>
      <c r="O145" s="155">
        <v>920</v>
      </c>
      <c r="P145" s="155">
        <v>1012</v>
      </c>
      <c r="Q145" s="155">
        <v>457</v>
      </c>
      <c r="R145" s="155">
        <v>610</v>
      </c>
      <c r="S145" s="155">
        <v>763</v>
      </c>
      <c r="T145" s="155">
        <v>915</v>
      </c>
    </row>
    <row r="146" spans="1:20" ht="15" customHeight="1" x14ac:dyDescent="0.25">
      <c r="A146" s="128" t="s">
        <v>658</v>
      </c>
      <c r="B146" s="129" t="s">
        <v>639</v>
      </c>
      <c r="C146" s="129" t="s">
        <v>659</v>
      </c>
      <c r="D146" s="129" t="s">
        <v>611</v>
      </c>
      <c r="E146" s="130">
        <v>157</v>
      </c>
      <c r="F146" s="131"/>
      <c r="G146" s="130">
        <v>577</v>
      </c>
      <c r="H146" s="130">
        <v>635</v>
      </c>
      <c r="I146" s="130">
        <v>303</v>
      </c>
      <c r="J146" s="130">
        <v>403</v>
      </c>
      <c r="K146" s="130">
        <v>503</v>
      </c>
      <c r="L146" s="130">
        <v>605</v>
      </c>
      <c r="M146" s="130">
        <v>233</v>
      </c>
      <c r="N146" s="131"/>
      <c r="O146" s="130">
        <v>854</v>
      </c>
      <c r="P146" s="130">
        <v>939</v>
      </c>
      <c r="Q146" s="130">
        <v>449</v>
      </c>
      <c r="R146" s="130">
        <v>596</v>
      </c>
      <c r="S146" s="130">
        <v>745</v>
      </c>
      <c r="T146" s="130">
        <v>894</v>
      </c>
    </row>
    <row r="147" spans="1:20" ht="15" customHeight="1" x14ac:dyDescent="0.25">
      <c r="A147" s="153" t="s">
        <v>658</v>
      </c>
      <c r="B147" s="154" t="s">
        <v>640</v>
      </c>
      <c r="C147" s="154" t="s">
        <v>659</v>
      </c>
      <c r="D147" s="154" t="s">
        <v>613</v>
      </c>
      <c r="E147" s="155">
        <v>131</v>
      </c>
      <c r="F147" s="156"/>
      <c r="G147" s="155">
        <v>532</v>
      </c>
      <c r="H147" s="155">
        <v>586</v>
      </c>
      <c r="I147" s="155">
        <v>278</v>
      </c>
      <c r="J147" s="155">
        <v>369</v>
      </c>
      <c r="K147" s="155">
        <v>461</v>
      </c>
      <c r="L147" s="155">
        <v>554</v>
      </c>
      <c r="M147" s="155">
        <v>194</v>
      </c>
      <c r="N147" s="156"/>
      <c r="O147" s="155">
        <v>788</v>
      </c>
      <c r="P147" s="155">
        <v>867</v>
      </c>
      <c r="Q147" s="155">
        <v>412</v>
      </c>
      <c r="R147" s="155">
        <v>546</v>
      </c>
      <c r="S147" s="155">
        <v>683</v>
      </c>
      <c r="T147" s="155">
        <v>819</v>
      </c>
    </row>
    <row r="148" spans="1:20" ht="15" customHeight="1" x14ac:dyDescent="0.25">
      <c r="A148" s="128" t="s">
        <v>658</v>
      </c>
      <c r="B148" s="129" t="s">
        <v>641</v>
      </c>
      <c r="C148" s="129" t="s">
        <v>659</v>
      </c>
      <c r="D148" s="129" t="s">
        <v>615</v>
      </c>
      <c r="E148" s="130">
        <v>126</v>
      </c>
      <c r="F148" s="131"/>
      <c r="G148" s="130">
        <v>497</v>
      </c>
      <c r="H148" s="130">
        <v>546</v>
      </c>
      <c r="I148" s="130">
        <v>230</v>
      </c>
      <c r="J148" s="130">
        <v>336</v>
      </c>
      <c r="K148" s="130">
        <v>420</v>
      </c>
      <c r="L148" s="130">
        <v>504</v>
      </c>
      <c r="M148" s="130">
        <v>186</v>
      </c>
      <c r="N148" s="131"/>
      <c r="O148" s="130">
        <v>735</v>
      </c>
      <c r="P148" s="130">
        <v>809</v>
      </c>
      <c r="Q148" s="130">
        <v>340</v>
      </c>
      <c r="R148" s="130">
        <v>497</v>
      </c>
      <c r="S148" s="130">
        <v>621</v>
      </c>
      <c r="T148" s="130">
        <v>746</v>
      </c>
    </row>
    <row r="149" spans="1:20" ht="15" customHeight="1" x14ac:dyDescent="0.25">
      <c r="A149" s="153" t="s">
        <v>658</v>
      </c>
      <c r="B149" s="154" t="s">
        <v>642</v>
      </c>
      <c r="C149" s="154" t="s">
        <v>659</v>
      </c>
      <c r="D149" s="154" t="s">
        <v>617</v>
      </c>
      <c r="E149" s="155">
        <v>73</v>
      </c>
      <c r="F149" s="156"/>
      <c r="G149" s="155">
        <v>446</v>
      </c>
      <c r="H149" s="155">
        <v>491</v>
      </c>
      <c r="I149" s="155">
        <v>200</v>
      </c>
      <c r="J149" s="155">
        <v>279</v>
      </c>
      <c r="K149" s="155">
        <v>349</v>
      </c>
      <c r="L149" s="155">
        <v>419</v>
      </c>
      <c r="M149" s="155">
        <v>108</v>
      </c>
      <c r="N149" s="156"/>
      <c r="O149" s="155">
        <v>660</v>
      </c>
      <c r="P149" s="155">
        <v>726</v>
      </c>
      <c r="Q149" s="155">
        <v>296</v>
      </c>
      <c r="R149" s="155">
        <v>413</v>
      </c>
      <c r="S149" s="155">
        <v>516</v>
      </c>
      <c r="T149" s="155">
        <v>619</v>
      </c>
    </row>
    <row r="150" spans="1:20" ht="15" customHeight="1" x14ac:dyDescent="0.25">
      <c r="A150" s="128" t="s">
        <v>658</v>
      </c>
      <c r="B150" s="129" t="s">
        <v>643</v>
      </c>
      <c r="C150" s="129" t="s">
        <v>659</v>
      </c>
      <c r="D150" s="129" t="s">
        <v>619</v>
      </c>
      <c r="E150" s="130">
        <v>72</v>
      </c>
      <c r="F150" s="131"/>
      <c r="G150" s="130">
        <v>402</v>
      </c>
      <c r="H150" s="130">
        <v>442</v>
      </c>
      <c r="I150" s="130">
        <v>159</v>
      </c>
      <c r="J150" s="130">
        <v>222</v>
      </c>
      <c r="K150" s="130">
        <v>277</v>
      </c>
      <c r="L150" s="130">
        <v>333</v>
      </c>
      <c r="M150" s="130">
        <v>107</v>
      </c>
      <c r="N150" s="131"/>
      <c r="O150" s="130">
        <v>595</v>
      </c>
      <c r="P150" s="130">
        <v>655</v>
      </c>
      <c r="Q150" s="130">
        <v>235</v>
      </c>
      <c r="R150" s="130">
        <v>328</v>
      </c>
      <c r="S150" s="130">
        <v>410</v>
      </c>
      <c r="T150" s="130">
        <v>492</v>
      </c>
    </row>
    <row r="151" spans="1:20" ht="15" customHeight="1" x14ac:dyDescent="0.25">
      <c r="A151" s="153" t="s">
        <v>658</v>
      </c>
      <c r="B151" s="154" t="s">
        <v>644</v>
      </c>
      <c r="C151" s="154" t="s">
        <v>659</v>
      </c>
      <c r="D151" s="154" t="s">
        <v>621</v>
      </c>
      <c r="E151" s="155">
        <v>104</v>
      </c>
      <c r="F151" s="156"/>
      <c r="G151" s="155">
        <v>436</v>
      </c>
      <c r="H151" s="155">
        <v>479</v>
      </c>
      <c r="I151" s="155">
        <v>171</v>
      </c>
      <c r="J151" s="155">
        <v>243</v>
      </c>
      <c r="K151" s="155">
        <v>303</v>
      </c>
      <c r="L151" s="155">
        <v>365</v>
      </c>
      <c r="M151" s="155">
        <v>154</v>
      </c>
      <c r="N151" s="156"/>
      <c r="O151" s="155">
        <v>645</v>
      </c>
      <c r="P151" s="155">
        <v>710</v>
      </c>
      <c r="Q151" s="155">
        <v>253</v>
      </c>
      <c r="R151" s="155">
        <v>359</v>
      </c>
      <c r="S151" s="155">
        <v>449</v>
      </c>
      <c r="T151" s="155">
        <v>539</v>
      </c>
    </row>
    <row r="152" spans="1:20" ht="15" customHeight="1" x14ac:dyDescent="0.25">
      <c r="A152" s="128" t="s">
        <v>658</v>
      </c>
      <c r="B152" s="129" t="s">
        <v>645</v>
      </c>
      <c r="C152" s="129" t="s">
        <v>659</v>
      </c>
      <c r="D152" s="129" t="s">
        <v>568</v>
      </c>
      <c r="E152" s="130">
        <v>71</v>
      </c>
      <c r="F152" s="131"/>
      <c r="G152" s="130">
        <v>395</v>
      </c>
      <c r="H152" s="130">
        <v>434</v>
      </c>
      <c r="I152" s="130">
        <v>150</v>
      </c>
      <c r="J152" s="130">
        <v>209</v>
      </c>
      <c r="K152" s="130">
        <v>261</v>
      </c>
      <c r="L152" s="130">
        <v>314</v>
      </c>
      <c r="M152" s="130">
        <v>105</v>
      </c>
      <c r="N152" s="131"/>
      <c r="O152" s="130">
        <v>584</v>
      </c>
      <c r="P152" s="130">
        <v>642</v>
      </c>
      <c r="Q152" s="130">
        <v>222</v>
      </c>
      <c r="R152" s="130">
        <v>309</v>
      </c>
      <c r="S152" s="130">
        <v>386</v>
      </c>
      <c r="T152" s="130">
        <v>464</v>
      </c>
    </row>
    <row r="153" spans="1:20" ht="15" customHeight="1" x14ac:dyDescent="0.25">
      <c r="A153" s="153" t="s">
        <v>658</v>
      </c>
      <c r="B153" s="154" t="s">
        <v>646</v>
      </c>
      <c r="C153" s="154" t="s">
        <v>659</v>
      </c>
      <c r="D153" s="154" t="s">
        <v>564</v>
      </c>
      <c r="E153" s="155">
        <v>55</v>
      </c>
      <c r="F153" s="156"/>
      <c r="G153" s="155">
        <v>320</v>
      </c>
      <c r="H153" s="155">
        <v>352</v>
      </c>
      <c r="I153" s="155">
        <v>89</v>
      </c>
      <c r="J153" s="155">
        <v>116</v>
      </c>
      <c r="K153" s="155">
        <v>144</v>
      </c>
      <c r="L153" s="155">
        <v>174</v>
      </c>
      <c r="M153" s="155">
        <v>81</v>
      </c>
      <c r="N153" s="156"/>
      <c r="O153" s="155">
        <v>474</v>
      </c>
      <c r="P153" s="155">
        <v>521</v>
      </c>
      <c r="Q153" s="155">
        <v>132</v>
      </c>
      <c r="R153" s="155">
        <v>171</v>
      </c>
      <c r="S153" s="155">
        <v>214</v>
      </c>
      <c r="T153" s="155">
        <v>257</v>
      </c>
    </row>
    <row r="154" spans="1:20" ht="3.75" customHeight="1" x14ac:dyDescent="0.25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</row>
    <row r="155" spans="1:20" ht="18" customHeight="1" x14ac:dyDescent="0.25">
      <c r="A155" s="123" t="s">
        <v>647</v>
      </c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</row>
    <row r="156" spans="1:20" ht="15" customHeight="1" x14ac:dyDescent="0.25">
      <c r="A156" s="128" t="s">
        <v>647</v>
      </c>
      <c r="B156" s="129" t="s">
        <v>648</v>
      </c>
      <c r="C156" s="129" t="s">
        <v>649</v>
      </c>
      <c r="D156" s="129" t="s">
        <v>650</v>
      </c>
      <c r="E156" s="130">
        <v>724</v>
      </c>
      <c r="F156" s="130">
        <v>1149</v>
      </c>
      <c r="G156" s="131"/>
      <c r="H156" s="131"/>
      <c r="I156" s="130">
        <v>1081</v>
      </c>
      <c r="J156" s="130">
        <v>1207</v>
      </c>
      <c r="K156" s="130">
        <v>1509</v>
      </c>
      <c r="L156" s="130">
        <v>1811</v>
      </c>
      <c r="M156" s="130">
        <v>1071</v>
      </c>
      <c r="N156" s="130">
        <v>1701</v>
      </c>
      <c r="O156" s="131"/>
      <c r="P156" s="131"/>
      <c r="Q156" s="130">
        <v>1600</v>
      </c>
      <c r="R156" s="130">
        <v>1787</v>
      </c>
      <c r="S156" s="130">
        <v>2234</v>
      </c>
      <c r="T156" s="130">
        <v>2309</v>
      </c>
    </row>
    <row r="157" spans="1:20" ht="15" customHeight="1" x14ac:dyDescent="0.25">
      <c r="A157" s="157" t="s">
        <v>647</v>
      </c>
      <c r="B157" s="158" t="s">
        <v>651</v>
      </c>
      <c r="C157" s="158" t="s">
        <v>649</v>
      </c>
      <c r="D157" s="158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</row>
    <row r="158" spans="1:20" ht="15" customHeight="1" x14ac:dyDescent="0.25">
      <c r="A158" s="128" t="s">
        <v>647</v>
      </c>
      <c r="B158" s="129" t="s">
        <v>652</v>
      </c>
      <c r="C158" s="129" t="s">
        <v>649</v>
      </c>
      <c r="D158" s="129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</row>
    <row r="159" spans="1:20" ht="15" customHeight="1" x14ac:dyDescent="0.25">
      <c r="A159" s="157" t="s">
        <v>647</v>
      </c>
      <c r="B159" s="158" t="s">
        <v>648</v>
      </c>
      <c r="C159" s="158" t="s">
        <v>653</v>
      </c>
      <c r="D159" s="158" t="s">
        <v>654</v>
      </c>
      <c r="E159" s="160">
        <v>753</v>
      </c>
      <c r="F159" s="160">
        <v>1278</v>
      </c>
      <c r="G159" s="159"/>
      <c r="H159" s="159"/>
      <c r="I159" s="160">
        <v>1193</v>
      </c>
      <c r="J159" s="160">
        <v>1347</v>
      </c>
      <c r="K159" s="160">
        <v>1684</v>
      </c>
      <c r="L159" s="160">
        <v>2021</v>
      </c>
      <c r="M159" s="160">
        <v>1115</v>
      </c>
      <c r="N159" s="160">
        <v>1891</v>
      </c>
      <c r="O159" s="159"/>
      <c r="P159" s="159"/>
      <c r="Q159" s="160">
        <v>1766</v>
      </c>
      <c r="R159" s="160">
        <v>1994</v>
      </c>
      <c r="S159" s="160">
        <v>2493</v>
      </c>
      <c r="T159" s="160">
        <v>2610</v>
      </c>
    </row>
    <row r="160" spans="1:20" ht="15" customHeight="1" x14ac:dyDescent="0.25">
      <c r="A160" s="128" t="s">
        <v>647</v>
      </c>
      <c r="B160" s="129" t="s">
        <v>651</v>
      </c>
      <c r="C160" s="129" t="s">
        <v>653</v>
      </c>
      <c r="D160" s="129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</row>
    <row r="161" spans="1:20" ht="15" customHeight="1" x14ac:dyDescent="0.25">
      <c r="A161" s="157" t="s">
        <v>647</v>
      </c>
      <c r="B161" s="158" t="s">
        <v>652</v>
      </c>
      <c r="C161" s="158" t="s">
        <v>653</v>
      </c>
      <c r="D161" s="158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</row>
    <row r="162" spans="1:20" ht="15" customHeight="1" x14ac:dyDescent="0.25">
      <c r="A162" s="128" t="s">
        <v>647</v>
      </c>
      <c r="B162" s="129" t="s">
        <v>648</v>
      </c>
      <c r="C162" s="129" t="s">
        <v>655</v>
      </c>
      <c r="D162" s="129" t="s">
        <v>650</v>
      </c>
      <c r="E162" s="130">
        <v>729</v>
      </c>
      <c r="F162" s="130">
        <v>1161</v>
      </c>
      <c r="G162" s="131"/>
      <c r="H162" s="131"/>
      <c r="I162" s="130">
        <v>1093</v>
      </c>
      <c r="J162" s="130">
        <v>1220</v>
      </c>
      <c r="K162" s="130">
        <v>1524</v>
      </c>
      <c r="L162" s="130">
        <v>1830</v>
      </c>
      <c r="M162" s="130">
        <v>1079</v>
      </c>
      <c r="N162" s="130">
        <v>1719</v>
      </c>
      <c r="O162" s="131"/>
      <c r="P162" s="131"/>
      <c r="Q162" s="130">
        <v>1618</v>
      </c>
      <c r="R162" s="130">
        <v>1805</v>
      </c>
      <c r="S162" s="130">
        <v>2256</v>
      </c>
      <c r="T162" s="130">
        <v>2337</v>
      </c>
    </row>
    <row r="163" spans="1:20" ht="15" customHeight="1" x14ac:dyDescent="0.25">
      <c r="A163" s="157" t="s">
        <v>647</v>
      </c>
      <c r="B163" s="158" t="s">
        <v>656</v>
      </c>
      <c r="C163" s="158" t="s">
        <v>655</v>
      </c>
      <c r="D163" s="158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</row>
    <row r="164" spans="1:20" ht="15" customHeight="1" x14ac:dyDescent="0.25">
      <c r="A164" s="128" t="s">
        <v>647</v>
      </c>
      <c r="B164" s="129" t="s">
        <v>648</v>
      </c>
      <c r="C164" s="129" t="s">
        <v>657</v>
      </c>
      <c r="D164" s="129" t="s">
        <v>654</v>
      </c>
      <c r="E164" s="130">
        <v>774</v>
      </c>
      <c r="F164" s="130">
        <v>1293</v>
      </c>
      <c r="G164" s="131"/>
      <c r="H164" s="131"/>
      <c r="I164" s="130">
        <v>1209</v>
      </c>
      <c r="J164" s="130">
        <v>1362</v>
      </c>
      <c r="K164" s="130">
        <v>1703</v>
      </c>
      <c r="L164" s="130">
        <v>2043</v>
      </c>
      <c r="M164" s="130">
        <v>1145</v>
      </c>
      <c r="N164" s="130">
        <v>1913</v>
      </c>
      <c r="O164" s="131"/>
      <c r="P164" s="131"/>
      <c r="Q164" s="130">
        <v>1789</v>
      </c>
      <c r="R164" s="130">
        <v>2016</v>
      </c>
      <c r="S164" s="130">
        <v>2520</v>
      </c>
      <c r="T164" s="130">
        <v>2643</v>
      </c>
    </row>
    <row r="165" spans="1:20" ht="15" customHeight="1" x14ac:dyDescent="0.25">
      <c r="A165" s="157" t="s">
        <v>647</v>
      </c>
      <c r="B165" s="158" t="s">
        <v>656</v>
      </c>
      <c r="C165" s="158" t="s">
        <v>657</v>
      </c>
      <c r="D165" s="158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</row>
  </sheetData>
  <mergeCells count="13">
    <mergeCell ref="A155:T155"/>
    <mergeCell ref="A24:T24"/>
    <mergeCell ref="A45:T45"/>
    <mergeCell ref="A67:T67"/>
    <mergeCell ref="A93:T93"/>
    <mergeCell ref="A119:T119"/>
    <mergeCell ref="A132:T132"/>
    <mergeCell ref="A1:T1"/>
    <mergeCell ref="A2:T2"/>
    <mergeCell ref="A3:D3"/>
    <mergeCell ref="E3:L3"/>
    <mergeCell ref="M3:T3"/>
    <mergeCell ref="A5:T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ADF6-B5A1-4980-8D8D-B9538016B012}">
  <dimension ref="A1:Z155"/>
  <sheetViews>
    <sheetView topLeftCell="A73" workbookViewId="0">
      <selection activeCell="N8" sqref="N8"/>
    </sheetView>
  </sheetViews>
  <sheetFormatPr baseColWidth="10" defaultRowHeight="15" x14ac:dyDescent="0.25"/>
  <cols>
    <col min="1" max="1" width="38.140625" customWidth="1"/>
    <col min="2" max="2" width="15.28515625" customWidth="1"/>
    <col min="3" max="3" width="21" customWidth="1"/>
    <col min="4" max="4" width="24.7109375" customWidth="1"/>
    <col min="5" max="5" width="11.42578125" customWidth="1"/>
    <col min="6" max="13" width="9.140625" customWidth="1"/>
    <col min="14" max="17" width="9.85546875" customWidth="1"/>
    <col min="18" max="19" width="14.28515625" customWidth="1"/>
    <col min="20" max="20" width="19" customWidth="1"/>
    <col min="21" max="21" width="21" customWidth="1"/>
    <col min="22" max="23" width="11" customWidth="1"/>
    <col min="24" max="24" width="13.28515625" customWidth="1"/>
    <col min="25" max="26" width="12.42578125" customWidth="1"/>
  </cols>
  <sheetData>
    <row r="1" spans="1:26" ht="32.1" customHeight="1" x14ac:dyDescent="0.25">
      <c r="A1" s="162" t="s">
        <v>672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spans="1:26" x14ac:dyDescent="0.25">
      <c r="A2" s="164" t="s">
        <v>742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4" spans="1:26" ht="24" customHeight="1" x14ac:dyDescent="0.25">
      <c r="A4" s="166" t="s">
        <v>673</v>
      </c>
      <c r="B4" s="196"/>
      <c r="C4" s="196"/>
      <c r="D4" s="196"/>
      <c r="E4" s="196"/>
      <c r="F4" s="198" t="s">
        <v>696</v>
      </c>
      <c r="G4" s="197"/>
      <c r="H4" s="197"/>
      <c r="I4" s="197"/>
      <c r="J4" s="197"/>
      <c r="K4" s="197"/>
      <c r="L4" s="197"/>
      <c r="M4" s="197"/>
      <c r="N4" s="167" t="s">
        <v>697</v>
      </c>
      <c r="O4" s="199"/>
      <c r="P4" s="199"/>
      <c r="Q4" s="199"/>
      <c r="R4" s="200" t="s">
        <v>739</v>
      </c>
      <c r="S4" s="200"/>
      <c r="T4" s="200"/>
      <c r="U4" s="200"/>
      <c r="V4" s="202" t="s">
        <v>674</v>
      </c>
      <c r="W4" s="201"/>
      <c r="X4" s="201"/>
      <c r="Y4" s="201"/>
      <c r="Z4" s="201"/>
    </row>
    <row r="5" spans="1:26" ht="32.1" customHeight="1" x14ac:dyDescent="0.25">
      <c r="A5" s="207" t="s">
        <v>675</v>
      </c>
      <c r="B5" s="208" t="s">
        <v>698</v>
      </c>
      <c r="C5" s="208" t="s">
        <v>699</v>
      </c>
      <c r="D5" s="208" t="s">
        <v>676</v>
      </c>
      <c r="E5" s="208" t="s">
        <v>662</v>
      </c>
      <c r="F5" s="209" t="s">
        <v>677</v>
      </c>
      <c r="G5" s="209" t="s">
        <v>678</v>
      </c>
      <c r="H5" s="209" t="s">
        <v>679</v>
      </c>
      <c r="I5" s="209" t="s">
        <v>680</v>
      </c>
      <c r="J5" s="209" t="s">
        <v>681</v>
      </c>
      <c r="K5" s="209" t="s">
        <v>682</v>
      </c>
      <c r="L5" s="209" t="s">
        <v>683</v>
      </c>
      <c r="M5" s="209" t="s">
        <v>684</v>
      </c>
      <c r="N5" s="210" t="s">
        <v>685</v>
      </c>
      <c r="O5" s="210" t="s">
        <v>686</v>
      </c>
      <c r="P5" s="210" t="s">
        <v>687</v>
      </c>
      <c r="Q5" s="210" t="s">
        <v>688</v>
      </c>
      <c r="R5" s="282" t="s">
        <v>689</v>
      </c>
      <c r="S5" s="282" t="s">
        <v>690</v>
      </c>
      <c r="T5" s="282" t="s">
        <v>740</v>
      </c>
      <c r="U5" s="282" t="s">
        <v>741</v>
      </c>
      <c r="V5" s="211" t="s">
        <v>691</v>
      </c>
      <c r="W5" s="211" t="s">
        <v>692</v>
      </c>
      <c r="X5" s="211" t="s">
        <v>693</v>
      </c>
      <c r="Y5" s="211" t="s">
        <v>694</v>
      </c>
      <c r="Z5" s="212" t="s">
        <v>695</v>
      </c>
    </row>
    <row r="6" spans="1:26" x14ac:dyDescent="0.25">
      <c r="A6" s="213" t="s">
        <v>559</v>
      </c>
      <c r="B6" s="214"/>
      <c r="C6" s="214"/>
      <c r="D6" s="214"/>
      <c r="E6" s="214"/>
      <c r="F6" s="215"/>
      <c r="G6" s="215"/>
      <c r="H6" s="215"/>
      <c r="I6" s="215"/>
      <c r="J6" s="215"/>
      <c r="K6" s="215"/>
      <c r="L6" s="215"/>
      <c r="M6" s="215"/>
      <c r="N6" s="216"/>
      <c r="O6" s="216"/>
      <c r="P6" s="216"/>
      <c r="Q6" s="216"/>
      <c r="R6" s="217"/>
      <c r="S6" s="217"/>
      <c r="T6" s="217"/>
      <c r="U6" s="217"/>
      <c r="V6" s="218"/>
      <c r="W6" s="218"/>
      <c r="X6" s="219"/>
      <c r="Y6" s="220"/>
      <c r="Z6" s="221"/>
    </row>
    <row r="7" spans="1:26" x14ac:dyDescent="0.25">
      <c r="A7" s="222" t="str">
        <f>'Preisliste 2012'!A25</f>
        <v>Boden / Seiten</v>
      </c>
      <c r="B7" s="223" t="str">
        <f>'Preisliste 2012'!B25</f>
        <v>Boden</v>
      </c>
      <c r="C7" s="223" t="str">
        <f>'Preisliste 2012'!D25</f>
        <v>360 / 360</v>
      </c>
      <c r="D7" s="223" t="str">
        <f>Aktiv!C6</f>
        <v>Boden</v>
      </c>
      <c r="E7" s="223">
        <f>Aktiv!A6</f>
        <v>3000</v>
      </c>
      <c r="F7" s="224">
        <f>'Preisliste 2012'!E25</f>
        <v>18</v>
      </c>
      <c r="G7" s="224">
        <f>'Preisliste 2012'!F25</f>
        <v>70</v>
      </c>
      <c r="H7" s="224">
        <f>'Preisliste 2012'!G25</f>
        <v>124</v>
      </c>
      <c r="I7" s="224">
        <f>'Preisliste 2012'!H25</f>
        <v>133</v>
      </c>
      <c r="J7" s="224">
        <f>'Preisliste 2012'!I25</f>
        <v>59</v>
      </c>
      <c r="K7" s="224">
        <f>'Preisliste 2012'!J25</f>
        <v>76</v>
      </c>
      <c r="L7" s="224">
        <f>'Preisliste 2012'!K25</f>
        <v>95</v>
      </c>
      <c r="M7" s="224">
        <f>'Preisliste 2012'!L25</f>
        <v>114</v>
      </c>
      <c r="N7" s="225">
        <f>Aktiv!G6</f>
        <v>26</v>
      </c>
      <c r="O7" s="225">
        <f>Aktiv!H6</f>
        <v>75</v>
      </c>
      <c r="P7" s="225">
        <f>Aktiv!I6</f>
        <v>81</v>
      </c>
      <c r="Q7" s="225">
        <f>Aktiv!J6</f>
        <v>135</v>
      </c>
      <c r="R7" s="226">
        <f>IF(OR(F7="",F7=0,N7=""),"",N7/F7-1)</f>
        <v>0.44444444444444442</v>
      </c>
      <c r="S7" s="226">
        <f>IF(OR(G7="",G7=0,O7=""),"",O7/G7-1)</f>
        <v>7.1428571428571397E-2</v>
      </c>
      <c r="T7" s="226">
        <f>IF(OR(I7="",I7=0,Q7=""),"",Q7/I7-1)</f>
        <v>1.5037593984962516E-2</v>
      </c>
      <c r="U7" s="226">
        <f>IF(OR(K7="",K7=0,P7=""),"",P7/K7-1)</f>
        <v>6.578947368421062E-2</v>
      </c>
      <c r="V7" s="227">
        <f>IF(OR(F7="",F7=0,G7=""),"",G7/F7)</f>
        <v>3.8888888888888888</v>
      </c>
      <c r="W7" s="227">
        <f>IF(OR(N7="",N7=0,O7=""),"",O7/N7)</f>
        <v>2.8846153846153846</v>
      </c>
      <c r="X7" s="228">
        <f>Aktiv!E6*Aktiv!F6</f>
        <v>129600</v>
      </c>
      <c r="Y7" s="229">
        <f>IF(OR(X7="",X7=0,F7=""),"",F7/(X7/10000))</f>
        <v>1.3888888888888888</v>
      </c>
      <c r="Z7" s="230">
        <f>IF(OR(X7="",X7=0,N7=""),"",N7/(X7/10000))</f>
        <v>2.0061728395061729</v>
      </c>
    </row>
    <row r="8" spans="1:26" x14ac:dyDescent="0.25">
      <c r="A8" s="222" t="str">
        <f>'Preisliste 2012'!A26</f>
        <v>Boden / Seiten</v>
      </c>
      <c r="B8" s="223" t="str">
        <f>'Preisliste 2012'!B26</f>
        <v>Boden</v>
      </c>
      <c r="C8" s="223" t="str">
        <f>'Preisliste 2012'!D26</f>
        <v>420 / 360</v>
      </c>
      <c r="D8" s="223" t="str">
        <f>Aktiv!C7</f>
        <v>Boden</v>
      </c>
      <c r="E8" s="223">
        <f>Aktiv!A7</f>
        <v>3001</v>
      </c>
      <c r="F8" s="224">
        <f>'Preisliste 2012'!E26</f>
        <v>21</v>
      </c>
      <c r="G8" s="224">
        <f>'Preisliste 2012'!F26</f>
        <v>75</v>
      </c>
      <c r="H8" s="224">
        <f>'Preisliste 2012'!G26</f>
        <v>125</v>
      </c>
      <c r="I8" s="224">
        <f>'Preisliste 2012'!H26</f>
        <v>135</v>
      </c>
      <c r="J8" s="224">
        <f>'Preisliste 2012'!I26</f>
        <v>61</v>
      </c>
      <c r="K8" s="224">
        <f>'Preisliste 2012'!J26</f>
        <v>80</v>
      </c>
      <c r="L8" s="224">
        <f>'Preisliste 2012'!K26</f>
        <v>100</v>
      </c>
      <c r="M8" s="224">
        <f>'Preisliste 2012'!L26</f>
        <v>120</v>
      </c>
      <c r="N8" s="225">
        <f>Aktiv!G7</f>
        <v>26</v>
      </c>
      <c r="O8" s="225">
        <f>Aktiv!H7</f>
        <v>80</v>
      </c>
      <c r="P8" s="225">
        <f>Aktiv!I7</f>
        <v>84</v>
      </c>
      <c r="Q8" s="225">
        <f>Aktiv!J7</f>
        <v>135</v>
      </c>
      <c r="R8" s="226">
        <f>IF(OR(F8="",F8=0,N8=""),"",N8/F8-1)</f>
        <v>0.23809523809523814</v>
      </c>
      <c r="S8" s="226">
        <f>IF(OR(G8="",G8=0,O8=""),"",O8/G8-1)</f>
        <v>6.6666666666666652E-2</v>
      </c>
      <c r="T8" s="226">
        <f>IF(OR(I8="",I8=0,Q8=""),"",Q8/I8-1)</f>
        <v>0</v>
      </c>
      <c r="U8" s="226">
        <f>IF(OR(K8="",K8=0,P8=""),"",P8/K8-1)</f>
        <v>5.0000000000000044E-2</v>
      </c>
      <c r="V8" s="227">
        <f>IF(OR(F8="",F8=0,G8=""),"",G8/F8)</f>
        <v>3.5714285714285716</v>
      </c>
      <c r="W8" s="227">
        <f>IF(OR(N8="",N8=0,O8=""),"",O8/N8)</f>
        <v>3.0769230769230771</v>
      </c>
      <c r="X8" s="228">
        <f>Aktiv!E7*Aktiv!F7</f>
        <v>151200</v>
      </c>
      <c r="Y8" s="229">
        <f>IF(OR(X8="",X8=0,F8=""),"",F8/(X8/10000))</f>
        <v>1.3888888888888891</v>
      </c>
      <c r="Z8" s="230">
        <f>IF(OR(X8="",X8=0,N8=""),"",N8/(X8/10000))</f>
        <v>1.7195767195767198</v>
      </c>
    </row>
    <row r="9" spans="1:26" x14ac:dyDescent="0.25">
      <c r="A9" s="222" t="str">
        <f>'Preisliste 2012'!A27</f>
        <v>Boden / Seiten</v>
      </c>
      <c r="B9" s="223" t="str">
        <f>'Preisliste 2012'!B27</f>
        <v>Boden</v>
      </c>
      <c r="C9" s="223" t="str">
        <f>'Preisliste 2012'!D27</f>
        <v>420 / 580</v>
      </c>
      <c r="D9" s="223" t="str">
        <f>Aktiv!C12</f>
        <v>Boden</v>
      </c>
      <c r="E9" s="223">
        <f>Aktiv!A12</f>
        <v>3006</v>
      </c>
      <c r="F9" s="224">
        <f>'Preisliste 2012'!E27</f>
        <v>33</v>
      </c>
      <c r="G9" s="224">
        <f>'Preisliste 2012'!F27</f>
        <v>120</v>
      </c>
      <c r="H9" s="224">
        <f>'Preisliste 2012'!G27</f>
        <v>131</v>
      </c>
      <c r="I9" s="224">
        <f>'Preisliste 2012'!H27</f>
        <v>139</v>
      </c>
      <c r="J9" s="224">
        <f>'Preisliste 2012'!I27</f>
        <v>102</v>
      </c>
      <c r="K9" s="224">
        <f>'Preisliste 2012'!J27</f>
        <v>128</v>
      </c>
      <c r="L9" s="224">
        <f>'Preisliste 2012'!K27</f>
        <v>160</v>
      </c>
      <c r="M9" s="224">
        <f>'Preisliste 2012'!L27</f>
        <v>192</v>
      </c>
      <c r="N9" s="225">
        <f>Aktiv!G12</f>
        <v>37</v>
      </c>
      <c r="O9" s="225">
        <f>Aktiv!H12</f>
        <v>119</v>
      </c>
      <c r="P9" s="225">
        <f>Aktiv!I12</f>
        <v>134</v>
      </c>
      <c r="Q9" s="225">
        <f>Aktiv!J12</f>
        <v>141</v>
      </c>
      <c r="R9" s="226">
        <f>IF(OR(F9="",F9=0,N9=""),"",N9/F9-1)</f>
        <v>0.1212121212121211</v>
      </c>
      <c r="S9" s="226">
        <f>IF(OR(G9="",G9=0,O9=""),"",O9/G9-1)</f>
        <v>-8.3333333333333037E-3</v>
      </c>
      <c r="T9" s="226">
        <f>IF(OR(I9="",I9=0,Q9=""),"",Q9/I9-1)</f>
        <v>1.4388489208633004E-2</v>
      </c>
      <c r="U9" s="226">
        <f>IF(OR(K9="",K9=0,P9=""),"",P9/K9-1)</f>
        <v>4.6875E-2</v>
      </c>
      <c r="V9" s="227">
        <f>IF(OR(F9="",F9=0,G9=""),"",G9/F9)</f>
        <v>3.6363636363636362</v>
      </c>
      <c r="W9" s="227">
        <f>IF(OR(N9="",N9=0,O9=""),"",O9/N9)</f>
        <v>3.2162162162162162</v>
      </c>
      <c r="X9" s="228">
        <f>Aktiv!E12*Aktiv!F12</f>
        <v>243600</v>
      </c>
      <c r="Y9" s="229">
        <f>IF(OR(X9="",X9=0,F9=""),"",F9/(X9/10000))</f>
        <v>1.354679802955665</v>
      </c>
      <c r="Z9" s="230">
        <f>IF(OR(X9="",X9=0,N9=""),"",N9/(X9/10000))</f>
        <v>1.5188834154351396</v>
      </c>
    </row>
    <row r="10" spans="1:26" x14ac:dyDescent="0.25">
      <c r="A10" s="222" t="str">
        <f>'Preisliste 2012'!A28</f>
        <v>Boden / Seiten</v>
      </c>
      <c r="B10" s="223" t="str">
        <f>'Preisliste 2012'!B28</f>
        <v>Boden</v>
      </c>
      <c r="C10" s="223" t="str">
        <f>'Preisliste 2012'!D28</f>
        <v>580 / 360</v>
      </c>
      <c r="D10" s="223" t="str">
        <f>Aktiv!C8</f>
        <v>Boden</v>
      </c>
      <c r="E10" s="223">
        <f>Aktiv!A8</f>
        <v>3002</v>
      </c>
      <c r="F10" s="224">
        <f>'Preisliste 2012'!E28</f>
        <v>28</v>
      </c>
      <c r="G10" s="224">
        <f>'Preisliste 2012'!F28</f>
        <v>105</v>
      </c>
      <c r="H10" s="224">
        <f>'Preisliste 2012'!G28</f>
        <v>130</v>
      </c>
      <c r="I10" s="224">
        <f>'Preisliste 2012'!H28</f>
        <v>140</v>
      </c>
      <c r="J10" s="224">
        <f>'Preisliste 2012'!I28</f>
        <v>89</v>
      </c>
      <c r="K10" s="224">
        <f>'Preisliste 2012'!J28</f>
        <v>114</v>
      </c>
      <c r="L10" s="224">
        <f>'Preisliste 2012'!K28</f>
        <v>143</v>
      </c>
      <c r="M10" s="224">
        <f>'Preisliste 2012'!L28</f>
        <v>171</v>
      </c>
      <c r="N10" s="225">
        <f>Aktiv!G8</f>
        <v>32</v>
      </c>
      <c r="O10" s="225">
        <f>Aktiv!H8</f>
        <v>106</v>
      </c>
      <c r="P10" s="225">
        <f>Aktiv!I8</f>
        <v>118</v>
      </c>
      <c r="Q10" s="225">
        <f>Aktiv!J8</f>
        <v>141</v>
      </c>
      <c r="R10" s="226">
        <f>IF(OR(F10="",F10=0,N10=""),"",N10/F10-1)</f>
        <v>0.14285714285714279</v>
      </c>
      <c r="S10" s="226">
        <f>IF(OR(G10="",G10=0,O10=""),"",O10/G10-1)</f>
        <v>9.52380952380949E-3</v>
      </c>
      <c r="T10" s="226">
        <f>IF(OR(I10="",I10=0,Q10=""),"",Q10/I10-1)</f>
        <v>7.1428571428571175E-3</v>
      </c>
      <c r="U10" s="226">
        <f>IF(OR(K10="",K10=0,P10=""),"",P10/K10-1)</f>
        <v>3.5087719298245723E-2</v>
      </c>
      <c r="V10" s="227">
        <f>IF(OR(F10="",F10=0,G10=""),"",G10/F10)</f>
        <v>3.75</v>
      </c>
      <c r="W10" s="227">
        <f>IF(OR(N10="",N10=0,O10=""),"",O10/N10)</f>
        <v>3.3125</v>
      </c>
      <c r="X10" s="228">
        <f>Aktiv!E8*Aktiv!F8</f>
        <v>208800</v>
      </c>
      <c r="Y10" s="229">
        <f>IF(OR(X10="",X10=0,F10=""),"",F10/(X10/10000))</f>
        <v>1.3409961685823755</v>
      </c>
      <c r="Z10" s="230">
        <f>IF(OR(X10="",X10=0,N10=""),"",N10/(X10/10000))</f>
        <v>1.5325670498084292</v>
      </c>
    </row>
    <row r="11" spans="1:26" x14ac:dyDescent="0.25">
      <c r="A11" s="222" t="str">
        <f>'Preisliste 2012'!A29</f>
        <v>Boden / Seiten</v>
      </c>
      <c r="B11" s="223" t="str">
        <f>'Preisliste 2012'!B29</f>
        <v>Boden</v>
      </c>
      <c r="C11" s="223" t="str">
        <f>'Preisliste 2012'!D29</f>
        <v>580 / 580</v>
      </c>
      <c r="D11" s="223" t="str">
        <f>Aktiv!C13</f>
        <v>Boden</v>
      </c>
      <c r="E11" s="223">
        <f>Aktiv!A13</f>
        <v>3007</v>
      </c>
      <c r="F11" s="224">
        <f>'Preisliste 2012'!E29</f>
        <v>46</v>
      </c>
      <c r="G11" s="224">
        <f>'Preisliste 2012'!F29</f>
        <v>155</v>
      </c>
      <c r="H11" s="224">
        <f>'Preisliste 2012'!G29</f>
        <v>135</v>
      </c>
      <c r="I11" s="224">
        <f>'Preisliste 2012'!H29</f>
        <v>151</v>
      </c>
      <c r="J11" s="224">
        <f>'Preisliste 2012'!I29</f>
        <v>129</v>
      </c>
      <c r="K11" s="224">
        <f>'Preisliste 2012'!J29</f>
        <v>169</v>
      </c>
      <c r="L11" s="224">
        <f>'Preisliste 2012'!K29</f>
        <v>211</v>
      </c>
      <c r="M11" s="224">
        <f>'Preisliste 2012'!L29</f>
        <v>254</v>
      </c>
      <c r="N11" s="225">
        <f>Aktiv!G13</f>
        <v>50</v>
      </c>
      <c r="O11" s="225">
        <f>Aktiv!H13</f>
        <v>150</v>
      </c>
      <c r="P11" s="225">
        <f>Aktiv!I13</f>
        <v>167</v>
      </c>
      <c r="Q11" s="225">
        <f>Aktiv!J13</f>
        <v>145</v>
      </c>
      <c r="R11" s="226">
        <f>IF(OR(F11="",F11=0,N11=""),"",N11/F11-1)</f>
        <v>8.6956521739130377E-2</v>
      </c>
      <c r="S11" s="226">
        <f>IF(OR(G11="",G11=0,O11=""),"",O11/G11-1)</f>
        <v>-3.2258064516129004E-2</v>
      </c>
      <c r="T11" s="226">
        <f>IF(OR(I11="",I11=0,Q11=""),"",Q11/I11-1)</f>
        <v>-3.9735099337748325E-2</v>
      </c>
      <c r="U11" s="226">
        <f>IF(OR(K11="",K11=0,P11=""),"",P11/K11-1)</f>
        <v>-1.1834319526627168E-2</v>
      </c>
      <c r="V11" s="227">
        <f>IF(OR(F11="",F11=0,G11=""),"",G11/F11)</f>
        <v>3.3695652173913042</v>
      </c>
      <c r="W11" s="227">
        <f>IF(OR(N11="",N11=0,O11=""),"",O11/N11)</f>
        <v>3</v>
      </c>
      <c r="X11" s="228">
        <f>Aktiv!E13*Aktiv!F13</f>
        <v>336400</v>
      </c>
      <c r="Y11" s="229">
        <f>IF(OR(X11="",X11=0,F11=""),"",F11/(X11/10000))</f>
        <v>1.3674197384066586</v>
      </c>
      <c r="Z11" s="230">
        <f>IF(OR(X11="",X11=0,N11=""),"",N11/(X11/10000))</f>
        <v>1.4863258026159334</v>
      </c>
    </row>
    <row r="12" spans="1:26" x14ac:dyDescent="0.25">
      <c r="A12" s="222" t="str">
        <f>'Preisliste 2012'!A30</f>
        <v>Boden / Seiten</v>
      </c>
      <c r="B12" s="223" t="str">
        <f>'Preisliste 2012'!B30</f>
        <v>Boden</v>
      </c>
      <c r="C12" s="223" t="str">
        <f>'Preisliste 2012'!D30</f>
        <v>780 / 360</v>
      </c>
      <c r="D12" s="223" t="str">
        <f>Aktiv!C9</f>
        <v>Boden</v>
      </c>
      <c r="E12" s="223">
        <f>Aktiv!A9</f>
        <v>3003</v>
      </c>
      <c r="F12" s="224">
        <f>'Preisliste 2012'!E30</f>
        <v>38</v>
      </c>
      <c r="G12" s="224">
        <f>'Preisliste 2012'!F30</f>
        <v>123</v>
      </c>
      <c r="H12" s="224">
        <f>'Preisliste 2012'!G30</f>
        <v>134</v>
      </c>
      <c r="I12" s="224">
        <f>'Preisliste 2012'!H30</f>
        <v>144</v>
      </c>
      <c r="J12" s="224">
        <f>'Preisliste 2012'!I30</f>
        <v>100</v>
      </c>
      <c r="K12" s="224">
        <f>'Preisliste 2012'!J30</f>
        <v>131</v>
      </c>
      <c r="L12" s="224">
        <f>'Preisliste 2012'!K30</f>
        <v>164</v>
      </c>
      <c r="M12" s="224">
        <f>'Preisliste 2012'!L30</f>
        <v>197</v>
      </c>
      <c r="N12" s="225">
        <f>Aktiv!G9</f>
        <v>42</v>
      </c>
      <c r="O12" s="225">
        <f>Aktiv!H9</f>
        <v>122</v>
      </c>
      <c r="P12" s="225">
        <f>Aktiv!I9</f>
        <v>131</v>
      </c>
      <c r="Q12" s="225">
        <f>Aktiv!J9</f>
        <v>144</v>
      </c>
      <c r="R12" s="226">
        <f>IF(OR(F12="",F12=0,N12=""),"",N12/F12-1)</f>
        <v>0.10526315789473695</v>
      </c>
      <c r="S12" s="226">
        <f>IF(OR(G12="",G12=0,O12=""),"",O12/G12-1)</f>
        <v>-8.1300813008130524E-3</v>
      </c>
      <c r="T12" s="226">
        <f>IF(OR(I12="",I12=0,Q12=""),"",Q12/I12-1)</f>
        <v>0</v>
      </c>
      <c r="U12" s="226">
        <f>IF(OR(K12="",K12=0,P12=""),"",P12/K12-1)</f>
        <v>0</v>
      </c>
      <c r="V12" s="227">
        <f>IF(OR(F12="",F12=0,G12=""),"",G12/F12)</f>
        <v>3.236842105263158</v>
      </c>
      <c r="W12" s="227">
        <f>IF(OR(N12="",N12=0,O12=""),"",O12/N12)</f>
        <v>2.9047619047619047</v>
      </c>
      <c r="X12" s="228">
        <f>Aktiv!E9*Aktiv!F9</f>
        <v>280800</v>
      </c>
      <c r="Y12" s="229">
        <f>IF(OR(X12="",X12=0,F12=""),"",F12/(X12/10000))</f>
        <v>1.3532763532763534</v>
      </c>
      <c r="Z12" s="230">
        <f>IF(OR(X12="",X12=0,N12=""),"",N12/(X12/10000))</f>
        <v>1.4957264957264957</v>
      </c>
    </row>
    <row r="13" spans="1:26" x14ac:dyDescent="0.25">
      <c r="A13" s="222" t="str">
        <f>'Preisliste 2012'!A31</f>
        <v>Boden / Seiten</v>
      </c>
      <c r="B13" s="223" t="str">
        <f>'Preisliste 2012'!B31</f>
        <v>Boden</v>
      </c>
      <c r="C13" s="223" t="str">
        <f>'Preisliste 2012'!D31</f>
        <v>780 / 580</v>
      </c>
      <c r="D13" s="223" t="str">
        <f>Aktiv!C14</f>
        <v>Boden</v>
      </c>
      <c r="E13" s="223">
        <f>Aktiv!A14</f>
        <v>3008</v>
      </c>
      <c r="F13" s="224">
        <f>'Preisliste 2012'!E31</f>
        <v>61</v>
      </c>
      <c r="G13" s="224">
        <f>'Preisliste 2012'!F31</f>
        <v>190</v>
      </c>
      <c r="H13" s="224">
        <f>'Preisliste 2012'!G31</f>
        <v>169</v>
      </c>
      <c r="I13" s="224">
        <f>'Preisliste 2012'!H31</f>
        <v>184</v>
      </c>
      <c r="J13" s="224">
        <f>'Preisliste 2012'!I31</f>
        <v>160</v>
      </c>
      <c r="K13" s="224">
        <f>'Preisliste 2012'!J31</f>
        <v>222</v>
      </c>
      <c r="L13" s="224">
        <f>'Preisliste 2012'!K31</f>
        <v>278</v>
      </c>
      <c r="M13" s="224">
        <f>'Preisliste 2012'!L31</f>
        <v>333</v>
      </c>
      <c r="N13" s="225">
        <f>Aktiv!G14</f>
        <v>65</v>
      </c>
      <c r="O13" s="225">
        <f>Aktiv!H14</f>
        <v>182</v>
      </c>
      <c r="P13" s="225">
        <f>Aktiv!I14</f>
        <v>205</v>
      </c>
      <c r="Q13" s="225">
        <f>Aktiv!J14</f>
        <v>180</v>
      </c>
      <c r="R13" s="226">
        <f>IF(OR(F13="",F13=0,N13=""),"",N13/F13-1)</f>
        <v>6.5573770491803351E-2</v>
      </c>
      <c r="S13" s="226">
        <f>IF(OR(G13="",G13=0,O13=""),"",O13/G13-1)</f>
        <v>-4.2105263157894757E-2</v>
      </c>
      <c r="T13" s="226">
        <f>IF(OR(I13="",I13=0,Q13=""),"",Q13/I13-1)</f>
        <v>-2.1739130434782594E-2</v>
      </c>
      <c r="U13" s="226">
        <f>IF(OR(K13="",K13=0,P13=""),"",P13/K13-1)</f>
        <v>-7.6576576576576572E-2</v>
      </c>
      <c r="V13" s="227">
        <f>IF(OR(F13="",F13=0,G13=""),"",G13/F13)</f>
        <v>3.1147540983606556</v>
      </c>
      <c r="W13" s="227">
        <f>IF(OR(N13="",N13=0,O13=""),"",O13/N13)</f>
        <v>2.8</v>
      </c>
      <c r="X13" s="228">
        <f>Aktiv!E14*Aktiv!F14</f>
        <v>452400</v>
      </c>
      <c r="Y13" s="229">
        <f>IF(OR(X13="",X13=0,F13=""),"",F13/(X13/10000))</f>
        <v>1.348364279398762</v>
      </c>
      <c r="Z13" s="230">
        <f>IF(OR(X13="",X13=0,N13=""),"",N13/(X13/10000))</f>
        <v>1.4367816091954022</v>
      </c>
    </row>
    <row r="14" spans="1:26" x14ac:dyDescent="0.25">
      <c r="A14" s="222" t="str">
        <f>'Preisliste 2012'!A32</f>
        <v>Boden / Seiten</v>
      </c>
      <c r="B14" s="223" t="str">
        <f>'Preisliste 2012'!B32</f>
        <v>Boden</v>
      </c>
      <c r="C14" s="223" t="str">
        <f>'Preisliste 2012'!D32</f>
        <v>980 / 360</v>
      </c>
      <c r="D14" s="223" t="str">
        <f>Aktiv!C10</f>
        <v>Boden</v>
      </c>
      <c r="E14" s="223">
        <f>Aktiv!A10</f>
        <v>3004</v>
      </c>
      <c r="F14" s="224">
        <f>'Preisliste 2012'!E32</f>
        <v>48</v>
      </c>
      <c r="G14" s="224">
        <f>'Preisliste 2012'!F32</f>
        <v>151</v>
      </c>
      <c r="H14" s="224">
        <f>'Preisliste 2012'!G32</f>
        <v>148</v>
      </c>
      <c r="I14" s="224">
        <f>'Preisliste 2012'!H32</f>
        <v>159</v>
      </c>
      <c r="J14" s="224">
        <f>'Preisliste 2012'!I32</f>
        <v>122</v>
      </c>
      <c r="K14" s="224">
        <f>'Preisliste 2012'!J32</f>
        <v>158</v>
      </c>
      <c r="L14" s="224">
        <f>'Preisliste 2012'!K32</f>
        <v>198</v>
      </c>
      <c r="M14" s="224">
        <f>'Preisliste 2012'!L32</f>
        <v>237</v>
      </c>
      <c r="N14" s="225">
        <f>Aktiv!G10</f>
        <v>53</v>
      </c>
      <c r="O14" s="225">
        <f>Aktiv!H10</f>
        <v>147</v>
      </c>
      <c r="P14" s="225">
        <f>Aktiv!I10</f>
        <v>158</v>
      </c>
      <c r="Q14" s="225">
        <f>Aktiv!J10</f>
        <v>159</v>
      </c>
      <c r="R14" s="226">
        <f>IF(OR(F14="",F14=0,N14=""),"",N14/F14-1)</f>
        <v>0.10416666666666674</v>
      </c>
      <c r="S14" s="226">
        <f>IF(OR(G14="",G14=0,O14=""),"",O14/G14-1)</f>
        <v>-2.6490066225165587E-2</v>
      </c>
      <c r="T14" s="226">
        <f>IF(OR(I14="",I14=0,Q14=""),"",Q14/I14-1)</f>
        <v>0</v>
      </c>
      <c r="U14" s="226">
        <f>IF(OR(K14="",K14=0,P14=""),"",P14/K14-1)</f>
        <v>0</v>
      </c>
      <c r="V14" s="227">
        <f>IF(OR(F14="",F14=0,G14=""),"",G14/F14)</f>
        <v>3.1458333333333335</v>
      </c>
      <c r="W14" s="227">
        <f>IF(OR(N14="",N14=0,O14=""),"",O14/N14)</f>
        <v>2.7735849056603774</v>
      </c>
      <c r="X14" s="228">
        <f>Aktiv!E10*Aktiv!F10</f>
        <v>352800</v>
      </c>
      <c r="Y14" s="229">
        <f>IF(OR(X14="",X14=0,F14=""),"",F14/(X14/10000))</f>
        <v>1.3605442176870748</v>
      </c>
      <c r="Z14" s="230">
        <f>IF(OR(X14="",X14=0,N14=""),"",N14/(X14/10000))</f>
        <v>1.5022675736961451</v>
      </c>
    </row>
    <row r="15" spans="1:26" x14ac:dyDescent="0.25">
      <c r="A15" s="222" t="str">
        <f>'Preisliste 2012'!A33</f>
        <v>Boden / Seiten</v>
      </c>
      <c r="B15" s="223" t="str">
        <f>'Preisliste 2012'!B33</f>
        <v>Boden</v>
      </c>
      <c r="C15" s="223" t="str">
        <f>'Preisliste 2012'!D33</f>
        <v>980 / 580</v>
      </c>
      <c r="D15" s="223" t="str">
        <f>Aktiv!C15</f>
        <v>Boden</v>
      </c>
      <c r="E15" s="223">
        <f>Aktiv!A15</f>
        <v>3009</v>
      </c>
      <c r="F15" s="224">
        <f>'Preisliste 2012'!E33</f>
        <v>78</v>
      </c>
      <c r="G15" s="224">
        <f>'Preisliste 2012'!F33</f>
        <v>249</v>
      </c>
      <c r="H15" s="224">
        <f>'Preisliste 2012'!G33</f>
        <v>198</v>
      </c>
      <c r="I15" s="224">
        <f>'Preisliste 2012'!H33</f>
        <v>214</v>
      </c>
      <c r="J15" s="224">
        <f>'Preisliste 2012'!I33</f>
        <v>205</v>
      </c>
      <c r="K15" s="224">
        <f>'Preisliste 2012'!J33</f>
        <v>269</v>
      </c>
      <c r="L15" s="224">
        <f>'Preisliste 2012'!K33</f>
        <v>336</v>
      </c>
      <c r="M15" s="224">
        <f>'Preisliste 2012'!L33</f>
        <v>404</v>
      </c>
      <c r="N15" s="225">
        <f>Aktiv!G15</f>
        <v>83</v>
      </c>
      <c r="O15" s="225">
        <f>Aktiv!H15</f>
        <v>234</v>
      </c>
      <c r="P15" s="225">
        <f>Aktiv!I15</f>
        <v>260</v>
      </c>
      <c r="Q15" s="225">
        <f>Aktiv!J15</f>
        <v>210</v>
      </c>
      <c r="R15" s="226">
        <f>IF(OR(F15="",F15=0,N15=""),"",N15/F15-1)</f>
        <v>6.4102564102564097E-2</v>
      </c>
      <c r="S15" s="226">
        <f>IF(OR(G15="",G15=0,O15=""),"",O15/G15-1)</f>
        <v>-6.0240963855421659E-2</v>
      </c>
      <c r="T15" s="226">
        <f>IF(OR(I15="",I15=0,Q15=""),"",Q15/I15-1)</f>
        <v>-1.8691588785046731E-2</v>
      </c>
      <c r="U15" s="226">
        <f>IF(OR(K15="",K15=0,P15=""),"",P15/K15-1)</f>
        <v>-3.3457249070631967E-2</v>
      </c>
      <c r="V15" s="227">
        <f>IF(OR(F15="",F15=0,G15=""),"",G15/F15)</f>
        <v>3.1923076923076925</v>
      </c>
      <c r="W15" s="227">
        <f>IF(OR(N15="",N15=0,O15=""),"",O15/N15)</f>
        <v>2.8192771084337349</v>
      </c>
      <c r="X15" s="228">
        <f>Aktiv!E15*Aktiv!F15</f>
        <v>568400</v>
      </c>
      <c r="Y15" s="229">
        <f>IF(OR(X15="",X15=0,F15=""),"",F15/(X15/10000))</f>
        <v>1.3722730471498943</v>
      </c>
      <c r="Z15" s="230">
        <f>IF(OR(X15="",X15=0,N15=""),"",N15/(X15/10000))</f>
        <v>1.4602392681210414</v>
      </c>
    </row>
    <row r="16" spans="1:26" x14ac:dyDescent="0.25">
      <c r="A16" s="222" t="str">
        <f>'Preisliste 2012'!A34</f>
        <v>Boden / Seiten</v>
      </c>
      <c r="B16" s="223" t="str">
        <f>'Preisliste 2012'!B34</f>
        <v>Seite</v>
      </c>
      <c r="C16" s="223" t="str">
        <f>'Preisliste 2012'!D34</f>
        <v>360 / 360 (180)</v>
      </c>
      <c r="D16" s="223" t="str">
        <f>Aktiv!C24</f>
        <v>Seite außen</v>
      </c>
      <c r="E16" s="223">
        <f>Aktiv!A24</f>
        <v>3101</v>
      </c>
      <c r="F16" s="224">
        <f>'Preisliste 2012'!E34</f>
        <v>18</v>
      </c>
      <c r="G16" s="224">
        <f>'Preisliste 2012'!F34</f>
        <v>70</v>
      </c>
      <c r="H16" s="224">
        <f>'Preisliste 2012'!G34</f>
        <v>142</v>
      </c>
      <c r="I16" s="224">
        <f>'Preisliste 2012'!H34</f>
        <v>158</v>
      </c>
      <c r="J16" s="224">
        <f>'Preisliste 2012'!I34</f>
        <v>59</v>
      </c>
      <c r="K16" s="224">
        <f>'Preisliste 2012'!J34</f>
        <v>76</v>
      </c>
      <c r="L16" s="224">
        <f>'Preisliste 2012'!K34</f>
        <v>95</v>
      </c>
      <c r="M16" s="224">
        <f>'Preisliste 2012'!L34</f>
        <v>114</v>
      </c>
      <c r="N16" s="225">
        <f>Aktiv!G24</f>
        <v>26</v>
      </c>
      <c r="O16" s="225">
        <f>Aktiv!H24</f>
        <v>79</v>
      </c>
      <c r="P16" s="225">
        <f>Aktiv!I24</f>
        <v>88</v>
      </c>
      <c r="Q16" s="225">
        <f>Aktiv!J24</f>
        <v>142</v>
      </c>
      <c r="R16" s="226">
        <f>IF(OR(F16="",F16=0,N16=""),"",N16/F16-1)</f>
        <v>0.44444444444444442</v>
      </c>
      <c r="S16" s="226">
        <f>IF(OR(G16="",G16=0,O16=""),"",O16/G16-1)</f>
        <v>0.12857142857142856</v>
      </c>
      <c r="T16" s="226">
        <f>IF(OR(I16="",I16=0,Q16=""),"",Q16/I16-1)</f>
        <v>-0.10126582278481011</v>
      </c>
      <c r="U16" s="226">
        <f>IF(OR(K16="",K16=0,P16=""),"",P16/K16-1)</f>
        <v>0.15789473684210531</v>
      </c>
      <c r="V16" s="227">
        <f>IF(OR(F16="",F16=0,G16=""),"",G16/F16)</f>
        <v>3.8888888888888888</v>
      </c>
      <c r="W16" s="227">
        <f>IF(OR(N16="",N16=0,O16=""),"",O16/N16)</f>
        <v>3.0384615384615383</v>
      </c>
      <c r="X16" s="228">
        <f>Aktiv!E24*Aktiv!F24</f>
        <v>129600</v>
      </c>
      <c r="Y16" s="229">
        <f>IF(OR(X16="",X16=0,F16=""),"",F16/(X16/10000))</f>
        <v>1.3888888888888888</v>
      </c>
      <c r="Z16" s="230">
        <f>IF(OR(X16="",X16=0,N16=""),"",N16/(X16/10000))</f>
        <v>2.0061728395061729</v>
      </c>
    </row>
    <row r="17" spans="1:26" x14ac:dyDescent="0.25">
      <c r="A17" s="222" t="str">
        <f>'Preisliste 2012'!A35</f>
        <v>Boden / Seiten</v>
      </c>
      <c r="B17" s="223" t="str">
        <f>'Preisliste 2012'!B35</f>
        <v>Seite</v>
      </c>
      <c r="C17" s="223" t="str">
        <f>'Preisliste 2012'!D35</f>
        <v>360 / 720</v>
      </c>
      <c r="D17" s="223" t="str">
        <f>Aktiv!C25</f>
        <v>Seite außen</v>
      </c>
      <c r="E17" s="223">
        <f>Aktiv!A25</f>
        <v>3102</v>
      </c>
      <c r="F17" s="224">
        <f>'Preisliste 2012'!E35</f>
        <v>35</v>
      </c>
      <c r="G17" s="224">
        <f>'Preisliste 2012'!F35</f>
        <v>120</v>
      </c>
      <c r="H17" s="224">
        <f>'Preisliste 2012'!G35</f>
        <v>150</v>
      </c>
      <c r="I17" s="224">
        <f>'Preisliste 2012'!H35</f>
        <v>166</v>
      </c>
      <c r="J17" s="224">
        <f>'Preisliste 2012'!I35</f>
        <v>99</v>
      </c>
      <c r="K17" s="224">
        <f>'Preisliste 2012'!J35</f>
        <v>130</v>
      </c>
      <c r="L17" s="224">
        <f>'Preisliste 2012'!K35</f>
        <v>162</v>
      </c>
      <c r="M17" s="224">
        <f>'Preisliste 2012'!L35</f>
        <v>195</v>
      </c>
      <c r="N17" s="225">
        <f>Aktiv!G25</f>
        <v>39</v>
      </c>
      <c r="O17" s="225">
        <f>Aktiv!H25</f>
        <v>125</v>
      </c>
      <c r="P17" s="225">
        <f>Aktiv!I25</f>
        <v>142</v>
      </c>
      <c r="Q17" s="225">
        <f>Aktiv!J25</f>
        <v>170</v>
      </c>
      <c r="R17" s="226">
        <f>IF(OR(F17="",F17=0,N17=""),"",N17/F17-1)</f>
        <v>0.11428571428571432</v>
      </c>
      <c r="S17" s="226">
        <f>IF(OR(G17="",G17=0,O17=""),"",O17/G17-1)</f>
        <v>4.1666666666666741E-2</v>
      </c>
      <c r="T17" s="226">
        <f>IF(OR(I17="",I17=0,Q17=""),"",Q17/I17-1)</f>
        <v>2.4096385542168752E-2</v>
      </c>
      <c r="U17" s="226">
        <f>IF(OR(K17="",K17=0,P17=""),"",P17/K17-1)</f>
        <v>9.2307692307692202E-2</v>
      </c>
      <c r="V17" s="227">
        <f>IF(OR(F17="",F17=0,G17=""),"",G17/F17)</f>
        <v>3.4285714285714284</v>
      </c>
      <c r="W17" s="227">
        <f>IF(OR(N17="",N17=0,O17=""),"",O17/N17)</f>
        <v>3.2051282051282053</v>
      </c>
      <c r="X17" s="228">
        <f>Aktiv!E25*Aktiv!F25</f>
        <v>259200</v>
      </c>
      <c r="Y17" s="229">
        <f>IF(OR(X17="",X17=0,F17=""),"",F17/(X17/10000))</f>
        <v>1.3503086419753085</v>
      </c>
      <c r="Z17" s="230">
        <f>IF(OR(X17="",X17=0,N17=""),"",N17/(X17/10000))</f>
        <v>1.5046296296296295</v>
      </c>
    </row>
    <row r="18" spans="1:26" x14ac:dyDescent="0.25">
      <c r="A18" s="222" t="str">
        <f>'Preisliste 2012'!A36</f>
        <v>Boden / Seiten</v>
      </c>
      <c r="B18" s="223" t="str">
        <f>'Preisliste 2012'!B36</f>
        <v>Seite</v>
      </c>
      <c r="C18" s="223" t="str">
        <f>'Preisliste 2012'!D36</f>
        <v>360 / 1080</v>
      </c>
      <c r="D18" s="223" t="str">
        <f>Aktiv!C26</f>
        <v>Seite außen</v>
      </c>
      <c r="E18" s="223">
        <f>Aktiv!A26</f>
        <v>3103</v>
      </c>
      <c r="F18" s="224">
        <f>'Preisliste 2012'!E36</f>
        <v>53</v>
      </c>
      <c r="G18" s="224">
        <f>'Preisliste 2012'!F36</f>
        <v>184</v>
      </c>
      <c r="H18" s="224">
        <f>'Preisliste 2012'!G36</f>
        <v>171</v>
      </c>
      <c r="I18" s="224">
        <f>'Preisliste 2012'!H36</f>
        <v>191</v>
      </c>
      <c r="J18" s="224">
        <f>'Preisliste 2012'!I36</f>
        <v>158</v>
      </c>
      <c r="K18" s="224">
        <f>'Preisliste 2012'!J36</f>
        <v>219</v>
      </c>
      <c r="L18" s="224">
        <f>'Preisliste 2012'!K36</f>
        <v>274</v>
      </c>
      <c r="M18" s="224">
        <f>'Preisliste 2012'!L36</f>
        <v>329</v>
      </c>
      <c r="N18" s="225">
        <f>Aktiv!G26</f>
        <v>57</v>
      </c>
      <c r="O18" s="225">
        <f>Aktiv!H26</f>
        <v>184</v>
      </c>
      <c r="P18" s="225">
        <f>Aktiv!I26</f>
        <v>220</v>
      </c>
      <c r="Q18" s="225">
        <f>Aktiv!J26</f>
        <v>192</v>
      </c>
      <c r="R18" s="226">
        <f>IF(OR(F18="",F18=0,N18=""),"",N18/F18-1)</f>
        <v>7.547169811320753E-2</v>
      </c>
      <c r="S18" s="226">
        <f>IF(OR(G18="",G18=0,O18=""),"",O18/G18-1)</f>
        <v>0</v>
      </c>
      <c r="T18" s="226">
        <f>IF(OR(I18="",I18=0,Q18=""),"",Q18/I18-1)</f>
        <v>5.2356020942407877E-3</v>
      </c>
      <c r="U18" s="226">
        <f>IF(OR(K18="",K18=0,P18=""),"",P18/K18-1)</f>
        <v>4.5662100456620447E-3</v>
      </c>
      <c r="V18" s="227">
        <f>IF(OR(F18="",F18=0,G18=""),"",G18/F18)</f>
        <v>3.4716981132075473</v>
      </c>
      <c r="W18" s="227">
        <f>IF(OR(N18="",N18=0,O18=""),"",O18/N18)</f>
        <v>3.2280701754385963</v>
      </c>
      <c r="X18" s="228">
        <f>Aktiv!E26*Aktiv!F26</f>
        <v>388800</v>
      </c>
      <c r="Y18" s="229">
        <f>IF(OR(X18="",X18=0,F18=""),"",F18/(X18/10000))</f>
        <v>1.3631687242798354</v>
      </c>
      <c r="Z18" s="230">
        <f>IF(OR(X18="",X18=0,N18=""),"",N18/(X18/10000))</f>
        <v>1.4660493827160492</v>
      </c>
    </row>
    <row r="19" spans="1:26" x14ac:dyDescent="0.25">
      <c r="A19" s="222" t="str">
        <f>'Preisliste 2012'!A37</f>
        <v>Boden / Seiten</v>
      </c>
      <c r="B19" s="223" t="str">
        <f>'Preisliste 2012'!B37</f>
        <v>Seite</v>
      </c>
      <c r="C19" s="223" t="str">
        <f>'Preisliste 2012'!D37</f>
        <v>360 / 1440</v>
      </c>
      <c r="D19" s="223" t="str">
        <f>Aktiv!C27</f>
        <v>Seite außen</v>
      </c>
      <c r="E19" s="223">
        <f>Aktiv!A27</f>
        <v>3104</v>
      </c>
      <c r="F19" s="224">
        <f>'Preisliste 2012'!E37</f>
        <v>71</v>
      </c>
      <c r="G19" s="224">
        <f>'Preisliste 2012'!F37</f>
        <v>235</v>
      </c>
      <c r="H19" s="224">
        <f>'Preisliste 2012'!G37</f>
        <v>0</v>
      </c>
      <c r="I19" s="224">
        <f>'Preisliste 2012'!H37</f>
        <v>0</v>
      </c>
      <c r="J19" s="224">
        <f>'Preisliste 2012'!I37</f>
        <v>202</v>
      </c>
      <c r="K19" s="224">
        <f>'Preisliste 2012'!J37</f>
        <v>281</v>
      </c>
      <c r="L19" s="224">
        <f>'Preisliste 2012'!K37</f>
        <v>351</v>
      </c>
      <c r="M19" s="224">
        <f>'Preisliste 2012'!L37</f>
        <v>422</v>
      </c>
      <c r="N19" s="225">
        <f>Aktiv!G27</f>
        <v>75</v>
      </c>
      <c r="O19" s="225">
        <f>Aktiv!H27</f>
        <v>232</v>
      </c>
      <c r="P19" s="225">
        <f>Aktiv!I27</f>
        <v>278</v>
      </c>
      <c r="Q19" s="225">
        <f>Aktiv!J27</f>
        <v>423</v>
      </c>
      <c r="R19" s="226">
        <f>IF(OR(F19="",F19=0,N19=""),"",N19/F19-1)</f>
        <v>5.6338028169014009E-2</v>
      </c>
      <c r="S19" s="226">
        <f>IF(OR(G19="",G19=0,O19=""),"",O19/G19-1)</f>
        <v>-1.2765957446808529E-2</v>
      </c>
      <c r="T19" s="226" t="str">
        <f>IF(OR(I19="",I19=0,Q19=""),"",Q19/I19-1)</f>
        <v/>
      </c>
      <c r="U19" s="226">
        <f>IF(OR(K19="",K19=0,P19=""),"",P19/K19-1)</f>
        <v>-1.0676156583629859E-2</v>
      </c>
      <c r="V19" s="227">
        <f>IF(OR(F19="",F19=0,G19=""),"",G19/F19)</f>
        <v>3.3098591549295775</v>
      </c>
      <c r="W19" s="227">
        <f>IF(OR(N19="",N19=0,O19=""),"",O19/N19)</f>
        <v>3.0933333333333333</v>
      </c>
      <c r="X19" s="228">
        <f>Aktiv!E27*Aktiv!F27</f>
        <v>518400</v>
      </c>
      <c r="Y19" s="229">
        <f>IF(OR(X19="",X19=0,F19=""),"",F19/(X19/10000))</f>
        <v>1.3695987654320987</v>
      </c>
      <c r="Z19" s="230">
        <f>IF(OR(X19="",X19=0,N19=""),"",N19/(X19/10000))</f>
        <v>1.4467592592592591</v>
      </c>
    </row>
    <row r="20" spans="1:26" x14ac:dyDescent="0.25">
      <c r="A20" s="222" t="str">
        <f>'Preisliste 2012'!A38</f>
        <v>Boden / Seiten</v>
      </c>
      <c r="B20" s="223" t="str">
        <f>'Preisliste 2012'!B38</f>
        <v>Seite</v>
      </c>
      <c r="C20" s="223" t="str">
        <f>'Preisliste 2012'!D38</f>
        <v>360 / 1800</v>
      </c>
      <c r="D20" s="223" t="str">
        <f>Aktiv!C28</f>
        <v>Seite außen</v>
      </c>
      <c r="E20" s="223">
        <f>Aktiv!A28</f>
        <v>3105</v>
      </c>
      <c r="F20" s="224">
        <f>'Preisliste 2012'!E38</f>
        <v>89</v>
      </c>
      <c r="G20" s="224">
        <f>'Preisliste 2012'!F38</f>
        <v>287</v>
      </c>
      <c r="H20" s="224">
        <f>'Preisliste 2012'!G38</f>
        <v>0</v>
      </c>
      <c r="I20" s="224">
        <f>'Preisliste 2012'!H38</f>
        <v>0</v>
      </c>
      <c r="J20" s="224">
        <f>'Preisliste 2012'!I38</f>
        <v>248</v>
      </c>
      <c r="K20" s="224">
        <f>'Preisliste 2012'!J38</f>
        <v>343</v>
      </c>
      <c r="L20" s="224">
        <f>'Preisliste 2012'!K38</f>
        <v>428</v>
      </c>
      <c r="M20" s="224">
        <f>'Preisliste 2012'!L38</f>
        <v>515</v>
      </c>
      <c r="N20" s="225">
        <f>Aktiv!G28</f>
        <v>94</v>
      </c>
      <c r="O20" s="225">
        <f>Aktiv!H28</f>
        <v>170</v>
      </c>
      <c r="P20" s="225">
        <f>Aktiv!I28</f>
        <v>340</v>
      </c>
      <c r="Q20" s="225">
        <f>Aktiv!J28</f>
        <v>516</v>
      </c>
      <c r="R20" s="226">
        <f>IF(OR(F20="",F20=0,N20=""),"",N20/F20-1)</f>
        <v>5.6179775280898792E-2</v>
      </c>
      <c r="S20" s="226">
        <f>IF(OR(G20="",G20=0,O20=""),"",O20/G20-1)</f>
        <v>-0.40766550522648082</v>
      </c>
      <c r="T20" s="226" t="str">
        <f>IF(OR(I20="",I20=0,Q20=""),"",Q20/I20-1)</f>
        <v/>
      </c>
      <c r="U20" s="226">
        <f>IF(OR(K20="",K20=0,P20=""),"",P20/K20-1)</f>
        <v>-8.7463556851311575E-3</v>
      </c>
      <c r="V20" s="227">
        <f>IF(OR(F20="",F20=0,G20=""),"",G20/F20)</f>
        <v>3.2247191011235956</v>
      </c>
      <c r="W20" s="227">
        <f>IF(OR(N20="",N20=0,O20=""),"",O20/N20)</f>
        <v>1.8085106382978724</v>
      </c>
      <c r="X20" s="228">
        <f>Aktiv!E28*Aktiv!F28</f>
        <v>648000</v>
      </c>
      <c r="Y20" s="229">
        <f>IF(OR(X20="",X20=0,F20=""),"",F20/(X20/10000))</f>
        <v>1.3734567901234569</v>
      </c>
      <c r="Z20" s="230">
        <f>IF(OR(X20="",X20=0,N20=""),"",N20/(X20/10000))</f>
        <v>1.4506172839506173</v>
      </c>
    </row>
    <row r="21" spans="1:26" x14ac:dyDescent="0.25">
      <c r="A21" s="222" t="str">
        <f>'Preisliste 2012'!A39</f>
        <v>Boden / Seiten</v>
      </c>
      <c r="B21" s="223" t="str">
        <f>'Preisliste 2012'!B39</f>
        <v>Seite</v>
      </c>
      <c r="C21" s="223" t="str">
        <f>'Preisliste 2012'!D39</f>
        <v>580 / 360 (180)</v>
      </c>
      <c r="D21" s="223" t="str">
        <f>Aktiv!C30</f>
        <v>Seite außen</v>
      </c>
      <c r="E21" s="223">
        <f>Aktiv!A30</f>
        <v>3107</v>
      </c>
      <c r="F21" s="224">
        <f>'Preisliste 2012'!E39</f>
        <v>28</v>
      </c>
      <c r="G21" s="224">
        <f>'Preisliste 2012'!F39</f>
        <v>105</v>
      </c>
      <c r="H21" s="224">
        <f>'Preisliste 2012'!G39</f>
        <v>147</v>
      </c>
      <c r="I21" s="224">
        <f>'Preisliste 2012'!H39</f>
        <v>164</v>
      </c>
      <c r="J21" s="224">
        <f>'Preisliste 2012'!I39</f>
        <v>89</v>
      </c>
      <c r="K21" s="224">
        <f>'Preisliste 2012'!J39</f>
        <v>114</v>
      </c>
      <c r="L21" s="224">
        <f>'Preisliste 2012'!K39</f>
        <v>143</v>
      </c>
      <c r="M21" s="224">
        <f>'Preisliste 2012'!L39</f>
        <v>171</v>
      </c>
      <c r="N21" s="225">
        <f>Aktiv!G30</f>
        <v>32</v>
      </c>
      <c r="O21" s="225">
        <f>Aktiv!H30</f>
        <v>111</v>
      </c>
      <c r="P21" s="225">
        <f>Aktiv!I30</f>
        <v>129</v>
      </c>
      <c r="Q21" s="225">
        <f>Aktiv!J30</f>
        <v>148</v>
      </c>
      <c r="R21" s="226">
        <f>IF(OR(F21="",F21=0,N21=""),"",N21/F21-1)</f>
        <v>0.14285714285714279</v>
      </c>
      <c r="S21" s="226">
        <f>IF(OR(G21="",G21=0,O21=""),"",O21/G21-1)</f>
        <v>5.7142857142857162E-2</v>
      </c>
      <c r="T21" s="226">
        <f>IF(OR(I21="",I21=0,Q21=""),"",Q21/I21-1)</f>
        <v>-9.7560975609756073E-2</v>
      </c>
      <c r="U21" s="226">
        <f>IF(OR(K21="",K21=0,P21=""),"",P21/K21-1)</f>
        <v>0.13157894736842102</v>
      </c>
      <c r="V21" s="227">
        <f>IF(OR(F21="",F21=0,G21=""),"",G21/F21)</f>
        <v>3.75</v>
      </c>
      <c r="W21" s="227">
        <f>IF(OR(N21="",N21=0,O21=""),"",O21/N21)</f>
        <v>3.46875</v>
      </c>
      <c r="X21" s="228">
        <f>Aktiv!E30*Aktiv!F30</f>
        <v>208800</v>
      </c>
      <c r="Y21" s="229">
        <f>IF(OR(X21="",X21=0,F21=""),"",F21/(X21/10000))</f>
        <v>1.3409961685823755</v>
      </c>
      <c r="Z21" s="230">
        <f>IF(OR(X21="",X21=0,N21=""),"",N21/(X21/10000))</f>
        <v>1.5325670498084292</v>
      </c>
    </row>
    <row r="22" spans="1:26" x14ac:dyDescent="0.25">
      <c r="A22" s="222" t="str">
        <f>'Preisliste 2012'!A40</f>
        <v>Boden / Seiten</v>
      </c>
      <c r="B22" s="223" t="str">
        <f>'Preisliste 2012'!B40</f>
        <v>Seite</v>
      </c>
      <c r="C22" s="223" t="str">
        <f>'Preisliste 2012'!D40</f>
        <v>580 / 720</v>
      </c>
      <c r="D22" s="223" t="str">
        <f>Aktiv!C31</f>
        <v>Seite außen</v>
      </c>
      <c r="E22" s="223">
        <f>Aktiv!A31</f>
        <v>3108</v>
      </c>
      <c r="F22" s="224">
        <f>'Preisliste 2012'!E40</f>
        <v>57</v>
      </c>
      <c r="G22" s="224">
        <f>'Preisliste 2012'!F40</f>
        <v>180</v>
      </c>
      <c r="H22" s="224">
        <f>'Preisliste 2012'!G40</f>
        <v>175</v>
      </c>
      <c r="I22" s="224">
        <f>'Preisliste 2012'!H40</f>
        <v>194</v>
      </c>
      <c r="J22" s="224">
        <f>'Preisliste 2012'!I40</f>
        <v>153</v>
      </c>
      <c r="K22" s="224">
        <f>'Preisliste 2012'!J40</f>
        <v>207</v>
      </c>
      <c r="L22" s="224">
        <f>'Preisliste 2012'!K40</f>
        <v>258</v>
      </c>
      <c r="M22" s="224">
        <f>'Preisliste 2012'!L40</f>
        <v>311</v>
      </c>
      <c r="N22" s="225">
        <f>Aktiv!G31</f>
        <v>62</v>
      </c>
      <c r="O22" s="225">
        <f>Aktiv!H31</f>
        <v>181</v>
      </c>
      <c r="P22" s="225">
        <f>Aktiv!I31</f>
        <v>214</v>
      </c>
      <c r="Q22" s="225">
        <f>Aktiv!J31</f>
        <v>196</v>
      </c>
      <c r="R22" s="226">
        <f>IF(OR(F22="",F22=0,N22=""),"",N22/F22-1)</f>
        <v>8.7719298245614086E-2</v>
      </c>
      <c r="S22" s="226">
        <f>IF(OR(G22="",G22=0,O22=""),"",O22/G22-1)</f>
        <v>5.5555555555555358E-3</v>
      </c>
      <c r="T22" s="226">
        <f>IF(OR(I22="",I22=0,Q22=""),"",Q22/I22-1)</f>
        <v>1.0309278350515427E-2</v>
      </c>
      <c r="U22" s="226">
        <f>IF(OR(K22="",K22=0,P22=""),"",P22/K22-1)</f>
        <v>3.3816425120772875E-2</v>
      </c>
      <c r="V22" s="227">
        <f>IF(OR(F22="",F22=0,G22=""),"",G22/F22)</f>
        <v>3.1578947368421053</v>
      </c>
      <c r="W22" s="227">
        <f>IF(OR(N22="",N22=0,O22=""),"",O22/N22)</f>
        <v>2.9193548387096775</v>
      </c>
      <c r="X22" s="228">
        <f>Aktiv!E31*Aktiv!F31</f>
        <v>417600</v>
      </c>
      <c r="Y22" s="229">
        <f>IF(OR(X22="",X22=0,F22=""),"",F22/(X22/10000))</f>
        <v>1.3649425287356323</v>
      </c>
      <c r="Z22" s="230">
        <f>IF(OR(X22="",X22=0,N22=""),"",N22/(X22/10000))</f>
        <v>1.4846743295019158</v>
      </c>
    </row>
    <row r="23" spans="1:26" x14ac:dyDescent="0.25">
      <c r="A23" s="222" t="str">
        <f>'Preisliste 2012'!A41</f>
        <v>Boden / Seiten</v>
      </c>
      <c r="B23" s="223" t="str">
        <f>'Preisliste 2012'!B41</f>
        <v>Seite</v>
      </c>
      <c r="C23" s="223" t="str">
        <f>'Preisliste 2012'!D41</f>
        <v>580 / 1080</v>
      </c>
      <c r="D23" s="223" t="str">
        <f>Aktiv!C32</f>
        <v>Seite außen</v>
      </c>
      <c r="E23" s="223">
        <f>Aktiv!A32</f>
        <v>3109</v>
      </c>
      <c r="F23" s="224">
        <f>'Preisliste 2012'!E41</f>
        <v>85</v>
      </c>
      <c r="G23" s="224">
        <f>'Preisliste 2012'!F41</f>
        <v>266</v>
      </c>
      <c r="H23" s="224">
        <f>'Preisliste 2012'!G41</f>
        <v>221</v>
      </c>
      <c r="I23" s="224">
        <f>'Preisliste 2012'!H41</f>
        <v>246</v>
      </c>
      <c r="J23" s="224">
        <f>'Preisliste 2012'!I41</f>
        <v>216</v>
      </c>
      <c r="K23" s="224">
        <f>'Preisliste 2012'!J41</f>
        <v>309</v>
      </c>
      <c r="L23" s="224">
        <f>'Preisliste 2012'!K41</f>
        <v>387</v>
      </c>
      <c r="M23" s="224">
        <f>'Preisliste 2012'!L41</f>
        <v>464</v>
      </c>
      <c r="N23" s="225">
        <f>Aktiv!G32</f>
        <v>89</v>
      </c>
      <c r="O23" s="225">
        <f>Aktiv!H32</f>
        <v>260</v>
      </c>
      <c r="P23" s="225">
        <f>Aktiv!I32</f>
        <v>297</v>
      </c>
      <c r="Q23" s="225">
        <f>Aktiv!J32</f>
        <v>246</v>
      </c>
      <c r="R23" s="226">
        <f>IF(OR(F23="",F23=0,N23=""),"",N23/F23-1)</f>
        <v>4.705882352941182E-2</v>
      </c>
      <c r="S23" s="226">
        <f>IF(OR(G23="",G23=0,O23=""),"",O23/G23-1)</f>
        <v>-2.2556390977443663E-2</v>
      </c>
      <c r="T23" s="226">
        <f>IF(OR(I23="",I23=0,Q23=""),"",Q23/I23-1)</f>
        <v>0</v>
      </c>
      <c r="U23" s="226">
        <f>IF(OR(K23="",K23=0,P23=""),"",P23/K23-1)</f>
        <v>-3.8834951456310662E-2</v>
      </c>
      <c r="V23" s="227">
        <f>IF(OR(F23="",F23=0,G23=""),"",G23/F23)</f>
        <v>3.1294117647058823</v>
      </c>
      <c r="W23" s="227">
        <f>IF(OR(N23="",N23=0,O23=""),"",O23/N23)</f>
        <v>2.9213483146067416</v>
      </c>
      <c r="X23" s="228">
        <f>Aktiv!E32*Aktiv!F32</f>
        <v>626400</v>
      </c>
      <c r="Y23" s="229">
        <f>IF(OR(X23="",X23=0,F23=""),"",F23/(X23/10000))</f>
        <v>1.3569604086845466</v>
      </c>
      <c r="Z23" s="230">
        <f>IF(OR(X23="",X23=0,N23=""),"",N23/(X23/10000))</f>
        <v>1.4208173690932311</v>
      </c>
    </row>
    <row r="24" spans="1:26" x14ac:dyDescent="0.25">
      <c r="A24" s="222" t="str">
        <f>'Preisliste 2012'!A42</f>
        <v>Boden / Seiten</v>
      </c>
      <c r="B24" s="223" t="str">
        <f>'Preisliste 2012'!B42</f>
        <v>Seite</v>
      </c>
      <c r="C24" s="223" t="str">
        <f>'Preisliste 2012'!D42</f>
        <v>580 / 1440</v>
      </c>
      <c r="D24" s="223" t="str">
        <f>Aktiv!C33</f>
        <v>Seite außen</v>
      </c>
      <c r="E24" s="223">
        <f>Aktiv!A33</f>
        <v>3110</v>
      </c>
      <c r="F24" s="224">
        <f>'Preisliste 2012'!E42</f>
        <v>114</v>
      </c>
      <c r="G24" s="224">
        <f>'Preisliste 2012'!F42</f>
        <v>349</v>
      </c>
      <c r="H24" s="224">
        <f>'Preisliste 2012'!G42</f>
        <v>0</v>
      </c>
      <c r="I24" s="224">
        <f>'Preisliste 2012'!H42</f>
        <v>0</v>
      </c>
      <c r="J24" s="224">
        <f>'Preisliste 2012'!I42</f>
        <v>290</v>
      </c>
      <c r="K24" s="224">
        <f>'Preisliste 2012'!J42</f>
        <v>403</v>
      </c>
      <c r="L24" s="224">
        <f>'Preisliste 2012'!K42</f>
        <v>504</v>
      </c>
      <c r="M24" s="224">
        <f>'Preisliste 2012'!L42</f>
        <v>605</v>
      </c>
      <c r="N24" s="225">
        <f>Aktiv!G33</f>
        <v>119</v>
      </c>
      <c r="O24" s="225">
        <f>Aktiv!H33</f>
        <v>334</v>
      </c>
      <c r="P24" s="225">
        <f>Aktiv!I33</f>
        <v>396</v>
      </c>
      <c r="Q24" s="225">
        <f>Aktiv!J33</f>
        <v>602</v>
      </c>
      <c r="R24" s="226">
        <f>IF(OR(F24="",F24=0,N24=""),"",N24/F24-1)</f>
        <v>4.3859649122806932E-2</v>
      </c>
      <c r="S24" s="226">
        <f>IF(OR(G24="",G24=0,O24=""),"",O24/G24-1)</f>
        <v>-4.2979942693409767E-2</v>
      </c>
      <c r="T24" s="226" t="str">
        <f>IF(OR(I24="",I24=0,Q24=""),"",Q24/I24-1)</f>
        <v/>
      </c>
      <c r="U24" s="226">
        <f>IF(OR(K24="",K24=0,P24=""),"",P24/K24-1)</f>
        <v>-1.7369727047146455E-2</v>
      </c>
      <c r="V24" s="227">
        <f>IF(OR(F24="",F24=0,G24=""),"",G24/F24)</f>
        <v>3.0614035087719298</v>
      </c>
      <c r="W24" s="227">
        <f>IF(OR(N24="",N24=0,O24=""),"",O24/N24)</f>
        <v>2.8067226890756301</v>
      </c>
      <c r="X24" s="228">
        <f>Aktiv!E33*Aktiv!F33</f>
        <v>835200</v>
      </c>
      <c r="Y24" s="229">
        <f>IF(OR(X24="",X24=0,F24=""),"",F24/(X24/10000))</f>
        <v>1.3649425287356323</v>
      </c>
      <c r="Z24" s="230">
        <f>IF(OR(X24="",X24=0,N24=""),"",N24/(X24/10000))</f>
        <v>1.4248084291187739</v>
      </c>
    </row>
    <row r="25" spans="1:26" x14ac:dyDescent="0.25">
      <c r="A25" s="222" t="str">
        <f>'Preisliste 2012'!A43</f>
        <v>Boden / Seiten</v>
      </c>
      <c r="B25" s="223" t="str">
        <f>'Preisliste 2012'!B43</f>
        <v>Seite</v>
      </c>
      <c r="C25" s="223" t="str">
        <f>'Preisliste 2012'!D43</f>
        <v>580 / 1800</v>
      </c>
      <c r="D25" s="223" t="str">
        <f>Aktiv!C34</f>
        <v>Seite außen</v>
      </c>
      <c r="E25" s="223">
        <f>Aktiv!A34</f>
        <v>3111</v>
      </c>
      <c r="F25" s="224">
        <f>'Preisliste 2012'!E43</f>
        <v>143</v>
      </c>
      <c r="G25" s="224">
        <f>'Preisliste 2012'!F43</f>
        <v>424</v>
      </c>
      <c r="H25" s="224">
        <f>'Preisliste 2012'!G43</f>
        <v>0</v>
      </c>
      <c r="I25" s="224">
        <f>'Preisliste 2012'!H43</f>
        <v>0</v>
      </c>
      <c r="J25" s="224">
        <f>'Preisliste 2012'!I43</f>
        <v>340</v>
      </c>
      <c r="K25" s="224">
        <f>'Preisliste 2012'!J43</f>
        <v>495</v>
      </c>
      <c r="L25" s="224">
        <f>'Preisliste 2012'!K43</f>
        <v>619</v>
      </c>
      <c r="M25" s="224">
        <f>'Preisliste 2012'!L43</f>
        <v>743</v>
      </c>
      <c r="N25" s="225">
        <f>Aktiv!G34</f>
        <v>148</v>
      </c>
      <c r="O25" s="225">
        <f>Aktiv!H34</f>
        <v>268</v>
      </c>
      <c r="P25" s="225">
        <f>Aktiv!I34</f>
        <v>462</v>
      </c>
      <c r="Q25" s="225">
        <f>Aktiv!J34</f>
        <v>703</v>
      </c>
      <c r="R25" s="226">
        <f>IF(OR(F25="",F25=0,N25=""),"",N25/F25-1)</f>
        <v>3.4965034965035002E-2</v>
      </c>
      <c r="S25" s="226">
        <f>IF(OR(G25="",G25=0,O25=""),"",O25/G25-1)</f>
        <v>-0.36792452830188682</v>
      </c>
      <c r="T25" s="226" t="str">
        <f>IF(OR(I25="",I25=0,Q25=""),"",Q25/I25-1)</f>
        <v/>
      </c>
      <c r="U25" s="226">
        <f>IF(OR(K25="",K25=0,P25=""),"",P25/K25-1)</f>
        <v>-6.6666666666666652E-2</v>
      </c>
      <c r="V25" s="227">
        <f>IF(OR(F25="",F25=0,G25=""),"",G25/F25)</f>
        <v>2.965034965034965</v>
      </c>
      <c r="W25" s="227">
        <f>IF(OR(N25="",N25=0,O25=""),"",O25/N25)</f>
        <v>1.8108108108108107</v>
      </c>
      <c r="X25" s="228">
        <f>Aktiv!E34*Aktiv!F34</f>
        <v>1044000</v>
      </c>
      <c r="Y25" s="229">
        <f>IF(OR(X25="",X25=0,F25=""),"",F25/(X25/10000))</f>
        <v>1.3697318007662835</v>
      </c>
      <c r="Z25" s="230">
        <f>IF(OR(X25="",X25=0,N25=""),"",N25/(X25/10000))</f>
        <v>1.4176245210727969</v>
      </c>
    </row>
    <row r="26" spans="1:26" x14ac:dyDescent="0.25">
      <c r="A26" s="213" t="s">
        <v>170</v>
      </c>
      <c r="B26" s="214"/>
      <c r="C26" s="214"/>
      <c r="D26" s="214"/>
      <c r="E26" s="214"/>
      <c r="F26" s="215"/>
      <c r="G26" s="215"/>
      <c r="H26" s="215"/>
      <c r="I26" s="215"/>
      <c r="J26" s="215"/>
      <c r="K26" s="215"/>
      <c r="L26" s="215"/>
      <c r="M26" s="215"/>
      <c r="N26" s="216"/>
      <c r="O26" s="216"/>
      <c r="P26" s="216"/>
      <c r="Q26" s="216"/>
      <c r="R26" s="217"/>
      <c r="S26" s="217"/>
      <c r="T26" s="217"/>
      <c r="U26" s="217"/>
      <c r="V26" s="218"/>
      <c r="W26" s="218"/>
      <c r="X26" s="219"/>
      <c r="Y26" s="220"/>
      <c r="Z26" s="221"/>
    </row>
    <row r="27" spans="1:26" x14ac:dyDescent="0.25">
      <c r="A27" s="222" t="str">
        <f>'Preisliste 2012'!A46</f>
        <v>Rücken</v>
      </c>
      <c r="B27" s="223" t="str">
        <f>'Preisliste 2012'!B46</f>
        <v>Rück.</v>
      </c>
      <c r="C27" s="223" t="str">
        <f>'Preisliste 2012'!D46</f>
        <v>420 / 360 (180)</v>
      </c>
      <c r="D27" s="223" t="str">
        <f>Aktiv!C79</f>
        <v>Rücken</v>
      </c>
      <c r="E27" s="223">
        <f>Aktiv!A79</f>
        <v>3306</v>
      </c>
      <c r="F27" s="224">
        <f>'Preisliste 2012'!E46</f>
        <v>21</v>
      </c>
      <c r="G27" s="224">
        <f>'Preisliste 2012'!F46</f>
        <v>75</v>
      </c>
      <c r="H27" s="224">
        <f>'Preisliste 2012'!G46</f>
        <v>143</v>
      </c>
      <c r="I27" s="224">
        <f>'Preisliste 2012'!H46</f>
        <v>159</v>
      </c>
      <c r="J27" s="224">
        <f>'Preisliste 2012'!I46</f>
        <v>61</v>
      </c>
      <c r="K27" s="224">
        <f>'Preisliste 2012'!J46</f>
        <v>80</v>
      </c>
      <c r="L27" s="224">
        <f>'Preisliste 2012'!K46</f>
        <v>100</v>
      </c>
      <c r="M27" s="224">
        <f>'Preisliste 2012'!L46</f>
        <v>120</v>
      </c>
      <c r="N27" s="225">
        <f>Aktiv!G79</f>
        <v>26</v>
      </c>
      <c r="O27" s="225">
        <f>Aktiv!H79</f>
        <v>86</v>
      </c>
      <c r="P27" s="225">
        <f>Aktiv!I79</f>
        <v>92</v>
      </c>
      <c r="Q27" s="225">
        <f>Aktiv!J79</f>
        <v>142</v>
      </c>
      <c r="R27" s="226">
        <f>IF(OR(F27="",F27=0,N27=""),"",N27/F27-1)</f>
        <v>0.23809523809523814</v>
      </c>
      <c r="S27" s="226">
        <f>IF(OR(G27="",G27=0,O27=""),"",O27/G27-1)</f>
        <v>0.14666666666666672</v>
      </c>
      <c r="T27" s="226">
        <f>IF(OR(I27="",I27=0,Q27=""),"",Q27/I27-1)</f>
        <v>-0.10691823899371067</v>
      </c>
      <c r="U27" s="226">
        <f>IF(OR(K27="",K27=0,P27=""),"",P27/K27-1)</f>
        <v>0.14999999999999991</v>
      </c>
      <c r="V27" s="227">
        <f>IF(OR(F27="",F27=0,G27=""),"",G27/F27)</f>
        <v>3.5714285714285716</v>
      </c>
      <c r="W27" s="227">
        <f>IF(OR(N27="",N27=0,O27=""),"",O27/N27)</f>
        <v>3.3076923076923075</v>
      </c>
      <c r="X27" s="228">
        <f>Aktiv!E79*Aktiv!F79</f>
        <v>151200</v>
      </c>
      <c r="Y27" s="229">
        <f>IF(OR(X27="",X27=0,F27=""),"",F27/(X27/10000))</f>
        <v>1.3888888888888891</v>
      </c>
      <c r="Z27" s="230">
        <f>IF(OR(X27="",X27=0,N27=""),"",N27/(X27/10000))</f>
        <v>1.7195767195767198</v>
      </c>
    </row>
    <row r="28" spans="1:26" x14ac:dyDescent="0.25">
      <c r="A28" s="222" t="str">
        <f>'Preisliste 2012'!A47</f>
        <v>Rücken</v>
      </c>
      <c r="B28" s="223" t="str">
        <f>'Preisliste 2012'!B47</f>
        <v>Rück.</v>
      </c>
      <c r="C28" s="223" t="str">
        <f>'Preisliste 2012'!D47</f>
        <v>420 / 720</v>
      </c>
      <c r="D28" s="223" t="str">
        <f>Aktiv!C84</f>
        <v>Rücken</v>
      </c>
      <c r="E28" s="223">
        <f>Aktiv!A84</f>
        <v>3311</v>
      </c>
      <c r="F28" s="224">
        <f>'Preisliste 2012'!E47</f>
        <v>41</v>
      </c>
      <c r="G28" s="224">
        <f>'Preisliste 2012'!F47</f>
        <v>143</v>
      </c>
      <c r="H28" s="224">
        <f>'Preisliste 2012'!G47</f>
        <v>150</v>
      </c>
      <c r="I28" s="224">
        <f>'Preisliste 2012'!H47</f>
        <v>167</v>
      </c>
      <c r="J28" s="224">
        <f>'Preisliste 2012'!I47</f>
        <v>116</v>
      </c>
      <c r="K28" s="224">
        <f>'Preisliste 2012'!J47</f>
        <v>155</v>
      </c>
      <c r="L28" s="224">
        <f>'Preisliste 2012'!K47</f>
        <v>194</v>
      </c>
      <c r="M28" s="224">
        <f>'Preisliste 2012'!L47</f>
        <v>233</v>
      </c>
      <c r="N28" s="225">
        <f>Aktiv!G84</f>
        <v>45</v>
      </c>
      <c r="O28" s="225">
        <f>Aktiv!H84</f>
        <v>151</v>
      </c>
      <c r="P28" s="225">
        <f>Aktiv!I84</f>
        <v>166</v>
      </c>
      <c r="Q28" s="225">
        <f>Aktiv!J84</f>
        <v>170</v>
      </c>
      <c r="R28" s="226">
        <f>IF(OR(F28="",F28=0,N28=""),"",N28/F28-1)</f>
        <v>9.7560975609756184E-2</v>
      </c>
      <c r="S28" s="226">
        <f>IF(OR(G28="",G28=0,O28=""),"",O28/G28-1)</f>
        <v>5.5944055944056048E-2</v>
      </c>
      <c r="T28" s="226">
        <f>IF(OR(I28="",I28=0,Q28=""),"",Q28/I28-1)</f>
        <v>1.7964071856287456E-2</v>
      </c>
      <c r="U28" s="226">
        <f>IF(OR(K28="",K28=0,P28=""),"",P28/K28-1)</f>
        <v>7.0967741935483941E-2</v>
      </c>
      <c r="V28" s="227">
        <f>IF(OR(F28="",F28=0,G28=""),"",G28/F28)</f>
        <v>3.4878048780487805</v>
      </c>
      <c r="W28" s="227">
        <f>IF(OR(N28="",N28=0,O28=""),"",O28/N28)</f>
        <v>3.3555555555555556</v>
      </c>
      <c r="X28" s="228">
        <f>Aktiv!E84*Aktiv!F84</f>
        <v>302400</v>
      </c>
      <c r="Y28" s="229">
        <f>IF(OR(X28="",X28=0,F28=""),"",F28/(X28/10000))</f>
        <v>1.3558201058201058</v>
      </c>
      <c r="Z28" s="230">
        <f>IF(OR(X28="",X28=0,N28=""),"",N28/(X28/10000))</f>
        <v>1.4880952380952381</v>
      </c>
    </row>
    <row r="29" spans="1:26" x14ac:dyDescent="0.25">
      <c r="A29" s="222" t="str">
        <f>'Preisliste 2012'!A48</f>
        <v>Rücken</v>
      </c>
      <c r="B29" s="223" t="str">
        <f>'Preisliste 2012'!B48</f>
        <v>Rück.</v>
      </c>
      <c r="C29" s="223" t="str">
        <f>'Preisliste 2012'!D48</f>
        <v>420 / 1080</v>
      </c>
      <c r="D29" s="223" t="str">
        <f>Aktiv!C89</f>
        <v>Rücken</v>
      </c>
      <c r="E29" s="223">
        <f>Aktiv!A89</f>
        <v>3316</v>
      </c>
      <c r="F29" s="224">
        <f>'Preisliste 2012'!E48</f>
        <v>62</v>
      </c>
      <c r="G29" s="224">
        <f>'Preisliste 2012'!F48</f>
        <v>211</v>
      </c>
      <c r="H29" s="224">
        <f>'Preisliste 2012'!G48</f>
        <v>185</v>
      </c>
      <c r="I29" s="224">
        <f>'Preisliste 2012'!H48</f>
        <v>205</v>
      </c>
      <c r="J29" s="224">
        <f>'Preisliste 2012'!I48</f>
        <v>172</v>
      </c>
      <c r="K29" s="224">
        <f>'Preisliste 2012'!J48</f>
        <v>231</v>
      </c>
      <c r="L29" s="224">
        <f>'Preisliste 2012'!K48</f>
        <v>289</v>
      </c>
      <c r="M29" s="224">
        <f>'Preisliste 2012'!L48</f>
        <v>347</v>
      </c>
      <c r="N29" s="225">
        <f>Aktiv!G89</f>
        <v>66</v>
      </c>
      <c r="O29" s="225">
        <f>Aktiv!H89</f>
        <v>216</v>
      </c>
      <c r="P29" s="225">
        <f>Aktiv!I89</f>
        <v>241</v>
      </c>
      <c r="Q29" s="225">
        <f>Aktiv!J89</f>
        <v>207</v>
      </c>
      <c r="R29" s="226">
        <f>IF(OR(F29="",F29=0,N29=""),"",N29/F29-1)</f>
        <v>6.4516129032258007E-2</v>
      </c>
      <c r="S29" s="226">
        <f>IF(OR(G29="",G29=0,O29=""),"",O29/G29-1)</f>
        <v>2.3696682464454888E-2</v>
      </c>
      <c r="T29" s="226">
        <f>IF(OR(I29="",I29=0,Q29=""),"",Q29/I29-1)</f>
        <v>9.7560975609756184E-3</v>
      </c>
      <c r="U29" s="226">
        <f>IF(OR(K29="",K29=0,P29=""),"",P29/K29-1)</f>
        <v>4.3290043290043378E-2</v>
      </c>
      <c r="V29" s="227">
        <f>IF(OR(F29="",F29=0,G29=""),"",G29/F29)</f>
        <v>3.403225806451613</v>
      </c>
      <c r="W29" s="227">
        <f>IF(OR(N29="",N29=0,O29=""),"",O29/N29)</f>
        <v>3.2727272727272729</v>
      </c>
      <c r="X29" s="228">
        <f>Aktiv!E89*Aktiv!F89</f>
        <v>453600</v>
      </c>
      <c r="Y29" s="229">
        <f>IF(OR(X29="",X29=0,F29=""),"",F29/(X29/10000))</f>
        <v>1.3668430335097002</v>
      </c>
      <c r="Z29" s="230">
        <f>IF(OR(X29="",X29=0,N29=""),"",N29/(X29/10000))</f>
        <v>1.4550264550264551</v>
      </c>
    </row>
    <row r="30" spans="1:26" x14ac:dyDescent="0.25">
      <c r="A30" s="222" t="str">
        <f>'Preisliste 2012'!A49</f>
        <v>Rücken</v>
      </c>
      <c r="B30" s="223" t="str">
        <f>'Preisliste 2012'!B49</f>
        <v>Rück.</v>
      </c>
      <c r="C30" s="223" t="str">
        <f>'Preisliste 2012'!D49</f>
        <v>420 / 1440</v>
      </c>
      <c r="D30" s="223" t="str">
        <f>Aktiv!C94</f>
        <v>Rücken</v>
      </c>
      <c r="E30" s="223">
        <f>Aktiv!A94</f>
        <v>3321</v>
      </c>
      <c r="F30" s="224">
        <f>'Preisliste 2012'!E49</f>
        <v>82</v>
      </c>
      <c r="G30" s="224">
        <f>'Preisliste 2012'!F49</f>
        <v>257</v>
      </c>
      <c r="H30" s="224">
        <f>'Preisliste 2012'!G49</f>
        <v>0</v>
      </c>
      <c r="I30" s="224">
        <f>'Preisliste 2012'!H49</f>
        <v>240</v>
      </c>
      <c r="J30" s="224">
        <f>'Preisliste 2012'!I49</f>
        <v>209</v>
      </c>
      <c r="K30" s="224">
        <f>'Preisliste 2012'!J49</f>
        <v>298</v>
      </c>
      <c r="L30" s="224">
        <f>'Preisliste 2012'!K49</f>
        <v>372</v>
      </c>
      <c r="M30" s="224">
        <f>'Preisliste 2012'!L49</f>
        <v>447</v>
      </c>
      <c r="N30" s="225">
        <f>Aktiv!G94</f>
        <v>86</v>
      </c>
      <c r="O30" s="225">
        <f>Aktiv!H94</f>
        <v>259</v>
      </c>
      <c r="P30" s="225">
        <f>Aktiv!I94</f>
        <v>291</v>
      </c>
      <c r="Q30" s="225">
        <f>Aktiv!J94</f>
        <v>438</v>
      </c>
      <c r="R30" s="226">
        <f>IF(OR(F30="",F30=0,N30=""),"",N30/F30-1)</f>
        <v>4.8780487804878092E-2</v>
      </c>
      <c r="S30" s="226">
        <f>IF(OR(G30="",G30=0,O30=""),"",O30/G30-1)</f>
        <v>7.7821011673151474E-3</v>
      </c>
      <c r="T30" s="226">
        <f>IF(OR(I30="",I30=0,Q30=""),"",Q30/I30-1)</f>
        <v>0.82499999999999996</v>
      </c>
      <c r="U30" s="226">
        <f>IF(OR(K30="",K30=0,P30=""),"",P30/K30-1)</f>
        <v>-2.3489932885906062E-2</v>
      </c>
      <c r="V30" s="227">
        <f>IF(OR(F30="",F30=0,G30=""),"",G30/F30)</f>
        <v>3.1341463414634148</v>
      </c>
      <c r="W30" s="227">
        <f>IF(OR(N30="",N30=0,O30=""),"",O30/N30)</f>
        <v>3.0116279069767442</v>
      </c>
      <c r="X30" s="228">
        <f>Aktiv!E94*Aktiv!F94</f>
        <v>604800</v>
      </c>
      <c r="Y30" s="229">
        <f>IF(OR(X30="",X30=0,F30=""),"",F30/(X30/10000))</f>
        <v>1.3558201058201058</v>
      </c>
      <c r="Z30" s="230">
        <f>IF(OR(X30="",X30=0,N30=""),"",N30/(X30/10000))</f>
        <v>1.4219576719576721</v>
      </c>
    </row>
    <row r="31" spans="1:26" x14ac:dyDescent="0.25">
      <c r="A31" s="222" t="str">
        <f>'Preisliste 2012'!A50</f>
        <v>Rücken</v>
      </c>
      <c r="B31" s="223" t="str">
        <f>'Preisliste 2012'!B50</f>
        <v>Rück.</v>
      </c>
      <c r="C31" s="223" t="str">
        <f>'Preisliste 2012'!D50</f>
        <v>420 / 1800</v>
      </c>
      <c r="D31" s="223" t="str">
        <f>Aktiv!C99</f>
        <v>Rücken</v>
      </c>
      <c r="E31" s="223">
        <f>Aktiv!A99</f>
        <v>3326</v>
      </c>
      <c r="F31" s="224">
        <f>'Preisliste 2012'!E50</f>
        <v>103</v>
      </c>
      <c r="G31" s="224">
        <f>'Preisliste 2012'!F50</f>
        <v>313</v>
      </c>
      <c r="H31" s="224">
        <f>'Preisliste 2012'!G50</f>
        <v>0</v>
      </c>
      <c r="I31" s="224">
        <f>'Preisliste 2012'!H50</f>
        <v>0</v>
      </c>
      <c r="J31" s="224">
        <f>'Preisliste 2012'!I50</f>
        <v>253</v>
      </c>
      <c r="K31" s="224">
        <f>'Preisliste 2012'!J50</f>
        <v>366</v>
      </c>
      <c r="L31" s="224">
        <f>'Preisliste 2012'!K50</f>
        <v>458</v>
      </c>
      <c r="M31" s="224">
        <f>'Preisliste 2012'!L50</f>
        <v>549</v>
      </c>
      <c r="N31" s="225">
        <f>Aktiv!G99</f>
        <v>107</v>
      </c>
      <c r="O31" s="225">
        <f>Aktiv!H99</f>
        <v>200</v>
      </c>
      <c r="P31" s="225">
        <f>Aktiv!I99</f>
        <v>350</v>
      </c>
      <c r="Q31" s="225">
        <f>Aktiv!J99</f>
        <v>526</v>
      </c>
      <c r="R31" s="226">
        <f>IF(OR(F31="",F31=0,N31=""),"",N31/F31-1)</f>
        <v>3.8834951456310662E-2</v>
      </c>
      <c r="S31" s="226">
        <f>IF(OR(G31="",G31=0,O31=""),"",O31/G31-1)</f>
        <v>-0.36102236421725242</v>
      </c>
      <c r="T31" s="226" t="str">
        <f>IF(OR(I31="",I31=0,Q31=""),"",Q31/I31-1)</f>
        <v/>
      </c>
      <c r="U31" s="226">
        <f>IF(OR(K31="",K31=0,P31=""),"",P31/K31-1)</f>
        <v>-4.3715846994535568E-2</v>
      </c>
      <c r="V31" s="227">
        <f>IF(OR(F31="",F31=0,G31=""),"",G31/F31)</f>
        <v>3.0388349514563107</v>
      </c>
      <c r="W31" s="227">
        <f>IF(OR(N31="",N31=0,O31=""),"",O31/N31)</f>
        <v>1.8691588785046729</v>
      </c>
      <c r="X31" s="228">
        <f>Aktiv!E99*Aktiv!F99</f>
        <v>756000</v>
      </c>
      <c r="Y31" s="229">
        <f>IF(OR(X31="",X31=0,F31=""),"",F31/(X31/10000))</f>
        <v>1.3624338624338626</v>
      </c>
      <c r="Z31" s="230">
        <f>IF(OR(X31="",X31=0,N31=""),"",N31/(X31/10000))</f>
        <v>1.4153439153439153</v>
      </c>
    </row>
    <row r="32" spans="1:26" x14ac:dyDescent="0.25">
      <c r="A32" s="222" t="str">
        <f>'Preisliste 2012'!A51</f>
        <v>Rücken</v>
      </c>
      <c r="B32" s="223" t="str">
        <f>'Preisliste 2012'!B51</f>
        <v>Rück.</v>
      </c>
      <c r="C32" s="223" t="str">
        <f>'Preisliste 2012'!D51</f>
        <v>580 / 360 (180)</v>
      </c>
      <c r="D32" s="223" t="str">
        <f>Aktiv!C80</f>
        <v>Rücken</v>
      </c>
      <c r="E32" s="223">
        <f>Aktiv!A80</f>
        <v>3307</v>
      </c>
      <c r="F32" s="224">
        <f>'Preisliste 2012'!E51</f>
        <v>28</v>
      </c>
      <c r="G32" s="224">
        <f>'Preisliste 2012'!F51</f>
        <v>105</v>
      </c>
      <c r="H32" s="224">
        <f>'Preisliste 2012'!G51</f>
        <v>147</v>
      </c>
      <c r="I32" s="224">
        <f>'Preisliste 2012'!H51</f>
        <v>164</v>
      </c>
      <c r="J32" s="224">
        <f>'Preisliste 2012'!I51</f>
        <v>89</v>
      </c>
      <c r="K32" s="224">
        <f>'Preisliste 2012'!J51</f>
        <v>114</v>
      </c>
      <c r="L32" s="224">
        <f>'Preisliste 2012'!K51</f>
        <v>143</v>
      </c>
      <c r="M32" s="224">
        <f>'Preisliste 2012'!L51</f>
        <v>171</v>
      </c>
      <c r="N32" s="225">
        <f>Aktiv!G80</f>
        <v>32</v>
      </c>
      <c r="O32" s="225">
        <f>Aktiv!H80</f>
        <v>114</v>
      </c>
      <c r="P32" s="225">
        <f>Aktiv!I80</f>
        <v>130</v>
      </c>
      <c r="Q32" s="225">
        <f>Aktiv!J80</f>
        <v>148</v>
      </c>
      <c r="R32" s="226">
        <f>IF(OR(F32="",F32=0,N32=""),"",N32/F32-1)</f>
        <v>0.14285714285714279</v>
      </c>
      <c r="S32" s="226">
        <f>IF(OR(G32="",G32=0,O32=""),"",O32/G32-1)</f>
        <v>8.5714285714285632E-2</v>
      </c>
      <c r="T32" s="226">
        <f>IF(OR(I32="",I32=0,Q32=""),"",Q32/I32-1)</f>
        <v>-9.7560975609756073E-2</v>
      </c>
      <c r="U32" s="226">
        <f>IF(OR(K32="",K32=0,P32=""),"",P32/K32-1)</f>
        <v>0.14035087719298245</v>
      </c>
      <c r="V32" s="227">
        <f>IF(OR(F32="",F32=0,G32=""),"",G32/F32)</f>
        <v>3.75</v>
      </c>
      <c r="W32" s="227">
        <f>IF(OR(N32="",N32=0,O32=""),"",O32/N32)</f>
        <v>3.5625</v>
      </c>
      <c r="X32" s="228">
        <f>Aktiv!E80*Aktiv!F80</f>
        <v>208800</v>
      </c>
      <c r="Y32" s="229">
        <f>IF(OR(X32="",X32=0,F32=""),"",F32/(X32/10000))</f>
        <v>1.3409961685823755</v>
      </c>
      <c r="Z32" s="230">
        <f>IF(OR(X32="",X32=0,N32=""),"",N32/(X32/10000))</f>
        <v>1.5325670498084292</v>
      </c>
    </row>
    <row r="33" spans="1:26" x14ac:dyDescent="0.25">
      <c r="A33" s="222" t="str">
        <f>'Preisliste 2012'!A52</f>
        <v>Rücken</v>
      </c>
      <c r="B33" s="223" t="str">
        <f>'Preisliste 2012'!B52</f>
        <v>Rück.</v>
      </c>
      <c r="C33" s="223" t="str">
        <f>'Preisliste 2012'!D52</f>
        <v>580 / 720</v>
      </c>
      <c r="D33" s="223" t="str">
        <f>Aktiv!C85</f>
        <v>Rücken</v>
      </c>
      <c r="E33" s="223">
        <f>Aktiv!A85</f>
        <v>3312</v>
      </c>
      <c r="F33" s="224">
        <f>'Preisliste 2012'!E52</f>
        <v>57</v>
      </c>
      <c r="G33" s="224">
        <f>'Preisliste 2012'!F52</f>
        <v>180</v>
      </c>
      <c r="H33" s="224">
        <f>'Preisliste 2012'!G52</f>
        <v>175</v>
      </c>
      <c r="I33" s="224">
        <f>'Preisliste 2012'!H52</f>
        <v>194</v>
      </c>
      <c r="J33" s="224">
        <f>'Preisliste 2012'!I52</f>
        <v>153</v>
      </c>
      <c r="K33" s="224">
        <f>'Preisliste 2012'!J52</f>
        <v>207</v>
      </c>
      <c r="L33" s="224">
        <f>'Preisliste 2012'!K52</f>
        <v>258</v>
      </c>
      <c r="M33" s="224">
        <f>'Preisliste 2012'!L52</f>
        <v>311</v>
      </c>
      <c r="N33" s="225">
        <f>Aktiv!G85</f>
        <v>62</v>
      </c>
      <c r="O33" s="225">
        <f>Aktiv!H85</f>
        <v>186</v>
      </c>
      <c r="P33" s="225">
        <f>Aktiv!I85</f>
        <v>216</v>
      </c>
      <c r="Q33" s="225">
        <f>Aktiv!J85</f>
        <v>196</v>
      </c>
      <c r="R33" s="226">
        <f>IF(OR(F33="",F33=0,N33=""),"",N33/F33-1)</f>
        <v>8.7719298245614086E-2</v>
      </c>
      <c r="S33" s="226">
        <f>IF(OR(G33="",G33=0,O33=""),"",O33/G33-1)</f>
        <v>3.3333333333333437E-2</v>
      </c>
      <c r="T33" s="226">
        <f>IF(OR(I33="",I33=0,Q33=""),"",Q33/I33-1)</f>
        <v>1.0309278350515427E-2</v>
      </c>
      <c r="U33" s="226">
        <f>IF(OR(K33="",K33=0,P33=""),"",P33/K33-1)</f>
        <v>4.3478260869565188E-2</v>
      </c>
      <c r="V33" s="227">
        <f>IF(OR(F33="",F33=0,G33=""),"",G33/F33)</f>
        <v>3.1578947368421053</v>
      </c>
      <c r="W33" s="227">
        <f>IF(OR(N33="",N33=0,O33=""),"",O33/N33)</f>
        <v>3</v>
      </c>
      <c r="X33" s="228">
        <f>Aktiv!E85*Aktiv!F85</f>
        <v>417600</v>
      </c>
      <c r="Y33" s="229">
        <f>IF(OR(X33="",X33=0,F33=""),"",F33/(X33/10000))</f>
        <v>1.3649425287356323</v>
      </c>
      <c r="Z33" s="230">
        <f>IF(OR(X33="",X33=0,N33=""),"",N33/(X33/10000))</f>
        <v>1.4846743295019158</v>
      </c>
    </row>
    <row r="34" spans="1:26" x14ac:dyDescent="0.25">
      <c r="A34" s="222" t="str">
        <f>'Preisliste 2012'!A53</f>
        <v>Rücken</v>
      </c>
      <c r="B34" s="223" t="str">
        <f>'Preisliste 2012'!B53</f>
        <v>Rück.</v>
      </c>
      <c r="C34" s="223" t="str">
        <f>'Preisliste 2012'!D53</f>
        <v>580 / 1080</v>
      </c>
      <c r="D34" s="223" t="str">
        <f>Aktiv!C90</f>
        <v>Rücken</v>
      </c>
      <c r="E34" s="223">
        <f>Aktiv!A90</f>
        <v>3317</v>
      </c>
      <c r="F34" s="224">
        <f>'Preisliste 2012'!E53</f>
        <v>85</v>
      </c>
      <c r="G34" s="224">
        <f>'Preisliste 2012'!F53</f>
        <v>266</v>
      </c>
      <c r="H34" s="224">
        <f>'Preisliste 2012'!G53</f>
        <v>221</v>
      </c>
      <c r="I34" s="224">
        <f>'Preisliste 2012'!H53</f>
        <v>246</v>
      </c>
      <c r="J34" s="224">
        <f>'Preisliste 2012'!I53</f>
        <v>216</v>
      </c>
      <c r="K34" s="224">
        <f>'Preisliste 2012'!J53</f>
        <v>309</v>
      </c>
      <c r="L34" s="224">
        <f>'Preisliste 2012'!K53</f>
        <v>387</v>
      </c>
      <c r="M34" s="224">
        <f>'Preisliste 2012'!L53</f>
        <v>464</v>
      </c>
      <c r="N34" s="225">
        <f>Aktiv!G90</f>
        <v>89</v>
      </c>
      <c r="O34" s="225">
        <f>Aktiv!H90</f>
        <v>268</v>
      </c>
      <c r="P34" s="225">
        <f>Aktiv!I90</f>
        <v>300</v>
      </c>
      <c r="Q34" s="225">
        <f>Aktiv!J90</f>
        <v>246</v>
      </c>
      <c r="R34" s="226">
        <f>IF(OR(F34="",F34=0,N34=""),"",N34/F34-1)</f>
        <v>4.705882352941182E-2</v>
      </c>
      <c r="S34" s="226">
        <f>IF(OR(G34="",G34=0,O34=""),"",O34/G34-1)</f>
        <v>7.5187969924812581E-3</v>
      </c>
      <c r="T34" s="226">
        <f>IF(OR(I34="",I34=0,Q34=""),"",Q34/I34-1)</f>
        <v>0</v>
      </c>
      <c r="U34" s="226">
        <f>IF(OR(K34="",K34=0,P34=""),"",P34/K34-1)</f>
        <v>-2.9126213592232997E-2</v>
      </c>
      <c r="V34" s="227">
        <f>IF(OR(F34="",F34=0,G34=""),"",G34/F34)</f>
        <v>3.1294117647058823</v>
      </c>
      <c r="W34" s="227">
        <f>IF(OR(N34="",N34=0,O34=""),"",O34/N34)</f>
        <v>3.0112359550561796</v>
      </c>
      <c r="X34" s="228">
        <f>Aktiv!E90*Aktiv!F90</f>
        <v>626400</v>
      </c>
      <c r="Y34" s="229">
        <f>IF(OR(X34="",X34=0,F34=""),"",F34/(X34/10000))</f>
        <v>1.3569604086845466</v>
      </c>
      <c r="Z34" s="230">
        <f>IF(OR(X34="",X34=0,N34=""),"",N34/(X34/10000))</f>
        <v>1.4208173690932311</v>
      </c>
    </row>
    <row r="35" spans="1:26" x14ac:dyDescent="0.25">
      <c r="A35" s="222" t="str">
        <f>'Preisliste 2012'!A54</f>
        <v>Rücken</v>
      </c>
      <c r="B35" s="223" t="str">
        <f>'Preisliste 2012'!B54</f>
        <v>Rück.</v>
      </c>
      <c r="C35" s="223" t="str">
        <f>'Preisliste 2012'!D54</f>
        <v>580 / 1440</v>
      </c>
      <c r="D35" s="223" t="str">
        <f>Aktiv!C95</f>
        <v>Rücken</v>
      </c>
      <c r="E35" s="223">
        <f>Aktiv!A95</f>
        <v>3322</v>
      </c>
      <c r="F35" s="224">
        <f>'Preisliste 2012'!E54</f>
        <v>114</v>
      </c>
      <c r="G35" s="224">
        <f>'Preisliste 2012'!F54</f>
        <v>345</v>
      </c>
      <c r="H35" s="224">
        <f>'Preisliste 2012'!G54</f>
        <v>0</v>
      </c>
      <c r="I35" s="224">
        <f>'Preisliste 2012'!H54</f>
        <v>0</v>
      </c>
      <c r="J35" s="224">
        <f>'Preisliste 2012'!I54</f>
        <v>278</v>
      </c>
      <c r="K35" s="224">
        <f>'Preisliste 2012'!J54</f>
        <v>403</v>
      </c>
      <c r="L35" s="224">
        <f>'Preisliste 2012'!K54</f>
        <v>504</v>
      </c>
      <c r="M35" s="224">
        <f>'Preisliste 2012'!L54</f>
        <v>605</v>
      </c>
      <c r="N35" s="225">
        <f>Aktiv!G95</f>
        <v>119</v>
      </c>
      <c r="O35" s="225">
        <f>Aktiv!H95</f>
        <v>344</v>
      </c>
      <c r="P35" s="225">
        <f>Aktiv!I95</f>
        <v>400</v>
      </c>
      <c r="Q35" s="225">
        <f>Aktiv!J95</f>
        <v>602</v>
      </c>
      <c r="R35" s="226">
        <f>IF(OR(F35="",F35=0,N35=""),"",N35/F35-1)</f>
        <v>4.3859649122806932E-2</v>
      </c>
      <c r="S35" s="226">
        <f>IF(OR(G35="",G35=0,O35=""),"",O35/G35-1)</f>
        <v>-2.8985507246376274E-3</v>
      </c>
      <c r="T35" s="226" t="str">
        <f>IF(OR(I35="",I35=0,Q35=""),"",Q35/I35-1)</f>
        <v/>
      </c>
      <c r="U35" s="226">
        <f>IF(OR(K35="",K35=0,P35=""),"",P35/K35-1)</f>
        <v>-7.4441687344912744E-3</v>
      </c>
      <c r="V35" s="227">
        <f>IF(OR(F35="",F35=0,G35=""),"",G35/F35)</f>
        <v>3.0263157894736841</v>
      </c>
      <c r="W35" s="227">
        <f>IF(OR(N35="",N35=0,O35=""),"",O35/N35)</f>
        <v>2.8907563025210083</v>
      </c>
      <c r="X35" s="228">
        <f>Aktiv!E95*Aktiv!F95</f>
        <v>835200</v>
      </c>
      <c r="Y35" s="229">
        <f>IF(OR(X35="",X35=0,F35=""),"",F35/(X35/10000))</f>
        <v>1.3649425287356323</v>
      </c>
      <c r="Z35" s="230">
        <f>IF(OR(X35="",X35=0,N35=""),"",N35/(X35/10000))</f>
        <v>1.4248084291187739</v>
      </c>
    </row>
    <row r="36" spans="1:26" x14ac:dyDescent="0.25">
      <c r="A36" s="222" t="str">
        <f>'Preisliste 2012'!A55</f>
        <v>Rücken</v>
      </c>
      <c r="B36" s="223" t="str">
        <f>'Preisliste 2012'!B55</f>
        <v>Rück.</v>
      </c>
      <c r="C36" s="223" t="str">
        <f>'Preisliste 2012'!D55</f>
        <v>580 / 1800</v>
      </c>
      <c r="D36" s="223" t="str">
        <f>Aktiv!C100</f>
        <v>Rücken</v>
      </c>
      <c r="E36" s="223">
        <f>Aktiv!A100</f>
        <v>3327</v>
      </c>
      <c r="F36" s="224">
        <f>'Preisliste 2012'!E55</f>
        <v>143</v>
      </c>
      <c r="G36" s="224">
        <f>'Preisliste 2012'!F55</f>
        <v>424</v>
      </c>
      <c r="H36" s="224">
        <f>'Preisliste 2012'!G55</f>
        <v>0</v>
      </c>
      <c r="I36" s="224">
        <f>'Preisliste 2012'!H55</f>
        <v>0</v>
      </c>
      <c r="J36" s="224">
        <f>'Preisliste 2012'!I55</f>
        <v>340</v>
      </c>
      <c r="K36" s="224">
        <f>'Preisliste 2012'!J55</f>
        <v>495</v>
      </c>
      <c r="L36" s="224">
        <f>'Preisliste 2012'!K55</f>
        <v>619</v>
      </c>
      <c r="M36" s="224">
        <f>'Preisliste 2012'!L55</f>
        <v>743</v>
      </c>
      <c r="N36" s="225">
        <f>Aktiv!G100</f>
        <v>148</v>
      </c>
      <c r="O36" s="225">
        <f>Aktiv!H100</f>
        <v>275</v>
      </c>
      <c r="P36" s="225">
        <f>Aktiv!I100</f>
        <v>467</v>
      </c>
      <c r="Q36" s="225">
        <f>Aktiv!J100</f>
        <v>703</v>
      </c>
      <c r="R36" s="226">
        <f>IF(OR(F36="",F36=0,N36=""),"",N36/F36-1)</f>
        <v>3.4965034965035002E-2</v>
      </c>
      <c r="S36" s="226">
        <f>IF(OR(G36="",G36=0,O36=""),"",O36/G36-1)</f>
        <v>-0.35141509433962259</v>
      </c>
      <c r="T36" s="226" t="str">
        <f>IF(OR(I36="",I36=0,Q36=""),"",Q36/I36-1)</f>
        <v/>
      </c>
      <c r="U36" s="226">
        <f>IF(OR(K36="",K36=0,P36=""),"",P36/K36-1)</f>
        <v>-5.6565656565656597E-2</v>
      </c>
      <c r="V36" s="227">
        <f>IF(OR(F36="",F36=0,G36=""),"",G36/F36)</f>
        <v>2.965034965034965</v>
      </c>
      <c r="W36" s="227">
        <f>IF(OR(N36="",N36=0,O36=""),"",O36/N36)</f>
        <v>1.8581081081081081</v>
      </c>
      <c r="X36" s="228">
        <f>Aktiv!E100*Aktiv!F100</f>
        <v>1044000</v>
      </c>
      <c r="Y36" s="229">
        <f>IF(OR(X36="",X36=0,F36=""),"",F36/(X36/10000))</f>
        <v>1.3697318007662835</v>
      </c>
      <c r="Z36" s="230">
        <f>IF(OR(X36="",X36=0,N36=""),"",N36/(X36/10000))</f>
        <v>1.4176245210727969</v>
      </c>
    </row>
    <row r="37" spans="1:26" x14ac:dyDescent="0.25">
      <c r="A37" s="222" t="str">
        <f>'Preisliste 2012'!A56</f>
        <v>Rücken</v>
      </c>
      <c r="B37" s="223" t="str">
        <f>'Preisliste 2012'!B56</f>
        <v>Rück.</v>
      </c>
      <c r="C37" s="223" t="str">
        <f>'Preisliste 2012'!D56</f>
        <v>780 / 360 (180)</v>
      </c>
      <c r="D37" s="223" t="str">
        <f>Aktiv!C81</f>
        <v>Rücken</v>
      </c>
      <c r="E37" s="223">
        <f>Aktiv!A81</f>
        <v>3308</v>
      </c>
      <c r="F37" s="224">
        <f>'Preisliste 2012'!E56</f>
        <v>38</v>
      </c>
      <c r="G37" s="224">
        <f>'Preisliste 2012'!F56</f>
        <v>123</v>
      </c>
      <c r="H37" s="224">
        <f>'Preisliste 2012'!G56</f>
        <v>150</v>
      </c>
      <c r="I37" s="224">
        <f>'Preisliste 2012'!H56</f>
        <v>167</v>
      </c>
      <c r="J37" s="224">
        <f>'Preisliste 2012'!I56</f>
        <v>100</v>
      </c>
      <c r="K37" s="224">
        <f>'Preisliste 2012'!J56</f>
        <v>130</v>
      </c>
      <c r="L37" s="224">
        <f>'Preisliste 2012'!K56</f>
        <v>162</v>
      </c>
      <c r="M37" s="224">
        <f>'Preisliste 2012'!L56</f>
        <v>195</v>
      </c>
      <c r="N37" s="225">
        <f>Aktiv!G81</f>
        <v>42</v>
      </c>
      <c r="O37" s="225">
        <f>Aktiv!H81</f>
        <v>131</v>
      </c>
      <c r="P37" s="225">
        <f>Aktiv!I81</f>
        <v>144</v>
      </c>
      <c r="Q37" s="225">
        <f>Aktiv!J81</f>
        <v>152</v>
      </c>
      <c r="R37" s="226">
        <f>IF(OR(F37="",F37=0,N37=""),"",N37/F37-1)</f>
        <v>0.10526315789473695</v>
      </c>
      <c r="S37" s="226">
        <f>IF(OR(G37="",G37=0,O37=""),"",O37/G37-1)</f>
        <v>6.5040650406503975E-2</v>
      </c>
      <c r="T37" s="226">
        <f>IF(OR(I37="",I37=0,Q37=""),"",Q37/I37-1)</f>
        <v>-8.9820359281437168E-2</v>
      </c>
      <c r="U37" s="226">
        <f>IF(OR(K37="",K37=0,P37=""),"",P37/K37-1)</f>
        <v>0.10769230769230775</v>
      </c>
      <c r="V37" s="227">
        <f>IF(OR(F37="",F37=0,G37=""),"",G37/F37)</f>
        <v>3.236842105263158</v>
      </c>
      <c r="W37" s="227">
        <f>IF(OR(N37="",N37=0,O37=""),"",O37/N37)</f>
        <v>3.1190476190476191</v>
      </c>
      <c r="X37" s="228">
        <f>Aktiv!E81*Aktiv!F81</f>
        <v>280800</v>
      </c>
      <c r="Y37" s="229">
        <f>IF(OR(X37="",X37=0,F37=""),"",F37/(X37/10000))</f>
        <v>1.3532763532763534</v>
      </c>
      <c r="Z37" s="230">
        <f>IF(OR(X37="",X37=0,N37=""),"",N37/(X37/10000))</f>
        <v>1.4957264957264957</v>
      </c>
    </row>
    <row r="38" spans="1:26" x14ac:dyDescent="0.25">
      <c r="A38" s="222" t="str">
        <f>'Preisliste 2012'!A57</f>
        <v>Rücken</v>
      </c>
      <c r="B38" s="223" t="str">
        <f>'Preisliste 2012'!B57</f>
        <v>Rück.</v>
      </c>
      <c r="C38" s="223" t="str">
        <f>'Preisliste 2012'!D57</f>
        <v>780 / 720</v>
      </c>
      <c r="D38" s="223" t="str">
        <f>Aktiv!C86</f>
        <v>Rücken</v>
      </c>
      <c r="E38" s="223">
        <f>Aktiv!A86</f>
        <v>3313</v>
      </c>
      <c r="F38" s="224">
        <f>'Preisliste 2012'!E57</f>
        <v>76</v>
      </c>
      <c r="G38" s="224">
        <f>'Preisliste 2012'!F57</f>
        <v>249</v>
      </c>
      <c r="H38" s="224">
        <f>'Preisliste 2012'!G57</f>
        <v>192</v>
      </c>
      <c r="I38" s="224">
        <f>'Preisliste 2012'!H57</f>
        <v>214</v>
      </c>
      <c r="J38" s="224">
        <f>'Preisliste 2012'!I57</f>
        <v>199</v>
      </c>
      <c r="K38" s="224">
        <f>'Preisliste 2012'!J57</f>
        <v>270</v>
      </c>
      <c r="L38" s="224">
        <f>'Preisliste 2012'!K57</f>
        <v>338</v>
      </c>
      <c r="M38" s="224">
        <f>'Preisliste 2012'!L57</f>
        <v>405</v>
      </c>
      <c r="N38" s="225">
        <f>Aktiv!G86</f>
        <v>80</v>
      </c>
      <c r="O38" s="225">
        <f>Aktiv!H86</f>
        <v>252</v>
      </c>
      <c r="P38" s="225">
        <f>Aktiv!I86</f>
        <v>277</v>
      </c>
      <c r="Q38" s="225">
        <f>Aktiv!J86</f>
        <v>214</v>
      </c>
      <c r="R38" s="226">
        <f>IF(OR(F38="",F38=0,N38=""),"",N38/F38-1)</f>
        <v>5.2631578947368363E-2</v>
      </c>
      <c r="S38" s="226">
        <f>IF(OR(G38="",G38=0,O38=""),"",O38/G38-1)</f>
        <v>1.2048192771084265E-2</v>
      </c>
      <c r="T38" s="226">
        <f>IF(OR(I38="",I38=0,Q38=""),"",Q38/I38-1)</f>
        <v>0</v>
      </c>
      <c r="U38" s="226">
        <f>IF(OR(K38="",K38=0,P38=""),"",P38/K38-1)</f>
        <v>2.5925925925925908E-2</v>
      </c>
      <c r="V38" s="227">
        <f>IF(OR(F38="",F38=0,G38=""),"",G38/F38)</f>
        <v>3.2763157894736841</v>
      </c>
      <c r="W38" s="227">
        <f>IF(OR(N38="",N38=0,O38=""),"",O38/N38)</f>
        <v>3.15</v>
      </c>
      <c r="X38" s="228">
        <f>Aktiv!E86*Aktiv!F86</f>
        <v>561600</v>
      </c>
      <c r="Y38" s="229">
        <f>IF(OR(X38="",X38=0,F38=""),"",F38/(X38/10000))</f>
        <v>1.3532763532763534</v>
      </c>
      <c r="Z38" s="230">
        <f>IF(OR(X38="",X38=0,N38=""),"",N38/(X38/10000))</f>
        <v>1.4245014245014247</v>
      </c>
    </row>
    <row r="39" spans="1:26" x14ac:dyDescent="0.25">
      <c r="A39" s="222" t="str">
        <f>'Preisliste 2012'!A58</f>
        <v>Rücken</v>
      </c>
      <c r="B39" s="223" t="str">
        <f>'Preisliste 2012'!B58</f>
        <v>Rück.</v>
      </c>
      <c r="C39" s="223" t="str">
        <f>'Preisliste 2012'!D58</f>
        <v>780 / 1080</v>
      </c>
      <c r="D39" s="223" t="str">
        <f>Aktiv!C91</f>
        <v>Rücken</v>
      </c>
      <c r="E39" s="223">
        <f>Aktiv!A91</f>
        <v>3318</v>
      </c>
      <c r="F39" s="224">
        <f>'Preisliste 2012'!E58</f>
        <v>116</v>
      </c>
      <c r="G39" s="224">
        <f>'Preisliste 2012'!F58</f>
        <v>370</v>
      </c>
      <c r="H39" s="224">
        <f>'Preisliste 2012'!G58</f>
        <v>279</v>
      </c>
      <c r="I39" s="224">
        <f>'Preisliste 2012'!H58</f>
        <v>309</v>
      </c>
      <c r="J39" s="224">
        <f>'Preisliste 2012'!I58</f>
        <v>297</v>
      </c>
      <c r="K39" s="224">
        <f>'Preisliste 2012'!J58</f>
        <v>404</v>
      </c>
      <c r="L39" s="224">
        <f>'Preisliste 2012'!K58</f>
        <v>505</v>
      </c>
      <c r="M39" s="224">
        <f>'Preisliste 2012'!L58</f>
        <v>606</v>
      </c>
      <c r="N39" s="225">
        <f>Aktiv!G91</f>
        <v>121</v>
      </c>
      <c r="O39" s="225">
        <f>Aktiv!H91</f>
        <v>367</v>
      </c>
      <c r="P39" s="225">
        <f>Aktiv!I91</f>
        <v>409</v>
      </c>
      <c r="Q39" s="225">
        <f>Aktiv!J91</f>
        <v>308</v>
      </c>
      <c r="R39" s="226">
        <f>IF(OR(F39="",F39=0,N39=""),"",N39/F39-1)</f>
        <v>4.31034482758621E-2</v>
      </c>
      <c r="S39" s="226">
        <f>IF(OR(G39="",G39=0,O39=""),"",O39/G39-1)</f>
        <v>-8.1081081081081363E-3</v>
      </c>
      <c r="T39" s="226">
        <f>IF(OR(I39="",I39=0,Q39=""),"",Q39/I39-1)</f>
        <v>-3.2362459546925182E-3</v>
      </c>
      <c r="U39" s="226">
        <f>IF(OR(K39="",K39=0,P39=""),"",P39/K39-1)</f>
        <v>1.2376237623762387E-2</v>
      </c>
      <c r="V39" s="227">
        <f>IF(OR(F39="",F39=0,G39=""),"",G39/F39)</f>
        <v>3.1896551724137931</v>
      </c>
      <c r="W39" s="227">
        <f>IF(OR(N39="",N39=0,O39=""),"",O39/N39)</f>
        <v>3.0330578512396693</v>
      </c>
      <c r="X39" s="228">
        <f>Aktiv!E91*Aktiv!F91</f>
        <v>842400</v>
      </c>
      <c r="Y39" s="229">
        <f>IF(OR(X39="",X39=0,F39=""),"",F39/(X39/10000))</f>
        <v>1.3770180436847104</v>
      </c>
      <c r="Z39" s="230">
        <f>IF(OR(X39="",X39=0,N39=""),"",N39/(X39/10000))</f>
        <v>1.4363722697056032</v>
      </c>
    </row>
    <row r="40" spans="1:26" x14ac:dyDescent="0.25">
      <c r="A40" s="222" t="str">
        <f>'Preisliste 2012'!A59</f>
        <v>Rücken</v>
      </c>
      <c r="B40" s="223" t="str">
        <f>'Preisliste 2012'!B59</f>
        <v>Rück.</v>
      </c>
      <c r="C40" s="223" t="str">
        <f>'Preisliste 2012'!D59</f>
        <v>780 / 1440</v>
      </c>
      <c r="D40" s="223" t="str">
        <f>Aktiv!C96</f>
        <v>Rücken</v>
      </c>
      <c r="E40" s="223">
        <f>Aktiv!A96</f>
        <v>3323</v>
      </c>
      <c r="F40" s="224">
        <f>'Preisliste 2012'!E59</f>
        <v>153</v>
      </c>
      <c r="G40" s="224">
        <f>'Preisliste 2012'!F59</f>
        <v>454</v>
      </c>
      <c r="H40" s="224">
        <f>'Preisliste 2012'!G59</f>
        <v>0</v>
      </c>
      <c r="I40" s="224">
        <f>'Preisliste 2012'!H59</f>
        <v>0</v>
      </c>
      <c r="J40" s="224">
        <f>'Preisliste 2012'!I59</f>
        <v>364</v>
      </c>
      <c r="K40" s="224">
        <f>'Preisliste 2012'!J59</f>
        <v>530</v>
      </c>
      <c r="L40" s="224">
        <f>'Preisliste 2012'!K59</f>
        <v>662</v>
      </c>
      <c r="M40" s="224">
        <f>'Preisliste 2012'!L59</f>
        <v>795</v>
      </c>
      <c r="N40" s="225">
        <f>Aktiv!G96</f>
        <v>158</v>
      </c>
      <c r="O40" s="225">
        <f>Aktiv!H96</f>
        <v>447</v>
      </c>
      <c r="P40" s="225">
        <f>Aktiv!I96</f>
        <v>499</v>
      </c>
      <c r="Q40" s="225">
        <f>Aktiv!J96</f>
        <v>751</v>
      </c>
      <c r="R40" s="226">
        <f>IF(OR(F40="",F40=0,N40=""),"",N40/F40-1)</f>
        <v>3.2679738562091609E-2</v>
      </c>
      <c r="S40" s="226">
        <f>IF(OR(G40="",G40=0,O40=""),"",O40/G40-1)</f>
        <v>-1.5418502202643181E-2</v>
      </c>
      <c r="T40" s="226" t="str">
        <f>IF(OR(I40="",I40=0,Q40=""),"",Q40/I40-1)</f>
        <v/>
      </c>
      <c r="U40" s="226">
        <f>IF(OR(K40="",K40=0,P40=""),"",P40/K40-1)</f>
        <v>-5.8490566037735836E-2</v>
      </c>
      <c r="V40" s="227">
        <f>IF(OR(F40="",F40=0,G40=""),"",G40/F40)</f>
        <v>2.9673202614379086</v>
      </c>
      <c r="W40" s="227">
        <f>IF(OR(N40="",N40=0,O40=""),"",O40/N40)</f>
        <v>2.8291139240506329</v>
      </c>
      <c r="X40" s="228">
        <f>Aktiv!E96*Aktiv!F96</f>
        <v>1123200</v>
      </c>
      <c r="Y40" s="229">
        <f>IF(OR(X40="",X40=0,F40=""),"",F40/(X40/10000))</f>
        <v>1.3621794871794872</v>
      </c>
      <c r="Z40" s="230">
        <f>IF(OR(X40="",X40=0,N40=""),"",N40/(X40/10000))</f>
        <v>1.4066951566951569</v>
      </c>
    </row>
    <row r="41" spans="1:26" x14ac:dyDescent="0.25">
      <c r="A41" s="222" t="str">
        <f>'Preisliste 2012'!A60</f>
        <v>Rücken</v>
      </c>
      <c r="B41" s="223" t="str">
        <f>'Preisliste 2012'!B60</f>
        <v>Rück.</v>
      </c>
      <c r="C41" s="223" t="str">
        <f>'Preisliste 2012'!D60</f>
        <v>780 / 1800</v>
      </c>
      <c r="D41" s="223" t="str">
        <f>Aktiv!C101</f>
        <v>Rücken</v>
      </c>
      <c r="E41" s="223">
        <f>Aktiv!A101</f>
        <v>3328</v>
      </c>
      <c r="F41" s="224">
        <f>'Preisliste 2012'!E60</f>
        <v>193</v>
      </c>
      <c r="G41" s="224">
        <f>'Preisliste 2012'!F60</f>
        <v>559</v>
      </c>
      <c r="H41" s="224">
        <f>'Preisliste 2012'!G60</f>
        <v>0</v>
      </c>
      <c r="I41" s="224">
        <f>'Preisliste 2012'!H60</f>
        <v>0</v>
      </c>
      <c r="J41" s="224">
        <f>'Preisliste 2012'!I60</f>
        <v>448</v>
      </c>
      <c r="K41" s="224">
        <f>'Preisliste 2012'!J60</f>
        <v>655</v>
      </c>
      <c r="L41" s="224">
        <f>'Preisliste 2012'!K60</f>
        <v>818</v>
      </c>
      <c r="M41" s="224">
        <f>'Preisliste 2012'!L60</f>
        <v>983</v>
      </c>
      <c r="N41" s="225">
        <f>Aktiv!G101</f>
        <v>198</v>
      </c>
      <c r="O41" s="225">
        <f>Aktiv!H101</f>
        <v>369</v>
      </c>
      <c r="P41" s="225">
        <f>Aktiv!I101</f>
        <v>612</v>
      </c>
      <c r="Q41" s="225">
        <f>Aktiv!J101</f>
        <v>921</v>
      </c>
      <c r="R41" s="226">
        <f>IF(OR(F41="",F41=0,N41=""),"",N41/F41-1)</f>
        <v>2.5906735751295429E-2</v>
      </c>
      <c r="S41" s="226">
        <f>IF(OR(G41="",G41=0,O41=""),"",O41/G41-1)</f>
        <v>-0.33989266547406083</v>
      </c>
      <c r="T41" s="226" t="str">
        <f>IF(OR(I41="",I41=0,Q41=""),"",Q41/I41-1)</f>
        <v/>
      </c>
      <c r="U41" s="226">
        <f>IF(OR(K41="",K41=0,P41=""),"",P41/K41-1)</f>
        <v>-6.5648854961832037E-2</v>
      </c>
      <c r="V41" s="227">
        <f>IF(OR(F41="",F41=0,G41=""),"",G41/F41)</f>
        <v>2.8963730569948187</v>
      </c>
      <c r="W41" s="227">
        <f>IF(OR(N41="",N41=0,O41=""),"",O41/N41)</f>
        <v>1.8636363636363635</v>
      </c>
      <c r="X41" s="228">
        <f>Aktiv!E101*Aktiv!F101</f>
        <v>1404000</v>
      </c>
      <c r="Y41" s="229">
        <f>IF(OR(X41="",X41=0,F41=""),"",F41/(X41/10000))</f>
        <v>1.3746438746438745</v>
      </c>
      <c r="Z41" s="230">
        <f>IF(OR(X41="",X41=0,N41=""),"",N41/(X41/10000))</f>
        <v>1.4102564102564101</v>
      </c>
    </row>
    <row r="42" spans="1:26" x14ac:dyDescent="0.25">
      <c r="A42" s="222" t="str">
        <f>'Preisliste 2012'!A61</f>
        <v>Rücken</v>
      </c>
      <c r="B42" s="223" t="str">
        <f>'Preisliste 2012'!B61</f>
        <v>Rück.</v>
      </c>
      <c r="C42" s="223" t="str">
        <f>'Preisliste 2012'!D61</f>
        <v>980 / 360 (180)</v>
      </c>
      <c r="D42" s="223" t="str">
        <f>Aktiv!C82</f>
        <v>Rücken</v>
      </c>
      <c r="E42" s="223">
        <f>Aktiv!A82</f>
        <v>3309</v>
      </c>
      <c r="F42" s="224">
        <f>'Preisliste 2012'!E61</f>
        <v>48</v>
      </c>
      <c r="G42" s="224">
        <f>'Preisliste 2012'!F61</f>
        <v>151</v>
      </c>
      <c r="H42" s="224">
        <f>'Preisliste 2012'!G61</f>
        <v>163</v>
      </c>
      <c r="I42" s="224">
        <f>'Preisliste 2012'!H61</f>
        <v>181</v>
      </c>
      <c r="J42" s="224">
        <f>'Preisliste 2012'!I61</f>
        <v>122</v>
      </c>
      <c r="K42" s="224">
        <f>'Preisliste 2012'!J61</f>
        <v>158</v>
      </c>
      <c r="L42" s="224">
        <f>'Preisliste 2012'!K61</f>
        <v>198</v>
      </c>
      <c r="M42" s="224">
        <f>'Preisliste 2012'!L61</f>
        <v>237</v>
      </c>
      <c r="N42" s="225">
        <f>Aktiv!G82</f>
        <v>53</v>
      </c>
      <c r="O42" s="225">
        <f>Aktiv!H82</f>
        <v>158</v>
      </c>
      <c r="P42" s="225">
        <f>Aktiv!I82</f>
        <v>174</v>
      </c>
      <c r="Q42" s="225">
        <f>Aktiv!J82</f>
        <v>167</v>
      </c>
      <c r="R42" s="226">
        <f>IF(OR(F42="",F42=0,N42=""),"",N42/F42-1)</f>
        <v>0.10416666666666674</v>
      </c>
      <c r="S42" s="226">
        <f>IF(OR(G42="",G42=0,O42=""),"",O42/G42-1)</f>
        <v>4.635761589403975E-2</v>
      </c>
      <c r="T42" s="226">
        <f>IF(OR(I42="",I42=0,Q42=""),"",Q42/I42-1)</f>
        <v>-7.7348066298342566E-2</v>
      </c>
      <c r="U42" s="226">
        <f>IF(OR(K42="",K42=0,P42=""),"",P42/K42-1)</f>
        <v>0.10126582278481022</v>
      </c>
      <c r="V42" s="227">
        <f>IF(OR(F42="",F42=0,G42=""),"",G42/F42)</f>
        <v>3.1458333333333335</v>
      </c>
      <c r="W42" s="227">
        <f>IF(OR(N42="",N42=0,O42=""),"",O42/N42)</f>
        <v>2.9811320754716979</v>
      </c>
      <c r="X42" s="228">
        <f>Aktiv!E82*Aktiv!F82</f>
        <v>352800</v>
      </c>
      <c r="Y42" s="229">
        <f>IF(OR(X42="",X42=0,F42=""),"",F42/(X42/10000))</f>
        <v>1.3605442176870748</v>
      </c>
      <c r="Z42" s="230">
        <f>IF(OR(X42="",X42=0,N42=""),"",N42/(X42/10000))</f>
        <v>1.5022675736961451</v>
      </c>
    </row>
    <row r="43" spans="1:26" x14ac:dyDescent="0.25">
      <c r="A43" s="222" t="str">
        <f>'Preisliste 2012'!A62</f>
        <v>Rücken</v>
      </c>
      <c r="B43" s="223" t="str">
        <f>'Preisliste 2012'!B62</f>
        <v>Rück.</v>
      </c>
      <c r="C43" s="223" t="str">
        <f>'Preisliste 2012'!D62</f>
        <v>980 / 720</v>
      </c>
      <c r="D43" s="223" t="str">
        <f>Aktiv!C87</f>
        <v>Rücken</v>
      </c>
      <c r="E43" s="223">
        <f>Aktiv!A87</f>
        <v>3314</v>
      </c>
      <c r="F43" s="224">
        <f>'Preisliste 2012'!E62</f>
        <v>96</v>
      </c>
      <c r="G43" s="224">
        <f>'Preisliste 2012'!F62</f>
        <v>287</v>
      </c>
      <c r="H43" s="224">
        <f>'Preisliste 2012'!G62</f>
        <v>237</v>
      </c>
      <c r="I43" s="224">
        <f>'Preisliste 2012'!H62</f>
        <v>264</v>
      </c>
      <c r="J43" s="224">
        <f>'Preisliste 2012'!I62</f>
        <v>231</v>
      </c>
      <c r="K43" s="224">
        <f>'Preisliste 2012'!J62</f>
        <v>336</v>
      </c>
      <c r="L43" s="224">
        <f>'Preisliste 2012'!K62</f>
        <v>420</v>
      </c>
      <c r="M43" s="224">
        <f>'Preisliste 2012'!L62</f>
        <v>504</v>
      </c>
      <c r="N43" s="225">
        <f>Aktiv!G87</f>
        <v>101</v>
      </c>
      <c r="O43" s="225">
        <f>Aktiv!H87</f>
        <v>288</v>
      </c>
      <c r="P43" s="225">
        <f>Aktiv!I87</f>
        <v>320</v>
      </c>
      <c r="Q43" s="225">
        <f>Aktiv!J87</f>
        <v>263</v>
      </c>
      <c r="R43" s="226">
        <f>IF(OR(F43="",F43=0,N43=""),"",N43/F43-1)</f>
        <v>5.2083333333333259E-2</v>
      </c>
      <c r="S43" s="226">
        <f>IF(OR(G43="",G43=0,O43=""),"",O43/G43-1)</f>
        <v>3.4843205574912606E-3</v>
      </c>
      <c r="T43" s="226">
        <f>IF(OR(I43="",I43=0,Q43=""),"",Q43/I43-1)</f>
        <v>-3.7878787878787845E-3</v>
      </c>
      <c r="U43" s="226">
        <f>IF(OR(K43="",K43=0,P43=""),"",P43/K43-1)</f>
        <v>-4.7619047619047672E-2</v>
      </c>
      <c r="V43" s="227">
        <f>IF(OR(F43="",F43=0,G43=""),"",G43/F43)</f>
        <v>2.9895833333333335</v>
      </c>
      <c r="W43" s="227">
        <f>IF(OR(N43="",N43=0,O43=""),"",O43/N43)</f>
        <v>2.8514851485148514</v>
      </c>
      <c r="X43" s="228">
        <f>Aktiv!E87*Aktiv!F87</f>
        <v>705600</v>
      </c>
      <c r="Y43" s="229">
        <f>IF(OR(X43="",X43=0,F43=""),"",F43/(X43/10000))</f>
        <v>1.3605442176870748</v>
      </c>
      <c r="Z43" s="230">
        <f>IF(OR(X43="",X43=0,N43=""),"",N43/(X43/10000))</f>
        <v>1.43140589569161</v>
      </c>
    </row>
    <row r="44" spans="1:26" x14ac:dyDescent="0.25">
      <c r="A44" s="222" t="str">
        <f>'Preisliste 2012'!A63</f>
        <v>Rücken</v>
      </c>
      <c r="B44" s="223" t="str">
        <f>'Preisliste 2012'!B63</f>
        <v>Rück.</v>
      </c>
      <c r="C44" s="223" t="str">
        <f>'Preisliste 2012'!D63</f>
        <v>980 / 1080</v>
      </c>
      <c r="D44" s="223" t="str">
        <f>Aktiv!C92</f>
        <v>Rücken</v>
      </c>
      <c r="E44" s="223">
        <f>Aktiv!A92</f>
        <v>3319</v>
      </c>
      <c r="F44" s="224">
        <f>'Preisliste 2012'!E63</f>
        <v>145</v>
      </c>
      <c r="G44" s="224">
        <f>'Preisliste 2012'!F63</f>
        <v>451</v>
      </c>
      <c r="H44" s="224">
        <f>'Preisliste 2012'!G63</f>
        <v>313</v>
      </c>
      <c r="I44" s="224">
        <f>'Preisliste 2012'!H63</f>
        <v>347</v>
      </c>
      <c r="J44" s="224">
        <f>'Preisliste 2012'!I63</f>
        <v>345</v>
      </c>
      <c r="K44" s="224">
        <f>'Preisliste 2012'!J63</f>
        <v>501</v>
      </c>
      <c r="L44" s="224">
        <f>'Preisliste 2012'!K63</f>
        <v>627</v>
      </c>
      <c r="M44" s="224">
        <f>'Preisliste 2012'!L63</f>
        <v>752</v>
      </c>
      <c r="N44" s="225">
        <f>Aktiv!G92</f>
        <v>150</v>
      </c>
      <c r="O44" s="225">
        <f>Aktiv!H92</f>
        <v>444</v>
      </c>
      <c r="P44" s="225">
        <f>Aktiv!I92</f>
        <v>474</v>
      </c>
      <c r="Q44" s="225">
        <f>Aktiv!J92</f>
        <v>345</v>
      </c>
      <c r="R44" s="226">
        <f>IF(OR(F44="",F44=0,N44=""),"",N44/F44-1)</f>
        <v>3.4482758620689724E-2</v>
      </c>
      <c r="S44" s="226">
        <f>IF(OR(G44="",G44=0,O44=""),"",O44/G44-1)</f>
        <v>-1.552106430155209E-2</v>
      </c>
      <c r="T44" s="226">
        <f>IF(OR(I44="",I44=0,Q44=""),"",Q44/I44-1)</f>
        <v>-5.7636887608069065E-3</v>
      </c>
      <c r="U44" s="226">
        <f>IF(OR(K44="",K44=0,P44=""),"",P44/K44-1)</f>
        <v>-5.3892215568862256E-2</v>
      </c>
      <c r="V44" s="227">
        <f>IF(OR(F44="",F44=0,G44=""),"",G44/F44)</f>
        <v>3.1103448275862071</v>
      </c>
      <c r="W44" s="227">
        <f>IF(OR(N44="",N44=0,O44=""),"",O44/N44)</f>
        <v>2.96</v>
      </c>
      <c r="X44" s="228">
        <f>Aktiv!E92*Aktiv!F92</f>
        <v>1058400</v>
      </c>
      <c r="Y44" s="229">
        <f>IF(OR(X44="",X44=0,F44=""),"",F44/(X44/10000))</f>
        <v>1.3699924414210127</v>
      </c>
      <c r="Z44" s="230">
        <f>IF(OR(X44="",X44=0,N44=""),"",N44/(X44/10000))</f>
        <v>1.4172335600907029</v>
      </c>
    </row>
    <row r="45" spans="1:26" x14ac:dyDescent="0.25">
      <c r="A45" s="222" t="str">
        <f>'Preisliste 2012'!A64</f>
        <v>Rücken</v>
      </c>
      <c r="B45" s="223" t="str">
        <f>'Preisliste 2012'!B64</f>
        <v>Rück.</v>
      </c>
      <c r="C45" s="223" t="str">
        <f>'Preisliste 2012'!D64</f>
        <v>980 / 1440</v>
      </c>
      <c r="D45" s="223" t="str">
        <f>Aktiv!C97</f>
        <v>Rücken</v>
      </c>
      <c r="E45" s="223">
        <f>Aktiv!A97</f>
        <v>3324</v>
      </c>
      <c r="F45" s="224">
        <f>'Preisliste 2012'!E64</f>
        <v>193</v>
      </c>
      <c r="G45" s="224">
        <f>'Preisliste 2012'!F64</f>
        <v>564</v>
      </c>
      <c r="H45" s="224">
        <f>'Preisliste 2012'!G64</f>
        <v>0</v>
      </c>
      <c r="I45" s="224">
        <f>'Preisliste 2012'!H64</f>
        <v>0</v>
      </c>
      <c r="J45" s="224">
        <f>'Preisliste 2012'!I64</f>
        <v>451</v>
      </c>
      <c r="K45" s="224">
        <f>'Preisliste 2012'!J64</f>
        <v>657</v>
      </c>
      <c r="L45" s="224">
        <f>'Preisliste 2012'!K64</f>
        <v>821</v>
      </c>
      <c r="M45" s="224">
        <f>'Preisliste 2012'!L64</f>
        <v>986</v>
      </c>
      <c r="N45" s="225">
        <f>Aktiv!G97</f>
        <v>198</v>
      </c>
      <c r="O45" s="225">
        <f>Aktiv!H97</f>
        <v>552</v>
      </c>
      <c r="P45" s="225">
        <f>Aktiv!I97</f>
        <v>616</v>
      </c>
      <c r="Q45" s="225">
        <f>Aktiv!J97</f>
        <v>927</v>
      </c>
      <c r="R45" s="226">
        <f>IF(OR(F45="",F45=0,N45=""),"",N45/F45-1)</f>
        <v>2.5906735751295429E-2</v>
      </c>
      <c r="S45" s="226">
        <f>IF(OR(G45="",G45=0,O45=""),"",O45/G45-1)</f>
        <v>-2.1276595744680882E-2</v>
      </c>
      <c r="T45" s="226" t="str">
        <f>IF(OR(I45="",I45=0,Q45=""),"",Q45/I45-1)</f>
        <v/>
      </c>
      <c r="U45" s="226">
        <f>IF(OR(K45="",K45=0,P45=""),"",P45/K45-1)</f>
        <v>-6.2404870624048758E-2</v>
      </c>
      <c r="V45" s="227">
        <f>IF(OR(F45="",F45=0,G45=""),"",G45/F45)</f>
        <v>2.9222797927461142</v>
      </c>
      <c r="W45" s="227">
        <f>IF(OR(N45="",N45=0,O45=""),"",O45/N45)</f>
        <v>2.7878787878787881</v>
      </c>
      <c r="X45" s="228">
        <f>Aktiv!E97*Aktiv!F97</f>
        <v>1411200</v>
      </c>
      <c r="Y45" s="229">
        <f>IF(OR(X45="",X45=0,F45=""),"",F45/(X45/10000))</f>
        <v>1.3676303854875282</v>
      </c>
      <c r="Z45" s="230">
        <f>IF(OR(X45="",X45=0,N45=""),"",N45/(X45/10000))</f>
        <v>1.403061224489796</v>
      </c>
    </row>
    <row r="46" spans="1:26" x14ac:dyDescent="0.25">
      <c r="A46" s="222" t="str">
        <f>'Preisliste 2012'!A65</f>
        <v>Rücken</v>
      </c>
      <c r="B46" s="223" t="str">
        <f>'Preisliste 2012'!B65</f>
        <v>Rück.</v>
      </c>
      <c r="C46" s="223" t="str">
        <f>'Preisliste 2012'!D65</f>
        <v>980 / 1800</v>
      </c>
      <c r="D46" s="223" t="str">
        <f>Aktiv!C102</f>
        <v>Rücken</v>
      </c>
      <c r="E46" s="223">
        <f>Aktiv!A102</f>
        <v>3329</v>
      </c>
      <c r="F46" s="224">
        <f>'Preisliste 2012'!E65</f>
        <v>241</v>
      </c>
      <c r="G46" s="224">
        <f>'Preisliste 2012'!F65</f>
        <v>697</v>
      </c>
      <c r="H46" s="224">
        <f>'Preisliste 2012'!G65</f>
        <v>0</v>
      </c>
      <c r="I46" s="224">
        <f>'Preisliste 2012'!H65</f>
        <v>0</v>
      </c>
      <c r="J46" s="224">
        <f>'Preisliste 2012'!I65</f>
        <v>553</v>
      </c>
      <c r="K46" s="224">
        <f>'Preisliste 2012'!J65</f>
        <v>814</v>
      </c>
      <c r="L46" s="224">
        <f>'Preisliste 2012'!K65</f>
        <v>1018</v>
      </c>
      <c r="M46" s="224">
        <f>'Preisliste 2012'!L65</f>
        <v>1221</v>
      </c>
      <c r="N46" s="225">
        <f>Aktiv!G102</f>
        <v>247</v>
      </c>
      <c r="O46" s="225">
        <f>Aktiv!H102</f>
        <v>460</v>
      </c>
      <c r="P46" s="225">
        <f>Aktiv!I102</f>
        <v>753</v>
      </c>
      <c r="Q46" s="225">
        <f>Aktiv!J102</f>
        <v>1134</v>
      </c>
      <c r="R46" s="226">
        <f>IF(OR(F46="",F46=0,N46=""),"",N46/F46-1)</f>
        <v>2.4896265560165887E-2</v>
      </c>
      <c r="S46" s="226">
        <f>IF(OR(G46="",G46=0,O46=""),"",O46/G46-1)</f>
        <v>-0.34002869440459116</v>
      </c>
      <c r="T46" s="226" t="str">
        <f>IF(OR(I46="",I46=0,Q46=""),"",Q46/I46-1)</f>
        <v/>
      </c>
      <c r="U46" s="226">
        <f>IF(OR(K46="",K46=0,P46=""),"",P46/K46-1)</f>
        <v>-7.493857493857492E-2</v>
      </c>
      <c r="V46" s="227">
        <f>IF(OR(F46="",F46=0,G46=""),"",G46/F46)</f>
        <v>2.892116182572614</v>
      </c>
      <c r="W46" s="227">
        <f>IF(OR(N46="",N46=0,O46=""),"",O46/N46)</f>
        <v>1.8623481781376519</v>
      </c>
      <c r="X46" s="228">
        <f>Aktiv!E102*Aktiv!F102</f>
        <v>1764000</v>
      </c>
      <c r="Y46" s="229">
        <f>IF(OR(X46="",X46=0,F46=""),"",F46/(X46/10000))</f>
        <v>1.3662131519274376</v>
      </c>
      <c r="Z46" s="230">
        <f>IF(OR(X46="",X46=0,N46=""),"",N46/(X46/10000))</f>
        <v>1.4002267573696145</v>
      </c>
    </row>
    <row r="47" spans="1:26" x14ac:dyDescent="0.25">
      <c r="A47" s="213" t="s">
        <v>596</v>
      </c>
      <c r="B47" s="214"/>
      <c r="C47" s="214"/>
      <c r="D47" s="214"/>
      <c r="E47" s="214"/>
      <c r="F47" s="215"/>
      <c r="G47" s="215"/>
      <c r="H47" s="215"/>
      <c r="I47" s="215"/>
      <c r="J47" s="215"/>
      <c r="K47" s="215"/>
      <c r="L47" s="215"/>
      <c r="M47" s="215"/>
      <c r="N47" s="216"/>
      <c r="O47" s="216"/>
      <c r="P47" s="216"/>
      <c r="Q47" s="216"/>
      <c r="R47" s="217"/>
      <c r="S47" s="217"/>
      <c r="T47" s="217"/>
      <c r="U47" s="217"/>
      <c r="V47" s="218"/>
      <c r="W47" s="218"/>
      <c r="X47" s="219"/>
      <c r="Y47" s="220"/>
      <c r="Z47" s="221"/>
    </row>
    <row r="48" spans="1:26" x14ac:dyDescent="0.25">
      <c r="A48" s="222" t="str">
        <f>'Preisliste 2012'!A68</f>
        <v>Fronten (Klappe / Türe / DT)</v>
      </c>
      <c r="B48" s="223" t="str">
        <f>'Preisliste 2012'!B68</f>
        <v>Klappe</v>
      </c>
      <c r="C48" s="223" t="str">
        <f>'Preisliste 2012'!D68</f>
        <v>420 / 360 (180)</v>
      </c>
      <c r="D48" s="223" t="str">
        <f>Aktiv!C206</f>
        <v>Klappe</v>
      </c>
      <c r="E48" s="223">
        <f>Aktiv!A206</f>
        <v>5001</v>
      </c>
      <c r="F48" s="224">
        <f>'Preisliste 2012'!E68</f>
        <v>126</v>
      </c>
      <c r="G48" s="224">
        <f>'Preisliste 2012'!F68</f>
        <v>175</v>
      </c>
      <c r="H48" s="224">
        <f>'Preisliste 2012'!G68</f>
        <v>0</v>
      </c>
      <c r="I48" s="224">
        <f>'Preisliste 2012'!H68</f>
        <v>0</v>
      </c>
      <c r="J48" s="224">
        <f>'Preisliste 2012'!I68</f>
        <v>169</v>
      </c>
      <c r="K48" s="224">
        <f>'Preisliste 2012'!J68</f>
        <v>188</v>
      </c>
      <c r="L48" s="224">
        <f>'Preisliste 2012'!K68</f>
        <v>235</v>
      </c>
      <c r="M48" s="224">
        <f>'Preisliste 2012'!L68</f>
        <v>282</v>
      </c>
      <c r="N48" s="225">
        <f>Aktiv!G206</f>
        <v>149</v>
      </c>
      <c r="O48" s="225">
        <f>Aktiv!H206</f>
        <v>176</v>
      </c>
      <c r="P48" s="225">
        <f>Aktiv!I206</f>
        <v>192</v>
      </c>
      <c r="Q48" s="225">
        <f>Aktiv!J206</f>
        <v>326</v>
      </c>
      <c r="R48" s="226">
        <f>IF(OR(F48="",F48=0,N48=""),"",N48/F48-1)</f>
        <v>0.18253968253968256</v>
      </c>
      <c r="S48" s="226">
        <f>IF(OR(G48="",G48=0,O48=""),"",O48/G48-1)</f>
        <v>5.7142857142857828E-3</v>
      </c>
      <c r="T48" s="226" t="str">
        <f>IF(OR(I48="",I48=0,Q48=""),"",Q48/I48-1)</f>
        <v/>
      </c>
      <c r="U48" s="226">
        <f>IF(OR(K48="",K48=0,P48=""),"",P48/K48-1)</f>
        <v>2.1276595744680771E-2</v>
      </c>
      <c r="V48" s="227">
        <f>IF(OR(F48="",F48=0,G48=""),"",G48/F48)</f>
        <v>1.3888888888888888</v>
      </c>
      <c r="W48" s="227">
        <f>IF(OR(N48="",N48=0,O48=""),"",O48/N48)</f>
        <v>1.1812080536912752</v>
      </c>
      <c r="X48" s="228">
        <f>Aktiv!E206*Aktiv!F206</f>
        <v>151200</v>
      </c>
      <c r="Y48" s="229">
        <f>IF(OR(X48="",X48=0,F48=""),"",F48/(X48/10000))</f>
        <v>8.3333333333333339</v>
      </c>
      <c r="Z48" s="230">
        <f>IF(OR(X48="",X48=0,N48=""),"",N48/(X48/10000))</f>
        <v>9.8544973544973544</v>
      </c>
    </row>
    <row r="49" spans="1:26" x14ac:dyDescent="0.25">
      <c r="A49" s="222" t="str">
        <f>'Preisliste 2012'!A69</f>
        <v>Fronten (Klappe / Türe / DT)</v>
      </c>
      <c r="B49" s="223" t="str">
        <f>'Preisliste 2012'!B69</f>
        <v>Klappe</v>
      </c>
      <c r="C49" s="223" t="str">
        <f>'Preisliste 2012'!D69</f>
        <v>580 / 360 (180)</v>
      </c>
      <c r="D49" s="223" t="str">
        <f>Aktiv!C208</f>
        <v>Klappe</v>
      </c>
      <c r="E49" s="223">
        <f>Aktiv!A208</f>
        <v>5003</v>
      </c>
      <c r="F49" s="224">
        <f>'Preisliste 2012'!E69</f>
        <v>137</v>
      </c>
      <c r="G49" s="224">
        <f>'Preisliste 2012'!F69</f>
        <v>196</v>
      </c>
      <c r="H49" s="224">
        <f>'Preisliste 2012'!G69</f>
        <v>0</v>
      </c>
      <c r="I49" s="224">
        <f>'Preisliste 2012'!H69</f>
        <v>0</v>
      </c>
      <c r="J49" s="224">
        <f>'Preisliste 2012'!I69</f>
        <v>185</v>
      </c>
      <c r="K49" s="224">
        <f>'Preisliste 2012'!J69</f>
        <v>211</v>
      </c>
      <c r="L49" s="224">
        <f>'Preisliste 2012'!K69</f>
        <v>264</v>
      </c>
      <c r="M49" s="224">
        <f>'Preisliste 2012'!L69</f>
        <v>317</v>
      </c>
      <c r="N49" s="225">
        <f>Aktiv!G208</f>
        <v>162</v>
      </c>
      <c r="O49" s="225">
        <f>Aktiv!H208</f>
        <v>195</v>
      </c>
      <c r="P49" s="225">
        <f>Aktiv!I208</f>
        <v>210</v>
      </c>
      <c r="Q49" s="225">
        <f>Aktiv!J208</f>
        <v>356</v>
      </c>
      <c r="R49" s="226">
        <f>IF(OR(F49="",F49=0,N49=""),"",N49/F49-1)</f>
        <v>0.18248175182481763</v>
      </c>
      <c r="S49" s="226">
        <f>IF(OR(G49="",G49=0,O49=""),"",O49/G49-1)</f>
        <v>-5.1020408163264808E-3</v>
      </c>
      <c r="T49" s="226" t="str">
        <f>IF(OR(I49="",I49=0,Q49=""),"",Q49/I49-1)</f>
        <v/>
      </c>
      <c r="U49" s="226">
        <f>IF(OR(K49="",K49=0,P49=""),"",P49/K49-1)</f>
        <v>-4.7393364928910442E-3</v>
      </c>
      <c r="V49" s="227">
        <f>IF(OR(F49="",F49=0,G49=""),"",G49/F49)</f>
        <v>1.4306569343065694</v>
      </c>
      <c r="W49" s="227">
        <f>IF(OR(N49="",N49=0,O49=""),"",O49/N49)</f>
        <v>1.2037037037037037</v>
      </c>
      <c r="X49" s="228">
        <f>Aktiv!E208*Aktiv!F208</f>
        <v>208800</v>
      </c>
      <c r="Y49" s="229">
        <f>IF(OR(X49="",X49=0,F49=""),"",F49/(X49/10000))</f>
        <v>6.5613026819923377</v>
      </c>
      <c r="Z49" s="230">
        <f>IF(OR(X49="",X49=0,N49=""),"",N49/(X49/10000))</f>
        <v>7.7586206896551726</v>
      </c>
    </row>
    <row r="50" spans="1:26" x14ac:dyDescent="0.25">
      <c r="A50" s="222" t="str">
        <f>'Preisliste 2012'!A70</f>
        <v>Fronten (Klappe / Türe / DT)</v>
      </c>
      <c r="B50" s="223" t="str">
        <f>'Preisliste 2012'!B70</f>
        <v>Klappe</v>
      </c>
      <c r="C50" s="223" t="str">
        <f>'Preisliste 2012'!D70</f>
        <v>780 / 360 (180)</v>
      </c>
      <c r="D50" s="223" t="str">
        <f>Aktiv!C210</f>
        <v>Klappe</v>
      </c>
      <c r="E50" s="223">
        <f>Aktiv!A210</f>
        <v>5005</v>
      </c>
      <c r="F50" s="224">
        <f>'Preisliste 2012'!E70</f>
        <v>147</v>
      </c>
      <c r="G50" s="224">
        <f>'Preisliste 2012'!F70</f>
        <v>216</v>
      </c>
      <c r="H50" s="224">
        <f>'Preisliste 2012'!G70</f>
        <v>0</v>
      </c>
      <c r="I50" s="224">
        <f>'Preisliste 2012'!H70</f>
        <v>0</v>
      </c>
      <c r="J50" s="224">
        <f>'Preisliste 2012'!I70</f>
        <v>201</v>
      </c>
      <c r="K50" s="224">
        <f>'Preisliste 2012'!J70</f>
        <v>226</v>
      </c>
      <c r="L50" s="224">
        <f>'Preisliste 2012'!K70</f>
        <v>282</v>
      </c>
      <c r="M50" s="224">
        <f>'Preisliste 2012'!L70</f>
        <v>339</v>
      </c>
      <c r="N50" s="225">
        <f>Aktiv!G210</f>
        <v>174</v>
      </c>
      <c r="O50" s="225">
        <f>Aktiv!H210</f>
        <v>214</v>
      </c>
      <c r="P50" s="225">
        <f>Aktiv!I210</f>
        <v>227</v>
      </c>
      <c r="Q50" s="225">
        <f>Aktiv!J210</f>
        <v>385</v>
      </c>
      <c r="R50" s="226">
        <f>IF(OR(F50="",F50=0,N50=""),"",N50/F50-1)</f>
        <v>0.18367346938775508</v>
      </c>
      <c r="S50" s="226">
        <f>IF(OR(G50="",G50=0,O50=""),"",O50/G50-1)</f>
        <v>-9.2592592592593004E-3</v>
      </c>
      <c r="T50" s="226" t="str">
        <f>IF(OR(I50="",I50=0,Q50=""),"",Q50/I50-1)</f>
        <v/>
      </c>
      <c r="U50" s="226">
        <f>IF(OR(K50="",K50=0,P50=""),"",P50/K50-1)</f>
        <v>4.4247787610618428E-3</v>
      </c>
      <c r="V50" s="227">
        <f>IF(OR(F50="",F50=0,G50=""),"",G50/F50)</f>
        <v>1.4693877551020409</v>
      </c>
      <c r="W50" s="227">
        <f>IF(OR(N50="",N50=0,O50=""),"",O50/N50)</f>
        <v>1.2298850574712643</v>
      </c>
      <c r="X50" s="228">
        <f>Aktiv!E210*Aktiv!F210</f>
        <v>280800</v>
      </c>
      <c r="Y50" s="229">
        <f>IF(OR(X50="",X50=0,F50=""),"",F50/(X50/10000))</f>
        <v>5.2350427350427351</v>
      </c>
      <c r="Z50" s="230">
        <f>IF(OR(X50="",X50=0,N50=""),"",N50/(X50/10000))</f>
        <v>6.1965811965811968</v>
      </c>
    </row>
    <row r="51" spans="1:26" x14ac:dyDescent="0.25">
      <c r="A51" s="222" t="str">
        <f>'Preisliste 2012'!A71</f>
        <v>Fronten (Klappe / Türe / DT)</v>
      </c>
      <c r="B51" s="223" t="str">
        <f>'Preisliste 2012'!B71</f>
        <v>Klappe</v>
      </c>
      <c r="C51" s="223" t="str">
        <f>'Preisliste 2012'!D71</f>
        <v>980 / 360 (180)</v>
      </c>
      <c r="D51" s="223" t="str">
        <f>Aktiv!C212</f>
        <v>Klappe</v>
      </c>
      <c r="E51" s="223">
        <f>Aktiv!A212</f>
        <v>5007</v>
      </c>
      <c r="F51" s="224">
        <f>'Preisliste 2012'!E71</f>
        <v>186</v>
      </c>
      <c r="G51" s="224">
        <f>'Preisliste 2012'!F71</f>
        <v>260</v>
      </c>
      <c r="H51" s="224">
        <f>'Preisliste 2012'!G71</f>
        <v>0</v>
      </c>
      <c r="I51" s="224">
        <f>'Preisliste 2012'!H71</f>
        <v>0</v>
      </c>
      <c r="J51" s="224">
        <f>'Preisliste 2012'!I71</f>
        <v>249</v>
      </c>
      <c r="K51" s="224">
        <f>'Preisliste 2012'!J71</f>
        <v>302</v>
      </c>
      <c r="L51" s="224">
        <f>'Preisliste 2012'!K71</f>
        <v>430</v>
      </c>
      <c r="M51" s="224">
        <f>'Preisliste 2012'!L71</f>
        <v>453</v>
      </c>
      <c r="N51" s="225">
        <f>Aktiv!G212</f>
        <v>220</v>
      </c>
      <c r="O51" s="225">
        <f>Aktiv!H212</f>
        <v>255</v>
      </c>
      <c r="P51" s="225">
        <f>Aktiv!I212</f>
        <v>279</v>
      </c>
      <c r="Q51" s="225">
        <f>Aktiv!J212</f>
        <v>474</v>
      </c>
      <c r="R51" s="226">
        <f>IF(OR(F51="",F51=0,N51=""),"",N51/F51-1)</f>
        <v>0.18279569892473124</v>
      </c>
      <c r="S51" s="226">
        <f>IF(OR(G51="",G51=0,O51=""),"",O51/G51-1)</f>
        <v>-1.9230769230769273E-2</v>
      </c>
      <c r="T51" s="226" t="str">
        <f>IF(OR(I51="",I51=0,Q51=""),"",Q51/I51-1)</f>
        <v/>
      </c>
      <c r="U51" s="226">
        <f>IF(OR(K51="",K51=0,P51=""),"",P51/K51-1)</f>
        <v>-7.6158940397350938E-2</v>
      </c>
      <c r="V51" s="227">
        <f>IF(OR(F51="",F51=0,G51=""),"",G51/F51)</f>
        <v>1.3978494623655915</v>
      </c>
      <c r="W51" s="227">
        <f>IF(OR(N51="",N51=0,O51=""),"",O51/N51)</f>
        <v>1.1590909090909092</v>
      </c>
      <c r="X51" s="228">
        <f>Aktiv!E212*Aktiv!F212</f>
        <v>352800</v>
      </c>
      <c r="Y51" s="229">
        <f>IF(OR(X51="",X51=0,F51=""),"",F51/(X51/10000))</f>
        <v>5.2721088435374144</v>
      </c>
      <c r="Z51" s="230">
        <f>IF(OR(X51="",X51=0,N51=""),"",N51/(X51/10000))</f>
        <v>6.2358276643990926</v>
      </c>
    </row>
    <row r="52" spans="1:26" x14ac:dyDescent="0.25">
      <c r="A52" s="222" t="str">
        <f>'Preisliste 2012'!A72</f>
        <v>Fronten (Klappe / Türe / DT)</v>
      </c>
      <c r="B52" s="223" t="str">
        <f>'Preisliste 2012'!B72</f>
        <v>Tür</v>
      </c>
      <c r="C52" s="223" t="str">
        <f>'Preisliste 2012'!D72</f>
        <v>420 / 360</v>
      </c>
      <c r="D52" s="223" t="str">
        <f>Aktiv!C217</f>
        <v>Tür</v>
      </c>
      <c r="E52" s="223">
        <f>Aktiv!A217</f>
        <v>5100</v>
      </c>
      <c r="F52" s="224">
        <f>'Preisliste 2012'!E72</f>
        <v>101</v>
      </c>
      <c r="G52" s="224">
        <f>'Preisliste 2012'!F72</f>
        <v>138</v>
      </c>
      <c r="H52" s="224">
        <f>'Preisliste 2012'!G72</f>
        <v>314</v>
      </c>
      <c r="I52" s="224">
        <f>'Preisliste 2012'!H72</f>
        <v>349</v>
      </c>
      <c r="J52" s="224">
        <f>'Preisliste 2012'!I72</f>
        <v>128</v>
      </c>
      <c r="K52" s="224">
        <f>'Preisliste 2012'!J72</f>
        <v>147</v>
      </c>
      <c r="L52" s="224">
        <f>'Preisliste 2012'!K72</f>
        <v>184</v>
      </c>
      <c r="M52" s="224">
        <f>'Preisliste 2012'!L72</f>
        <v>221</v>
      </c>
      <c r="N52" s="225">
        <f>Aktiv!G217</f>
        <v>120</v>
      </c>
      <c r="O52" s="225">
        <f>Aktiv!H217</f>
        <v>141</v>
      </c>
      <c r="P52" s="225">
        <f>Aktiv!I217</f>
        <v>162</v>
      </c>
      <c r="Q52" s="225">
        <f>Aktiv!J217</f>
        <v>350</v>
      </c>
      <c r="R52" s="226">
        <f>IF(OR(F52="",F52=0,N52=""),"",N52/F52-1)</f>
        <v>0.18811881188118806</v>
      </c>
      <c r="S52" s="226">
        <f>IF(OR(G52="",G52=0,O52=""),"",O52/G52-1)</f>
        <v>2.1739130434782705E-2</v>
      </c>
      <c r="T52" s="226">
        <f>IF(OR(I52="",I52=0,Q52=""),"",Q52/I52-1)</f>
        <v>2.8653295128939771E-3</v>
      </c>
      <c r="U52" s="226">
        <f>IF(OR(K52="",K52=0,P52=""),"",P52/K52-1)</f>
        <v>0.1020408163265305</v>
      </c>
      <c r="V52" s="227">
        <f>IF(OR(F52="",F52=0,G52=""),"",G52/F52)</f>
        <v>1.3663366336633664</v>
      </c>
      <c r="W52" s="227">
        <f>IF(OR(N52="",N52=0,O52=""),"",O52/N52)</f>
        <v>1.175</v>
      </c>
      <c r="X52" s="228">
        <f>Aktiv!E217*Aktiv!F217</f>
        <v>151200</v>
      </c>
      <c r="Y52" s="229">
        <f>IF(OR(X52="",X52=0,F52=""),"",F52/(X52/10000))</f>
        <v>6.6798941798941804</v>
      </c>
      <c r="Z52" s="230">
        <f>IF(OR(X52="",X52=0,N52=""),"",N52/(X52/10000))</f>
        <v>7.9365079365079367</v>
      </c>
    </row>
    <row r="53" spans="1:26" x14ac:dyDescent="0.25">
      <c r="A53" s="222" t="str">
        <f>'Preisliste 2012'!A73</f>
        <v>Fronten (Klappe / Türe / DT)</v>
      </c>
      <c r="B53" s="223" t="str">
        <f>'Preisliste 2012'!B73</f>
        <v>Tür</v>
      </c>
      <c r="C53" s="223" t="str">
        <f>'Preisliste 2012'!D73</f>
        <v>420 / 720</v>
      </c>
      <c r="D53" s="223" t="str">
        <f>Aktiv!C218</f>
        <v>Tür</v>
      </c>
      <c r="E53" s="223">
        <f>Aktiv!A218</f>
        <v>5101</v>
      </c>
      <c r="F53" s="224">
        <f>'Preisliste 2012'!E73</f>
        <v>118</v>
      </c>
      <c r="G53" s="224">
        <f>'Preisliste 2012'!F73</f>
        <v>186</v>
      </c>
      <c r="H53" s="224">
        <f>'Preisliste 2012'!G73</f>
        <v>358</v>
      </c>
      <c r="I53" s="224">
        <f>'Preisliste 2012'!H73</f>
        <v>397</v>
      </c>
      <c r="J53" s="224">
        <f>'Preisliste 2012'!I73</f>
        <v>164</v>
      </c>
      <c r="K53" s="224">
        <f>'Preisliste 2012'!J73</f>
        <v>195</v>
      </c>
      <c r="L53" s="224">
        <f>'Preisliste 2012'!K73</f>
        <v>244</v>
      </c>
      <c r="M53" s="224">
        <f>'Preisliste 2012'!L73</f>
        <v>293</v>
      </c>
      <c r="N53" s="225">
        <f>Aktiv!G218</f>
        <v>140</v>
      </c>
      <c r="O53" s="225">
        <f>Aktiv!H218</f>
        <v>186</v>
      </c>
      <c r="P53" s="225">
        <f>Aktiv!I218</f>
        <v>205</v>
      </c>
      <c r="Q53" s="225">
        <f>Aktiv!J218</f>
        <v>397</v>
      </c>
      <c r="R53" s="226">
        <f>IF(OR(F53="",F53=0,N53=""),"",N53/F53-1)</f>
        <v>0.18644067796610164</v>
      </c>
      <c r="S53" s="226">
        <f>IF(OR(G53="",G53=0,O53=""),"",O53/G53-1)</f>
        <v>0</v>
      </c>
      <c r="T53" s="226">
        <f>IF(OR(I53="",I53=0,Q53=""),"",Q53/I53-1)</f>
        <v>0</v>
      </c>
      <c r="U53" s="226">
        <f>IF(OR(K53="",K53=0,P53=""),"",P53/K53-1)</f>
        <v>5.1282051282051322E-2</v>
      </c>
      <c r="V53" s="227">
        <f>IF(OR(F53="",F53=0,G53=""),"",G53/F53)</f>
        <v>1.576271186440678</v>
      </c>
      <c r="W53" s="227">
        <f>IF(OR(N53="",N53=0,O53=""),"",O53/N53)</f>
        <v>1.3285714285714285</v>
      </c>
      <c r="X53" s="228">
        <f>Aktiv!E218*Aktiv!F218</f>
        <v>302400</v>
      </c>
      <c r="Y53" s="229">
        <f>IF(OR(X53="",X53=0,F53=""),"",F53/(X53/10000))</f>
        <v>3.9021164021164023</v>
      </c>
      <c r="Z53" s="230">
        <f>IF(OR(X53="",X53=0,N53=""),"",N53/(X53/10000))</f>
        <v>4.6296296296296298</v>
      </c>
    </row>
    <row r="54" spans="1:26" x14ac:dyDescent="0.25">
      <c r="A54" s="222" t="str">
        <f>'Preisliste 2012'!A74</f>
        <v>Fronten (Klappe / Türe / DT)</v>
      </c>
      <c r="B54" s="223" t="str">
        <f>'Preisliste 2012'!B74</f>
        <v>Tür</v>
      </c>
      <c r="C54" s="223" t="str">
        <f>'Preisliste 2012'!D74</f>
        <v>420 / 1080</v>
      </c>
      <c r="D54" s="223" t="str">
        <f>Aktiv!C219</f>
        <v>Tür</v>
      </c>
      <c r="E54" s="223">
        <f>Aktiv!A219</f>
        <v>5102</v>
      </c>
      <c r="F54" s="224">
        <f>'Preisliste 2012'!E74</f>
        <v>175</v>
      </c>
      <c r="G54" s="224">
        <f>'Preisliste 2012'!F74</f>
        <v>263</v>
      </c>
      <c r="H54" s="224">
        <f>'Preisliste 2012'!G74</f>
        <v>490</v>
      </c>
      <c r="I54" s="224">
        <f>'Preisliste 2012'!H74</f>
        <v>471</v>
      </c>
      <c r="J54" s="224">
        <f>'Preisliste 2012'!I74</f>
        <v>245</v>
      </c>
      <c r="K54" s="224">
        <f>'Preisliste 2012'!J74</f>
        <v>299</v>
      </c>
      <c r="L54" s="224">
        <f>'Preisliste 2012'!K74</f>
        <v>374</v>
      </c>
      <c r="M54" s="224">
        <f>'Preisliste 2012'!L74</f>
        <v>449</v>
      </c>
      <c r="N54" s="225">
        <f>Aktiv!G219</f>
        <v>207</v>
      </c>
      <c r="O54" s="225">
        <f>Aktiv!H219</f>
        <v>257</v>
      </c>
      <c r="P54" s="225">
        <f>Aktiv!I219</f>
        <v>302</v>
      </c>
      <c r="Q54" s="225">
        <f>Aktiv!J219</f>
        <v>469</v>
      </c>
      <c r="R54" s="226">
        <f>IF(OR(F54="",F54=0,N54=""),"",N54/F54-1)</f>
        <v>0.18285714285714283</v>
      </c>
      <c r="S54" s="226">
        <f>IF(OR(G54="",G54=0,O54=""),"",O54/G54-1)</f>
        <v>-2.281368821292773E-2</v>
      </c>
      <c r="T54" s="226">
        <f>IF(OR(I54="",I54=0,Q54=""),"",Q54/I54-1)</f>
        <v>-4.2462845010615702E-3</v>
      </c>
      <c r="U54" s="226">
        <f>IF(OR(K54="",K54=0,P54=""),"",P54/K54-1)</f>
        <v>1.0033444816053505E-2</v>
      </c>
      <c r="V54" s="227">
        <f>IF(OR(F54="",F54=0,G54=""),"",G54/F54)</f>
        <v>1.5028571428571429</v>
      </c>
      <c r="W54" s="227">
        <f>IF(OR(N54="",N54=0,O54=""),"",O54/N54)</f>
        <v>1.2415458937198067</v>
      </c>
      <c r="X54" s="228">
        <f>Aktiv!E219*Aktiv!F219</f>
        <v>453600</v>
      </c>
      <c r="Y54" s="229">
        <f>IF(OR(X54="",X54=0,F54=""),"",F54/(X54/10000))</f>
        <v>3.8580246913580249</v>
      </c>
      <c r="Z54" s="230">
        <f>IF(OR(X54="",X54=0,N54=""),"",N54/(X54/10000))</f>
        <v>4.5634920634920633</v>
      </c>
    </row>
    <row r="55" spans="1:26" x14ac:dyDescent="0.25">
      <c r="A55" s="222" t="str">
        <f>'Preisliste 2012'!A75</f>
        <v>Fronten (Klappe / Türe / DT)</v>
      </c>
      <c r="B55" s="223" t="str">
        <f>'Preisliste 2012'!B75</f>
        <v>Tür</v>
      </c>
      <c r="C55" s="223" t="str">
        <f>'Preisliste 2012'!D75</f>
        <v>420 / 1440</v>
      </c>
      <c r="D55" s="223" t="str">
        <f>Aktiv!C220</f>
        <v>Tür</v>
      </c>
      <c r="E55" s="223">
        <f>Aktiv!A220</f>
        <v>5103</v>
      </c>
      <c r="F55" s="224">
        <f>'Preisliste 2012'!E75</f>
        <v>191</v>
      </c>
      <c r="G55" s="224">
        <f>'Preisliste 2012'!F75</f>
        <v>336</v>
      </c>
      <c r="H55" s="224">
        <f>'Preisliste 2012'!G75</f>
        <v>544</v>
      </c>
      <c r="I55" s="224">
        <f>'Preisliste 2012'!H75</f>
        <v>522</v>
      </c>
      <c r="J55" s="224">
        <f>'Preisliste 2012'!I75</f>
        <v>292</v>
      </c>
      <c r="K55" s="224">
        <f>'Preisliste 2012'!J75</f>
        <v>362</v>
      </c>
      <c r="L55" s="224">
        <f>'Preisliste 2012'!K75</f>
        <v>453</v>
      </c>
      <c r="M55" s="224">
        <f>'Preisliste 2012'!L75</f>
        <v>543</v>
      </c>
      <c r="N55" s="225">
        <f>Aktiv!G220</f>
        <v>226</v>
      </c>
      <c r="O55" s="225">
        <f>Aktiv!H220</f>
        <v>326</v>
      </c>
      <c r="P55" s="225">
        <f>Aktiv!I220</f>
        <v>358</v>
      </c>
      <c r="Q55" s="225">
        <f>Aktiv!J220</f>
        <v>520</v>
      </c>
      <c r="R55" s="226">
        <f>IF(OR(F55="",F55=0,N55=""),"",N55/F55-1)</f>
        <v>0.18324607329842935</v>
      </c>
      <c r="S55" s="226">
        <f>IF(OR(G55="",G55=0,O55=""),"",O55/G55-1)</f>
        <v>-2.9761904761904767E-2</v>
      </c>
      <c r="T55" s="226">
        <f>IF(OR(I55="",I55=0,Q55=""),"",Q55/I55-1)</f>
        <v>-3.8314176245211051E-3</v>
      </c>
      <c r="U55" s="226">
        <f>IF(OR(K55="",K55=0,P55=""),"",P55/K55-1)</f>
        <v>-1.1049723756906049E-2</v>
      </c>
      <c r="V55" s="227">
        <f>IF(OR(F55="",F55=0,G55=""),"",G55/F55)</f>
        <v>1.7591623036649215</v>
      </c>
      <c r="W55" s="227">
        <f>IF(OR(N55="",N55=0,O55=""),"",O55/N55)</f>
        <v>1.4424778761061947</v>
      </c>
      <c r="X55" s="228">
        <f>Aktiv!E220*Aktiv!F220</f>
        <v>604800</v>
      </c>
      <c r="Y55" s="229">
        <f>IF(OR(X55="",X55=0,F55=""),"",F55/(X55/10000))</f>
        <v>3.1580687830687832</v>
      </c>
      <c r="Z55" s="230">
        <f>IF(OR(X55="",X55=0,N55=""),"",N55/(X55/10000))</f>
        <v>3.736772486772487</v>
      </c>
    </row>
    <row r="56" spans="1:26" x14ac:dyDescent="0.25">
      <c r="A56" s="222" t="str">
        <f>'Preisliste 2012'!A76</f>
        <v>Fronten (Klappe / Türe / DT)</v>
      </c>
      <c r="B56" s="223" t="str">
        <f>'Preisliste 2012'!B76</f>
        <v>Tür</v>
      </c>
      <c r="C56" s="223" t="str">
        <f>'Preisliste 2012'!D76</f>
        <v>420 / 1800</v>
      </c>
      <c r="D56" s="223" t="str">
        <f>Aktiv!C221</f>
        <v>Tür</v>
      </c>
      <c r="E56" s="223">
        <f>Aktiv!A221</f>
        <v>5104</v>
      </c>
      <c r="F56" s="224">
        <f>'Preisliste 2012'!E76</f>
        <v>253</v>
      </c>
      <c r="G56" s="224">
        <f>'Preisliste 2012'!F76</f>
        <v>393</v>
      </c>
      <c r="H56" s="224">
        <f>'Preisliste 2012'!G76</f>
        <v>641</v>
      </c>
      <c r="I56" s="224">
        <f>'Preisliste 2012'!H76</f>
        <v>613</v>
      </c>
      <c r="J56" s="224">
        <f>'Preisliste 2012'!I76</f>
        <v>360</v>
      </c>
      <c r="K56" s="224">
        <f>'Preisliste 2012'!J76</f>
        <v>444</v>
      </c>
      <c r="L56" s="224">
        <f>'Preisliste 2012'!K76</f>
        <v>555</v>
      </c>
      <c r="M56" s="224">
        <f>'Preisliste 2012'!L76</f>
        <v>666</v>
      </c>
      <c r="N56" s="225">
        <f>Aktiv!G221</f>
        <v>299</v>
      </c>
      <c r="O56" s="225">
        <f>Aktiv!H221</f>
        <v>462</v>
      </c>
      <c r="P56" s="225">
        <f>Aktiv!I221</f>
        <v>440</v>
      </c>
      <c r="Q56" s="225">
        <f>Aktiv!J221</f>
        <v>609</v>
      </c>
      <c r="R56" s="226">
        <f>IF(OR(F56="",F56=0,N56=""),"",N56/F56-1)</f>
        <v>0.18181818181818188</v>
      </c>
      <c r="S56" s="226">
        <f>IF(OR(G56="",G56=0,O56=""),"",O56/G56-1)</f>
        <v>0.17557251908396942</v>
      </c>
      <c r="T56" s="226">
        <f>IF(OR(I56="",I56=0,Q56=""),"",Q56/I56-1)</f>
        <v>-6.525285481239762E-3</v>
      </c>
      <c r="U56" s="226">
        <f>IF(OR(K56="",K56=0,P56=""),"",P56/K56-1)</f>
        <v>-9.009009009009028E-3</v>
      </c>
      <c r="V56" s="227">
        <f>IF(OR(F56="",F56=0,G56=""),"",G56/F56)</f>
        <v>1.5533596837944663</v>
      </c>
      <c r="W56" s="227">
        <f>IF(OR(N56="",N56=0,O56=""),"",O56/N56)</f>
        <v>1.5451505016722409</v>
      </c>
      <c r="X56" s="228">
        <f>Aktiv!E221*Aktiv!F221</f>
        <v>756000</v>
      </c>
      <c r="Y56" s="229">
        <f>IF(OR(X56="",X56=0,F56=""),"",F56/(X56/10000))</f>
        <v>3.346560846560847</v>
      </c>
      <c r="Z56" s="230">
        <f>IF(OR(X56="",X56=0,N56=""),"",N56/(X56/10000))</f>
        <v>3.9550264550264553</v>
      </c>
    </row>
    <row r="57" spans="1:26" x14ac:dyDescent="0.25">
      <c r="A57" s="222" t="str">
        <f>'Preisliste 2012'!A77</f>
        <v>Fronten (Klappe / Türe / DT)</v>
      </c>
      <c r="B57" s="223" t="str">
        <f>'Preisliste 2012'!B77</f>
        <v>Tür</v>
      </c>
      <c r="C57" s="223" t="str">
        <f>'Preisliste 2012'!D77</f>
        <v>580 / 360</v>
      </c>
      <c r="D57" s="223" t="str">
        <f>Aktiv!C222</f>
        <v>Tür</v>
      </c>
      <c r="E57" s="223">
        <f>Aktiv!A222</f>
        <v>5105</v>
      </c>
      <c r="F57" s="224">
        <f>'Preisliste 2012'!E77</f>
        <v>114</v>
      </c>
      <c r="G57" s="224">
        <f>'Preisliste 2012'!F77</f>
        <v>155</v>
      </c>
      <c r="H57" s="224">
        <f>'Preisliste 2012'!G77</f>
        <v>334</v>
      </c>
      <c r="I57" s="224">
        <f>'Preisliste 2012'!H77</f>
        <v>371</v>
      </c>
      <c r="J57" s="224">
        <f>'Preisliste 2012'!I77</f>
        <v>147</v>
      </c>
      <c r="K57" s="224">
        <f>'Preisliste 2012'!J77</f>
        <v>176</v>
      </c>
      <c r="L57" s="224">
        <f>'Preisliste 2012'!K77</f>
        <v>220</v>
      </c>
      <c r="M57" s="224">
        <f>'Preisliste 2012'!L77</f>
        <v>264</v>
      </c>
      <c r="N57" s="225">
        <f>Aktiv!G222</f>
        <v>135</v>
      </c>
      <c r="O57" s="225">
        <f>Aktiv!H222</f>
        <v>157</v>
      </c>
      <c r="P57" s="225">
        <f>Aktiv!I222</f>
        <v>185</v>
      </c>
      <c r="Q57" s="225">
        <f>Aktiv!J222</f>
        <v>372</v>
      </c>
      <c r="R57" s="226">
        <f>IF(OR(F57="",F57=0,N57=""),"",N57/F57-1)</f>
        <v>0.18421052631578938</v>
      </c>
      <c r="S57" s="226">
        <f>IF(OR(G57="",G57=0,O57=""),"",O57/G57-1)</f>
        <v>1.2903225806451646E-2</v>
      </c>
      <c r="T57" s="226">
        <f>IF(OR(I57="",I57=0,Q57=""),"",Q57/I57-1)</f>
        <v>2.6954177897573484E-3</v>
      </c>
      <c r="U57" s="226">
        <f>IF(OR(K57="",K57=0,P57=""),"",P57/K57-1)</f>
        <v>5.1136363636363535E-2</v>
      </c>
      <c r="V57" s="227">
        <f>IF(OR(F57="",F57=0,G57=""),"",G57/F57)</f>
        <v>1.3596491228070176</v>
      </c>
      <c r="W57" s="227">
        <f>IF(OR(N57="",N57=0,O57=""),"",O57/N57)</f>
        <v>1.162962962962963</v>
      </c>
      <c r="X57" s="228">
        <f>Aktiv!E222*Aktiv!F222</f>
        <v>208800</v>
      </c>
      <c r="Y57" s="229">
        <f>IF(OR(X57="",X57=0,F57=""),"",F57/(X57/10000))</f>
        <v>5.4597701149425291</v>
      </c>
      <c r="Z57" s="230">
        <f>IF(OR(X57="",X57=0,N57=""),"",N57/(X57/10000))</f>
        <v>6.4655172413793105</v>
      </c>
    </row>
    <row r="58" spans="1:26" x14ac:dyDescent="0.25">
      <c r="A58" s="222" t="str">
        <f>'Preisliste 2012'!A78</f>
        <v>Fronten (Klappe / Türe / DT)</v>
      </c>
      <c r="B58" s="223" t="str">
        <f>'Preisliste 2012'!B78</f>
        <v>Tür</v>
      </c>
      <c r="C58" s="223" t="str">
        <f>'Preisliste 2012'!D78</f>
        <v>580 / 720</v>
      </c>
      <c r="D58" s="223" t="str">
        <f>Aktiv!C223</f>
        <v>Tür</v>
      </c>
      <c r="E58" s="223">
        <f>Aktiv!A223</f>
        <v>5106</v>
      </c>
      <c r="F58" s="224">
        <f>'Preisliste 2012'!E78</f>
        <v>156</v>
      </c>
      <c r="G58" s="224">
        <f>'Preisliste 2012'!F78</f>
        <v>232</v>
      </c>
      <c r="H58" s="224">
        <f>'Preisliste 2012'!G78</f>
        <v>385</v>
      </c>
      <c r="I58" s="224">
        <f>'Preisliste 2012'!H78</f>
        <v>428</v>
      </c>
      <c r="J58" s="224">
        <f>'Preisliste 2012'!I78</f>
        <v>220</v>
      </c>
      <c r="K58" s="224">
        <f>'Preisliste 2012'!J78</f>
        <v>268</v>
      </c>
      <c r="L58" s="224">
        <f>'Preisliste 2012'!K78</f>
        <v>335</v>
      </c>
      <c r="M58" s="224">
        <f>'Preisliste 2012'!L78</f>
        <v>402</v>
      </c>
      <c r="N58" s="225">
        <f>Aktiv!G223</f>
        <v>185</v>
      </c>
      <c r="O58" s="225">
        <f>Aktiv!H223</f>
        <v>229</v>
      </c>
      <c r="P58" s="225">
        <f>Aktiv!I223</f>
        <v>272</v>
      </c>
      <c r="Q58" s="225">
        <f>Aktiv!J223</f>
        <v>427</v>
      </c>
      <c r="R58" s="226">
        <f>IF(OR(F58="",F58=0,N58=""),"",N58/F58-1)</f>
        <v>0.1858974358974359</v>
      </c>
      <c r="S58" s="226">
        <f>IF(OR(G58="",G58=0,O58=""),"",O58/G58-1)</f>
        <v>-1.2931034482758674E-2</v>
      </c>
      <c r="T58" s="226">
        <f>IF(OR(I58="",I58=0,Q58=""),"",Q58/I58-1)</f>
        <v>-2.3364485981308691E-3</v>
      </c>
      <c r="U58" s="226">
        <f>IF(OR(K58="",K58=0,P58=""),"",P58/K58-1)</f>
        <v>1.4925373134328401E-2</v>
      </c>
      <c r="V58" s="227">
        <f>IF(OR(F58="",F58=0,G58=""),"",G58/F58)</f>
        <v>1.4871794871794872</v>
      </c>
      <c r="W58" s="227">
        <f>IF(OR(N58="",N58=0,O58=""),"",O58/N58)</f>
        <v>1.2378378378378379</v>
      </c>
      <c r="X58" s="228">
        <f>Aktiv!E223*Aktiv!F223</f>
        <v>417600</v>
      </c>
      <c r="Y58" s="229">
        <f>IF(OR(X58="",X58=0,F58=""),"",F58/(X58/10000))</f>
        <v>3.735632183908046</v>
      </c>
      <c r="Z58" s="230">
        <f>IF(OR(X58="",X58=0,N58=""),"",N58/(X58/10000))</f>
        <v>4.4300766283524906</v>
      </c>
    </row>
    <row r="59" spans="1:26" x14ac:dyDescent="0.25">
      <c r="A59" s="222" t="str">
        <f>'Preisliste 2012'!A79</f>
        <v>Fronten (Klappe / Türe / DT)</v>
      </c>
      <c r="B59" s="223" t="str">
        <f>'Preisliste 2012'!B79</f>
        <v>Tür</v>
      </c>
      <c r="C59" s="223" t="str">
        <f>'Preisliste 2012'!D79</f>
        <v>580 / 1080</v>
      </c>
      <c r="D59" s="223" t="str">
        <f>Aktiv!C224</f>
        <v>Tür</v>
      </c>
      <c r="E59" s="223">
        <f>Aktiv!A224</f>
        <v>5107</v>
      </c>
      <c r="F59" s="224">
        <f>'Preisliste 2012'!E79</f>
        <v>207</v>
      </c>
      <c r="G59" s="224">
        <f>'Preisliste 2012'!F79</f>
        <v>327</v>
      </c>
      <c r="H59" s="224">
        <f>'Preisliste 2012'!G79</f>
        <v>550</v>
      </c>
      <c r="I59" s="224">
        <f>'Preisliste 2012'!H79</f>
        <v>520</v>
      </c>
      <c r="J59" s="224">
        <f>'Preisliste 2012'!I79</f>
        <v>301</v>
      </c>
      <c r="K59" s="224">
        <f>'Preisliste 2012'!J79</f>
        <v>370</v>
      </c>
      <c r="L59" s="224">
        <f>'Preisliste 2012'!K79</f>
        <v>462</v>
      </c>
      <c r="M59" s="224">
        <f>'Preisliste 2012'!L79</f>
        <v>555</v>
      </c>
      <c r="N59" s="225">
        <f>Aktiv!G224</f>
        <v>245</v>
      </c>
      <c r="O59" s="225">
        <f>Aktiv!H224</f>
        <v>317</v>
      </c>
      <c r="P59" s="225">
        <f>Aktiv!I224</f>
        <v>369</v>
      </c>
      <c r="Q59" s="225">
        <f>Aktiv!J224</f>
        <v>518</v>
      </c>
      <c r="R59" s="226">
        <f>IF(OR(F59="",F59=0,N59=""),"",N59/F59-1)</f>
        <v>0.18357487922705307</v>
      </c>
      <c r="S59" s="226">
        <f>IF(OR(G59="",G59=0,O59=""),"",O59/G59-1)</f>
        <v>-3.0581039755351647E-2</v>
      </c>
      <c r="T59" s="226">
        <f>IF(OR(I59="",I59=0,Q59=""),"",Q59/I59-1)</f>
        <v>-3.8461538461538325E-3</v>
      </c>
      <c r="U59" s="226">
        <f>IF(OR(K59="",K59=0,P59=""),"",P59/K59-1)</f>
        <v>-2.7027027027026751E-3</v>
      </c>
      <c r="V59" s="227">
        <f>IF(OR(F59="",F59=0,G59=""),"",G59/F59)</f>
        <v>1.5797101449275361</v>
      </c>
      <c r="W59" s="227">
        <f>IF(OR(N59="",N59=0,O59=""),"",O59/N59)</f>
        <v>1.2938775510204081</v>
      </c>
      <c r="X59" s="228">
        <f>Aktiv!E224*Aktiv!F224</f>
        <v>626400</v>
      </c>
      <c r="Y59" s="229">
        <f>IF(OR(X59="",X59=0,F59=""),"",F59/(X59/10000))</f>
        <v>3.3045977011494254</v>
      </c>
      <c r="Z59" s="230">
        <f>IF(OR(X59="",X59=0,N59=""),"",N59/(X59/10000))</f>
        <v>3.9112388250319285</v>
      </c>
    </row>
    <row r="60" spans="1:26" x14ac:dyDescent="0.25">
      <c r="A60" s="222" t="str">
        <f>'Preisliste 2012'!A80</f>
        <v>Fronten (Klappe / Türe / DT)</v>
      </c>
      <c r="B60" s="223" t="str">
        <f>'Preisliste 2012'!B80</f>
        <v>Tür</v>
      </c>
      <c r="C60" s="223" t="str">
        <f>'Preisliste 2012'!D80</f>
        <v>580 / 1440</v>
      </c>
      <c r="D60" s="223" t="str">
        <f>Aktiv!C225</f>
        <v>Tür</v>
      </c>
      <c r="E60" s="223">
        <f>Aktiv!A225</f>
        <v>5108</v>
      </c>
      <c r="F60" s="224">
        <f>'Preisliste 2012'!E80</f>
        <v>251</v>
      </c>
      <c r="G60" s="224">
        <f>'Preisliste 2012'!F80</f>
        <v>402</v>
      </c>
      <c r="H60" s="224">
        <f>'Preisliste 2012'!G80</f>
        <v>0</v>
      </c>
      <c r="I60" s="224">
        <f>'Preisliste 2012'!H80</f>
        <v>0</v>
      </c>
      <c r="J60" s="224">
        <f>'Preisliste 2012'!I80</f>
        <v>367</v>
      </c>
      <c r="K60" s="224">
        <f>'Preisliste 2012'!J80</f>
        <v>460</v>
      </c>
      <c r="L60" s="224">
        <f>'Preisliste 2012'!K80</f>
        <v>575</v>
      </c>
      <c r="M60" s="224">
        <f>'Preisliste 2012'!L80</f>
        <v>690</v>
      </c>
      <c r="N60" s="225">
        <f>Aktiv!G225</f>
        <v>297</v>
      </c>
      <c r="O60" s="225">
        <f>Aktiv!H225</f>
        <v>386</v>
      </c>
      <c r="P60" s="225">
        <f>Aktiv!I225</f>
        <v>448</v>
      </c>
      <c r="Q60" s="225">
        <f>Aktiv!J225</f>
        <v>691</v>
      </c>
      <c r="R60" s="226">
        <f>IF(OR(F60="",F60=0,N60=""),"",N60/F60-1)</f>
        <v>0.18326693227091639</v>
      </c>
      <c r="S60" s="226">
        <f>IF(OR(G60="",G60=0,O60=""),"",O60/G60-1)</f>
        <v>-3.9800995024875663E-2</v>
      </c>
      <c r="T60" s="226" t="str">
        <f>IF(OR(I60="",I60=0,Q60=""),"",Q60/I60-1)</f>
        <v/>
      </c>
      <c r="U60" s="226">
        <f>IF(OR(K60="",K60=0,P60=""),"",P60/K60-1)</f>
        <v>-2.6086956521739091E-2</v>
      </c>
      <c r="V60" s="227">
        <f>IF(OR(F60="",F60=0,G60=""),"",G60/F60)</f>
        <v>1.6015936254980079</v>
      </c>
      <c r="W60" s="227">
        <f>IF(OR(N60="",N60=0,O60=""),"",O60/N60)</f>
        <v>1.2996632996632997</v>
      </c>
      <c r="X60" s="228">
        <f>Aktiv!E225*Aktiv!F225</f>
        <v>835200</v>
      </c>
      <c r="Y60" s="229">
        <f>IF(OR(X60="",X60=0,F60=""),"",F60/(X60/10000))</f>
        <v>3.0052681992337167</v>
      </c>
      <c r="Z60" s="230">
        <f>IF(OR(X60="",X60=0,N60=""),"",N60/(X60/10000))</f>
        <v>3.556034482758621</v>
      </c>
    </row>
    <row r="61" spans="1:26" x14ac:dyDescent="0.25">
      <c r="A61" s="222" t="str">
        <f>'Preisliste 2012'!A81</f>
        <v>Fronten (Klappe / Türe / DT)</v>
      </c>
      <c r="B61" s="223" t="str">
        <f>'Preisliste 2012'!B81</f>
        <v>Tür</v>
      </c>
      <c r="C61" s="223" t="str">
        <f>'Preisliste 2012'!D81</f>
        <v>580 / 1800</v>
      </c>
      <c r="D61" s="223" t="str">
        <f>Aktiv!C226</f>
        <v>Tür</v>
      </c>
      <c r="E61" s="223">
        <f>Aktiv!A226</f>
        <v>5109</v>
      </c>
      <c r="F61" s="224">
        <f>'Preisliste 2012'!E81</f>
        <v>310</v>
      </c>
      <c r="G61" s="224">
        <f>'Preisliste 2012'!F81</f>
        <v>497</v>
      </c>
      <c r="H61" s="224">
        <f>'Preisliste 2012'!G81</f>
        <v>0</v>
      </c>
      <c r="I61" s="224">
        <f>'Preisliste 2012'!H81</f>
        <v>0</v>
      </c>
      <c r="J61" s="224">
        <f>'Preisliste 2012'!I81</f>
        <v>453</v>
      </c>
      <c r="K61" s="224">
        <f>'Preisliste 2012'!J81</f>
        <v>569</v>
      </c>
      <c r="L61" s="224">
        <f>'Preisliste 2012'!K81</f>
        <v>711</v>
      </c>
      <c r="M61" s="224">
        <f>'Preisliste 2012'!L81</f>
        <v>854</v>
      </c>
      <c r="N61" s="225">
        <f>Aktiv!G226</f>
        <v>367</v>
      </c>
      <c r="O61" s="225">
        <f>Aktiv!H226</f>
        <v>566</v>
      </c>
      <c r="P61" s="225">
        <f>Aktiv!I226</f>
        <v>551</v>
      </c>
      <c r="Q61" s="225">
        <f>Aktiv!J226</f>
        <v>850</v>
      </c>
      <c r="R61" s="226">
        <f>IF(OR(F61="",F61=0,N61=""),"",N61/F61-1)</f>
        <v>0.18387096774193545</v>
      </c>
      <c r="S61" s="226">
        <f>IF(OR(G61="",G61=0,O61=""),"",O61/G61-1)</f>
        <v>0.13883299798792748</v>
      </c>
      <c r="T61" s="226" t="str">
        <f>IF(OR(I61="",I61=0,Q61=""),"",Q61/I61-1)</f>
        <v/>
      </c>
      <c r="U61" s="226">
        <f>IF(OR(K61="",K61=0,P61=""),"",P61/K61-1)</f>
        <v>-3.1634446397188043E-2</v>
      </c>
      <c r="V61" s="227">
        <f>IF(OR(F61="",F61=0,G61=""),"",G61/F61)</f>
        <v>1.6032258064516129</v>
      </c>
      <c r="W61" s="227">
        <f>IF(OR(N61="",N61=0,O61=""),"",O61/N61)</f>
        <v>1.542234332425068</v>
      </c>
      <c r="X61" s="228">
        <f>Aktiv!E226*Aktiv!F226</f>
        <v>1044000</v>
      </c>
      <c r="Y61" s="229">
        <f>IF(OR(X61="",X61=0,F61=""),"",F61/(X61/10000))</f>
        <v>2.9693486590038312</v>
      </c>
      <c r="Z61" s="230">
        <f>IF(OR(X61="",X61=0,N61=""),"",N61/(X61/10000))</f>
        <v>3.515325670498084</v>
      </c>
    </row>
    <row r="62" spans="1:26" x14ac:dyDescent="0.25">
      <c r="A62" s="222" t="str">
        <f>'Preisliste 2012'!A82</f>
        <v>Fronten (Klappe / Türe / DT)</v>
      </c>
      <c r="B62" s="223" t="str">
        <f>'Preisliste 2012'!B82</f>
        <v>Doppeltür</v>
      </c>
      <c r="C62" s="223" t="str">
        <f>'Preisliste 2012'!D82</f>
        <v>780 / 360</v>
      </c>
      <c r="D62" s="223" t="str">
        <f>Aktiv!C230</f>
        <v>Doppeltür</v>
      </c>
      <c r="E62" s="223">
        <f>Aktiv!A230</f>
        <v>5200</v>
      </c>
      <c r="F62" s="224">
        <f>'Preisliste 2012'!E82</f>
        <v>190</v>
      </c>
      <c r="G62" s="224">
        <f>'Preisliste 2012'!F82</f>
        <v>258</v>
      </c>
      <c r="H62" s="224">
        <f>'Preisliste 2012'!G82</f>
        <v>574</v>
      </c>
      <c r="I62" s="224">
        <f>'Preisliste 2012'!H82</f>
        <v>638</v>
      </c>
      <c r="J62" s="224">
        <f>'Preisliste 2012'!I82</f>
        <v>241</v>
      </c>
      <c r="K62" s="224">
        <f>'Preisliste 2012'!J82</f>
        <v>274</v>
      </c>
      <c r="L62" s="224">
        <f>'Preisliste 2012'!K82</f>
        <v>343</v>
      </c>
      <c r="M62" s="224">
        <f>'Preisliste 2012'!L82</f>
        <v>411</v>
      </c>
      <c r="N62" s="225">
        <f>Aktiv!G230</f>
        <v>224</v>
      </c>
      <c r="O62" s="225">
        <f>Aktiv!H230</f>
        <v>264</v>
      </c>
      <c r="P62" s="225">
        <f>Aktiv!I230</f>
        <v>301</v>
      </c>
      <c r="Q62" s="225">
        <f>Aktiv!J230</f>
        <v>642</v>
      </c>
      <c r="R62" s="226">
        <f>IF(OR(F62="",F62=0,N62=""),"",N62/F62-1)</f>
        <v>0.17894736842105252</v>
      </c>
      <c r="S62" s="226">
        <f>IF(OR(G62="",G62=0,O62=""),"",O62/G62-1)</f>
        <v>2.3255813953488413E-2</v>
      </c>
      <c r="T62" s="226">
        <f>IF(OR(I62="",I62=0,Q62=""),"",Q62/I62-1)</f>
        <v>6.2695924764890609E-3</v>
      </c>
      <c r="U62" s="226">
        <f>IF(OR(K62="",K62=0,P62=""),"",P62/K62-1)</f>
        <v>9.8540145985401395E-2</v>
      </c>
      <c r="V62" s="227">
        <f>IF(OR(F62="",F62=0,G62=""),"",G62/F62)</f>
        <v>1.3578947368421053</v>
      </c>
      <c r="W62" s="227">
        <f>IF(OR(N62="",N62=0,O62=""),"",O62/N62)</f>
        <v>1.1785714285714286</v>
      </c>
      <c r="X62" s="228">
        <f>Aktiv!E230*Aktiv!F230</f>
        <v>280800</v>
      </c>
      <c r="Y62" s="229">
        <f>IF(OR(X62="",X62=0,F62=""),"",F62/(X62/10000))</f>
        <v>6.7663817663817669</v>
      </c>
      <c r="Z62" s="230">
        <f>IF(OR(X62="",X62=0,N62=""),"",N62/(X62/10000))</f>
        <v>7.9772079772079776</v>
      </c>
    </row>
    <row r="63" spans="1:26" x14ac:dyDescent="0.25">
      <c r="A63" s="222" t="str">
        <f>'Preisliste 2012'!A83</f>
        <v>Fronten (Klappe / Türe / DT)</v>
      </c>
      <c r="B63" s="223" t="str">
        <f>'Preisliste 2012'!B83</f>
        <v>Doppeltür</v>
      </c>
      <c r="C63" s="223" t="str">
        <f>'Preisliste 2012'!D83</f>
        <v>780 / 720</v>
      </c>
      <c r="D63" s="223" t="str">
        <f>Aktiv!C232</f>
        <v>Doppeltür</v>
      </c>
      <c r="E63" s="223">
        <f>Aktiv!A232</f>
        <v>5201</v>
      </c>
      <c r="F63" s="224">
        <f>'Preisliste 2012'!E83</f>
        <v>234</v>
      </c>
      <c r="G63" s="224">
        <f>'Preisliste 2012'!F83</f>
        <v>345</v>
      </c>
      <c r="H63" s="224">
        <f>'Preisliste 2012'!G83</f>
        <v>598</v>
      </c>
      <c r="I63" s="224">
        <f>'Preisliste 2012'!H83</f>
        <v>664</v>
      </c>
      <c r="J63" s="224">
        <f>'Preisliste 2012'!I83</f>
        <v>307</v>
      </c>
      <c r="K63" s="224">
        <f>'Preisliste 2012'!J83</f>
        <v>365</v>
      </c>
      <c r="L63" s="224">
        <f>'Preisliste 2012'!K83</f>
        <v>456</v>
      </c>
      <c r="M63" s="224">
        <f>'Preisliste 2012'!L83</f>
        <v>548</v>
      </c>
      <c r="N63" s="225">
        <f>Aktiv!G232</f>
        <v>276</v>
      </c>
      <c r="O63" s="225">
        <f>Aktiv!H232</f>
        <v>348</v>
      </c>
      <c r="P63" s="225">
        <f>Aktiv!I232</f>
        <v>381</v>
      </c>
      <c r="Q63" s="225">
        <f>Aktiv!J232</f>
        <v>667</v>
      </c>
      <c r="R63" s="226">
        <f>IF(OR(F63="",F63=0,N63=""),"",N63/F63-1)</f>
        <v>0.17948717948717952</v>
      </c>
      <c r="S63" s="226">
        <f>IF(OR(G63="",G63=0,O63=""),"",O63/G63-1)</f>
        <v>8.6956521739129933E-3</v>
      </c>
      <c r="T63" s="226">
        <f>IF(OR(I63="",I63=0,Q63=""),"",Q63/I63-1)</f>
        <v>4.5180722891566827E-3</v>
      </c>
      <c r="U63" s="226">
        <f>IF(OR(K63="",K63=0,P63=""),"",P63/K63-1)</f>
        <v>4.3835616438356206E-2</v>
      </c>
      <c r="V63" s="227">
        <f>IF(OR(F63="",F63=0,G63=""),"",G63/F63)</f>
        <v>1.4743589743589745</v>
      </c>
      <c r="W63" s="227">
        <f>IF(OR(N63="",N63=0,O63=""),"",O63/N63)</f>
        <v>1.2608695652173914</v>
      </c>
      <c r="X63" s="228">
        <f>Aktiv!E232*Aktiv!F232</f>
        <v>561600</v>
      </c>
      <c r="Y63" s="229">
        <f>IF(OR(X63="",X63=0,F63=""),"",F63/(X63/10000))</f>
        <v>4.166666666666667</v>
      </c>
      <c r="Z63" s="230">
        <f>IF(OR(X63="",X63=0,N63=""),"",N63/(X63/10000))</f>
        <v>4.9145299145299148</v>
      </c>
    </row>
    <row r="64" spans="1:26" x14ac:dyDescent="0.25">
      <c r="A64" s="222" t="str">
        <f>'Preisliste 2012'!A84</f>
        <v>Fronten (Klappe / Türe / DT)</v>
      </c>
      <c r="B64" s="223" t="str">
        <f>'Preisliste 2012'!B84</f>
        <v>Doppeltür</v>
      </c>
      <c r="C64" s="223" t="str">
        <f>'Preisliste 2012'!D84</f>
        <v>780 / 1080</v>
      </c>
      <c r="D64" s="223" t="str">
        <f>Aktiv!C233</f>
        <v>Doppeltür</v>
      </c>
      <c r="E64" s="223">
        <f>Aktiv!A233</f>
        <v>5202</v>
      </c>
      <c r="F64" s="224">
        <f>'Preisliste 2012'!E84</f>
        <v>345</v>
      </c>
      <c r="G64" s="224">
        <f>'Preisliste 2012'!F84</f>
        <v>518</v>
      </c>
      <c r="H64" s="224">
        <f>'Preisliste 2012'!G84</f>
        <v>863</v>
      </c>
      <c r="I64" s="224">
        <f>'Preisliste 2012'!H84</f>
        <v>840</v>
      </c>
      <c r="J64" s="224">
        <f>'Preisliste 2012'!I84</f>
        <v>457</v>
      </c>
      <c r="K64" s="224">
        <f>'Preisliste 2012'!J84</f>
        <v>555</v>
      </c>
      <c r="L64" s="224">
        <f>'Preisliste 2012'!K84</f>
        <v>694</v>
      </c>
      <c r="M64" s="224">
        <f>'Preisliste 2012'!L84</f>
        <v>833</v>
      </c>
      <c r="N64" s="225">
        <f>Aktiv!G233</f>
        <v>408</v>
      </c>
      <c r="O64" s="225">
        <f>Aktiv!H233</f>
        <v>516</v>
      </c>
      <c r="P64" s="225">
        <f>Aktiv!I233</f>
        <v>562</v>
      </c>
      <c r="Q64" s="225">
        <f>Aktiv!J233</f>
        <v>843</v>
      </c>
      <c r="R64" s="226">
        <f>IF(OR(F64="",F64=0,N64=""),"",N64/F64-1)</f>
        <v>0.18260869565217397</v>
      </c>
      <c r="S64" s="226">
        <f>IF(OR(G64="",G64=0,O64=""),"",O64/G64-1)</f>
        <v>-3.8610038610038533E-3</v>
      </c>
      <c r="T64" s="226">
        <f>IF(OR(I64="",I64=0,Q64=""),"",Q64/I64-1)</f>
        <v>3.5714285714285587E-3</v>
      </c>
      <c r="U64" s="226">
        <f>IF(OR(K64="",K64=0,P64=""),"",P64/K64-1)</f>
        <v>1.2612612612612706E-2</v>
      </c>
      <c r="V64" s="227">
        <f>IF(OR(F64="",F64=0,G64=""),"",G64/F64)</f>
        <v>1.5014492753623188</v>
      </c>
      <c r="W64" s="227">
        <f>IF(OR(N64="",N64=0,O64=""),"",O64/N64)</f>
        <v>1.2647058823529411</v>
      </c>
      <c r="X64" s="228">
        <f>Aktiv!E233*Aktiv!F233</f>
        <v>842400</v>
      </c>
      <c r="Y64" s="229">
        <f>IF(OR(X64="",X64=0,F64=""),"",F64/(X64/10000))</f>
        <v>4.0954415954415957</v>
      </c>
      <c r="Z64" s="230">
        <f>IF(OR(X64="",X64=0,N64=""),"",N64/(X64/10000))</f>
        <v>4.8433048433048436</v>
      </c>
    </row>
    <row r="65" spans="1:26" x14ac:dyDescent="0.25">
      <c r="A65" s="222" t="str">
        <f>'Preisliste 2012'!A85</f>
        <v>Fronten (Klappe / Türe / DT)</v>
      </c>
      <c r="B65" s="223" t="str">
        <f>'Preisliste 2012'!B85</f>
        <v>Doppeltür</v>
      </c>
      <c r="C65" s="223" t="str">
        <f>'Preisliste 2012'!D85</f>
        <v>780 / 1440</v>
      </c>
      <c r="D65" s="223" t="str">
        <f>Aktiv!C234</f>
        <v>Doppeltür</v>
      </c>
      <c r="E65" s="223">
        <f>Aktiv!A234</f>
        <v>5203</v>
      </c>
      <c r="F65" s="224">
        <f>'Preisliste 2012'!E85</f>
        <v>403</v>
      </c>
      <c r="G65" s="224">
        <f>'Preisliste 2012'!F85</f>
        <v>627</v>
      </c>
      <c r="H65" s="224">
        <f>'Preisliste 2012'!G85</f>
        <v>980</v>
      </c>
      <c r="I65" s="224">
        <f>'Preisliste 2012'!H85</f>
        <v>934</v>
      </c>
      <c r="J65" s="224">
        <f>'Preisliste 2012'!I85</f>
        <v>548</v>
      </c>
      <c r="K65" s="224">
        <f>'Preisliste 2012'!J85</f>
        <v>675</v>
      </c>
      <c r="L65" s="224">
        <f>'Preisliste 2012'!K85</f>
        <v>844</v>
      </c>
      <c r="M65" s="224">
        <f>'Preisliste 2012'!L85</f>
        <v>1013</v>
      </c>
      <c r="N65" s="225">
        <f>Aktiv!G234</f>
        <v>477</v>
      </c>
      <c r="O65" s="225">
        <f>Aktiv!H234</f>
        <v>621</v>
      </c>
      <c r="P65" s="225">
        <f>Aktiv!I234</f>
        <v>671</v>
      </c>
      <c r="Q65" s="225">
        <f>Aktiv!J234</f>
        <v>936</v>
      </c>
      <c r="R65" s="226">
        <f>IF(OR(F65="",F65=0,N65=""),"",N65/F65-1)</f>
        <v>0.18362282878411906</v>
      </c>
      <c r="S65" s="226">
        <f>IF(OR(G65="",G65=0,O65=""),"",O65/G65-1)</f>
        <v>-9.5693779904306719E-3</v>
      </c>
      <c r="T65" s="226">
        <f>IF(OR(I65="",I65=0,Q65=""),"",Q65/I65-1)</f>
        <v>2.1413276231263545E-3</v>
      </c>
      <c r="U65" s="226">
        <f>IF(OR(K65="",K65=0,P65=""),"",P65/K65-1)</f>
        <v>-5.9259259259258901E-3</v>
      </c>
      <c r="V65" s="227">
        <f>IF(OR(F65="",F65=0,G65=""),"",G65/F65)</f>
        <v>1.5558312655086848</v>
      </c>
      <c r="W65" s="227">
        <f>IF(OR(N65="",N65=0,O65=""),"",O65/N65)</f>
        <v>1.3018867924528301</v>
      </c>
      <c r="X65" s="228">
        <f>Aktiv!E234*Aktiv!F234</f>
        <v>1123200</v>
      </c>
      <c r="Y65" s="229">
        <f>IF(OR(X65="",X65=0,F65=""),"",F65/(X65/10000))</f>
        <v>3.5879629629629632</v>
      </c>
      <c r="Z65" s="230">
        <f>IF(OR(X65="",X65=0,N65=""),"",N65/(X65/10000))</f>
        <v>4.2467948717948723</v>
      </c>
    </row>
    <row r="66" spans="1:26" x14ac:dyDescent="0.25">
      <c r="A66" s="222" t="str">
        <f>'Preisliste 2012'!A86</f>
        <v>Fronten (Klappe / Türe / DT)</v>
      </c>
      <c r="B66" s="223" t="str">
        <f>'Preisliste 2012'!B86</f>
        <v>Doppeltür</v>
      </c>
      <c r="C66" s="223" t="str">
        <f>'Preisliste 2012'!D86</f>
        <v>780 / 1800</v>
      </c>
      <c r="D66" s="223" t="str">
        <f>Aktiv!C235</f>
        <v>Doppeltür</v>
      </c>
      <c r="E66" s="223">
        <f>Aktiv!A235</f>
        <v>5204</v>
      </c>
      <c r="F66" s="224">
        <f>'Preisliste 2012'!E86</f>
        <v>497</v>
      </c>
      <c r="G66" s="224">
        <f>'Preisliste 2012'!F86</f>
        <v>761</v>
      </c>
      <c r="H66" s="224">
        <f>'Preisliste 2012'!G86</f>
        <v>1166</v>
      </c>
      <c r="I66" s="224">
        <f>'Preisliste 2012'!H86</f>
        <v>1106</v>
      </c>
      <c r="J66" s="224">
        <f>'Preisliste 2012'!I86</f>
        <v>675</v>
      </c>
      <c r="K66" s="224">
        <f>'Preisliste 2012'!J86</f>
        <v>832</v>
      </c>
      <c r="L66" s="224">
        <f>'Preisliste 2012'!K86</f>
        <v>1041</v>
      </c>
      <c r="M66" s="224">
        <f>'Preisliste 2012'!L86</f>
        <v>1248</v>
      </c>
      <c r="N66" s="225">
        <f>Aktiv!G235</f>
        <v>588</v>
      </c>
      <c r="O66" s="225">
        <f>Aktiv!H235</f>
        <v>947</v>
      </c>
      <c r="P66" s="225">
        <f>Aktiv!I235</f>
        <v>825</v>
      </c>
      <c r="Q66" s="225">
        <f>Aktiv!J235</f>
        <v>1107</v>
      </c>
      <c r="R66" s="226">
        <f>IF(OR(F66="",F66=0,N66=""),"",N66/F66-1)</f>
        <v>0.18309859154929575</v>
      </c>
      <c r="S66" s="226">
        <f>IF(OR(G66="",G66=0,O66=""),"",O66/G66-1)</f>
        <v>0.24441524310118257</v>
      </c>
      <c r="T66" s="226">
        <f>IF(OR(I66="",I66=0,Q66=""),"",Q66/I66-1)</f>
        <v>9.0415913200714293E-4</v>
      </c>
      <c r="U66" s="226">
        <f>IF(OR(K66="",K66=0,P66=""),"",P66/K66-1)</f>
        <v>-8.4134615384615641E-3</v>
      </c>
      <c r="V66" s="227">
        <f>IF(OR(F66="",F66=0,G66=""),"",G66/F66)</f>
        <v>1.5311871227364184</v>
      </c>
      <c r="W66" s="227">
        <f>IF(OR(N66="",N66=0,O66=""),"",O66/N66)</f>
        <v>1.6105442176870748</v>
      </c>
      <c r="X66" s="228">
        <f>Aktiv!E235*Aktiv!F235</f>
        <v>1404000</v>
      </c>
      <c r="Y66" s="229">
        <f>IF(OR(X66="",X66=0,F66=""),"",F66/(X66/10000))</f>
        <v>3.5398860398860399</v>
      </c>
      <c r="Z66" s="230">
        <f>IF(OR(X66="",X66=0,N66=""),"",N66/(X66/10000))</f>
        <v>4.1880341880341883</v>
      </c>
    </row>
    <row r="67" spans="1:26" x14ac:dyDescent="0.25">
      <c r="A67" s="222" t="str">
        <f>'Preisliste 2012'!A87</f>
        <v>Fronten (Klappe / Türe / DT)</v>
      </c>
      <c r="B67" s="223" t="str">
        <f>'Preisliste 2012'!B87</f>
        <v>Doppeltür</v>
      </c>
      <c r="C67" s="223" t="str">
        <f>'Preisliste 2012'!D87</f>
        <v>980 / 360</v>
      </c>
      <c r="D67" s="223" t="str">
        <f>Aktiv!C236</f>
        <v>Doppeltür</v>
      </c>
      <c r="E67" s="223">
        <f>Aktiv!A236</f>
        <v>5205</v>
      </c>
      <c r="F67" s="224">
        <f>'Preisliste 2012'!E87</f>
        <v>200</v>
      </c>
      <c r="G67" s="224">
        <f>'Preisliste 2012'!F87</f>
        <v>287</v>
      </c>
      <c r="H67" s="224">
        <f>'Preisliste 2012'!G87</f>
        <v>588</v>
      </c>
      <c r="I67" s="224">
        <f>'Preisliste 2012'!H87</f>
        <v>653</v>
      </c>
      <c r="J67" s="224">
        <f>'Preisliste 2012'!I87</f>
        <v>263</v>
      </c>
      <c r="K67" s="224">
        <f>'Preisliste 2012'!J87</f>
        <v>305</v>
      </c>
      <c r="L67" s="224">
        <f>'Preisliste 2012'!K87</f>
        <v>382</v>
      </c>
      <c r="M67" s="224">
        <f>'Preisliste 2012'!L87</f>
        <v>458</v>
      </c>
      <c r="N67" s="225">
        <f>Aktiv!G236</f>
        <v>237</v>
      </c>
      <c r="O67" s="225">
        <f>Aktiv!H236</f>
        <v>292</v>
      </c>
      <c r="P67" s="225">
        <f>Aktiv!I236</f>
        <v>327</v>
      </c>
      <c r="Q67" s="225">
        <f>Aktiv!J236</f>
        <v>657</v>
      </c>
      <c r="R67" s="226">
        <f>IF(OR(F67="",F67=0,N67=""),"",N67/F67-1)</f>
        <v>0.18500000000000005</v>
      </c>
      <c r="S67" s="226">
        <f>IF(OR(G67="",G67=0,O67=""),"",O67/G67-1)</f>
        <v>1.7421602787456525E-2</v>
      </c>
      <c r="T67" s="226">
        <f>IF(OR(I67="",I67=0,Q67=""),"",Q67/I67-1)</f>
        <v>6.1255742725880857E-3</v>
      </c>
      <c r="U67" s="226">
        <f>IF(OR(K67="",K67=0,P67=""),"",P67/K67-1)</f>
        <v>7.2131147540983598E-2</v>
      </c>
      <c r="V67" s="227">
        <f>IF(OR(F67="",F67=0,G67=""),"",G67/F67)</f>
        <v>1.4350000000000001</v>
      </c>
      <c r="W67" s="227">
        <f>IF(OR(N67="",N67=0,O67=""),"",O67/N67)</f>
        <v>1.2320675105485233</v>
      </c>
      <c r="X67" s="228">
        <f>Aktiv!E236*Aktiv!F236</f>
        <v>352800</v>
      </c>
      <c r="Y67" s="229">
        <f>IF(OR(X67="",X67=0,F67=""),"",F67/(X67/10000))</f>
        <v>5.6689342403628116</v>
      </c>
      <c r="Z67" s="230">
        <f>IF(OR(X67="",X67=0,N67=""),"",N67/(X67/10000))</f>
        <v>6.7176870748299313</v>
      </c>
    </row>
    <row r="68" spans="1:26" x14ac:dyDescent="0.25">
      <c r="A68" s="222" t="str">
        <f>'Preisliste 2012'!A88</f>
        <v>Fronten (Klappe / Türe / DT)</v>
      </c>
      <c r="B68" s="223" t="str">
        <f>'Preisliste 2012'!B88</f>
        <v>Doppeltür</v>
      </c>
      <c r="C68" s="223" t="str">
        <f>'Preisliste 2012'!D88</f>
        <v>980 / 720</v>
      </c>
      <c r="D68" s="223" t="str">
        <f>Aktiv!C237</f>
        <v>Doppeltür</v>
      </c>
      <c r="E68" s="223">
        <f>Aktiv!A237</f>
        <v>5206</v>
      </c>
      <c r="F68" s="224">
        <f>'Preisliste 2012'!E88</f>
        <v>279</v>
      </c>
      <c r="G68" s="224">
        <f>'Preisliste 2012'!F88</f>
        <v>422</v>
      </c>
      <c r="H68" s="224">
        <f>'Preisliste 2012'!G88</f>
        <v>625</v>
      </c>
      <c r="I68" s="224">
        <f>'Preisliste 2012'!H88</f>
        <v>695</v>
      </c>
      <c r="J68" s="224">
        <f>'Preisliste 2012'!I88</f>
        <v>377</v>
      </c>
      <c r="K68" s="224">
        <f>'Preisliste 2012'!J88</f>
        <v>457</v>
      </c>
      <c r="L68" s="224">
        <f>'Preisliste 2012'!K88</f>
        <v>571</v>
      </c>
      <c r="M68" s="224">
        <f>'Preisliste 2012'!L88</f>
        <v>656</v>
      </c>
      <c r="N68" s="225">
        <f>Aktiv!G237</f>
        <v>330</v>
      </c>
      <c r="O68" s="225">
        <f>Aktiv!H237</f>
        <v>423</v>
      </c>
      <c r="P68" s="225">
        <f>Aktiv!I237</f>
        <v>465</v>
      </c>
      <c r="Q68" s="225">
        <f>Aktiv!J237</f>
        <v>699</v>
      </c>
      <c r="R68" s="226">
        <f>IF(OR(F68="",F68=0,N68=""),"",N68/F68-1)</f>
        <v>0.18279569892473124</v>
      </c>
      <c r="S68" s="226">
        <f>IF(OR(G68="",G68=0,O68=""),"",O68/G68-1)</f>
        <v>2.3696682464455776E-3</v>
      </c>
      <c r="T68" s="226">
        <f>IF(OR(I68="",I68=0,Q68=""),"",Q68/I68-1)</f>
        <v>5.7553956834532904E-3</v>
      </c>
      <c r="U68" s="226">
        <f>IF(OR(K68="",K68=0,P68=""),"",P68/K68-1)</f>
        <v>1.7505470459518557E-2</v>
      </c>
      <c r="V68" s="227">
        <f>IF(OR(F68="",F68=0,G68=""),"",G68/F68)</f>
        <v>1.5125448028673836</v>
      </c>
      <c r="W68" s="227">
        <f>IF(OR(N68="",N68=0,O68=""),"",O68/N68)</f>
        <v>1.2818181818181817</v>
      </c>
      <c r="X68" s="228">
        <f>Aktiv!E237*Aktiv!F237</f>
        <v>705600</v>
      </c>
      <c r="Y68" s="229">
        <f>IF(OR(X68="",X68=0,F68=""),"",F68/(X68/10000))</f>
        <v>3.954081632653061</v>
      </c>
      <c r="Z68" s="230">
        <f>IF(OR(X68="",X68=0,N68=""),"",N68/(X68/10000))</f>
        <v>4.6768707482993195</v>
      </c>
    </row>
    <row r="69" spans="1:26" x14ac:dyDescent="0.25">
      <c r="A69" s="222" t="str">
        <f>'Preisliste 2012'!A89</f>
        <v>Fronten (Klappe / Türe / DT)</v>
      </c>
      <c r="B69" s="223" t="str">
        <f>'Preisliste 2012'!B89</f>
        <v>Doppeltür</v>
      </c>
      <c r="C69" s="223" t="str">
        <f>'Preisliste 2012'!D89</f>
        <v>980 / 1080</v>
      </c>
      <c r="D69" s="223" t="str">
        <f>Aktiv!C238</f>
        <v>Doppeltür</v>
      </c>
      <c r="E69" s="223">
        <f>Aktiv!A238</f>
        <v>5207</v>
      </c>
      <c r="F69" s="224">
        <f>'Preisliste 2012'!E89</f>
        <v>389</v>
      </c>
      <c r="G69" s="224">
        <f>'Preisliste 2012'!F89</f>
        <v>593</v>
      </c>
      <c r="H69" s="224">
        <f>'Preisliste 2012'!G89</f>
        <v>0</v>
      </c>
      <c r="I69" s="224">
        <f>'Preisliste 2012'!H89</f>
        <v>0</v>
      </c>
      <c r="J69" s="224">
        <f>'Preisliste 2012'!I89</f>
        <v>526</v>
      </c>
      <c r="K69" s="224">
        <f>'Preisliste 2012'!J89</f>
        <v>648</v>
      </c>
      <c r="L69" s="224">
        <f>'Preisliste 2012'!K89</f>
        <v>810</v>
      </c>
      <c r="M69" s="224">
        <f>'Preisliste 2012'!L89</f>
        <v>972</v>
      </c>
      <c r="N69" s="225">
        <f>Aktiv!G238</f>
        <v>460</v>
      </c>
      <c r="O69" s="225">
        <f>Aktiv!H238</f>
        <v>588</v>
      </c>
      <c r="P69" s="225">
        <f>Aktiv!I238</f>
        <v>645</v>
      </c>
      <c r="Q69" s="225">
        <f>Aktiv!J238</f>
        <v>998</v>
      </c>
      <c r="R69" s="226">
        <f>IF(OR(F69="",F69=0,N69=""),"",N69/F69-1)</f>
        <v>0.18251928020565544</v>
      </c>
      <c r="S69" s="226">
        <f>IF(OR(G69="",G69=0,O69=""),"",O69/G69-1)</f>
        <v>-8.4317032040471807E-3</v>
      </c>
      <c r="T69" s="226" t="str">
        <f>IF(OR(I69="",I69=0,Q69=""),"",Q69/I69-1)</f>
        <v/>
      </c>
      <c r="U69" s="226">
        <f>IF(OR(K69="",K69=0,P69=""),"",P69/K69-1)</f>
        <v>-4.6296296296296502E-3</v>
      </c>
      <c r="V69" s="227">
        <f>IF(OR(F69="",F69=0,G69=""),"",G69/F69)</f>
        <v>1.5244215938303343</v>
      </c>
      <c r="W69" s="227">
        <f>IF(OR(N69="",N69=0,O69=""),"",O69/N69)</f>
        <v>1.2782608695652173</v>
      </c>
      <c r="X69" s="228">
        <f>Aktiv!E238*Aktiv!F238</f>
        <v>1058400</v>
      </c>
      <c r="Y69" s="229">
        <f>IF(OR(X69="",X69=0,F69=""),"",F69/(X69/10000))</f>
        <v>3.6753590325018894</v>
      </c>
      <c r="Z69" s="230">
        <f>IF(OR(X69="",X69=0,N69=""),"",N69/(X69/10000))</f>
        <v>4.3461829176114888</v>
      </c>
    </row>
    <row r="70" spans="1:26" x14ac:dyDescent="0.25">
      <c r="A70" s="222" t="str">
        <f>'Preisliste 2012'!A90</f>
        <v>Fronten (Klappe / Türe / DT)</v>
      </c>
      <c r="B70" s="223" t="str">
        <f>'Preisliste 2012'!B90</f>
        <v>Doppeltür</v>
      </c>
      <c r="C70" s="223" t="str">
        <f>'Preisliste 2012'!D90</f>
        <v>980 / 1440</v>
      </c>
      <c r="D70" s="223" t="str">
        <f>Aktiv!C239</f>
        <v>Doppeltür</v>
      </c>
      <c r="E70" s="223">
        <f>Aktiv!A239</f>
        <v>5208</v>
      </c>
      <c r="F70" s="224">
        <f>'Preisliste 2012'!E90</f>
        <v>465</v>
      </c>
      <c r="G70" s="224">
        <f>'Preisliste 2012'!F90</f>
        <v>728</v>
      </c>
      <c r="H70" s="224">
        <f>'Preisliste 2012'!G90</f>
        <v>0</v>
      </c>
      <c r="I70" s="224">
        <f>'Preisliste 2012'!H90</f>
        <v>0</v>
      </c>
      <c r="J70" s="224">
        <f>'Preisliste 2012'!I90</f>
        <v>639</v>
      </c>
      <c r="K70" s="224">
        <f>'Preisliste 2012'!J90</f>
        <v>799</v>
      </c>
      <c r="L70" s="224">
        <f>'Preisliste 2012'!K90</f>
        <v>998</v>
      </c>
      <c r="M70" s="224">
        <f>'Preisliste 2012'!L90</f>
        <v>1199</v>
      </c>
      <c r="N70" s="225">
        <f>Aktiv!G239</f>
        <v>550</v>
      </c>
      <c r="O70" s="225">
        <f>Aktiv!H239</f>
        <v>719</v>
      </c>
      <c r="P70" s="225">
        <f>Aktiv!I239</f>
        <v>782</v>
      </c>
      <c r="Q70" s="225">
        <f>Aktiv!J239</f>
        <v>1210</v>
      </c>
      <c r="R70" s="226">
        <f>IF(OR(F70="",F70=0,N70=""),"",N70/F70-1)</f>
        <v>0.18279569892473124</v>
      </c>
      <c r="S70" s="226">
        <f>IF(OR(G70="",G70=0,O70=""),"",O70/G70-1)</f>
        <v>-1.2362637362637319E-2</v>
      </c>
      <c r="T70" s="226" t="str">
        <f>IF(OR(I70="",I70=0,Q70=""),"",Q70/I70-1)</f>
        <v/>
      </c>
      <c r="U70" s="226">
        <f>IF(OR(K70="",K70=0,P70=""),"",P70/K70-1)</f>
        <v>-2.1276595744680882E-2</v>
      </c>
      <c r="V70" s="227">
        <f>IF(OR(F70="",F70=0,G70=""),"",G70/F70)</f>
        <v>1.5655913978494624</v>
      </c>
      <c r="W70" s="227">
        <f>IF(OR(N70="",N70=0,O70=""),"",O70/N70)</f>
        <v>1.3072727272727274</v>
      </c>
      <c r="X70" s="228">
        <f>Aktiv!E239*Aktiv!F239</f>
        <v>1411200</v>
      </c>
      <c r="Y70" s="229">
        <f>IF(OR(X70="",X70=0,F70=""),"",F70/(X70/10000))</f>
        <v>3.2950680272108843</v>
      </c>
      <c r="Z70" s="230">
        <f>IF(OR(X70="",X70=0,N70=""),"",N70/(X70/10000))</f>
        <v>3.8973922902494329</v>
      </c>
    </row>
    <row r="71" spans="1:26" x14ac:dyDescent="0.25">
      <c r="A71" s="222" t="str">
        <f>'Preisliste 2012'!A91</f>
        <v>Fronten (Klappe / Türe / DT)</v>
      </c>
      <c r="B71" s="223" t="str">
        <f>'Preisliste 2012'!B91</f>
        <v>Doppeltür</v>
      </c>
      <c r="C71" s="223" t="str">
        <f>'Preisliste 2012'!D91</f>
        <v>980 / 1800</v>
      </c>
      <c r="D71" s="223" t="str">
        <f>Aktiv!C240</f>
        <v>Doppeltür</v>
      </c>
      <c r="E71" s="223">
        <f>Aktiv!A240</f>
        <v>5209</v>
      </c>
      <c r="F71" s="224">
        <f>'Preisliste 2012'!E91</f>
        <v>572</v>
      </c>
      <c r="G71" s="224">
        <f>'Preisliste 2012'!F91</f>
        <v>901</v>
      </c>
      <c r="H71" s="224">
        <f>'Preisliste 2012'!G91</f>
        <v>0</v>
      </c>
      <c r="I71" s="224">
        <f>'Preisliste 2012'!H91</f>
        <v>0</v>
      </c>
      <c r="J71" s="224">
        <f>'Preisliste 2012'!I91</f>
        <v>790</v>
      </c>
      <c r="K71" s="224">
        <f>'Preisliste 2012'!J91</f>
        <v>989</v>
      </c>
      <c r="L71" s="224">
        <f>'Preisliste 2012'!K91</f>
        <v>1236</v>
      </c>
      <c r="M71" s="224">
        <f>'Preisliste 2012'!L91</f>
        <v>1484</v>
      </c>
      <c r="N71" s="225">
        <f>Aktiv!G240</f>
        <v>677</v>
      </c>
      <c r="O71" s="225">
        <f>Aktiv!H240</f>
        <v>1090</v>
      </c>
      <c r="P71" s="225">
        <f>Aktiv!I240</f>
        <v>965</v>
      </c>
      <c r="Q71" s="225">
        <f>Aktiv!J240</f>
        <v>1493</v>
      </c>
      <c r="R71" s="226">
        <f>IF(OR(F71="",F71=0,N71=""),"",N71/F71-1)</f>
        <v>0.18356643356643354</v>
      </c>
      <c r="S71" s="226">
        <f>IF(OR(G71="",G71=0,O71=""),"",O71/G71-1)</f>
        <v>0.20976692563817978</v>
      </c>
      <c r="T71" s="226" t="str">
        <f>IF(OR(I71="",I71=0,Q71=""),"",Q71/I71-1)</f>
        <v/>
      </c>
      <c r="U71" s="226">
        <f>IF(OR(K71="",K71=0,P71=""),"",P71/K71-1)</f>
        <v>-2.4266936299292219E-2</v>
      </c>
      <c r="V71" s="227">
        <f>IF(OR(F71="",F71=0,G71=""),"",G71/F71)</f>
        <v>1.5751748251748252</v>
      </c>
      <c r="W71" s="227">
        <f>IF(OR(N71="",N71=0,O71=""),"",O71/N71)</f>
        <v>1.6100443131462334</v>
      </c>
      <c r="X71" s="228">
        <f>Aktiv!E240*Aktiv!F240</f>
        <v>1764000</v>
      </c>
      <c r="Y71" s="229">
        <f>IF(OR(X71="",X71=0,F71=""),"",F71/(X71/10000))</f>
        <v>3.2426303854875282</v>
      </c>
      <c r="Z71" s="230">
        <f>IF(OR(X71="",X71=0,N71=""),"",N71/(X71/10000))</f>
        <v>3.8378684807256236</v>
      </c>
    </row>
    <row r="72" spans="1:26" x14ac:dyDescent="0.25">
      <c r="A72" s="213" t="s">
        <v>597</v>
      </c>
      <c r="B72" s="214"/>
      <c r="C72" s="214"/>
      <c r="D72" s="214"/>
      <c r="E72" s="214"/>
      <c r="F72" s="215"/>
      <c r="G72" s="215"/>
      <c r="H72" s="215"/>
      <c r="I72" s="215"/>
      <c r="J72" s="215"/>
      <c r="K72" s="215"/>
      <c r="L72" s="215"/>
      <c r="M72" s="215"/>
      <c r="N72" s="216"/>
      <c r="O72" s="216"/>
      <c r="P72" s="216"/>
      <c r="Q72" s="216"/>
      <c r="R72" s="217"/>
      <c r="S72" s="217"/>
      <c r="T72" s="217"/>
      <c r="U72" s="217"/>
      <c r="V72" s="218"/>
      <c r="W72" s="218"/>
      <c r="X72" s="219"/>
      <c r="Y72" s="220"/>
      <c r="Z72" s="221"/>
    </row>
    <row r="73" spans="1:26" x14ac:dyDescent="0.25">
      <c r="A73" s="222" t="str">
        <f>'Preisliste 2012'!A94</f>
        <v>Fronten (Schubladen / HR)</v>
      </c>
      <c r="B73" s="223" t="str">
        <f>'Preisliste 2012'!B94</f>
        <v>Schubl.</v>
      </c>
      <c r="C73" s="223" t="str">
        <f>'Preisliste 2012'!D94</f>
        <v>420 / 180</v>
      </c>
      <c r="D73" s="223" t="str">
        <f>Aktiv!C242</f>
        <v>Schublade</v>
      </c>
      <c r="E73" s="223">
        <f>Aktiv!A242</f>
        <v>5300</v>
      </c>
      <c r="F73" s="224">
        <f>'Preisliste 2012'!E94</f>
        <v>212</v>
      </c>
      <c r="G73" s="224">
        <f>'Preisliste 2012'!F94</f>
        <v>242</v>
      </c>
      <c r="H73" s="224">
        <f>'Preisliste 2012'!G94</f>
        <v>0</v>
      </c>
      <c r="I73" s="224">
        <f>'Preisliste 2012'!H94</f>
        <v>0</v>
      </c>
      <c r="J73" s="224">
        <f>'Preisliste 2012'!I94</f>
        <v>237</v>
      </c>
      <c r="K73" s="224">
        <f>'Preisliste 2012'!J94</f>
        <v>246</v>
      </c>
      <c r="L73" s="224">
        <f>'Preisliste 2012'!K94</f>
        <v>307</v>
      </c>
      <c r="M73" s="224">
        <f>'Preisliste 2012'!L94</f>
        <v>369</v>
      </c>
      <c r="N73" s="225">
        <f>Aktiv!G242</f>
        <v>257</v>
      </c>
      <c r="O73" s="225">
        <f>Aktiv!H242</f>
        <v>248</v>
      </c>
      <c r="P73" s="225">
        <f>Aktiv!I242</f>
        <v>253</v>
      </c>
      <c r="Q73" s="225">
        <f>Aktiv!J242</f>
        <v>464</v>
      </c>
      <c r="R73" s="226">
        <f>IF(OR(F73="",F73=0,N73=""),"",N73/F73-1)</f>
        <v>0.21226415094339623</v>
      </c>
      <c r="S73" s="226">
        <f>IF(OR(G73="",G73=0,O73=""),"",O73/G73-1)</f>
        <v>2.4793388429751984E-2</v>
      </c>
      <c r="T73" s="226" t="str">
        <f>IF(OR(I73="",I73=0,Q73=""),"",Q73/I73-1)</f>
        <v/>
      </c>
      <c r="U73" s="226">
        <f>IF(OR(K73="",K73=0,P73=""),"",P73/K73-1)</f>
        <v>2.8455284552845628E-2</v>
      </c>
      <c r="V73" s="227">
        <f>IF(OR(F73="",F73=0,G73=""),"",G73/F73)</f>
        <v>1.1415094339622642</v>
      </c>
      <c r="W73" s="227">
        <f>IF(OR(N73="",N73=0,O73=""),"",O73/N73)</f>
        <v>0.96498054474708173</v>
      </c>
      <c r="X73" s="228">
        <f>Aktiv!E242*Aktiv!F242</f>
        <v>75600</v>
      </c>
      <c r="Y73" s="229">
        <f>IF(OR(X73="",X73=0,F73=""),"",F73/(X73/10000))</f>
        <v>28.042328042328045</v>
      </c>
      <c r="Z73" s="230">
        <f>IF(OR(X73="",X73=0,N73=""),"",N73/(X73/10000))</f>
        <v>33.994708994708994</v>
      </c>
    </row>
    <row r="74" spans="1:26" x14ac:dyDescent="0.25">
      <c r="A74" s="222" t="str">
        <f>'Preisliste 2012'!A95</f>
        <v>Fronten (Schubladen / HR)</v>
      </c>
      <c r="B74" s="223" t="str">
        <f>'Preisliste 2012'!B95</f>
        <v>Schubl.</v>
      </c>
      <c r="C74" s="223" t="str">
        <f>'Preisliste 2012'!D95</f>
        <v>420 / 360</v>
      </c>
      <c r="D74" s="223" t="str">
        <f>Aktiv!C243</f>
        <v>Schublade</v>
      </c>
      <c r="E74" s="223">
        <f>Aktiv!A243</f>
        <v>5301</v>
      </c>
      <c r="F74" s="224">
        <f>'Preisliste 2012'!E95</f>
        <v>262</v>
      </c>
      <c r="G74" s="224">
        <f>'Preisliste 2012'!F95</f>
        <v>312</v>
      </c>
      <c r="H74" s="224">
        <f>'Preisliste 2012'!G95</f>
        <v>0</v>
      </c>
      <c r="I74" s="224">
        <f>'Preisliste 2012'!H95</f>
        <v>0</v>
      </c>
      <c r="J74" s="224">
        <f>'Preisliste 2012'!I95</f>
        <v>305</v>
      </c>
      <c r="K74" s="224">
        <f>'Preisliste 2012'!J95</f>
        <v>321</v>
      </c>
      <c r="L74" s="224">
        <f>'Preisliste 2012'!K95</f>
        <v>401</v>
      </c>
      <c r="M74" s="224">
        <f>'Preisliste 2012'!L95</f>
        <v>482</v>
      </c>
      <c r="N74" s="225">
        <f>Aktiv!G243</f>
        <v>317</v>
      </c>
      <c r="O74" s="225">
        <f>Aktiv!H243</f>
        <v>316</v>
      </c>
      <c r="P74" s="225">
        <f>Aktiv!I243</f>
        <v>323</v>
      </c>
      <c r="Q74" s="225">
        <f>Aktiv!J243</f>
        <v>322</v>
      </c>
      <c r="R74" s="226">
        <f>IF(OR(F74="",F74=0,N74=""),"",N74/F74-1)</f>
        <v>0.20992366412213737</v>
      </c>
      <c r="S74" s="226">
        <f>IF(OR(G74="",G74=0,O74=""),"",O74/G74-1)</f>
        <v>1.2820512820512775E-2</v>
      </c>
      <c r="T74" s="226" t="str">
        <f>IF(OR(I74="",I74=0,Q74=""),"",Q74/I74-1)</f>
        <v/>
      </c>
      <c r="U74" s="226">
        <f>IF(OR(K74="",K74=0,P74=""),"",P74/K74-1)</f>
        <v>6.230529595015577E-3</v>
      </c>
      <c r="V74" s="227">
        <f>IF(OR(F74="",F74=0,G74=""),"",G74/F74)</f>
        <v>1.1908396946564885</v>
      </c>
      <c r="W74" s="227">
        <f>IF(OR(N74="",N74=0,O74=""),"",O74/N74)</f>
        <v>0.99684542586750791</v>
      </c>
      <c r="X74" s="228">
        <f>Aktiv!E243*Aktiv!F243</f>
        <v>151200</v>
      </c>
      <c r="Y74" s="229">
        <f>IF(OR(X74="",X74=0,F74=""),"",F74/(X74/10000))</f>
        <v>17.328042328042329</v>
      </c>
      <c r="Z74" s="230">
        <f>IF(OR(X74="",X74=0,N74=""),"",N74/(X74/10000))</f>
        <v>20.965608465608465</v>
      </c>
    </row>
    <row r="75" spans="1:26" x14ac:dyDescent="0.25">
      <c r="A75" s="222" t="str">
        <f>'Preisliste 2012'!A96</f>
        <v>Fronten (Schubladen / HR)</v>
      </c>
      <c r="B75" s="223" t="str">
        <f>'Preisliste 2012'!B96</f>
        <v>Schubl.</v>
      </c>
      <c r="C75" s="223" t="str">
        <f>'Preisliste 2012'!D96</f>
        <v>580 / 180</v>
      </c>
      <c r="D75" s="223" t="str">
        <f>Aktiv!C244</f>
        <v>Schublade</v>
      </c>
      <c r="E75" s="223">
        <f>Aktiv!A244</f>
        <v>5302</v>
      </c>
      <c r="F75" s="224">
        <f>'Preisliste 2012'!E96</f>
        <v>222</v>
      </c>
      <c r="G75" s="224">
        <f>'Preisliste 2012'!F96</f>
        <v>259</v>
      </c>
      <c r="H75" s="224">
        <f>'Preisliste 2012'!G96</f>
        <v>0</v>
      </c>
      <c r="I75" s="224">
        <f>'Preisliste 2012'!H96</f>
        <v>0</v>
      </c>
      <c r="J75" s="224">
        <f>'Preisliste 2012'!I96</f>
        <v>254</v>
      </c>
      <c r="K75" s="224">
        <f>'Preisliste 2012'!J96</f>
        <v>265</v>
      </c>
      <c r="L75" s="224">
        <f>'Preisliste 2012'!K96</f>
        <v>331</v>
      </c>
      <c r="M75" s="224">
        <f>'Preisliste 2012'!L96</f>
        <v>398</v>
      </c>
      <c r="N75" s="225">
        <f>Aktiv!G244</f>
        <v>268</v>
      </c>
      <c r="O75" s="225">
        <f>Aktiv!H244</f>
        <v>265</v>
      </c>
      <c r="P75" s="225">
        <f>Aktiv!I244</f>
        <v>270</v>
      </c>
      <c r="Q75" s="225">
        <f>Aktiv!J244</f>
        <v>269</v>
      </c>
      <c r="R75" s="226">
        <f>IF(OR(F75="",F75=0,N75=""),"",N75/F75-1)</f>
        <v>0.20720720720720731</v>
      </c>
      <c r="S75" s="226">
        <f>IF(OR(G75="",G75=0,O75=""),"",O75/G75-1)</f>
        <v>2.316602316602312E-2</v>
      </c>
      <c r="T75" s="226" t="str">
        <f>IF(OR(I75="",I75=0,Q75=""),"",Q75/I75-1)</f>
        <v/>
      </c>
      <c r="U75" s="226">
        <f>IF(OR(K75="",K75=0,P75=""),"",P75/K75-1)</f>
        <v>1.8867924528301883E-2</v>
      </c>
      <c r="V75" s="227">
        <f>IF(OR(F75="",F75=0,G75=""),"",G75/F75)</f>
        <v>1.1666666666666667</v>
      </c>
      <c r="W75" s="227">
        <f>IF(OR(N75="",N75=0,O75=""),"",O75/N75)</f>
        <v>0.98880597014925375</v>
      </c>
      <c r="X75" s="228">
        <f>Aktiv!E244*Aktiv!F244</f>
        <v>104400</v>
      </c>
      <c r="Y75" s="229">
        <f>IF(OR(X75="",X75=0,F75=""),"",F75/(X75/10000))</f>
        <v>21.264367816091955</v>
      </c>
      <c r="Z75" s="230">
        <f>IF(OR(X75="",X75=0,N75=""),"",N75/(X75/10000))</f>
        <v>25.670498084291189</v>
      </c>
    </row>
    <row r="76" spans="1:26" x14ac:dyDescent="0.25">
      <c r="A76" s="222" t="str">
        <f>'Preisliste 2012'!A97</f>
        <v>Fronten (Schubladen / HR)</v>
      </c>
      <c r="B76" s="223" t="str">
        <f>'Preisliste 2012'!B97</f>
        <v>Schubl.</v>
      </c>
      <c r="C76" s="223" t="str">
        <f>'Preisliste 2012'!D97</f>
        <v>580 / 360</v>
      </c>
      <c r="D76" s="223" t="str">
        <f>Aktiv!C245</f>
        <v>Schublade</v>
      </c>
      <c r="E76" s="223">
        <f>Aktiv!A245</f>
        <v>5303</v>
      </c>
      <c r="F76" s="224">
        <f>'Preisliste 2012'!E97</f>
        <v>263</v>
      </c>
      <c r="G76" s="224">
        <f>'Preisliste 2012'!F97</f>
        <v>335</v>
      </c>
      <c r="H76" s="224">
        <f>'Preisliste 2012'!G97</f>
        <v>0</v>
      </c>
      <c r="I76" s="224">
        <f>'Preisliste 2012'!H97</f>
        <v>0</v>
      </c>
      <c r="J76" s="224">
        <f>'Preisliste 2012'!I97</f>
        <v>324</v>
      </c>
      <c r="K76" s="224">
        <f>'Preisliste 2012'!J97</f>
        <v>343</v>
      </c>
      <c r="L76" s="224">
        <f>'Preisliste 2012'!K97</f>
        <v>429</v>
      </c>
      <c r="M76" s="224">
        <f>'Preisliste 2012'!L97</f>
        <v>515</v>
      </c>
      <c r="N76" s="225">
        <f>Aktiv!G245</f>
        <v>318</v>
      </c>
      <c r="O76" s="225">
        <f>Aktiv!H245</f>
        <v>338</v>
      </c>
      <c r="P76" s="225">
        <f>Aktiv!I245</f>
        <v>343</v>
      </c>
      <c r="Q76" s="225">
        <f>Aktiv!J245</f>
        <v>345</v>
      </c>
      <c r="R76" s="226">
        <f>IF(OR(F76="",F76=0,N76=""),"",N76/F76-1)</f>
        <v>0.209125475285171</v>
      </c>
      <c r="S76" s="226">
        <f>IF(OR(G76="",G76=0,O76=""),"",O76/G76-1)</f>
        <v>8.9552238805969964E-3</v>
      </c>
      <c r="T76" s="226" t="str">
        <f>IF(OR(I76="",I76=0,Q76=""),"",Q76/I76-1)</f>
        <v/>
      </c>
      <c r="U76" s="226">
        <f>IF(OR(K76="",K76=0,P76=""),"",P76/K76-1)</f>
        <v>0</v>
      </c>
      <c r="V76" s="227">
        <f>IF(OR(F76="",F76=0,G76=""),"",G76/F76)</f>
        <v>1.273764258555133</v>
      </c>
      <c r="W76" s="227">
        <f>IF(OR(N76="",N76=0,O76=""),"",O76/N76)</f>
        <v>1.0628930817610063</v>
      </c>
      <c r="X76" s="228">
        <f>Aktiv!E245*Aktiv!F245</f>
        <v>208800</v>
      </c>
      <c r="Y76" s="229">
        <f>IF(OR(X76="",X76=0,F76=""),"",F76/(X76/10000))</f>
        <v>12.595785440613028</v>
      </c>
      <c r="Z76" s="230">
        <f>IF(OR(X76="",X76=0,N76=""),"",N76/(X76/10000))</f>
        <v>15.229885057471265</v>
      </c>
    </row>
    <row r="77" spans="1:26" x14ac:dyDescent="0.25">
      <c r="A77" s="222" t="str">
        <f>'Preisliste 2012'!A98</f>
        <v>Fronten (Schubladen / HR)</v>
      </c>
      <c r="B77" s="223" t="str">
        <f>'Preisliste 2012'!B98</f>
        <v>Schubl.</v>
      </c>
      <c r="C77" s="223" t="str">
        <f>'Preisliste 2012'!D98</f>
        <v>780 / 180</v>
      </c>
      <c r="D77" s="223" t="str">
        <f>Aktiv!C246</f>
        <v>Schublade</v>
      </c>
      <c r="E77" s="223">
        <f>Aktiv!A246</f>
        <v>5304</v>
      </c>
      <c r="F77" s="224">
        <f>'Preisliste 2012'!E98</f>
        <v>230</v>
      </c>
      <c r="G77" s="224">
        <f>'Preisliste 2012'!F98</f>
        <v>276</v>
      </c>
      <c r="H77" s="224">
        <f>'Preisliste 2012'!G98</f>
        <v>0</v>
      </c>
      <c r="I77" s="224">
        <f>'Preisliste 2012'!H98</f>
        <v>0</v>
      </c>
      <c r="J77" s="224">
        <f>'Preisliste 2012'!I98</f>
        <v>269</v>
      </c>
      <c r="K77" s="224">
        <f>'Preisliste 2012'!J98</f>
        <v>284</v>
      </c>
      <c r="L77" s="224">
        <f>'Preisliste 2012'!K98</f>
        <v>355</v>
      </c>
      <c r="M77" s="224">
        <f>'Preisliste 2012'!L98</f>
        <v>426</v>
      </c>
      <c r="N77" s="225">
        <f>Aktiv!G246</f>
        <v>278</v>
      </c>
      <c r="O77" s="225">
        <f>Aktiv!H246</f>
        <v>282</v>
      </c>
      <c r="P77" s="225">
        <f>Aktiv!I246</f>
        <v>286</v>
      </c>
      <c r="Q77" s="225">
        <f>Aktiv!J246</f>
        <v>286</v>
      </c>
      <c r="R77" s="226">
        <f>IF(OR(F77="",F77=0,N77=""),"",N77/F77-1)</f>
        <v>0.20869565217391295</v>
      </c>
      <c r="S77" s="226">
        <f>IF(OR(G77="",G77=0,O77=""),"",O77/G77-1)</f>
        <v>2.1739130434782705E-2</v>
      </c>
      <c r="T77" s="226" t="str">
        <f>IF(OR(I77="",I77=0,Q77=""),"",Q77/I77-1)</f>
        <v/>
      </c>
      <c r="U77" s="226">
        <f>IF(OR(K77="",K77=0,P77=""),"",P77/K77-1)</f>
        <v>7.0422535211267512E-3</v>
      </c>
      <c r="V77" s="227">
        <f>IF(OR(F77="",F77=0,G77=""),"",G77/F77)</f>
        <v>1.2</v>
      </c>
      <c r="W77" s="227">
        <f>IF(OR(N77="",N77=0,O77=""),"",O77/N77)</f>
        <v>1.014388489208633</v>
      </c>
      <c r="X77" s="228">
        <f>Aktiv!E246*Aktiv!F246</f>
        <v>140400</v>
      </c>
      <c r="Y77" s="229">
        <f>IF(OR(X77="",X77=0,F77=""),"",F77/(X77/10000))</f>
        <v>16.381766381766383</v>
      </c>
      <c r="Z77" s="230">
        <f>IF(OR(X77="",X77=0,N77=""),"",N77/(X77/10000))</f>
        <v>19.8005698005698</v>
      </c>
    </row>
    <row r="78" spans="1:26" x14ac:dyDescent="0.25">
      <c r="A78" s="222" t="str">
        <f>'Preisliste 2012'!A99</f>
        <v>Fronten (Schubladen / HR)</v>
      </c>
      <c r="B78" s="223" t="str">
        <f>'Preisliste 2012'!B99</f>
        <v>Schubl.</v>
      </c>
      <c r="C78" s="223" t="str">
        <f>'Preisliste 2012'!D99</f>
        <v>780 / 360</v>
      </c>
      <c r="D78" s="223" t="str">
        <f>Aktiv!C247</f>
        <v>Schublade</v>
      </c>
      <c r="E78" s="223">
        <f>Aktiv!A247</f>
        <v>5305</v>
      </c>
      <c r="F78" s="224">
        <f>'Preisliste 2012'!E99</f>
        <v>265</v>
      </c>
      <c r="G78" s="224">
        <f>'Preisliste 2012'!F99</f>
        <v>358</v>
      </c>
      <c r="H78" s="224">
        <f>'Preisliste 2012'!G99</f>
        <v>0</v>
      </c>
      <c r="I78" s="224">
        <f>'Preisliste 2012'!H99</f>
        <v>0</v>
      </c>
      <c r="J78" s="224">
        <f>'Preisliste 2012'!I99</f>
        <v>343</v>
      </c>
      <c r="K78" s="224">
        <f>'Preisliste 2012'!J99</f>
        <v>365</v>
      </c>
      <c r="L78" s="224">
        <f>'Preisliste 2012'!K99</f>
        <v>457</v>
      </c>
      <c r="M78" s="224">
        <f>'Preisliste 2012'!L99</f>
        <v>548</v>
      </c>
      <c r="N78" s="225">
        <f>Aktiv!G247</f>
        <v>320</v>
      </c>
      <c r="O78" s="225">
        <f>Aktiv!H247</f>
        <v>361</v>
      </c>
      <c r="P78" s="225">
        <f>Aktiv!I247</f>
        <v>363</v>
      </c>
      <c r="Q78" s="225">
        <f>Aktiv!J247</f>
        <v>368</v>
      </c>
      <c r="R78" s="226">
        <f>IF(OR(F78="",F78=0,N78=""),"",N78/F78-1)</f>
        <v>0.20754716981132071</v>
      </c>
      <c r="S78" s="226">
        <f>IF(OR(G78="",G78=0,O78=""),"",O78/G78-1)</f>
        <v>8.379888268156499E-3</v>
      </c>
      <c r="T78" s="226" t="str">
        <f>IF(OR(I78="",I78=0,Q78=""),"",Q78/I78-1)</f>
        <v/>
      </c>
      <c r="U78" s="226">
        <f>IF(OR(K78="",K78=0,P78=""),"",P78/K78-1)</f>
        <v>-5.479452054794498E-3</v>
      </c>
      <c r="V78" s="227">
        <f>IF(OR(F78="",F78=0,G78=""),"",G78/F78)</f>
        <v>1.350943396226415</v>
      </c>
      <c r="W78" s="227">
        <f>IF(OR(N78="",N78=0,O78=""),"",O78/N78)</f>
        <v>1.128125</v>
      </c>
      <c r="X78" s="228">
        <f>Aktiv!E247*Aktiv!F247</f>
        <v>280800</v>
      </c>
      <c r="Y78" s="229">
        <f>IF(OR(X78="",X78=0,F78=""),"",F78/(X78/10000))</f>
        <v>9.4373219373219381</v>
      </c>
      <c r="Z78" s="230">
        <f>IF(OR(X78="",X78=0,N78=""),"",N78/(X78/10000))</f>
        <v>11.396011396011398</v>
      </c>
    </row>
    <row r="79" spans="1:26" x14ac:dyDescent="0.25">
      <c r="A79" s="222" t="str">
        <f>'Preisliste 2012'!A100</f>
        <v>Fronten (Schubladen / HR)</v>
      </c>
      <c r="B79" s="223" t="str">
        <f>'Preisliste 2012'!B100</f>
        <v>Schubl.</v>
      </c>
      <c r="C79" s="223" t="str">
        <f>'Preisliste 2012'!D100</f>
        <v>980 / 180</v>
      </c>
      <c r="D79" s="223" t="str">
        <f>Aktiv!C248</f>
        <v>Schublade</v>
      </c>
      <c r="E79" s="223">
        <f>Aktiv!A248</f>
        <v>5306</v>
      </c>
      <c r="F79" s="224">
        <f>'Preisliste 2012'!E100</f>
        <v>259</v>
      </c>
      <c r="G79" s="224">
        <f>'Preisliste 2012'!F100</f>
        <v>338</v>
      </c>
      <c r="H79" s="224">
        <f>'Preisliste 2012'!G100</f>
        <v>0</v>
      </c>
      <c r="I79" s="224">
        <f>'Preisliste 2012'!H100</f>
        <v>0</v>
      </c>
      <c r="J79" s="224">
        <f>'Preisliste 2012'!I100</f>
        <v>303</v>
      </c>
      <c r="K79" s="224">
        <f>'Preisliste 2012'!J100</f>
        <v>318</v>
      </c>
      <c r="L79" s="224">
        <f>'Preisliste 2012'!K100</f>
        <v>394</v>
      </c>
      <c r="M79" s="224">
        <f>'Preisliste 2012'!L100</f>
        <v>477</v>
      </c>
      <c r="N79" s="225">
        <f>Aktiv!G248</f>
        <v>313</v>
      </c>
      <c r="O79" s="225">
        <f>Aktiv!H248</f>
        <v>341</v>
      </c>
      <c r="P79" s="225">
        <f>Aktiv!I248</f>
        <v>321</v>
      </c>
      <c r="Q79" s="225">
        <f>Aktiv!J248</f>
        <v>348</v>
      </c>
      <c r="R79" s="226">
        <f>IF(OR(F79="",F79=0,N79=""),"",N79/F79-1)</f>
        <v>0.20849420849420852</v>
      </c>
      <c r="S79" s="226">
        <f>IF(OR(G79="",G79=0,O79=""),"",O79/G79-1)</f>
        <v>8.8757396449703485E-3</v>
      </c>
      <c r="T79" s="226" t="str">
        <f>IF(OR(I79="",I79=0,Q79=""),"",Q79/I79-1)</f>
        <v/>
      </c>
      <c r="U79" s="226">
        <f>IF(OR(K79="",K79=0,P79=""),"",P79/K79-1)</f>
        <v>9.4339622641510523E-3</v>
      </c>
      <c r="V79" s="227">
        <f>IF(OR(F79="",F79=0,G79=""),"",G79/F79)</f>
        <v>1.3050193050193051</v>
      </c>
      <c r="W79" s="227">
        <f>IF(OR(N79="",N79=0,O79=""),"",O79/N79)</f>
        <v>1.0894568690095847</v>
      </c>
      <c r="X79" s="228">
        <f>Aktiv!E248*Aktiv!F248</f>
        <v>176400</v>
      </c>
      <c r="Y79" s="229">
        <f>IF(OR(X79="",X79=0,F79=""),"",F79/(X79/10000))</f>
        <v>14.682539682539682</v>
      </c>
      <c r="Z79" s="230">
        <f>IF(OR(X79="",X79=0,N79=""),"",N79/(X79/10000))</f>
        <v>17.743764172335599</v>
      </c>
    </row>
    <row r="80" spans="1:26" x14ac:dyDescent="0.25">
      <c r="A80" s="222" t="str">
        <f>'Preisliste 2012'!A101</f>
        <v>Fronten (Schubladen / HR)</v>
      </c>
      <c r="B80" s="223" t="str">
        <f>'Preisliste 2012'!B101</f>
        <v>Schubl.</v>
      </c>
      <c r="C80" s="223" t="str">
        <f>'Preisliste 2012'!D101</f>
        <v>980 / 360</v>
      </c>
      <c r="D80" s="223" t="str">
        <f>Aktiv!C249</f>
        <v>Schublade</v>
      </c>
      <c r="E80" s="223">
        <f>Aktiv!A249</f>
        <v>5307</v>
      </c>
      <c r="F80" s="224">
        <f>'Preisliste 2012'!E101</f>
        <v>319</v>
      </c>
      <c r="G80" s="224">
        <f>'Preisliste 2012'!F101</f>
        <v>439</v>
      </c>
      <c r="H80" s="224">
        <f>'Preisliste 2012'!G101</f>
        <v>0</v>
      </c>
      <c r="I80" s="224">
        <f>'Preisliste 2012'!H101</f>
        <v>0</v>
      </c>
      <c r="J80" s="224">
        <f>'Preisliste 2012'!I101</f>
        <v>404</v>
      </c>
      <c r="K80" s="224">
        <f>'Preisliste 2012'!J101</f>
        <v>420</v>
      </c>
      <c r="L80" s="224">
        <f>'Preisliste 2012'!K101</f>
        <v>489</v>
      </c>
      <c r="M80" s="224">
        <f>'Preisliste 2012'!L101</f>
        <v>630</v>
      </c>
      <c r="N80" s="225">
        <f>Aktiv!G249</f>
        <v>386</v>
      </c>
      <c r="O80" s="225">
        <f>Aktiv!H249</f>
        <v>439</v>
      </c>
      <c r="P80" s="225">
        <f>Aktiv!I249</f>
        <v>426</v>
      </c>
      <c r="Q80" s="225">
        <f>Aktiv!J249</f>
        <v>450</v>
      </c>
      <c r="R80" s="226">
        <f>IF(OR(F80="",F80=0,N80=""),"",N80/F80-1)</f>
        <v>0.21003134796238254</v>
      </c>
      <c r="S80" s="226">
        <f>IF(OR(G80="",G80=0,O80=""),"",O80/G80-1)</f>
        <v>0</v>
      </c>
      <c r="T80" s="226" t="str">
        <f>IF(OR(I80="",I80=0,Q80=""),"",Q80/I80-1)</f>
        <v/>
      </c>
      <c r="U80" s="226">
        <f>IF(OR(K80="",K80=0,P80=""),"",P80/K80-1)</f>
        <v>1.4285714285714235E-2</v>
      </c>
      <c r="V80" s="227">
        <f>IF(OR(F80="",F80=0,G80=""),"",G80/F80)</f>
        <v>1.3761755485893417</v>
      </c>
      <c r="W80" s="227">
        <f>IF(OR(N80="",N80=0,O80=""),"",O80/N80)</f>
        <v>1.1373056994818653</v>
      </c>
      <c r="X80" s="228">
        <f>Aktiv!E249*Aktiv!F249</f>
        <v>352800</v>
      </c>
      <c r="Y80" s="229">
        <f>IF(OR(X80="",X80=0,F80=""),"",F80/(X80/10000))</f>
        <v>9.0419501133786842</v>
      </c>
      <c r="Z80" s="230">
        <f>IF(OR(X80="",X80=0,N80=""),"",N80/(X80/10000))</f>
        <v>10.941043083900226</v>
      </c>
    </row>
    <row r="81" spans="1:26" x14ac:dyDescent="0.25">
      <c r="A81" s="222" t="str">
        <f>'Preisliste 2012'!A102</f>
        <v>Fronten (Schubladen / HR)</v>
      </c>
      <c r="B81" s="223" t="str">
        <f>'Preisliste 2012'!B102</f>
        <v>Schubl.</v>
      </c>
      <c r="C81" s="223" t="str">
        <f>'Preisliste 2012'!D102</f>
        <v>420 / 180</v>
      </c>
      <c r="D81" s="223" t="str">
        <f>Aktiv!C242</f>
        <v>Schublade</v>
      </c>
      <c r="E81" s="223">
        <f>Aktiv!A242</f>
        <v>5300</v>
      </c>
      <c r="F81" s="224">
        <f>'Preisliste 2012'!E102</f>
        <v>235</v>
      </c>
      <c r="G81" s="224">
        <f>'Preisliste 2012'!F102</f>
        <v>271</v>
      </c>
      <c r="H81" s="224">
        <f>'Preisliste 2012'!G102</f>
        <v>0</v>
      </c>
      <c r="I81" s="224">
        <f>'Preisliste 2012'!H102</f>
        <v>0</v>
      </c>
      <c r="J81" s="224">
        <f>'Preisliste 2012'!I102</f>
        <v>268</v>
      </c>
      <c r="K81" s="224">
        <f>'Preisliste 2012'!J102</f>
        <v>276</v>
      </c>
      <c r="L81" s="224">
        <f>'Preisliste 2012'!K102</f>
        <v>345</v>
      </c>
      <c r="M81" s="224">
        <f>'Preisliste 2012'!L102</f>
        <v>414</v>
      </c>
      <c r="N81" s="225">
        <f>Aktiv!G242</f>
        <v>257</v>
      </c>
      <c r="O81" s="225">
        <f>Aktiv!H242</f>
        <v>248</v>
      </c>
      <c r="P81" s="225">
        <f>Aktiv!I242</f>
        <v>253</v>
      </c>
      <c r="Q81" s="225">
        <f>Aktiv!J242</f>
        <v>464</v>
      </c>
      <c r="R81" s="226">
        <f>IF(OR(F81="",F81=0,N81=""),"",N81/F81-1)</f>
        <v>9.3617021276595658E-2</v>
      </c>
      <c r="S81" s="226">
        <f>IF(OR(G81="",G81=0,O81=""),"",O81/G81-1)</f>
        <v>-8.4870848708487046E-2</v>
      </c>
      <c r="T81" s="226" t="str">
        <f>IF(OR(I81="",I81=0,Q81=""),"",Q81/I81-1)</f>
        <v/>
      </c>
      <c r="U81" s="226">
        <f>IF(OR(K81="",K81=0,P81=""),"",P81/K81-1)</f>
        <v>-8.333333333333337E-2</v>
      </c>
      <c r="V81" s="227">
        <f>IF(OR(F81="",F81=0,G81=""),"",G81/F81)</f>
        <v>1.1531914893617021</v>
      </c>
      <c r="W81" s="227">
        <f>IF(OR(N81="",N81=0,O81=""),"",O81/N81)</f>
        <v>0.96498054474708173</v>
      </c>
      <c r="X81" s="228">
        <f>Aktiv!E242*Aktiv!F242</f>
        <v>75600</v>
      </c>
      <c r="Y81" s="229">
        <f>IF(OR(X81="",X81=0,F81=""),"",F81/(X81/10000))</f>
        <v>31.084656084656086</v>
      </c>
      <c r="Z81" s="230">
        <f>IF(OR(X81="",X81=0,N81=""),"",N81/(X81/10000))</f>
        <v>33.994708994708994</v>
      </c>
    </row>
    <row r="82" spans="1:26" x14ac:dyDescent="0.25">
      <c r="A82" s="222" t="str">
        <f>'Preisliste 2012'!A103</f>
        <v>Fronten (Schubladen / HR)</v>
      </c>
      <c r="B82" s="223" t="str">
        <f>'Preisliste 2012'!B103</f>
        <v>Schubl.</v>
      </c>
      <c r="C82" s="223" t="str">
        <f>'Preisliste 2012'!D103</f>
        <v>420 / 360</v>
      </c>
      <c r="D82" s="223" t="str">
        <f>Aktiv!C243</f>
        <v>Schublade</v>
      </c>
      <c r="E82" s="223">
        <f>Aktiv!A243</f>
        <v>5301</v>
      </c>
      <c r="F82" s="224">
        <f>'Preisliste 2012'!E103</f>
        <v>269</v>
      </c>
      <c r="G82" s="224">
        <f>'Preisliste 2012'!F103</f>
        <v>341</v>
      </c>
      <c r="H82" s="224">
        <f>'Preisliste 2012'!G103</f>
        <v>0</v>
      </c>
      <c r="I82" s="224">
        <f>'Preisliste 2012'!H103</f>
        <v>0</v>
      </c>
      <c r="J82" s="224">
        <f>'Preisliste 2012'!I103</f>
        <v>335</v>
      </c>
      <c r="K82" s="224">
        <f>'Preisliste 2012'!J103</f>
        <v>350</v>
      </c>
      <c r="L82" s="224">
        <f>'Preisliste 2012'!K103</f>
        <v>437</v>
      </c>
      <c r="M82" s="224">
        <f>'Preisliste 2012'!L103</f>
        <v>525</v>
      </c>
      <c r="N82" s="225">
        <f>Aktiv!G243</f>
        <v>317</v>
      </c>
      <c r="O82" s="225">
        <f>Aktiv!H243</f>
        <v>316</v>
      </c>
      <c r="P82" s="225">
        <f>Aktiv!I243</f>
        <v>323</v>
      </c>
      <c r="Q82" s="225">
        <f>Aktiv!J243</f>
        <v>322</v>
      </c>
      <c r="R82" s="226">
        <f>IF(OR(F82="",F82=0,N82=""),"",N82/F82-1)</f>
        <v>0.17843866171003708</v>
      </c>
      <c r="S82" s="226">
        <f>IF(OR(G82="",G82=0,O82=""),"",O82/G82-1)</f>
        <v>-7.3313782991202392E-2</v>
      </c>
      <c r="T82" s="226" t="str">
        <f>IF(OR(I82="",I82=0,Q82=""),"",Q82/I82-1)</f>
        <v/>
      </c>
      <c r="U82" s="226">
        <f>IF(OR(K82="",K82=0,P82=""),"",P82/K82-1)</f>
        <v>-7.714285714285718E-2</v>
      </c>
      <c r="V82" s="227">
        <f>IF(OR(F82="",F82=0,G82=""),"",G82/F82)</f>
        <v>1.2676579925650557</v>
      </c>
      <c r="W82" s="227">
        <f>IF(OR(N82="",N82=0,O82=""),"",O82/N82)</f>
        <v>0.99684542586750791</v>
      </c>
      <c r="X82" s="228">
        <f>Aktiv!E243*Aktiv!F243</f>
        <v>151200</v>
      </c>
      <c r="Y82" s="229">
        <f>IF(OR(X82="",X82=0,F82=""),"",F82/(X82/10000))</f>
        <v>17.791005291005291</v>
      </c>
      <c r="Z82" s="230">
        <f>IF(OR(X82="",X82=0,N82=""),"",N82/(X82/10000))</f>
        <v>20.965608465608465</v>
      </c>
    </row>
    <row r="83" spans="1:26" x14ac:dyDescent="0.25">
      <c r="A83" s="222" t="str">
        <f>'Preisliste 2012'!A104</f>
        <v>Fronten (Schubladen / HR)</v>
      </c>
      <c r="B83" s="223" t="str">
        <f>'Preisliste 2012'!B104</f>
        <v>Schubl.</v>
      </c>
      <c r="C83" s="223" t="str">
        <f>'Preisliste 2012'!D104</f>
        <v>580 / 180</v>
      </c>
      <c r="D83" s="223" t="str">
        <f>Aktiv!C244</f>
        <v>Schublade</v>
      </c>
      <c r="E83" s="223">
        <f>Aktiv!A244</f>
        <v>5302</v>
      </c>
      <c r="F83" s="224">
        <f>'Preisliste 2012'!E104</f>
        <v>241</v>
      </c>
      <c r="G83" s="224">
        <f>'Preisliste 2012'!F104</f>
        <v>282</v>
      </c>
      <c r="H83" s="224">
        <f>'Preisliste 2012'!G104</f>
        <v>0</v>
      </c>
      <c r="I83" s="224">
        <f>'Preisliste 2012'!H104</f>
        <v>0</v>
      </c>
      <c r="J83" s="224">
        <f>'Preisliste 2012'!I104</f>
        <v>278</v>
      </c>
      <c r="K83" s="224">
        <f>'Preisliste 2012'!J104</f>
        <v>289</v>
      </c>
      <c r="L83" s="224">
        <f>'Preisliste 2012'!K104</f>
        <v>361</v>
      </c>
      <c r="M83" s="224">
        <f>'Preisliste 2012'!L104</f>
        <v>434</v>
      </c>
      <c r="N83" s="225">
        <f>Aktiv!G244</f>
        <v>268</v>
      </c>
      <c r="O83" s="225">
        <f>Aktiv!H244</f>
        <v>265</v>
      </c>
      <c r="P83" s="225">
        <f>Aktiv!I244</f>
        <v>270</v>
      </c>
      <c r="Q83" s="225">
        <f>Aktiv!J244</f>
        <v>269</v>
      </c>
      <c r="R83" s="226">
        <f>IF(OR(F83="",F83=0,N83=""),"",N83/F83-1)</f>
        <v>0.11203319502074693</v>
      </c>
      <c r="S83" s="226">
        <f>IF(OR(G83="",G83=0,O83=""),"",O83/G83-1)</f>
        <v>-6.0283687943262443E-2</v>
      </c>
      <c r="T83" s="226" t="str">
        <f>IF(OR(I83="",I83=0,Q83=""),"",Q83/I83-1)</f>
        <v/>
      </c>
      <c r="U83" s="226">
        <f>IF(OR(K83="",K83=0,P83=""),"",P83/K83-1)</f>
        <v>-6.5743944636678209E-2</v>
      </c>
      <c r="V83" s="227">
        <f>IF(OR(F83="",F83=0,G83=""),"",G83/F83)</f>
        <v>1.1701244813278009</v>
      </c>
      <c r="W83" s="227">
        <f>IF(OR(N83="",N83=0,O83=""),"",O83/N83)</f>
        <v>0.98880597014925375</v>
      </c>
      <c r="X83" s="228">
        <f>Aktiv!E244*Aktiv!F244</f>
        <v>104400</v>
      </c>
      <c r="Y83" s="229">
        <f>IF(OR(X83="",X83=0,F83=""),"",F83/(X83/10000))</f>
        <v>23.084291187739463</v>
      </c>
      <c r="Z83" s="230">
        <f>IF(OR(X83="",X83=0,N83=""),"",N83/(X83/10000))</f>
        <v>25.670498084291189</v>
      </c>
    </row>
    <row r="84" spans="1:26" x14ac:dyDescent="0.25">
      <c r="A84" s="222" t="str">
        <f>'Preisliste 2012'!A105</f>
        <v>Fronten (Schubladen / HR)</v>
      </c>
      <c r="B84" s="223" t="str">
        <f>'Preisliste 2012'!B105</f>
        <v>Schubl.</v>
      </c>
      <c r="C84" s="223" t="str">
        <f>'Preisliste 2012'!D105</f>
        <v>580 / 360</v>
      </c>
      <c r="D84" s="223" t="str">
        <f>Aktiv!C245</f>
        <v>Schublade</v>
      </c>
      <c r="E84" s="223">
        <f>Aktiv!A245</f>
        <v>5303</v>
      </c>
      <c r="F84" s="224">
        <f>'Preisliste 2012'!E105</f>
        <v>278</v>
      </c>
      <c r="G84" s="224">
        <f>'Preisliste 2012'!F105</f>
        <v>359</v>
      </c>
      <c r="H84" s="224">
        <f>'Preisliste 2012'!G105</f>
        <v>0</v>
      </c>
      <c r="I84" s="224">
        <f>'Preisliste 2012'!H105</f>
        <v>0</v>
      </c>
      <c r="J84" s="224">
        <f>'Preisliste 2012'!I105</f>
        <v>348</v>
      </c>
      <c r="K84" s="224">
        <f>'Preisliste 2012'!J105</f>
        <v>367</v>
      </c>
      <c r="L84" s="224">
        <f>'Preisliste 2012'!K105</f>
        <v>459</v>
      </c>
      <c r="M84" s="224">
        <f>'Preisliste 2012'!L105</f>
        <v>551</v>
      </c>
      <c r="N84" s="225">
        <f>Aktiv!G245</f>
        <v>318</v>
      </c>
      <c r="O84" s="225">
        <f>Aktiv!H245</f>
        <v>338</v>
      </c>
      <c r="P84" s="225">
        <f>Aktiv!I245</f>
        <v>343</v>
      </c>
      <c r="Q84" s="225">
        <f>Aktiv!J245</f>
        <v>345</v>
      </c>
      <c r="R84" s="226">
        <f>IF(OR(F84="",F84=0,N84=""),"",N84/F84-1)</f>
        <v>0.14388489208633093</v>
      </c>
      <c r="S84" s="226">
        <f>IF(OR(G84="",G84=0,O84=""),"",O84/G84-1)</f>
        <v>-5.8495821727019504E-2</v>
      </c>
      <c r="T84" s="226" t="str">
        <f>IF(OR(I84="",I84=0,Q84=""),"",Q84/I84-1)</f>
        <v/>
      </c>
      <c r="U84" s="226">
        <f>IF(OR(K84="",K84=0,P84=""),"",P84/K84-1)</f>
        <v>-6.5395095367847378E-2</v>
      </c>
      <c r="V84" s="227">
        <f>IF(OR(F84="",F84=0,G84=""),"",G84/F84)</f>
        <v>1.2913669064748201</v>
      </c>
      <c r="W84" s="227">
        <f>IF(OR(N84="",N84=0,O84=""),"",O84/N84)</f>
        <v>1.0628930817610063</v>
      </c>
      <c r="X84" s="228">
        <f>Aktiv!E245*Aktiv!F245</f>
        <v>208800</v>
      </c>
      <c r="Y84" s="229">
        <f>IF(OR(X84="",X84=0,F84=""),"",F84/(X84/10000))</f>
        <v>13.314176245210728</v>
      </c>
      <c r="Z84" s="230">
        <f>IF(OR(X84="",X84=0,N84=""),"",N84/(X84/10000))</f>
        <v>15.229885057471265</v>
      </c>
    </row>
    <row r="85" spans="1:26" x14ac:dyDescent="0.25">
      <c r="A85" s="222" t="str">
        <f>'Preisliste 2012'!A106</f>
        <v>Fronten (Schubladen / HR)</v>
      </c>
      <c r="B85" s="223" t="str">
        <f>'Preisliste 2012'!B106</f>
        <v>Schubl.</v>
      </c>
      <c r="C85" s="223" t="str">
        <f>'Preisliste 2012'!D106</f>
        <v>780 / 180</v>
      </c>
      <c r="D85" s="223" t="str">
        <f>Aktiv!C246</f>
        <v>Schublade</v>
      </c>
      <c r="E85" s="223">
        <f>Aktiv!A246</f>
        <v>5304</v>
      </c>
      <c r="F85" s="224">
        <f>'Preisliste 2012'!E106</f>
        <v>246</v>
      </c>
      <c r="G85" s="224">
        <f>'Preisliste 2012'!F106</f>
        <v>293</v>
      </c>
      <c r="H85" s="224">
        <f>'Preisliste 2012'!G106</f>
        <v>0</v>
      </c>
      <c r="I85" s="224">
        <f>'Preisliste 2012'!H106</f>
        <v>0</v>
      </c>
      <c r="J85" s="224">
        <f>'Preisliste 2012'!I106</f>
        <v>288</v>
      </c>
      <c r="K85" s="224">
        <f>'Preisliste 2012'!J106</f>
        <v>302</v>
      </c>
      <c r="L85" s="224">
        <f>'Preisliste 2012'!K106</f>
        <v>377</v>
      </c>
      <c r="M85" s="224">
        <f>'Preisliste 2012'!L106</f>
        <v>453</v>
      </c>
      <c r="N85" s="225">
        <f>Aktiv!G246</f>
        <v>278</v>
      </c>
      <c r="O85" s="225">
        <f>Aktiv!H246</f>
        <v>282</v>
      </c>
      <c r="P85" s="225">
        <f>Aktiv!I246</f>
        <v>286</v>
      </c>
      <c r="Q85" s="225">
        <f>Aktiv!J246</f>
        <v>286</v>
      </c>
      <c r="R85" s="226">
        <f>IF(OR(F85="",F85=0,N85=""),"",N85/F85-1)</f>
        <v>0.13008130081300817</v>
      </c>
      <c r="S85" s="226">
        <f>IF(OR(G85="",G85=0,O85=""),"",O85/G85-1)</f>
        <v>-3.7542662116040959E-2</v>
      </c>
      <c r="T85" s="226" t="str">
        <f>IF(OR(I85="",I85=0,Q85=""),"",Q85/I85-1)</f>
        <v/>
      </c>
      <c r="U85" s="226">
        <f>IF(OR(K85="",K85=0,P85=""),"",P85/K85-1)</f>
        <v>-5.2980132450331174E-2</v>
      </c>
      <c r="V85" s="227">
        <f>IF(OR(F85="",F85=0,G85=""),"",G85/F85)</f>
        <v>1.1910569105691058</v>
      </c>
      <c r="W85" s="227">
        <f>IF(OR(N85="",N85=0,O85=""),"",O85/N85)</f>
        <v>1.014388489208633</v>
      </c>
      <c r="X85" s="228">
        <f>Aktiv!E246*Aktiv!F246</f>
        <v>140400</v>
      </c>
      <c r="Y85" s="229">
        <f>IF(OR(X85="",X85=0,F85=""),"",F85/(X85/10000))</f>
        <v>17.521367521367523</v>
      </c>
      <c r="Z85" s="230">
        <f>IF(OR(X85="",X85=0,N85=""),"",N85/(X85/10000))</f>
        <v>19.8005698005698</v>
      </c>
    </row>
    <row r="86" spans="1:26" x14ac:dyDescent="0.25">
      <c r="A86" s="222" t="str">
        <f>'Preisliste 2012'!A107</f>
        <v>Fronten (Schubladen / HR)</v>
      </c>
      <c r="B86" s="223" t="str">
        <f>'Preisliste 2012'!B107</f>
        <v>Schubl.</v>
      </c>
      <c r="C86" s="223" t="str">
        <f>'Preisliste 2012'!D107</f>
        <v>780 / 360</v>
      </c>
      <c r="D86" s="223" t="str">
        <f>Aktiv!C247</f>
        <v>Schublade</v>
      </c>
      <c r="E86" s="223">
        <f>Aktiv!A247</f>
        <v>5305</v>
      </c>
      <c r="F86" s="224">
        <f>'Preisliste 2012'!E107</f>
        <v>288</v>
      </c>
      <c r="G86" s="224">
        <f>'Preisliste 2012'!F107</f>
        <v>376</v>
      </c>
      <c r="H86" s="224">
        <f>'Preisliste 2012'!G107</f>
        <v>0</v>
      </c>
      <c r="I86" s="224">
        <f>'Preisliste 2012'!H107</f>
        <v>0</v>
      </c>
      <c r="J86" s="224">
        <f>'Preisliste 2012'!I107</f>
        <v>361</v>
      </c>
      <c r="K86" s="224">
        <f>'Preisliste 2012'!J107</f>
        <v>384</v>
      </c>
      <c r="L86" s="224">
        <f>'Preisliste 2012'!K107</f>
        <v>480</v>
      </c>
      <c r="M86" s="224">
        <f>'Preisliste 2012'!L107</f>
        <v>576</v>
      </c>
      <c r="N86" s="225">
        <f>Aktiv!G247</f>
        <v>320</v>
      </c>
      <c r="O86" s="225">
        <f>Aktiv!H247</f>
        <v>361</v>
      </c>
      <c r="P86" s="225">
        <f>Aktiv!I247</f>
        <v>363</v>
      </c>
      <c r="Q86" s="225">
        <f>Aktiv!J247</f>
        <v>368</v>
      </c>
      <c r="R86" s="226">
        <f>IF(OR(F86="",F86=0,N86=""),"",N86/F86-1)</f>
        <v>0.11111111111111116</v>
      </c>
      <c r="S86" s="226">
        <f>IF(OR(G86="",G86=0,O86=""),"",O86/G86-1)</f>
        <v>-3.9893617021276584E-2</v>
      </c>
      <c r="T86" s="226" t="str">
        <f>IF(OR(I86="",I86=0,Q86=""),"",Q86/I86-1)</f>
        <v/>
      </c>
      <c r="U86" s="226">
        <f>IF(OR(K86="",K86=0,P86=""),"",P86/K86-1)</f>
        <v>-5.46875E-2</v>
      </c>
      <c r="V86" s="227">
        <f>IF(OR(F86="",F86=0,G86=""),"",G86/F86)</f>
        <v>1.3055555555555556</v>
      </c>
      <c r="W86" s="227">
        <f>IF(OR(N86="",N86=0,O86=""),"",O86/N86)</f>
        <v>1.128125</v>
      </c>
      <c r="X86" s="228">
        <f>Aktiv!E247*Aktiv!F247</f>
        <v>280800</v>
      </c>
      <c r="Y86" s="229">
        <f>IF(OR(X86="",X86=0,F86=""),"",F86/(X86/10000))</f>
        <v>10.256410256410257</v>
      </c>
      <c r="Z86" s="230">
        <f>IF(OR(X86="",X86=0,N86=""),"",N86/(X86/10000))</f>
        <v>11.396011396011398</v>
      </c>
    </row>
    <row r="87" spans="1:26" x14ac:dyDescent="0.25">
      <c r="A87" s="222" t="str">
        <f>'Preisliste 2012'!A108</f>
        <v>Fronten (Schubladen / HR)</v>
      </c>
      <c r="B87" s="223" t="str">
        <f>'Preisliste 2012'!B108</f>
        <v>Schubl.</v>
      </c>
      <c r="C87" s="223" t="str">
        <f>'Preisliste 2012'!D108</f>
        <v>980 / 180</v>
      </c>
      <c r="D87" s="223" t="str">
        <f>Aktiv!C248</f>
        <v>Schublade</v>
      </c>
      <c r="E87" s="223">
        <f>Aktiv!A248</f>
        <v>5306</v>
      </c>
      <c r="F87" s="224">
        <f>'Preisliste 2012'!E108</f>
        <v>0</v>
      </c>
      <c r="G87" s="224">
        <f>'Preisliste 2012'!F108</f>
        <v>0</v>
      </c>
      <c r="H87" s="224">
        <f>'Preisliste 2012'!G108</f>
        <v>0</v>
      </c>
      <c r="I87" s="224">
        <f>'Preisliste 2012'!H108</f>
        <v>0</v>
      </c>
      <c r="J87" s="224">
        <f>'Preisliste 2012'!I108</f>
        <v>0</v>
      </c>
      <c r="K87" s="224">
        <f>'Preisliste 2012'!J108</f>
        <v>0</v>
      </c>
      <c r="L87" s="224">
        <f>'Preisliste 2012'!K108</f>
        <v>0</v>
      </c>
      <c r="M87" s="224">
        <f>'Preisliste 2012'!L108</f>
        <v>0</v>
      </c>
      <c r="N87" s="225">
        <f>Aktiv!G248</f>
        <v>313</v>
      </c>
      <c r="O87" s="225">
        <f>Aktiv!H248</f>
        <v>341</v>
      </c>
      <c r="P87" s="225">
        <f>Aktiv!I248</f>
        <v>321</v>
      </c>
      <c r="Q87" s="225">
        <f>Aktiv!J248</f>
        <v>348</v>
      </c>
      <c r="R87" s="226" t="str">
        <f>IF(OR(F87="",F87=0,N87=""),"",N87/F87-1)</f>
        <v/>
      </c>
      <c r="S87" s="226" t="str">
        <f>IF(OR(G87="",G87=0,O87=""),"",O87/G87-1)</f>
        <v/>
      </c>
      <c r="T87" s="226" t="str">
        <f>IF(OR(I87="",I87=0,Q87=""),"",Q87/I87-1)</f>
        <v/>
      </c>
      <c r="U87" s="226" t="str">
        <f>IF(OR(K87="",K87=0,P87=""),"",P87/K87-1)</f>
        <v/>
      </c>
      <c r="V87" s="227" t="str">
        <f>IF(OR(F87="",F87=0,G87=""),"",G87/F87)</f>
        <v/>
      </c>
      <c r="W87" s="227">
        <f>IF(OR(N87="",N87=0,O87=""),"",O87/N87)</f>
        <v>1.0894568690095847</v>
      </c>
      <c r="X87" s="228">
        <f>Aktiv!E248*Aktiv!F248</f>
        <v>176400</v>
      </c>
      <c r="Y87" s="229">
        <f>IF(OR(X87="",X87=0,F87=""),"",F87/(X87/10000))</f>
        <v>0</v>
      </c>
      <c r="Z87" s="230">
        <f>IF(OR(X87="",X87=0,N87=""),"",N87/(X87/10000))</f>
        <v>17.743764172335599</v>
      </c>
    </row>
    <row r="88" spans="1:26" x14ac:dyDescent="0.25">
      <c r="A88" s="222" t="str">
        <f>'Preisliste 2012'!A109</f>
        <v>Fronten (Schubladen / HR)</v>
      </c>
      <c r="B88" s="223" t="str">
        <f>'Preisliste 2012'!B109</f>
        <v>Schubl.</v>
      </c>
      <c r="C88" s="223" t="str">
        <f>'Preisliste 2012'!D109</f>
        <v>980 / 360</v>
      </c>
      <c r="D88" s="223" t="str">
        <f>Aktiv!C249</f>
        <v>Schublade</v>
      </c>
      <c r="E88" s="223">
        <f>Aktiv!A249</f>
        <v>5307</v>
      </c>
      <c r="F88" s="224">
        <f>'Preisliste 2012'!E109</f>
        <v>0</v>
      </c>
      <c r="G88" s="224">
        <f>'Preisliste 2012'!F109</f>
        <v>0</v>
      </c>
      <c r="H88" s="224">
        <f>'Preisliste 2012'!G109</f>
        <v>0</v>
      </c>
      <c r="I88" s="224">
        <f>'Preisliste 2012'!H109</f>
        <v>0</v>
      </c>
      <c r="J88" s="224">
        <f>'Preisliste 2012'!I109</f>
        <v>0</v>
      </c>
      <c r="K88" s="224">
        <f>'Preisliste 2012'!J109</f>
        <v>0</v>
      </c>
      <c r="L88" s="224">
        <f>'Preisliste 2012'!K109</f>
        <v>0</v>
      </c>
      <c r="M88" s="224">
        <f>'Preisliste 2012'!L109</f>
        <v>0</v>
      </c>
      <c r="N88" s="225">
        <f>Aktiv!G249</f>
        <v>386</v>
      </c>
      <c r="O88" s="225">
        <f>Aktiv!H249</f>
        <v>439</v>
      </c>
      <c r="P88" s="225">
        <f>Aktiv!I249</f>
        <v>426</v>
      </c>
      <c r="Q88" s="225">
        <f>Aktiv!J249</f>
        <v>450</v>
      </c>
      <c r="R88" s="226" t="str">
        <f>IF(OR(F88="",F88=0,N88=""),"",N88/F88-1)</f>
        <v/>
      </c>
      <c r="S88" s="226" t="str">
        <f>IF(OR(G88="",G88=0,O88=""),"",O88/G88-1)</f>
        <v/>
      </c>
      <c r="T88" s="226" t="str">
        <f>IF(OR(I88="",I88=0,Q88=""),"",Q88/I88-1)</f>
        <v/>
      </c>
      <c r="U88" s="226" t="str">
        <f>IF(OR(K88="",K88=0,P88=""),"",P88/K88-1)</f>
        <v/>
      </c>
      <c r="V88" s="227" t="str">
        <f>IF(OR(F88="",F88=0,G88=""),"",G88/F88)</f>
        <v/>
      </c>
      <c r="W88" s="227">
        <f>IF(OR(N88="",N88=0,O88=""),"",O88/N88)</f>
        <v>1.1373056994818653</v>
      </c>
      <c r="X88" s="228">
        <f>Aktiv!E249*Aktiv!F249</f>
        <v>352800</v>
      </c>
      <c r="Y88" s="229">
        <f>IF(OR(X88="",X88=0,F88=""),"",F88/(X88/10000))</f>
        <v>0</v>
      </c>
      <c r="Z88" s="230">
        <f>IF(OR(X88="",X88=0,N88=""),"",N88/(X88/10000))</f>
        <v>10.941043083900226</v>
      </c>
    </row>
    <row r="89" spans="1:26" x14ac:dyDescent="0.25">
      <c r="A89" s="222" t="str">
        <f>'Preisliste 2012'!A110</f>
        <v>Fronten (Schubladen / HR)</v>
      </c>
      <c r="B89" s="223" t="str">
        <f>'Preisliste 2012'!B110</f>
        <v>HR-Sc</v>
      </c>
      <c r="C89" s="223" t="str">
        <f>'Preisliste 2012'!D110</f>
        <v>420 / 360</v>
      </c>
      <c r="D89" s="223" t="str">
        <f>Aktiv!C7</f>
        <v>Boden</v>
      </c>
      <c r="E89" s="223">
        <f>Aktiv!A7</f>
        <v>3001</v>
      </c>
      <c r="F89" s="224">
        <f>'Preisliste 2012'!E110</f>
        <v>262</v>
      </c>
      <c r="G89" s="224">
        <f>'Preisliste 2012'!F110</f>
        <v>312</v>
      </c>
      <c r="H89" s="224">
        <f>'Preisliste 2012'!G110</f>
        <v>0</v>
      </c>
      <c r="I89" s="224">
        <f>'Preisliste 2012'!H110</f>
        <v>0</v>
      </c>
      <c r="J89" s="224">
        <f>'Preisliste 2012'!I110</f>
        <v>305</v>
      </c>
      <c r="K89" s="224">
        <f>'Preisliste 2012'!J110</f>
        <v>321</v>
      </c>
      <c r="L89" s="224">
        <f>'Preisliste 2012'!K110</f>
        <v>401</v>
      </c>
      <c r="M89" s="224">
        <f>'Preisliste 2012'!L110</f>
        <v>482</v>
      </c>
      <c r="N89" s="225">
        <f>Aktiv!G7</f>
        <v>26</v>
      </c>
      <c r="O89" s="225">
        <f>Aktiv!H7</f>
        <v>80</v>
      </c>
      <c r="P89" s="225">
        <f>Aktiv!I7</f>
        <v>84</v>
      </c>
      <c r="Q89" s="225">
        <f>Aktiv!J7</f>
        <v>135</v>
      </c>
      <c r="R89" s="226">
        <f>IF(OR(F89="",F89=0,N89=""),"",N89/F89-1)</f>
        <v>-0.9007633587786259</v>
      </c>
      <c r="S89" s="226">
        <f>IF(OR(G89="",G89=0,O89=""),"",O89/G89-1)</f>
        <v>-0.74358974358974361</v>
      </c>
      <c r="T89" s="226" t="str">
        <f>IF(OR(I89="",I89=0,Q89=""),"",Q89/I89-1)</f>
        <v/>
      </c>
      <c r="U89" s="226">
        <f>IF(OR(K89="",K89=0,P89=""),"",P89/K89-1)</f>
        <v>-0.73831775700934577</v>
      </c>
      <c r="V89" s="227">
        <f>IF(OR(F89="",F89=0,G89=""),"",G89/F89)</f>
        <v>1.1908396946564885</v>
      </c>
      <c r="W89" s="227">
        <f>IF(OR(N89="",N89=0,O89=""),"",O89/N89)</f>
        <v>3.0769230769230771</v>
      </c>
      <c r="X89" s="228">
        <f>Aktiv!E7*Aktiv!F7</f>
        <v>151200</v>
      </c>
      <c r="Y89" s="229">
        <f>IF(OR(X89="",X89=0,F89=""),"",F89/(X89/10000))</f>
        <v>17.328042328042329</v>
      </c>
      <c r="Z89" s="230">
        <f>IF(OR(X89="",X89=0,N89=""),"",N89/(X89/10000))</f>
        <v>1.7195767195767198</v>
      </c>
    </row>
    <row r="90" spans="1:26" x14ac:dyDescent="0.25">
      <c r="A90" s="222" t="str">
        <f>'Preisliste 2012'!A111</f>
        <v>Fronten (Schubladen / HR)</v>
      </c>
      <c r="B90" s="223" t="str">
        <f>'Preisliste 2012'!B111</f>
        <v>HR-Sc</v>
      </c>
      <c r="C90" s="223" t="str">
        <f>'Preisliste 2012'!D111</f>
        <v>580 / 360</v>
      </c>
      <c r="D90" s="223" t="str">
        <f>Aktiv!C8</f>
        <v>Boden</v>
      </c>
      <c r="E90" s="223">
        <f>Aktiv!A8</f>
        <v>3002</v>
      </c>
      <c r="F90" s="224">
        <f>'Preisliste 2012'!E111</f>
        <v>263</v>
      </c>
      <c r="G90" s="224">
        <f>'Preisliste 2012'!F111</f>
        <v>335</v>
      </c>
      <c r="H90" s="224">
        <f>'Preisliste 2012'!G111</f>
        <v>0</v>
      </c>
      <c r="I90" s="224">
        <f>'Preisliste 2012'!H111</f>
        <v>0</v>
      </c>
      <c r="J90" s="224">
        <f>'Preisliste 2012'!I111</f>
        <v>324</v>
      </c>
      <c r="K90" s="224">
        <f>'Preisliste 2012'!J111</f>
        <v>343</v>
      </c>
      <c r="L90" s="224">
        <f>'Preisliste 2012'!K111</f>
        <v>429</v>
      </c>
      <c r="M90" s="224">
        <f>'Preisliste 2012'!L111</f>
        <v>515</v>
      </c>
      <c r="N90" s="225">
        <f>Aktiv!G8</f>
        <v>32</v>
      </c>
      <c r="O90" s="225">
        <f>Aktiv!H8</f>
        <v>106</v>
      </c>
      <c r="P90" s="225">
        <f>Aktiv!I8</f>
        <v>118</v>
      </c>
      <c r="Q90" s="225">
        <f>Aktiv!J8</f>
        <v>141</v>
      </c>
      <c r="R90" s="226">
        <f>IF(OR(F90="",F90=0,N90=""),"",N90/F90-1)</f>
        <v>-0.87832699619771859</v>
      </c>
      <c r="S90" s="226">
        <f>IF(OR(G90="",G90=0,O90=""),"",O90/G90-1)</f>
        <v>-0.68358208955223887</v>
      </c>
      <c r="T90" s="226" t="str">
        <f>IF(OR(I90="",I90=0,Q90=""),"",Q90/I90-1)</f>
        <v/>
      </c>
      <c r="U90" s="226">
        <f>IF(OR(K90="",K90=0,P90=""),"",P90/K90-1)</f>
        <v>-0.65597667638483959</v>
      </c>
      <c r="V90" s="227">
        <f>IF(OR(F90="",F90=0,G90=""),"",G90/F90)</f>
        <v>1.273764258555133</v>
      </c>
      <c r="W90" s="227">
        <f>IF(OR(N90="",N90=0,O90=""),"",O90/N90)</f>
        <v>3.3125</v>
      </c>
      <c r="X90" s="228">
        <f>Aktiv!E8*Aktiv!F8</f>
        <v>208800</v>
      </c>
      <c r="Y90" s="229">
        <f>IF(OR(X90="",X90=0,F90=""),"",F90/(X90/10000))</f>
        <v>12.595785440613028</v>
      </c>
      <c r="Z90" s="230">
        <f>IF(OR(X90="",X90=0,N90=""),"",N90/(X90/10000))</f>
        <v>1.5325670498084292</v>
      </c>
    </row>
    <row r="91" spans="1:26" x14ac:dyDescent="0.25">
      <c r="A91" s="222" t="str">
        <f>'Preisliste 2012'!A112</f>
        <v>Fronten (Schubladen / HR)</v>
      </c>
      <c r="B91" s="223" t="str">
        <f>'Preisliste 2012'!B112</f>
        <v>HR-Sc</v>
      </c>
      <c r="C91" s="223" t="str">
        <f>'Preisliste 2012'!D112</f>
        <v>780 / 360</v>
      </c>
      <c r="D91" s="223" t="str">
        <f>Aktiv!C9</f>
        <v>Boden</v>
      </c>
      <c r="E91" s="223">
        <f>Aktiv!A9</f>
        <v>3003</v>
      </c>
      <c r="F91" s="224">
        <f>'Preisliste 2012'!E112</f>
        <v>265</v>
      </c>
      <c r="G91" s="224">
        <f>'Preisliste 2012'!F112</f>
        <v>358</v>
      </c>
      <c r="H91" s="224">
        <f>'Preisliste 2012'!G112</f>
        <v>0</v>
      </c>
      <c r="I91" s="224">
        <f>'Preisliste 2012'!H112</f>
        <v>0</v>
      </c>
      <c r="J91" s="224">
        <f>'Preisliste 2012'!I112</f>
        <v>343</v>
      </c>
      <c r="K91" s="224">
        <f>'Preisliste 2012'!J112</f>
        <v>365</v>
      </c>
      <c r="L91" s="224">
        <f>'Preisliste 2012'!K112</f>
        <v>457</v>
      </c>
      <c r="M91" s="224">
        <f>'Preisliste 2012'!L112</f>
        <v>548</v>
      </c>
      <c r="N91" s="225">
        <f>Aktiv!G9</f>
        <v>42</v>
      </c>
      <c r="O91" s="225">
        <f>Aktiv!H9</f>
        <v>122</v>
      </c>
      <c r="P91" s="225">
        <f>Aktiv!I9</f>
        <v>131</v>
      </c>
      <c r="Q91" s="225">
        <f>Aktiv!J9</f>
        <v>144</v>
      </c>
      <c r="R91" s="226">
        <f>IF(OR(F91="",F91=0,N91=""),"",N91/F91-1)</f>
        <v>-0.84150943396226419</v>
      </c>
      <c r="S91" s="226">
        <f>IF(OR(G91="",G91=0,O91=""),"",O91/G91-1)</f>
        <v>-0.65921787709497215</v>
      </c>
      <c r="T91" s="226" t="str">
        <f>IF(OR(I91="",I91=0,Q91=""),"",Q91/I91-1)</f>
        <v/>
      </c>
      <c r="U91" s="226">
        <f>IF(OR(K91="",K91=0,P91=""),"",P91/K91-1)</f>
        <v>-0.64109589041095894</v>
      </c>
      <c r="V91" s="227">
        <f>IF(OR(F91="",F91=0,G91=""),"",G91/F91)</f>
        <v>1.350943396226415</v>
      </c>
      <c r="W91" s="227">
        <f>IF(OR(N91="",N91=0,O91=""),"",O91/N91)</f>
        <v>2.9047619047619047</v>
      </c>
      <c r="X91" s="228">
        <f>Aktiv!E9*Aktiv!F9</f>
        <v>280800</v>
      </c>
      <c r="Y91" s="229">
        <f>IF(OR(X91="",X91=0,F91=""),"",F91/(X91/10000))</f>
        <v>9.4373219373219381</v>
      </c>
      <c r="Z91" s="230">
        <f>IF(OR(X91="",X91=0,N91=""),"",N91/(X91/10000))</f>
        <v>1.4957264957264957</v>
      </c>
    </row>
    <row r="92" spans="1:26" x14ac:dyDescent="0.25">
      <c r="A92" s="222" t="str">
        <f>'Preisliste 2012'!A113</f>
        <v>Fronten (Schubladen / HR)</v>
      </c>
      <c r="B92" s="223" t="str">
        <f>'Preisliste 2012'!B113</f>
        <v>HR-Sc</v>
      </c>
      <c r="C92" s="223" t="str">
        <f>'Preisliste 2012'!D113</f>
        <v>980 / 360</v>
      </c>
      <c r="D92" s="223" t="str">
        <f>Aktiv!C10</f>
        <v>Boden</v>
      </c>
      <c r="E92" s="223">
        <f>Aktiv!A10</f>
        <v>3004</v>
      </c>
      <c r="F92" s="224">
        <f>'Preisliste 2012'!E113</f>
        <v>319</v>
      </c>
      <c r="G92" s="224">
        <f>'Preisliste 2012'!F113</f>
        <v>439</v>
      </c>
      <c r="H92" s="224">
        <f>'Preisliste 2012'!G113</f>
        <v>0</v>
      </c>
      <c r="I92" s="224">
        <f>'Preisliste 2012'!H113</f>
        <v>0</v>
      </c>
      <c r="J92" s="224">
        <f>'Preisliste 2012'!I113</f>
        <v>404</v>
      </c>
      <c r="K92" s="224">
        <f>'Preisliste 2012'!J113</f>
        <v>420</v>
      </c>
      <c r="L92" s="224">
        <f>'Preisliste 2012'!K113</f>
        <v>489</v>
      </c>
      <c r="M92" s="224">
        <f>'Preisliste 2012'!L113</f>
        <v>630</v>
      </c>
      <c r="N92" s="225">
        <f>Aktiv!G10</f>
        <v>53</v>
      </c>
      <c r="O92" s="225">
        <f>Aktiv!H10</f>
        <v>147</v>
      </c>
      <c r="P92" s="225">
        <f>Aktiv!I10</f>
        <v>158</v>
      </c>
      <c r="Q92" s="225">
        <f>Aktiv!J10</f>
        <v>159</v>
      </c>
      <c r="R92" s="226">
        <f>IF(OR(F92="",F92=0,N92=""),"",N92/F92-1)</f>
        <v>-0.83385579937304077</v>
      </c>
      <c r="S92" s="226">
        <f>IF(OR(G92="",G92=0,O92=""),"",O92/G92-1)</f>
        <v>-0.66514806378132119</v>
      </c>
      <c r="T92" s="226" t="str">
        <f>IF(OR(I92="",I92=0,Q92=""),"",Q92/I92-1)</f>
        <v/>
      </c>
      <c r="U92" s="226">
        <f>IF(OR(K92="",K92=0,P92=""),"",P92/K92-1)</f>
        <v>-0.62380952380952381</v>
      </c>
      <c r="V92" s="227">
        <f>IF(OR(F92="",F92=0,G92=""),"",G92/F92)</f>
        <v>1.3761755485893417</v>
      </c>
      <c r="W92" s="227">
        <f>IF(OR(N92="",N92=0,O92=""),"",O92/N92)</f>
        <v>2.7735849056603774</v>
      </c>
      <c r="X92" s="228">
        <f>Aktiv!E10*Aktiv!F10</f>
        <v>352800</v>
      </c>
      <c r="Y92" s="229">
        <f>IF(OR(X92="",X92=0,F92=""),"",F92/(X92/10000))</f>
        <v>9.0419501133786842</v>
      </c>
      <c r="Z92" s="230">
        <f>IF(OR(X92="",X92=0,N92=""),"",N92/(X92/10000))</f>
        <v>1.5022675736961451</v>
      </c>
    </row>
    <row r="93" spans="1:26" x14ac:dyDescent="0.25">
      <c r="A93" s="222" t="str">
        <f>'Preisliste 2012'!A114</f>
        <v>Fronten (Schubladen / HR)</v>
      </c>
      <c r="B93" s="223" t="str">
        <f>'Preisliste 2012'!B114</f>
        <v>HR-Sc</v>
      </c>
      <c r="C93" s="223" t="str">
        <f>'Preisliste 2012'!D114</f>
        <v>420 / 360</v>
      </c>
      <c r="D93" s="223" t="str">
        <f>Aktiv!C7</f>
        <v>Boden</v>
      </c>
      <c r="E93" s="223">
        <f>Aktiv!A7</f>
        <v>3001</v>
      </c>
      <c r="F93" s="224">
        <f>'Preisliste 2012'!E114</f>
        <v>269</v>
      </c>
      <c r="G93" s="224">
        <f>'Preisliste 2012'!F114</f>
        <v>341</v>
      </c>
      <c r="H93" s="224">
        <f>'Preisliste 2012'!G114</f>
        <v>0</v>
      </c>
      <c r="I93" s="224">
        <f>'Preisliste 2012'!H114</f>
        <v>0</v>
      </c>
      <c r="J93" s="224">
        <f>'Preisliste 2012'!I114</f>
        <v>335</v>
      </c>
      <c r="K93" s="224">
        <f>'Preisliste 2012'!J114</f>
        <v>350</v>
      </c>
      <c r="L93" s="224">
        <f>'Preisliste 2012'!K114</f>
        <v>437</v>
      </c>
      <c r="M93" s="224">
        <f>'Preisliste 2012'!L114</f>
        <v>525</v>
      </c>
      <c r="N93" s="225">
        <f>Aktiv!G7</f>
        <v>26</v>
      </c>
      <c r="O93" s="225">
        <f>Aktiv!H7</f>
        <v>80</v>
      </c>
      <c r="P93" s="225">
        <f>Aktiv!I7</f>
        <v>84</v>
      </c>
      <c r="Q93" s="225">
        <f>Aktiv!J7</f>
        <v>135</v>
      </c>
      <c r="R93" s="226">
        <f>IF(OR(F93="",F93=0,N93=""),"",N93/F93-1)</f>
        <v>-0.90334572490706322</v>
      </c>
      <c r="S93" s="226">
        <f>IF(OR(G93="",G93=0,O93=""),"",O93/G93-1)</f>
        <v>-0.76539589442815248</v>
      </c>
      <c r="T93" s="226" t="str">
        <f>IF(OR(I93="",I93=0,Q93=""),"",Q93/I93-1)</f>
        <v/>
      </c>
      <c r="U93" s="226">
        <f>IF(OR(K93="",K93=0,P93=""),"",P93/K93-1)</f>
        <v>-0.76</v>
      </c>
      <c r="V93" s="227">
        <f>IF(OR(F93="",F93=0,G93=""),"",G93/F93)</f>
        <v>1.2676579925650557</v>
      </c>
      <c r="W93" s="227">
        <f>IF(OR(N93="",N93=0,O93=""),"",O93/N93)</f>
        <v>3.0769230769230771</v>
      </c>
      <c r="X93" s="228">
        <f>Aktiv!E7*Aktiv!F7</f>
        <v>151200</v>
      </c>
      <c r="Y93" s="229">
        <f>IF(OR(X93="",X93=0,F93=""),"",F93/(X93/10000))</f>
        <v>17.791005291005291</v>
      </c>
      <c r="Z93" s="230">
        <f>IF(OR(X93="",X93=0,N93=""),"",N93/(X93/10000))</f>
        <v>1.7195767195767198</v>
      </c>
    </row>
    <row r="94" spans="1:26" x14ac:dyDescent="0.25">
      <c r="A94" s="222" t="str">
        <f>'Preisliste 2012'!A115</f>
        <v>Fronten (Schubladen / HR)</v>
      </c>
      <c r="B94" s="223" t="str">
        <f>'Preisliste 2012'!B115</f>
        <v>HR-Sc</v>
      </c>
      <c r="C94" s="223" t="str">
        <f>'Preisliste 2012'!D115</f>
        <v>580 / 360</v>
      </c>
      <c r="D94" s="223" t="str">
        <f>Aktiv!C8</f>
        <v>Boden</v>
      </c>
      <c r="E94" s="223">
        <f>Aktiv!A8</f>
        <v>3002</v>
      </c>
      <c r="F94" s="224">
        <f>'Preisliste 2012'!E115</f>
        <v>278</v>
      </c>
      <c r="G94" s="224">
        <f>'Preisliste 2012'!F115</f>
        <v>359</v>
      </c>
      <c r="H94" s="224">
        <f>'Preisliste 2012'!G115</f>
        <v>0</v>
      </c>
      <c r="I94" s="224">
        <f>'Preisliste 2012'!H115</f>
        <v>0</v>
      </c>
      <c r="J94" s="224">
        <f>'Preisliste 2012'!I115</f>
        <v>348</v>
      </c>
      <c r="K94" s="224">
        <f>'Preisliste 2012'!J115</f>
        <v>367</v>
      </c>
      <c r="L94" s="224">
        <f>'Preisliste 2012'!K115</f>
        <v>459</v>
      </c>
      <c r="M94" s="224">
        <f>'Preisliste 2012'!L115</f>
        <v>551</v>
      </c>
      <c r="N94" s="225">
        <f>Aktiv!G8</f>
        <v>32</v>
      </c>
      <c r="O94" s="225">
        <f>Aktiv!H8</f>
        <v>106</v>
      </c>
      <c r="P94" s="225">
        <f>Aktiv!I8</f>
        <v>118</v>
      </c>
      <c r="Q94" s="225">
        <f>Aktiv!J8</f>
        <v>141</v>
      </c>
      <c r="R94" s="226">
        <f>IF(OR(F94="",F94=0,N94=""),"",N94/F94-1)</f>
        <v>-0.8848920863309353</v>
      </c>
      <c r="S94" s="226">
        <f>IF(OR(G94="",G94=0,O94=""),"",O94/G94-1)</f>
        <v>-0.70473537604456826</v>
      </c>
      <c r="T94" s="226" t="str">
        <f>IF(OR(I94="",I94=0,Q94=""),"",Q94/I94-1)</f>
        <v/>
      </c>
      <c r="U94" s="226">
        <f>IF(OR(K94="",K94=0,P94=""),"",P94/K94-1)</f>
        <v>-0.67847411444141692</v>
      </c>
      <c r="V94" s="227">
        <f>IF(OR(F94="",F94=0,G94=""),"",G94/F94)</f>
        <v>1.2913669064748201</v>
      </c>
      <c r="W94" s="227">
        <f>IF(OR(N94="",N94=0,O94=""),"",O94/N94)</f>
        <v>3.3125</v>
      </c>
      <c r="X94" s="228">
        <f>Aktiv!E8*Aktiv!F8</f>
        <v>208800</v>
      </c>
      <c r="Y94" s="229">
        <f>IF(OR(X94="",X94=0,F94=""),"",F94/(X94/10000))</f>
        <v>13.314176245210728</v>
      </c>
      <c r="Z94" s="230">
        <f>IF(OR(X94="",X94=0,N94=""),"",N94/(X94/10000))</f>
        <v>1.5325670498084292</v>
      </c>
    </row>
    <row r="95" spans="1:26" x14ac:dyDescent="0.25">
      <c r="A95" s="222" t="str">
        <f>'Preisliste 2012'!A116</f>
        <v>Fronten (Schubladen / HR)</v>
      </c>
      <c r="B95" s="223" t="str">
        <f>'Preisliste 2012'!B116</f>
        <v>HR-Sc</v>
      </c>
      <c r="C95" s="223" t="str">
        <f>'Preisliste 2012'!D116</f>
        <v>780 / 360</v>
      </c>
      <c r="D95" s="223" t="str">
        <f>Aktiv!C9</f>
        <v>Boden</v>
      </c>
      <c r="E95" s="223">
        <f>Aktiv!A9</f>
        <v>3003</v>
      </c>
      <c r="F95" s="224">
        <f>'Preisliste 2012'!E116</f>
        <v>288</v>
      </c>
      <c r="G95" s="224">
        <f>'Preisliste 2012'!F116</f>
        <v>376</v>
      </c>
      <c r="H95" s="224">
        <f>'Preisliste 2012'!G116</f>
        <v>0</v>
      </c>
      <c r="I95" s="224">
        <f>'Preisliste 2012'!H116</f>
        <v>0</v>
      </c>
      <c r="J95" s="224">
        <f>'Preisliste 2012'!I116</f>
        <v>361</v>
      </c>
      <c r="K95" s="224">
        <f>'Preisliste 2012'!J116</f>
        <v>384</v>
      </c>
      <c r="L95" s="224">
        <f>'Preisliste 2012'!K116</f>
        <v>480</v>
      </c>
      <c r="M95" s="224">
        <f>'Preisliste 2012'!L116</f>
        <v>576</v>
      </c>
      <c r="N95" s="225">
        <f>Aktiv!G9</f>
        <v>42</v>
      </c>
      <c r="O95" s="225">
        <f>Aktiv!H9</f>
        <v>122</v>
      </c>
      <c r="P95" s="225">
        <f>Aktiv!I9</f>
        <v>131</v>
      </c>
      <c r="Q95" s="225">
        <f>Aktiv!J9</f>
        <v>144</v>
      </c>
      <c r="R95" s="226">
        <f>IF(OR(F95="",F95=0,N95=""),"",N95/F95-1)</f>
        <v>-0.85416666666666663</v>
      </c>
      <c r="S95" s="226">
        <f>IF(OR(G95="",G95=0,O95=""),"",O95/G95-1)</f>
        <v>-0.67553191489361697</v>
      </c>
      <c r="T95" s="226" t="str">
        <f>IF(OR(I95="",I95=0,Q95=""),"",Q95/I95-1)</f>
        <v/>
      </c>
      <c r="U95" s="226">
        <f>IF(OR(K95="",K95=0,P95=""),"",P95/K95-1)</f>
        <v>-0.65885416666666674</v>
      </c>
      <c r="V95" s="227">
        <f>IF(OR(F95="",F95=0,G95=""),"",G95/F95)</f>
        <v>1.3055555555555556</v>
      </c>
      <c r="W95" s="227">
        <f>IF(OR(N95="",N95=0,O95=""),"",O95/N95)</f>
        <v>2.9047619047619047</v>
      </c>
      <c r="X95" s="228">
        <f>Aktiv!E9*Aktiv!F9</f>
        <v>280800</v>
      </c>
      <c r="Y95" s="229">
        <f>IF(OR(X95="",X95=0,F95=""),"",F95/(X95/10000))</f>
        <v>10.256410256410257</v>
      </c>
      <c r="Z95" s="230">
        <f>IF(OR(X95="",X95=0,N95=""),"",N95/(X95/10000))</f>
        <v>1.4957264957264957</v>
      </c>
    </row>
    <row r="96" spans="1:26" x14ac:dyDescent="0.25">
      <c r="A96" s="222" t="str">
        <f>'Preisliste 2012'!A117</f>
        <v>Fronten (Schubladen / HR)</v>
      </c>
      <c r="B96" s="223" t="str">
        <f>'Preisliste 2012'!B117</f>
        <v>HR-Sc</v>
      </c>
      <c r="C96" s="223" t="str">
        <f>'Preisliste 2012'!D117</f>
        <v>980 / 360</v>
      </c>
      <c r="D96" s="223" t="str">
        <f>Aktiv!C10</f>
        <v>Boden</v>
      </c>
      <c r="E96" s="223">
        <f>Aktiv!A10</f>
        <v>3004</v>
      </c>
      <c r="F96" s="224">
        <f>'Preisliste 2012'!E117</f>
        <v>0</v>
      </c>
      <c r="G96" s="224">
        <f>'Preisliste 2012'!F117</f>
        <v>0</v>
      </c>
      <c r="H96" s="224">
        <f>'Preisliste 2012'!G117</f>
        <v>0</v>
      </c>
      <c r="I96" s="224">
        <f>'Preisliste 2012'!H117</f>
        <v>0</v>
      </c>
      <c r="J96" s="224">
        <f>'Preisliste 2012'!I117</f>
        <v>0</v>
      </c>
      <c r="K96" s="224">
        <f>'Preisliste 2012'!J117</f>
        <v>0</v>
      </c>
      <c r="L96" s="224">
        <f>'Preisliste 2012'!K117</f>
        <v>0</v>
      </c>
      <c r="M96" s="224">
        <f>'Preisliste 2012'!L117</f>
        <v>0</v>
      </c>
      <c r="N96" s="225">
        <f>Aktiv!G10</f>
        <v>53</v>
      </c>
      <c r="O96" s="225">
        <f>Aktiv!H10</f>
        <v>147</v>
      </c>
      <c r="P96" s="225">
        <f>Aktiv!I10</f>
        <v>158</v>
      </c>
      <c r="Q96" s="225">
        <f>Aktiv!J10</f>
        <v>159</v>
      </c>
      <c r="R96" s="226" t="str">
        <f>IF(OR(F96="",F96=0,N96=""),"",N96/F96-1)</f>
        <v/>
      </c>
      <c r="S96" s="226" t="str">
        <f>IF(OR(G96="",G96=0,O96=""),"",O96/G96-1)</f>
        <v/>
      </c>
      <c r="T96" s="226" t="str">
        <f>IF(OR(I96="",I96=0,Q96=""),"",Q96/I96-1)</f>
        <v/>
      </c>
      <c r="U96" s="226" t="str">
        <f>IF(OR(K96="",K96=0,P96=""),"",P96/K96-1)</f>
        <v/>
      </c>
      <c r="V96" s="227" t="str">
        <f>IF(OR(F96="",F96=0,G96=""),"",G96/F96)</f>
        <v/>
      </c>
      <c r="W96" s="227">
        <f>IF(OR(N96="",N96=0,O96=""),"",O96/N96)</f>
        <v>2.7735849056603774</v>
      </c>
      <c r="X96" s="228">
        <f>Aktiv!E10*Aktiv!F10</f>
        <v>352800</v>
      </c>
      <c r="Y96" s="229">
        <f>IF(OR(X96="",X96=0,F96=""),"",F96/(X96/10000))</f>
        <v>0</v>
      </c>
      <c r="Z96" s="230">
        <f>IF(OR(X96="",X96=0,N96=""),"",N96/(X96/10000))</f>
        <v>1.5022675736961451</v>
      </c>
    </row>
    <row r="97" spans="1:26" x14ac:dyDescent="0.25">
      <c r="A97" s="213" t="s">
        <v>603</v>
      </c>
      <c r="B97" s="214"/>
      <c r="C97" s="214"/>
      <c r="D97" s="214"/>
      <c r="E97" s="214"/>
      <c r="F97" s="215"/>
      <c r="G97" s="215"/>
      <c r="H97" s="215"/>
      <c r="I97" s="215"/>
      <c r="J97" s="215"/>
      <c r="K97" s="215"/>
      <c r="L97" s="215"/>
      <c r="M97" s="215"/>
      <c r="N97" s="216"/>
      <c r="O97" s="216"/>
      <c r="P97" s="216"/>
      <c r="Q97" s="216"/>
      <c r="R97" s="217"/>
      <c r="S97" s="217"/>
      <c r="T97" s="217"/>
      <c r="U97" s="217"/>
      <c r="V97" s="218"/>
      <c r="W97" s="218"/>
      <c r="X97" s="219"/>
      <c r="Y97" s="220"/>
      <c r="Z97" s="221"/>
    </row>
    <row r="98" spans="1:26" x14ac:dyDescent="0.25">
      <c r="A98" s="272" t="str">
        <f>'Preisliste 2012'!A121</f>
        <v>Tischprogramm</v>
      </c>
      <c r="B98" s="273" t="str">
        <f>'Preisliste 2012'!B121</f>
        <v>TW 1-1</v>
      </c>
      <c r="C98" s="273" t="str">
        <f>'Preisliste 2012'!D121</f>
        <v>980 / 980</v>
      </c>
      <c r="D98" s="273" t="str">
        <f>Aktiv!C18</f>
        <v>Boden</v>
      </c>
      <c r="E98" s="273">
        <f>Aktiv!A18</f>
        <v>3012</v>
      </c>
      <c r="F98" s="274">
        <f>'Preisliste 2012'!E121</f>
        <v>651</v>
      </c>
      <c r="G98" s="274">
        <f>'Preisliste 2012'!F121</f>
        <v>0</v>
      </c>
      <c r="H98" s="274">
        <f>'Preisliste 2012'!G121</f>
        <v>1074</v>
      </c>
      <c r="I98" s="274">
        <f>'Preisliste 2012'!H121</f>
        <v>1181</v>
      </c>
      <c r="J98" s="274">
        <f>'Preisliste 2012'!I121</f>
        <v>814</v>
      </c>
      <c r="K98" s="274">
        <f>'Preisliste 2012'!J121</f>
        <v>853</v>
      </c>
      <c r="L98" s="274">
        <f>'Preisliste 2012'!K121</f>
        <v>1066</v>
      </c>
      <c r="M98" s="274">
        <f>'Preisliste 2012'!L121</f>
        <v>1280</v>
      </c>
      <c r="N98" s="274">
        <f>Aktiv!G18</f>
        <v>135</v>
      </c>
      <c r="O98" s="274">
        <f>Aktiv!H18</f>
        <v>327</v>
      </c>
      <c r="P98" s="274">
        <f>Aktiv!I18</f>
        <v>234</v>
      </c>
      <c r="Q98" s="274">
        <f>Aktiv!J18</f>
        <v>367</v>
      </c>
      <c r="R98" s="275">
        <f>IF(OR(F98="",F98=0,N98=""),"",N98/F98-1)</f>
        <v>-0.79262672811059909</v>
      </c>
      <c r="S98" s="275" t="str">
        <f>IF(OR(G98="",G98=0,O98=""),"",O98/G98-1)</f>
        <v/>
      </c>
      <c r="T98" s="275">
        <f>IF(OR(I98="",I98=0,Q98=""),"",Q98/I98-1)</f>
        <v>-0.6892464013547841</v>
      </c>
      <c r="U98" s="275">
        <f>IF(OR(K98="",K98=0,P98=""),"",P98/K98-1)</f>
        <v>-0.72567409144196948</v>
      </c>
      <c r="V98" s="276">
        <f>IF(OR(F98="",F98=0,G98=""),"",G98/F98)</f>
        <v>0</v>
      </c>
      <c r="W98" s="276">
        <f>IF(OR(N98="",N98=0,O98=""),"",O98/N98)</f>
        <v>2.4222222222222221</v>
      </c>
      <c r="X98" s="274">
        <f>Aktiv!E18*Aktiv!F18</f>
        <v>960400</v>
      </c>
      <c r="Y98" s="277">
        <f>IF(OR(X98="",X98=0,F98=""),"",F98/(X98/10000))</f>
        <v>6.778425655976676</v>
      </c>
      <c r="Z98" s="278">
        <f>IF(OR(X98="",X98=0,N98=""),"",N98/(X98/10000))</f>
        <v>1.405664306538942</v>
      </c>
    </row>
    <row r="99" spans="1:26" x14ac:dyDescent="0.25">
      <c r="A99" s="272" t="str">
        <f>'Preisliste 2012'!A126</f>
        <v>Tischprogramm</v>
      </c>
      <c r="B99" s="273" t="str">
        <f>'Preisliste 2012'!B126</f>
        <v>TW 6</v>
      </c>
      <c r="C99" s="273" t="str">
        <f>'Preisliste 2012'!D126</f>
        <v>980 / 780</v>
      </c>
      <c r="D99" s="273" t="str">
        <f>Aktiv!C17</f>
        <v>Boden</v>
      </c>
      <c r="E99" s="273">
        <f>Aktiv!A17</f>
        <v>3011</v>
      </c>
      <c r="F99" s="274">
        <f>'Preisliste 2012'!E126</f>
        <v>649</v>
      </c>
      <c r="G99" s="274">
        <f>'Preisliste 2012'!F126</f>
        <v>0</v>
      </c>
      <c r="H99" s="274">
        <f>'Preisliste 2012'!G126</f>
        <v>1011</v>
      </c>
      <c r="I99" s="274">
        <f>'Preisliste 2012'!H126</f>
        <v>1113</v>
      </c>
      <c r="J99" s="274">
        <f>'Preisliste 2012'!I126</f>
        <v>753</v>
      </c>
      <c r="K99" s="274">
        <f>'Preisliste 2012'!J126</f>
        <v>836</v>
      </c>
      <c r="L99" s="274">
        <f>'Preisliste 2012'!K126</f>
        <v>1045</v>
      </c>
      <c r="M99" s="274">
        <f>'Preisliste 2012'!L126</f>
        <v>1254</v>
      </c>
      <c r="N99" s="274">
        <f>Aktiv!G17</f>
        <v>104</v>
      </c>
      <c r="O99" s="274">
        <f>Aktiv!H17</f>
        <v>275</v>
      </c>
      <c r="P99" s="274">
        <f>Aktiv!I17</f>
        <v>197</v>
      </c>
      <c r="Q99" s="274">
        <f>Aktiv!J17</f>
        <v>309</v>
      </c>
      <c r="R99" s="275">
        <f>IF(OR(F99="",F99=0,N99=""),"",N99/F99-1)</f>
        <v>-0.83975346687211094</v>
      </c>
      <c r="S99" s="275" t="str">
        <f>IF(OR(G99="",G99=0,O99=""),"",O99/G99-1)</f>
        <v/>
      </c>
      <c r="T99" s="275">
        <f>IF(OR(I99="",I99=0,Q99=""),"",Q99/I99-1)</f>
        <v>-0.72237196765498646</v>
      </c>
      <c r="U99" s="275">
        <f>IF(OR(K99="",K99=0,P99=""),"",P99/K99-1)</f>
        <v>-0.7643540669856459</v>
      </c>
      <c r="V99" s="276">
        <f>IF(OR(F99="",F99=0,G99=""),"",G99/F99)</f>
        <v>0</v>
      </c>
      <c r="W99" s="276">
        <f>IF(OR(N99="",N99=0,O99=""),"",O99/N99)</f>
        <v>2.6442307692307692</v>
      </c>
      <c r="X99" s="274">
        <f>Aktiv!E17*Aktiv!F17</f>
        <v>764400</v>
      </c>
      <c r="Y99" s="277">
        <f>IF(OR(X99="",X99=0,F99=""),"",F99/(X99/10000))</f>
        <v>8.4903192046049192</v>
      </c>
      <c r="Z99" s="278">
        <f>IF(OR(X99="",X99=0,N99=""),"",N99/(X99/10000))</f>
        <v>1.3605442176870748</v>
      </c>
    </row>
    <row r="100" spans="1:26" x14ac:dyDescent="0.25">
      <c r="A100" s="272" t="str">
        <f>'Preisliste 2012'!A127</f>
        <v>Tischprogramm</v>
      </c>
      <c r="B100" s="273" t="str">
        <f>'Preisliste 2012'!B127</f>
        <v>TW 7</v>
      </c>
      <c r="C100" s="273" t="str">
        <f>'Preisliste 2012'!D127</f>
        <v>780 / 780</v>
      </c>
      <c r="D100" s="273" t="str">
        <f>Aktiv!C16</f>
        <v>Boden</v>
      </c>
      <c r="E100" s="273">
        <f>Aktiv!A16</f>
        <v>3010</v>
      </c>
      <c r="F100" s="274">
        <f>'Preisliste 2012'!E127</f>
        <v>570</v>
      </c>
      <c r="G100" s="274">
        <f>'Preisliste 2012'!F127</f>
        <v>0</v>
      </c>
      <c r="H100" s="274">
        <f>'Preisliste 2012'!G127</f>
        <v>953</v>
      </c>
      <c r="I100" s="274">
        <f>'Preisliste 2012'!H127</f>
        <v>1049</v>
      </c>
      <c r="J100" s="274">
        <f>'Preisliste 2012'!I127</f>
        <v>699</v>
      </c>
      <c r="K100" s="274">
        <f>'Preisliste 2012'!J127</f>
        <v>764</v>
      </c>
      <c r="L100" s="274">
        <f>'Preisliste 2012'!K127</f>
        <v>954</v>
      </c>
      <c r="M100" s="274">
        <f>'Preisliste 2012'!L127</f>
        <v>1146</v>
      </c>
      <c r="N100" s="274">
        <f>Aktiv!G16</f>
        <v>85</v>
      </c>
      <c r="O100" s="274">
        <f>Aktiv!H16</f>
        <v>199</v>
      </c>
      <c r="P100" s="274">
        <f>Aktiv!I16</f>
        <v>248</v>
      </c>
      <c r="Q100" s="274">
        <f>Aktiv!J16</f>
        <v>224</v>
      </c>
      <c r="R100" s="275">
        <f>IF(OR(F100="",F100=0,N100=""),"",N100/F100-1)</f>
        <v>-0.85087719298245612</v>
      </c>
      <c r="S100" s="275" t="str">
        <f>IF(OR(G100="",G100=0,O100=""),"",O100/G100-1)</f>
        <v/>
      </c>
      <c r="T100" s="275">
        <f>IF(OR(I100="",I100=0,Q100=""),"",Q100/I100-1)</f>
        <v>-0.78646329837940898</v>
      </c>
      <c r="U100" s="275">
        <f>IF(OR(K100="",K100=0,P100=""),"",P100/K100-1)</f>
        <v>-0.67539267015706805</v>
      </c>
      <c r="V100" s="276">
        <f>IF(OR(F100="",F100=0,G100=""),"",G100/F100)</f>
        <v>0</v>
      </c>
      <c r="W100" s="276">
        <f>IF(OR(N100="",N100=0,O100=""),"",O100/N100)</f>
        <v>2.3411764705882354</v>
      </c>
      <c r="X100" s="274">
        <f>Aktiv!E16*Aktiv!F16</f>
        <v>608400</v>
      </c>
      <c r="Y100" s="277">
        <f>IF(OR(X100="",X100=0,F100=""),"",F100/(X100/10000))</f>
        <v>9.3688362919132153</v>
      </c>
      <c r="Z100" s="278">
        <f>IF(OR(X100="",X100=0,N100=""),"",N100/(X100/10000))</f>
        <v>1.3971071663379355</v>
      </c>
    </row>
    <row r="101" spans="1:26" x14ac:dyDescent="0.25">
      <c r="A101" s="272" t="str">
        <f>'Preisliste 2012'!A129</f>
        <v>Tischprogramm</v>
      </c>
      <c r="B101" s="273" t="str">
        <f>'Preisliste 2012'!B129</f>
        <v>TW 9</v>
      </c>
      <c r="C101" s="273" t="str">
        <f>'Preisliste 2012'!D129</f>
        <v>980 / 580</v>
      </c>
      <c r="D101" s="273" t="str">
        <f>Aktiv!C15</f>
        <v>Boden</v>
      </c>
      <c r="E101" s="273">
        <f>Aktiv!A15</f>
        <v>3009</v>
      </c>
      <c r="F101" s="274">
        <f>'Preisliste 2012'!E129</f>
        <v>636</v>
      </c>
      <c r="G101" s="274">
        <f>'Preisliste 2012'!F129</f>
        <v>0</v>
      </c>
      <c r="H101" s="274">
        <f>'Preisliste 2012'!G129</f>
        <v>947</v>
      </c>
      <c r="I101" s="274">
        <f>'Preisliste 2012'!H129</f>
        <v>1041</v>
      </c>
      <c r="J101" s="274">
        <f>'Preisliste 2012'!I129</f>
        <v>689</v>
      </c>
      <c r="K101" s="274">
        <f>'Preisliste 2012'!J129</f>
        <v>751</v>
      </c>
      <c r="L101" s="274">
        <f>'Preisliste 2012'!K129</f>
        <v>939</v>
      </c>
      <c r="M101" s="274">
        <f>'Preisliste 2012'!L129</f>
        <v>1127</v>
      </c>
      <c r="N101" s="274">
        <f>Aktiv!G15</f>
        <v>83</v>
      </c>
      <c r="O101" s="274">
        <f>Aktiv!H15</f>
        <v>234</v>
      </c>
      <c r="P101" s="274">
        <f>Aktiv!I15</f>
        <v>260</v>
      </c>
      <c r="Q101" s="274">
        <f>Aktiv!J15</f>
        <v>210</v>
      </c>
      <c r="R101" s="275">
        <f>IF(OR(F101="",F101=0,N101=""),"",N101/F101-1)</f>
        <v>-0.86949685534591192</v>
      </c>
      <c r="S101" s="275" t="str">
        <f>IF(OR(G101="",G101=0,O101=""),"",O101/G101-1)</f>
        <v/>
      </c>
      <c r="T101" s="275">
        <f>IF(OR(I101="",I101=0,Q101=""),"",Q101/I101-1)</f>
        <v>-0.79827089337175794</v>
      </c>
      <c r="U101" s="275">
        <f>IF(OR(K101="",K101=0,P101=""),"",P101/K101-1)</f>
        <v>-0.65379494007989347</v>
      </c>
      <c r="V101" s="276">
        <f>IF(OR(F101="",F101=0,G101=""),"",G101/F101)</f>
        <v>0</v>
      </c>
      <c r="W101" s="276">
        <f>IF(OR(N101="",N101=0,O101=""),"",O101/N101)</f>
        <v>2.8192771084337349</v>
      </c>
      <c r="X101" s="274">
        <f>Aktiv!E15*Aktiv!F15</f>
        <v>568400</v>
      </c>
      <c r="Y101" s="277">
        <f>IF(OR(X101="",X101=0,F101=""),"",F101/(X101/10000))</f>
        <v>11.189303307529908</v>
      </c>
      <c r="Z101" s="278">
        <f>IF(OR(X101="",X101=0,N101=""),"",N101/(X101/10000))</f>
        <v>1.4602392681210414</v>
      </c>
    </row>
    <row r="102" spans="1:26" x14ac:dyDescent="0.25">
      <c r="A102" s="272" t="str">
        <f>'Preisliste 2012'!A130</f>
        <v>Tischprogramm</v>
      </c>
      <c r="B102" s="273" t="str">
        <f>'Preisliste 2012'!B130</f>
        <v>TW 10</v>
      </c>
      <c r="C102" s="273" t="str">
        <f>'Preisliste 2012'!D130</f>
        <v>580 / 580</v>
      </c>
      <c r="D102" s="273" t="str">
        <f>Aktiv!C13</f>
        <v>Boden</v>
      </c>
      <c r="E102" s="273">
        <f>Aktiv!A13</f>
        <v>3007</v>
      </c>
      <c r="F102" s="274">
        <f>'Preisliste 2012'!E130</f>
        <v>582</v>
      </c>
      <c r="G102" s="274">
        <f>'Preisliste 2012'!F130</f>
        <v>0</v>
      </c>
      <c r="H102" s="274">
        <f>'Preisliste 2012'!G130</f>
        <v>845</v>
      </c>
      <c r="I102" s="274">
        <f>'Preisliste 2012'!H130</f>
        <v>930</v>
      </c>
      <c r="J102" s="274">
        <f>'Preisliste 2012'!I130</f>
        <v>603</v>
      </c>
      <c r="K102" s="274">
        <f>'Preisliste 2012'!J130</f>
        <v>631</v>
      </c>
      <c r="L102" s="274">
        <f>'Preisliste 2012'!K130</f>
        <v>789</v>
      </c>
      <c r="M102" s="274">
        <f>'Preisliste 2012'!L130</f>
        <v>947</v>
      </c>
      <c r="N102" s="274">
        <f>Aktiv!G13</f>
        <v>50</v>
      </c>
      <c r="O102" s="274">
        <f>Aktiv!H13</f>
        <v>150</v>
      </c>
      <c r="P102" s="274">
        <f>Aktiv!I13</f>
        <v>167</v>
      </c>
      <c r="Q102" s="274">
        <f>Aktiv!J13</f>
        <v>145</v>
      </c>
      <c r="R102" s="275">
        <f>IF(OR(F102="",F102=0,N102=""),"",N102/F102-1)</f>
        <v>-0.91408934707903777</v>
      </c>
      <c r="S102" s="275" t="str">
        <f>IF(OR(G102="",G102=0,O102=""),"",O102/G102-1)</f>
        <v/>
      </c>
      <c r="T102" s="275">
        <f>IF(OR(I102="",I102=0,Q102=""),"",Q102/I102-1)</f>
        <v>-0.84408602150537637</v>
      </c>
      <c r="U102" s="275">
        <f>IF(OR(K102="",K102=0,P102=""),"",P102/K102-1)</f>
        <v>-0.73534072900158476</v>
      </c>
      <c r="V102" s="276">
        <f>IF(OR(F102="",F102=0,G102=""),"",G102/F102)</f>
        <v>0</v>
      </c>
      <c r="W102" s="276">
        <f>IF(OR(N102="",N102=0,O102=""),"",O102/N102)</f>
        <v>3</v>
      </c>
      <c r="X102" s="274">
        <f>Aktiv!E13*Aktiv!F13</f>
        <v>336400</v>
      </c>
      <c r="Y102" s="277">
        <f>IF(OR(X102="",X102=0,F102=""),"",F102/(X102/10000))</f>
        <v>17.300832342449464</v>
      </c>
      <c r="Z102" s="278">
        <f>IF(OR(X102="",X102=0,N102=""),"",N102/(X102/10000))</f>
        <v>1.4863258026159334</v>
      </c>
    </row>
    <row r="103" spans="1:26" x14ac:dyDescent="0.25">
      <c r="A103" s="213" t="s">
        <v>658</v>
      </c>
      <c r="B103" s="214"/>
      <c r="C103" s="214"/>
      <c r="D103" s="214"/>
      <c r="E103" s="214"/>
      <c r="F103" s="215"/>
      <c r="G103" s="215"/>
      <c r="H103" s="215"/>
      <c r="I103" s="215"/>
      <c r="J103" s="215"/>
      <c r="K103" s="215"/>
      <c r="L103" s="215"/>
      <c r="M103" s="215"/>
      <c r="N103" s="216"/>
      <c r="O103" s="216"/>
      <c r="P103" s="216"/>
      <c r="Q103" s="216"/>
      <c r="R103" s="217"/>
      <c r="S103" s="217"/>
      <c r="T103" s="217"/>
      <c r="U103" s="217"/>
      <c r="V103" s="218"/>
      <c r="W103" s="218"/>
      <c r="X103" s="219"/>
      <c r="Y103" s="220"/>
      <c r="Z103" s="221"/>
    </row>
    <row r="104" spans="1:26" x14ac:dyDescent="0.25">
      <c r="A104" s="272" t="str">
        <f>'Preisliste 2012'!A144</f>
        <v>Tischprofile und TischPlattee</v>
      </c>
      <c r="B104" s="223" t="str">
        <f>'Preisliste 2012'!B144</f>
        <v>TWP1-1</v>
      </c>
      <c r="C104" s="223" t="str">
        <f>'Preisliste 2012'!D144</f>
        <v>980 / 980</v>
      </c>
      <c r="D104" s="223" t="str">
        <f>Aktiv!C18</f>
        <v>Boden</v>
      </c>
      <c r="E104" s="223">
        <f>Aktiv!A18</f>
        <v>3012</v>
      </c>
      <c r="F104" s="224">
        <f>'Preisliste 2012'!E144</f>
        <v>166</v>
      </c>
      <c r="G104" s="224">
        <f>'Preisliste 2012'!F144</f>
        <v>0</v>
      </c>
      <c r="H104" s="224">
        <f>'Preisliste 2012'!G144</f>
        <v>499</v>
      </c>
      <c r="I104" s="224">
        <f>'Preisliste 2012'!H144</f>
        <v>549</v>
      </c>
      <c r="J104" s="224">
        <f>'Preisliste 2012'!I144</f>
        <v>252</v>
      </c>
      <c r="K104" s="224">
        <f>'Preisliste 2012'!J144</f>
        <v>351</v>
      </c>
      <c r="L104" s="224">
        <f>'Preisliste 2012'!K144</f>
        <v>439</v>
      </c>
      <c r="M104" s="224">
        <f>'Preisliste 2012'!L144</f>
        <v>527</v>
      </c>
      <c r="N104" s="225">
        <f>Aktiv!G18</f>
        <v>135</v>
      </c>
      <c r="O104" s="225">
        <f>Aktiv!H18</f>
        <v>327</v>
      </c>
      <c r="P104" s="225">
        <f>Aktiv!I18</f>
        <v>234</v>
      </c>
      <c r="Q104" s="225">
        <f>Aktiv!J18</f>
        <v>367</v>
      </c>
      <c r="R104" s="226">
        <f>IF(OR(F104="",F104=0,N104=""),"",N104/F104-1)</f>
        <v>-0.18674698795180722</v>
      </c>
      <c r="S104" s="226" t="str">
        <f>IF(OR(G104="",G104=0,O104=""),"",O104/G104-1)</f>
        <v/>
      </c>
      <c r="T104" s="226">
        <f>IF(OR(I104="",I104=0,Q104=""),"",Q104/I104-1)</f>
        <v>-0.33151183970856102</v>
      </c>
      <c r="U104" s="226">
        <f>IF(OR(K104="",K104=0,P104=""),"",P104/K104-1)</f>
        <v>-0.33333333333333337</v>
      </c>
      <c r="V104" s="227">
        <f>IF(OR(F104="",F104=0,G104=""),"",G104/F104)</f>
        <v>0</v>
      </c>
      <c r="W104" s="227">
        <f>IF(OR(N104="",N104=0,O104=""),"",O104/N104)</f>
        <v>2.4222222222222221</v>
      </c>
      <c r="X104" s="228">
        <f>Aktiv!E18*Aktiv!F18</f>
        <v>960400</v>
      </c>
      <c r="Y104" s="229">
        <f>IF(OR(X104="",X104=0,F104=""),"",F104/(X104/10000))</f>
        <v>1.7284464806330695</v>
      </c>
      <c r="Z104" s="230">
        <f>IF(OR(X104="",X104=0,N104=""),"",N104/(X104/10000))</f>
        <v>1.405664306538942</v>
      </c>
    </row>
    <row r="105" spans="1:26" x14ac:dyDescent="0.25">
      <c r="A105" s="272" t="str">
        <f>'Preisliste 2012'!A149</f>
        <v>Tischprofile und TischPlattee</v>
      </c>
      <c r="B105" s="223" t="str">
        <f>'Preisliste 2012'!B149</f>
        <v>TWP6</v>
      </c>
      <c r="C105" s="223" t="str">
        <f>'Preisliste 2012'!D149</f>
        <v>980 / 780</v>
      </c>
      <c r="D105" s="223" t="str">
        <f>Aktiv!C17</f>
        <v>Boden</v>
      </c>
      <c r="E105" s="223">
        <f>Aktiv!A17</f>
        <v>3011</v>
      </c>
      <c r="F105" s="224">
        <f>'Preisliste 2012'!E149</f>
        <v>73</v>
      </c>
      <c r="G105" s="224">
        <f>'Preisliste 2012'!F149</f>
        <v>0</v>
      </c>
      <c r="H105" s="224">
        <f>'Preisliste 2012'!G149</f>
        <v>446</v>
      </c>
      <c r="I105" s="224">
        <f>'Preisliste 2012'!H149</f>
        <v>491</v>
      </c>
      <c r="J105" s="224">
        <f>'Preisliste 2012'!I149</f>
        <v>200</v>
      </c>
      <c r="K105" s="224">
        <f>'Preisliste 2012'!J149</f>
        <v>279</v>
      </c>
      <c r="L105" s="224">
        <f>'Preisliste 2012'!K149</f>
        <v>349</v>
      </c>
      <c r="M105" s="224">
        <f>'Preisliste 2012'!L149</f>
        <v>419</v>
      </c>
      <c r="N105" s="225">
        <f>Aktiv!G17</f>
        <v>104</v>
      </c>
      <c r="O105" s="225">
        <f>Aktiv!H17</f>
        <v>275</v>
      </c>
      <c r="P105" s="225">
        <f>Aktiv!I17</f>
        <v>197</v>
      </c>
      <c r="Q105" s="225">
        <f>Aktiv!J17</f>
        <v>309</v>
      </c>
      <c r="R105" s="226">
        <f>IF(OR(F105="",F105=0,N105=""),"",N105/F105-1)</f>
        <v>0.42465753424657526</v>
      </c>
      <c r="S105" s="226" t="str">
        <f>IF(OR(G105="",G105=0,O105=""),"",O105/G105-1)</f>
        <v/>
      </c>
      <c r="T105" s="226">
        <f>IF(OR(I105="",I105=0,Q105=""),"",Q105/I105-1)</f>
        <v>-0.37067209775967414</v>
      </c>
      <c r="U105" s="226">
        <f>IF(OR(K105="",K105=0,P105=""),"",P105/K105-1)</f>
        <v>-0.29390681003584229</v>
      </c>
      <c r="V105" s="227">
        <f>IF(OR(F105="",F105=0,G105=""),"",G105/F105)</f>
        <v>0</v>
      </c>
      <c r="W105" s="227">
        <f>IF(OR(N105="",N105=0,O105=""),"",O105/N105)</f>
        <v>2.6442307692307692</v>
      </c>
      <c r="X105" s="228">
        <f>Aktiv!E17*Aktiv!F17</f>
        <v>764400</v>
      </c>
      <c r="Y105" s="229">
        <f>IF(OR(X105="",X105=0,F105=""),"",F105/(X105/10000))</f>
        <v>0.95499738356881214</v>
      </c>
      <c r="Z105" s="230">
        <f>IF(OR(X105="",X105=0,N105=""),"",N105/(X105/10000))</f>
        <v>1.3605442176870748</v>
      </c>
    </row>
    <row r="106" spans="1:26" x14ac:dyDescent="0.25">
      <c r="A106" s="272" t="str">
        <f>'Preisliste 2012'!A150</f>
        <v>Tischprofile und TischPlattee</v>
      </c>
      <c r="B106" s="223" t="str">
        <f>'Preisliste 2012'!B150</f>
        <v>TWP7</v>
      </c>
      <c r="C106" s="223" t="str">
        <f>'Preisliste 2012'!D150</f>
        <v>780 / 780</v>
      </c>
      <c r="D106" s="223" t="str">
        <f>Aktiv!C16</f>
        <v>Boden</v>
      </c>
      <c r="E106" s="223">
        <f>Aktiv!A16</f>
        <v>3010</v>
      </c>
      <c r="F106" s="224">
        <f>'Preisliste 2012'!E150</f>
        <v>72</v>
      </c>
      <c r="G106" s="224">
        <f>'Preisliste 2012'!F150</f>
        <v>0</v>
      </c>
      <c r="H106" s="224">
        <f>'Preisliste 2012'!G150</f>
        <v>402</v>
      </c>
      <c r="I106" s="224">
        <f>'Preisliste 2012'!H150</f>
        <v>442</v>
      </c>
      <c r="J106" s="224">
        <f>'Preisliste 2012'!I150</f>
        <v>159</v>
      </c>
      <c r="K106" s="224">
        <f>'Preisliste 2012'!J150</f>
        <v>222</v>
      </c>
      <c r="L106" s="224">
        <f>'Preisliste 2012'!K150</f>
        <v>277</v>
      </c>
      <c r="M106" s="224">
        <f>'Preisliste 2012'!L150</f>
        <v>333</v>
      </c>
      <c r="N106" s="225">
        <f>Aktiv!G16</f>
        <v>85</v>
      </c>
      <c r="O106" s="225">
        <f>Aktiv!H16</f>
        <v>199</v>
      </c>
      <c r="P106" s="225">
        <f>Aktiv!I16</f>
        <v>248</v>
      </c>
      <c r="Q106" s="225">
        <f>Aktiv!J16</f>
        <v>224</v>
      </c>
      <c r="R106" s="226">
        <f>IF(OR(F106="",F106=0,N106=""),"",N106/F106-1)</f>
        <v>0.18055555555555558</v>
      </c>
      <c r="S106" s="226" t="str">
        <f>IF(OR(G106="",G106=0,O106=""),"",O106/G106-1)</f>
        <v/>
      </c>
      <c r="T106" s="226">
        <f>IF(OR(I106="",I106=0,Q106=""),"",Q106/I106-1)</f>
        <v>-0.49321266968325794</v>
      </c>
      <c r="U106" s="226">
        <f>IF(OR(K106="",K106=0,P106=""),"",P106/K106-1)</f>
        <v>0.11711711711711703</v>
      </c>
      <c r="V106" s="227">
        <f>IF(OR(F106="",F106=0,G106=""),"",G106/F106)</f>
        <v>0</v>
      </c>
      <c r="W106" s="227">
        <f>IF(OR(N106="",N106=0,O106=""),"",O106/N106)</f>
        <v>2.3411764705882354</v>
      </c>
      <c r="X106" s="228">
        <f>Aktiv!E16*Aktiv!F16</f>
        <v>608400</v>
      </c>
      <c r="Y106" s="229">
        <f>IF(OR(X106="",X106=0,F106=""),"",F106/(X106/10000))</f>
        <v>1.1834319526627217</v>
      </c>
      <c r="Z106" s="230">
        <f>IF(OR(X106="",X106=0,N106=""),"",N106/(X106/10000))</f>
        <v>1.3971071663379355</v>
      </c>
    </row>
    <row r="107" spans="1:26" x14ac:dyDescent="0.25">
      <c r="A107" s="272" t="str">
        <f>'Preisliste 2012'!A152</f>
        <v>Tischprofile und TischPlattee</v>
      </c>
      <c r="B107" s="223" t="str">
        <f>'Preisliste 2012'!B152</f>
        <v>TWP9</v>
      </c>
      <c r="C107" s="223" t="str">
        <f>'Preisliste 2012'!D152</f>
        <v>980 / 580</v>
      </c>
      <c r="D107" s="223" t="str">
        <f>Aktiv!C15</f>
        <v>Boden</v>
      </c>
      <c r="E107" s="223">
        <f>Aktiv!A15</f>
        <v>3009</v>
      </c>
      <c r="F107" s="224">
        <f>'Preisliste 2012'!E152</f>
        <v>71</v>
      </c>
      <c r="G107" s="224">
        <f>'Preisliste 2012'!F152</f>
        <v>0</v>
      </c>
      <c r="H107" s="224">
        <f>'Preisliste 2012'!G152</f>
        <v>395</v>
      </c>
      <c r="I107" s="224">
        <f>'Preisliste 2012'!H152</f>
        <v>434</v>
      </c>
      <c r="J107" s="224">
        <f>'Preisliste 2012'!I152</f>
        <v>150</v>
      </c>
      <c r="K107" s="224">
        <f>'Preisliste 2012'!J152</f>
        <v>209</v>
      </c>
      <c r="L107" s="224">
        <f>'Preisliste 2012'!K152</f>
        <v>261</v>
      </c>
      <c r="M107" s="224">
        <f>'Preisliste 2012'!L152</f>
        <v>314</v>
      </c>
      <c r="N107" s="225">
        <f>Aktiv!G15</f>
        <v>83</v>
      </c>
      <c r="O107" s="225">
        <f>Aktiv!H15</f>
        <v>234</v>
      </c>
      <c r="P107" s="225">
        <f>Aktiv!I15</f>
        <v>260</v>
      </c>
      <c r="Q107" s="225">
        <f>Aktiv!J15</f>
        <v>210</v>
      </c>
      <c r="R107" s="226">
        <f>IF(OR(F107="",F107=0,N107=""),"",N107/F107-1)</f>
        <v>0.16901408450704225</v>
      </c>
      <c r="S107" s="226" t="str">
        <f>IF(OR(G107="",G107=0,O107=""),"",O107/G107-1)</f>
        <v/>
      </c>
      <c r="T107" s="226">
        <f>IF(OR(I107="",I107=0,Q107=""),"",Q107/I107-1)</f>
        <v>-0.5161290322580645</v>
      </c>
      <c r="U107" s="226">
        <f>IF(OR(K107="",K107=0,P107=""),"",P107/K107-1)</f>
        <v>0.24401913875598091</v>
      </c>
      <c r="V107" s="227">
        <f>IF(OR(F107="",F107=0,G107=""),"",G107/F107)</f>
        <v>0</v>
      </c>
      <c r="W107" s="227">
        <f>IF(OR(N107="",N107=0,O107=""),"",O107/N107)</f>
        <v>2.8192771084337349</v>
      </c>
      <c r="X107" s="228">
        <f>Aktiv!E15*Aktiv!F15</f>
        <v>568400</v>
      </c>
      <c r="Y107" s="229">
        <f>IF(OR(X107="",X107=0,F107=""),"",F107/(X107/10000))</f>
        <v>1.2491203377902884</v>
      </c>
      <c r="Z107" s="230">
        <f>IF(OR(X107="",X107=0,N107=""),"",N107/(X107/10000))</f>
        <v>1.4602392681210414</v>
      </c>
    </row>
    <row r="108" spans="1:26" x14ac:dyDescent="0.25">
      <c r="A108" s="279" t="str">
        <f>'Preisliste 2012'!A153</f>
        <v>Tischprofile und TischPlattee</v>
      </c>
      <c r="B108" s="231" t="str">
        <f>'Preisliste 2012'!B153</f>
        <v>TWP10</v>
      </c>
      <c r="C108" s="231" t="str">
        <f>'Preisliste 2012'!D153</f>
        <v>580 / 580</v>
      </c>
      <c r="D108" s="231" t="str">
        <f>Aktiv!C13</f>
        <v>Boden</v>
      </c>
      <c r="E108" s="231">
        <f>Aktiv!A13</f>
        <v>3007</v>
      </c>
      <c r="F108" s="232">
        <f>'Preisliste 2012'!E153</f>
        <v>55</v>
      </c>
      <c r="G108" s="232">
        <f>'Preisliste 2012'!F153</f>
        <v>0</v>
      </c>
      <c r="H108" s="232">
        <f>'Preisliste 2012'!G153</f>
        <v>320</v>
      </c>
      <c r="I108" s="232">
        <f>'Preisliste 2012'!H153</f>
        <v>352</v>
      </c>
      <c r="J108" s="232">
        <f>'Preisliste 2012'!I153</f>
        <v>89</v>
      </c>
      <c r="K108" s="232">
        <f>'Preisliste 2012'!J153</f>
        <v>116</v>
      </c>
      <c r="L108" s="232">
        <f>'Preisliste 2012'!K153</f>
        <v>144</v>
      </c>
      <c r="M108" s="232">
        <f>'Preisliste 2012'!L153</f>
        <v>174</v>
      </c>
      <c r="N108" s="233">
        <f>Aktiv!G13</f>
        <v>50</v>
      </c>
      <c r="O108" s="233">
        <f>Aktiv!H13</f>
        <v>150</v>
      </c>
      <c r="P108" s="233">
        <f>Aktiv!I13</f>
        <v>167</v>
      </c>
      <c r="Q108" s="233">
        <f>Aktiv!J13</f>
        <v>145</v>
      </c>
      <c r="R108" s="234">
        <f>IF(OR(F108="",F108=0,N108=""),"",N108/F108-1)</f>
        <v>-9.0909090909090939E-2</v>
      </c>
      <c r="S108" s="234" t="str">
        <f>IF(OR(G108="",G108=0,O108=""),"",O108/G108-1)</f>
        <v/>
      </c>
      <c r="T108" s="234">
        <f>IF(OR(I108="",I108=0,Q108=""),"",Q108/I108-1)</f>
        <v>-0.58806818181818188</v>
      </c>
      <c r="U108" s="234">
        <f>IF(OR(K108="",K108=0,P108=""),"",P108/K108-1)</f>
        <v>0.43965517241379315</v>
      </c>
      <c r="V108" s="235">
        <f>IF(OR(F108="",F108=0,G108=""),"",G108/F108)</f>
        <v>0</v>
      </c>
      <c r="W108" s="235">
        <f>IF(OR(N108="",N108=0,O108=""),"",O108/N108)</f>
        <v>3</v>
      </c>
      <c r="X108" s="236">
        <f>Aktiv!E13*Aktiv!F13</f>
        <v>336400</v>
      </c>
      <c r="Y108" s="237">
        <f>IF(OR(X108="",X108=0,F108=""),"",F108/(X108/10000))</f>
        <v>1.6349583828775267</v>
      </c>
      <c r="Z108" s="238">
        <f>IF(OR(X108="",X108=0,N108=""),"",N108/(X108/10000))</f>
        <v>1.4863258026159334</v>
      </c>
    </row>
    <row r="112" spans="1:26" ht="30" customHeight="1" x14ac:dyDescent="0.25">
      <c r="A112" s="239" t="s">
        <v>712</v>
      </c>
      <c r="B112" s="195"/>
      <c r="C112" s="195"/>
      <c r="D112" s="195"/>
      <c r="E112" s="195"/>
      <c r="F112" s="195"/>
      <c r="G112" s="195"/>
      <c r="H112" s="195"/>
      <c r="I112" s="195"/>
      <c r="J112" s="195"/>
    </row>
    <row r="114" spans="1:10" x14ac:dyDescent="0.25">
      <c r="A114" s="240" t="s">
        <v>713</v>
      </c>
      <c r="B114" s="161"/>
      <c r="C114" s="161"/>
      <c r="D114" s="161"/>
      <c r="E114" s="161"/>
      <c r="F114" s="161"/>
      <c r="G114" s="161"/>
      <c r="H114" s="161"/>
    </row>
    <row r="115" spans="1:10" ht="32.1" customHeight="1" x14ac:dyDescent="0.25">
      <c r="A115" s="283" t="s">
        <v>507</v>
      </c>
      <c r="B115" s="284" t="s">
        <v>700</v>
      </c>
      <c r="C115" s="284" t="s">
        <v>701</v>
      </c>
      <c r="D115" s="284" t="s">
        <v>743</v>
      </c>
      <c r="E115" s="284" t="s">
        <v>744</v>
      </c>
      <c r="F115" s="284" t="s">
        <v>714</v>
      </c>
      <c r="G115" s="284" t="s">
        <v>715</v>
      </c>
      <c r="H115" s="285" t="s">
        <v>716</v>
      </c>
    </row>
    <row r="116" spans="1:10" x14ac:dyDescent="0.25">
      <c r="A116" s="246" t="s">
        <v>559</v>
      </c>
      <c r="B116" s="247">
        <f>IFERROR(AVERAGE(R7:R25),"-")</f>
        <v>0.13030795981669144</v>
      </c>
      <c r="C116" s="247">
        <f>IFERROR(AVERAGE(S7:S25),"-")</f>
        <v>-3.4257607446275339E-2</v>
      </c>
      <c r="D116" s="247">
        <f>IFERROR(AVERAGE(T7:T25),"-")</f>
        <v>-1.3518827375251083E-2</v>
      </c>
      <c r="E116" s="247">
        <f>IFERROR(AVERAGE(U7:U25),"-")</f>
        <v>1.8618642213388912E-2</v>
      </c>
      <c r="F116" s="248">
        <f>IFERROR(AVERAGE(V7:V25),"-")</f>
        <v>3.3838665897585871</v>
      </c>
      <c r="G116" s="248">
        <f>IFERROR(AVERAGE(W7:W25),"-")</f>
        <v>2.8993878494985843</v>
      </c>
      <c r="H116" s="249">
        <f>COUNTA(E7:E25)</f>
        <v>19</v>
      </c>
    </row>
    <row r="117" spans="1:10" x14ac:dyDescent="0.25">
      <c r="A117" s="250" t="s">
        <v>170</v>
      </c>
      <c r="B117" s="251">
        <f>IFERROR(AVERAGE(R27:R46),"-")</f>
        <v>6.7268407504097863E-2</v>
      </c>
      <c r="C117" s="251">
        <f>IFERROR(AVERAGE(S27:S46),"-")</f>
        <v>-4.8399746880271828E-2</v>
      </c>
      <c r="D117" s="251">
        <f>IFERROR(AVERAGE(T27:T46),"-")</f>
        <v>3.6814922621627215E-2</v>
      </c>
      <c r="E117" s="251">
        <f>IFERROR(AVERAGE(U27:U46),"-")</f>
        <v>8.6005634395978584E-3</v>
      </c>
      <c r="F117" s="252">
        <f>IFERROR(AVERAGE(V27:V46),"-")</f>
        <v>3.164538083003015</v>
      </c>
      <c r="G117" s="252">
        <f>IFERROR(AVERAGE(W27:W46),"-")</f>
        <v>2.8288531117559566</v>
      </c>
      <c r="H117" s="253">
        <f>COUNTA(E27:E46)</f>
        <v>20</v>
      </c>
    </row>
    <row r="118" spans="1:10" x14ac:dyDescent="0.25">
      <c r="A118" s="246" t="s">
        <v>596</v>
      </c>
      <c r="B118" s="247">
        <f>IFERROR(AVERAGE(R48:R71),"-")</f>
        <v>0.18330141697777222</v>
      </c>
      <c r="C118" s="247">
        <f>IFERROR(AVERAGE(S48:S71),"-")</f>
        <v>2.7374233790241263E-2</v>
      </c>
      <c r="D118" s="247">
        <f>IFERROR(AVERAGE(T48:T71),"-")</f>
        <v>9.3738048665289086E-4</v>
      </c>
      <c r="E118" s="247">
        <f>IFERROR(AVERAGE(U48:U71),"-")</f>
        <v>1.1410448013423552E-2</v>
      </c>
      <c r="F118" s="248">
        <f>IFERROR(AVERAGE(V48:V71),"-")</f>
        <v>1.5045659238532429</v>
      </c>
      <c r="G118" s="248">
        <f>IFERROR(AVERAGE(W48:W71),"-")</f>
        <v>1.3070521206903727</v>
      </c>
      <c r="H118" s="249">
        <f>COUNTA(E48:E71)</f>
        <v>24</v>
      </c>
    </row>
    <row r="119" spans="1:10" x14ac:dyDescent="0.25">
      <c r="A119" s="250" t="s">
        <v>597</v>
      </c>
      <c r="B119" s="251">
        <f>IFERROR(AVERAGE(R73:R96),"-")</f>
        <v>-0.1740192861047023</v>
      </c>
      <c r="C119" s="251">
        <f>IFERROR(AVERAGE(S73:S96),"-")</f>
        <v>-0.24489864158319566</v>
      </c>
      <c r="D119" s="251" t="str">
        <f>IFERROR(AVERAGE(T73:T96),"-")</f>
        <v>-</v>
      </c>
      <c r="E119" s="251">
        <f>IFERROR(AVERAGE(U73:U96),"-")</f>
        <v>-0.24176070356959234</v>
      </c>
      <c r="F119" s="252">
        <f>IFERROR(AVERAGE(V73:V96),"-")</f>
        <v>1.2590559520072604</v>
      </c>
      <c r="G119" s="252">
        <f>IFERROR(AVERAGE(W73:W96),"-")</f>
        <v>1.7042142472975244</v>
      </c>
      <c r="H119" s="253">
        <f>COUNTA(E73:E96)</f>
        <v>24</v>
      </c>
    </row>
    <row r="120" spans="1:10" x14ac:dyDescent="0.25">
      <c r="A120" s="246" t="s">
        <v>603</v>
      </c>
      <c r="B120" s="247">
        <f>IFERROR(AVERAGE(R98:R102),"-")</f>
        <v>-0.85336871807802317</v>
      </c>
      <c r="C120" s="247" t="str">
        <f>IFERROR(AVERAGE(S98:S102),"-")</f>
        <v>-</v>
      </c>
      <c r="D120" s="247">
        <f>IFERROR(AVERAGE(T98:T102),"-")</f>
        <v>-0.76808771645326279</v>
      </c>
      <c r="E120" s="247">
        <f>IFERROR(AVERAGE(U98:U102),"-")</f>
        <v>-0.7109112995332324</v>
      </c>
      <c r="F120" s="248">
        <f>IFERROR(AVERAGE(V98:V102),"-")</f>
        <v>0</v>
      </c>
      <c r="G120" s="248">
        <f>IFERROR(AVERAGE(W98:W102),"-")</f>
        <v>2.6453813140949922</v>
      </c>
      <c r="H120" s="249">
        <f>COUNTA(E98:E102)</f>
        <v>5</v>
      </c>
    </row>
    <row r="121" spans="1:10" x14ac:dyDescent="0.25">
      <c r="A121" s="250" t="s">
        <v>658</v>
      </c>
      <c r="B121" s="251">
        <f>IFERROR(AVERAGE(R104:R108),"-")</f>
        <v>9.9314219089654987E-2</v>
      </c>
      <c r="C121" s="251" t="str">
        <f>IFERROR(AVERAGE(S104:S108),"-")</f>
        <v>-</v>
      </c>
      <c r="D121" s="251">
        <f>IFERROR(AVERAGE(T104:T108),"-")</f>
        <v>-0.45991876424554795</v>
      </c>
      <c r="E121" s="251">
        <f>IFERROR(AVERAGE(U104:U108),"-")</f>
        <v>3.4710256983543089E-2</v>
      </c>
      <c r="F121" s="252">
        <f>IFERROR(AVERAGE(V104:V108),"-")</f>
        <v>0</v>
      </c>
      <c r="G121" s="252">
        <f>IFERROR(AVERAGE(W104:W108),"-")</f>
        <v>2.6453813140949922</v>
      </c>
      <c r="H121" s="253">
        <f>COUNTA(E104:E108)</f>
        <v>5</v>
      </c>
    </row>
    <row r="122" spans="1:10" x14ac:dyDescent="0.25">
      <c r="A122" s="260" t="s">
        <v>704</v>
      </c>
      <c r="B122" s="261">
        <f>IFERROR(AVERAGE(R7:R108),"-")</f>
        <v>8.4657009672876159E-3</v>
      </c>
      <c r="C122" s="261">
        <f>IFERROR(AVERAGE(S7:S108),"-")</f>
        <v>-7.2675944540071258E-2</v>
      </c>
      <c r="D122" s="261">
        <f>IFERROR(AVERAGE(T7:T108),"-")</f>
        <v>-0.11038037948569569</v>
      </c>
      <c r="E122" s="261">
        <f>IFERROR(AVERAGE(U7:U108),"-")</f>
        <v>-8.1471954941929506E-2</v>
      </c>
      <c r="F122" s="262">
        <f>IFERROR(AVERAGE(V7:V108),"-")</f>
        <v>2.02270195776706</v>
      </c>
      <c r="G122" s="262">
        <f>IFERROR(AVERAGE(W7:W108),"-")</f>
        <v>2.1689653334871313</v>
      </c>
      <c r="H122" s="263">
        <f>SUM(H116:H121)</f>
        <v>97</v>
      </c>
    </row>
    <row r="125" spans="1:10" x14ac:dyDescent="0.25">
      <c r="A125" s="240" t="s">
        <v>717</v>
      </c>
      <c r="B125" s="161"/>
      <c r="C125" s="161"/>
      <c r="D125" s="161"/>
      <c r="E125" s="161"/>
      <c r="F125" s="161"/>
      <c r="G125" s="161"/>
      <c r="H125" s="161"/>
      <c r="I125" s="161"/>
      <c r="J125" s="161"/>
    </row>
    <row r="126" spans="1:10" x14ac:dyDescent="0.25">
      <c r="A126" s="242" t="s">
        <v>718</v>
      </c>
      <c r="B126" s="161"/>
      <c r="C126" s="161"/>
      <c r="D126" s="161"/>
      <c r="E126" s="161"/>
      <c r="F126" s="161"/>
      <c r="G126" s="161"/>
      <c r="H126" s="161"/>
      <c r="I126" s="161"/>
      <c r="J126" s="161"/>
    </row>
    <row r="127" spans="1:10" ht="32.1" customHeight="1" x14ac:dyDescent="0.25">
      <c r="A127" s="283" t="s">
        <v>507</v>
      </c>
      <c r="B127" s="284" t="s">
        <v>702</v>
      </c>
      <c r="C127" s="284" t="s">
        <v>705</v>
      </c>
      <c r="D127" s="284" t="s">
        <v>745</v>
      </c>
      <c r="E127" s="284" t="s">
        <v>703</v>
      </c>
      <c r="F127" s="284" t="s">
        <v>707</v>
      </c>
      <c r="G127" s="284" t="s">
        <v>706</v>
      </c>
      <c r="H127" s="285" t="s">
        <v>719</v>
      </c>
    </row>
    <row r="128" spans="1:10" x14ac:dyDescent="0.25">
      <c r="A128" s="246" t="s">
        <v>559</v>
      </c>
      <c r="B128" s="248">
        <f>IFERROR(AVERAGE(V7:V25),"-")</f>
        <v>3.3838665897585871</v>
      </c>
      <c r="C128" s="248" cm="1">
        <f t="array" ref="C128">IFERROR(AVERAGE(IF((E7:E25&lt;&gt;"")*($F7:$F25&lt;&gt;"")*($F7:$F25&lt;&gt;0)*($I7:$I25&lt;&gt;""),$I7:$I25/$F7:$F25)),"-")</f>
        <v>3.6028065724910006</v>
      </c>
      <c r="D128" s="248" cm="1">
        <f t="array" ref="D128">IFERROR(AVERAGE(IF((E7:E25&lt;&gt;"")*($F7:$F25&lt;&gt;"")*($F7:$F25&lt;&gt;0)*($K7:$K25&lt;&gt;""),$K7:$K25/$F7:$F25)),"-")</f>
        <v>3.7735875322527792</v>
      </c>
      <c r="E128" s="248">
        <f>IFERROR(AVERAGE(W7:W25),"-")</f>
        <v>2.8993878494985843</v>
      </c>
      <c r="F128" s="248" cm="1">
        <f t="array" ref="F128">IFERROR(AVERAGE(IF((E7:E25&lt;&gt;"")*($N7:$N25&lt;&gt;"")*($N7:$N25&lt;&gt;0)*($Q7:$Q25&lt;&gt;""),$Q7:$Q25/$N7:$N25)),"-")</f>
        <v>4.1003712234863574</v>
      </c>
      <c r="G128" s="248" cm="1">
        <f t="array" ref="G128">IFERROR(AVERAGE(IF((E7:E25&lt;&gt;"")*($N7:$N25&lt;&gt;"")*($N7:$N25&lt;&gt;0)*($P7:$P25&lt;&gt;""),$P7:$P25/$N7:$N25)),"-")</f>
        <v>3.4136896735422697</v>
      </c>
      <c r="H128" s="264" t="str">
        <f>IF(AND(ISNUMBER(B128),ISNUMBER(E128)),IF(ABS(E128-B128)&gt;0.5,"Unterschiedlich","Ähnlich"),"-")</f>
        <v>Ähnlich</v>
      </c>
    </row>
    <row r="129" spans="1:8" x14ac:dyDescent="0.25">
      <c r="A129" s="250" t="s">
        <v>170</v>
      </c>
      <c r="B129" s="252">
        <f>IFERROR(AVERAGE(V27:V46),"-")</f>
        <v>3.164538083003015</v>
      </c>
      <c r="C129" s="252" cm="1">
        <f t="array" ref="C129">IFERROR(AVERAGE(IF((E27:E46&lt;&gt;"")*($F27:$F46&lt;&gt;"")*($F27:$F46&lt;&gt;0)*($I27:$I46&lt;&gt;""),$I27:$I46/$F27:$F46)),"-")</f>
        <v>2.4410452830655123</v>
      </c>
      <c r="D129" s="252" cm="1">
        <f t="array" ref="D129">IFERROR(AVERAGE(IF((E27:E46&lt;&gt;"")*($F27:$F46&lt;&gt;"")*($F27:$F46&lt;&gt;0)*($K27:$K46&lt;&gt;""),$K27:$K46/$F27:$F46)),"-")</f>
        <v>3.5590572652202268</v>
      </c>
      <c r="E129" s="252">
        <f>IFERROR(AVERAGE(W27:W46),"-")</f>
        <v>2.8288531117559566</v>
      </c>
      <c r="F129" s="252" cm="1">
        <f t="array" ref="F129">IFERROR(AVERAGE(IF((E27:E46&lt;&gt;"")*($N27:$N46&lt;&gt;"")*($N27:$N46&lt;&gt;0)*($Q27:$Q46&lt;&gt;""),$Q27:$Q46/$N27:$N46)),"-")</f>
        <v>3.9157873371123104</v>
      </c>
      <c r="G129" s="252" cm="1">
        <f t="array" ref="G129">IFERROR(AVERAGE(IF((E27:E46&lt;&gt;"")*($N27:$N46&lt;&gt;"")*($N27:$N46&lt;&gt;0)*($P27:$P46&lt;&gt;""),$P27:$P46/$N27:$N46)),"-")</f>
        <v>3.3629462718902965</v>
      </c>
      <c r="H129" s="265" t="str">
        <f>IF(AND(ISNUMBER(B129),ISNUMBER(E129)),IF(ABS(E129-B129)&gt;0.5,"Unterschiedlich","Ähnlich"),"-")</f>
        <v>Ähnlich</v>
      </c>
    </row>
    <row r="130" spans="1:8" x14ac:dyDescent="0.25">
      <c r="A130" s="246" t="s">
        <v>596</v>
      </c>
      <c r="B130" s="248">
        <f>IFERROR(AVERAGE(V48:V71),"-")</f>
        <v>1.5045659238532429</v>
      </c>
      <c r="C130" s="248" cm="1">
        <f t="array" ref="C130">IFERROR(AVERAGE(IF((E48:E71&lt;&gt;"")*($F48:$F71&lt;&gt;"")*($F48:$F71&lt;&gt;0)*($I48:$I71&lt;&gt;""),$I48:$I71/$F48:$F71)),"-")</f>
        <v>1.7544390283983524</v>
      </c>
      <c r="D130" s="248" cm="1">
        <f t="array" ref="D130">IFERROR(AVERAGE(IF((E48:E71&lt;&gt;"")*($F48:$F71&lt;&gt;"")*($F48:$F71&lt;&gt;0)*($K48:$K71&lt;&gt;""),$K48:$K71/$F48:$F71)),"-")</f>
        <v>1.650549370933204</v>
      </c>
      <c r="E130" s="248">
        <f>IFERROR(AVERAGE(W48:W71),"-")</f>
        <v>1.3070521206903727</v>
      </c>
      <c r="F130" s="248" cm="1">
        <f t="array" ref="F130">IFERROR(AVERAGE(IF((E48:E71&lt;&gt;"")*($N48:$N71&lt;&gt;"")*($N48:$N71&lt;&gt;0)*($Q48:$Q71&lt;&gt;""),$Q48:$Q71/$N48:$N71)),"-")</f>
        <v>2.3161695182312969</v>
      </c>
      <c r="G130" s="248" cm="1">
        <f t="array" ref="G130">IFERROR(AVERAGE(IF((E48:E71&lt;&gt;"")*($N48:$N71&lt;&gt;"")*($N48:$N71&lt;&gt;0)*($P48:$P71&lt;&gt;""),$P48:$P71/$N48:$N71)),"-")</f>
        <v>1.4080298606997876</v>
      </c>
      <c r="H130" s="264" t="str">
        <f>IF(AND(ISNUMBER(B130),ISNUMBER(E130)),IF(ABS(E130-B130)&gt;0.5,"Unterschiedlich","Ähnlich"),"-")</f>
        <v>Ähnlich</v>
      </c>
    </row>
    <row r="131" spans="1:8" x14ac:dyDescent="0.25">
      <c r="A131" s="250" t="s">
        <v>597</v>
      </c>
      <c r="B131" s="252">
        <f>IFERROR(AVERAGE(V73:V96),"-")</f>
        <v>1.2590559520072604</v>
      </c>
      <c r="C131" s="252" cm="1">
        <f t="array" ref="C131">IFERROR(AVERAGE(IF((E73:E96&lt;&gt;"")*($F73:$F96&lt;&gt;"")*($F73:$F96&lt;&gt;0)*($I73:$I96&lt;&gt;""),$I73:$I96/$F73:$F96)),"-")</f>
        <v>0</v>
      </c>
      <c r="D131" s="252" cm="1">
        <f t="array" ref="D131">IFERROR(AVERAGE(IF((E73:E96&lt;&gt;"")*($F73:$F96&lt;&gt;"")*($F73:$F96&lt;&gt;0)*($K73:$K96&lt;&gt;""),$K73:$K96/$F73:$F96)),"-")</f>
        <v>1.2749433720985721</v>
      </c>
      <c r="E131" s="252">
        <f>IFERROR(AVERAGE(W73:W96),"-")</f>
        <v>1.7042142472975244</v>
      </c>
      <c r="F131" s="252" cm="1">
        <f t="array" ref="F131">IFERROR(AVERAGE(IF((E73:E96&lt;&gt;"")*($N73:$N96&lt;&gt;"")*($N73:$N96&lt;&gt;0)*($Q73:$Q96&lt;&gt;""),$Q73:$Q96/$N73:$N96)),"-")</f>
        <v>2.1161156366255987</v>
      </c>
      <c r="G131" s="252" cm="1">
        <f t="array" ref="G131">IFERROR(AVERAGE(IF((E73:E96&lt;&gt;"")*($N73:$N96&lt;&gt;"")*($N73:$N96&lt;&gt;0)*($P73:$P96&lt;&gt;""),$P73:$P96/$N73:$N96)),"-")</f>
        <v>1.7833524361142541</v>
      </c>
      <c r="H131" s="265" t="str">
        <f>IF(AND(ISNUMBER(B131),ISNUMBER(E131)),IF(ABS(E131-B131)&gt;0.5,"Unterschiedlich","Ähnlich"),"-")</f>
        <v>Ähnlich</v>
      </c>
    </row>
    <row r="132" spans="1:8" x14ac:dyDescent="0.25">
      <c r="A132" s="246" t="s">
        <v>603</v>
      </c>
      <c r="B132" s="248">
        <f>IFERROR(AVERAGE(V98:V102),"-")</f>
        <v>0</v>
      </c>
      <c r="C132" s="248" cm="1">
        <f t="array" ref="C132">IFERROR(AVERAGE(IF((E98:E102&lt;&gt;"")*($F98:$F102&lt;&gt;"")*($F98:$F102&lt;&gt;0)*($I98:$I102&lt;&gt;""),$I98:$I102/$F98:$F102)),"-")</f>
        <v>1.7208319299372055</v>
      </c>
      <c r="D132" s="248" cm="1">
        <f t="array" ref="D132">IFERROR(AVERAGE(IF((E98:E102&lt;&gt;"")*($F98:$F102&lt;&gt;"")*($F98:$F102&lt;&gt;0)*($K98:$K102&lt;&gt;""),$K98:$K102/$F98:$F102)),"-")</f>
        <v>1.2407576758035423</v>
      </c>
      <c r="E132" s="248">
        <f>IFERROR(AVERAGE(W98:W102),"-")</f>
        <v>2.6453813140949922</v>
      </c>
      <c r="F132" s="248" cm="1">
        <f t="array" ref="F132">IFERROR(AVERAGE(IF((E98:E102&lt;&gt;"")*($N98:$N102&lt;&gt;"")*($N98:$N102&lt;&gt;0)*($Q98:$Q102&lt;&gt;""),$Q98:$Q102/$N98:$N102)),"-")</f>
        <v>2.7510173928494268</v>
      </c>
      <c r="G132" s="248" cm="1">
        <f t="array" ref="G132">IFERROR(AVERAGE(IF((E98:E102&lt;&gt;"")*($N98:$N102&lt;&gt;"")*($N98:$N102&lt;&gt;0)*($P98:$P102&lt;&gt;""),$P98:$P102/$N98:$N102)),"-")</f>
        <v>2.6035482563739119</v>
      </c>
      <c r="H132" s="264" t="str">
        <f>IF(AND(ISNUMBER(B132),ISNUMBER(E132)),IF(ABS(E132-B132)&gt;0.5,"Unterschiedlich","Ähnlich"),"-")</f>
        <v>Unterschiedlich</v>
      </c>
    </row>
    <row r="133" spans="1:8" x14ac:dyDescent="0.25">
      <c r="A133" s="254" t="s">
        <v>658</v>
      </c>
      <c r="B133" s="255">
        <f>IFERROR(AVERAGE(V104:V108),"-")</f>
        <v>0</v>
      </c>
      <c r="C133" s="255" cm="1">
        <f t="array" ref="C133">IFERROR(AVERAGE(IF((E104:E108&lt;&gt;"")*($F104:$F108&lt;&gt;"")*($F104:$F108&lt;&gt;0)*($I104:$I108&lt;&gt;""),$I104:$I108/$F104:$F108)),"-")</f>
        <v>5.7369642516299688</v>
      </c>
      <c r="D133" s="255" cm="1">
        <f t="array" ref="D133">IFERROR(AVERAGE(IF((E104:E108&lt;&gt;"")*($F104:$F108&lt;&gt;"")*($F104:$F108&lt;&gt;0)*($K104:$K108&lt;&gt;""),$K104:$K108/$F104:$F108)),"-")</f>
        <v>2.8144923707599419</v>
      </c>
      <c r="E133" s="255">
        <f>IFERROR(AVERAGE(W104:W108),"-")</f>
        <v>2.6453813140949922</v>
      </c>
      <c r="F133" s="255" cm="1">
        <f t="array" ref="F133">IFERROR(AVERAGE(IF((E104:E108&lt;&gt;"")*($N104:$N108&lt;&gt;"")*($N104:$N108&lt;&gt;0)*($Q104:$Q108&lt;&gt;""),$Q104:$Q108/$N104:$N108)),"-")</f>
        <v>2.7510173928494268</v>
      </c>
      <c r="G133" s="255" cm="1">
        <f t="array" ref="G133">IFERROR(AVERAGE(IF((E104:E108&lt;&gt;"")*($N104:$N108&lt;&gt;"")*($N104:$N108&lt;&gt;0)*($P104:$P108&lt;&gt;""),$P104:$P108/$N104:$N108)),"-")</f>
        <v>2.6035482563739119</v>
      </c>
      <c r="H133" s="266" t="str">
        <f>IF(AND(ISNUMBER(B133),ISNUMBER(E133)),IF(ABS(E133-B133)&gt;0.5,"Unterschiedlich","Ähnlich"),"-")</f>
        <v>Unterschiedlich</v>
      </c>
    </row>
    <row r="136" spans="1:8" x14ac:dyDescent="0.25">
      <c r="A136" s="240" t="s">
        <v>708</v>
      </c>
      <c r="B136" s="161"/>
      <c r="C136" s="161"/>
      <c r="D136" s="161"/>
      <c r="E136" s="161"/>
      <c r="F136" s="161"/>
    </row>
    <row r="137" spans="1:8" x14ac:dyDescent="0.25">
      <c r="A137" s="242" t="s">
        <v>720</v>
      </c>
      <c r="B137" s="161"/>
      <c r="C137" s="161"/>
      <c r="D137" s="161"/>
      <c r="E137" s="161"/>
      <c r="F137" s="161"/>
    </row>
    <row r="138" spans="1:8" x14ac:dyDescent="0.25">
      <c r="A138" s="243" t="s">
        <v>507</v>
      </c>
      <c r="B138" s="244" t="s">
        <v>709</v>
      </c>
      <c r="C138" s="244" t="s">
        <v>710</v>
      </c>
      <c r="D138" s="244" t="s">
        <v>711</v>
      </c>
      <c r="E138" s="244" t="s">
        <v>721</v>
      </c>
      <c r="F138" s="245" t="s">
        <v>722</v>
      </c>
    </row>
    <row r="139" spans="1:8" x14ac:dyDescent="0.25">
      <c r="A139" s="250" t="s">
        <v>559</v>
      </c>
      <c r="B139" s="256">
        <f>IFERROR(AVERAGE(Y7:Y25),"-")</f>
        <v>1.3641224542862431</v>
      </c>
      <c r="C139" s="256">
        <f>IFERROR(AVERAGE(Z7:Z25),"-")</f>
        <v>1.5428032035441239</v>
      </c>
      <c r="D139" s="251">
        <f>IFERROR(C139/B139-1,"-")</f>
        <v>0.13098585738871438</v>
      </c>
      <c r="E139" s="257">
        <f>IFERROR(MIN(X7:X25),"-")</f>
        <v>129600</v>
      </c>
      <c r="F139" s="253">
        <f>IFERROR(MAX(X7:X25),"-")</f>
        <v>1044000</v>
      </c>
    </row>
    <row r="140" spans="1:8" x14ac:dyDescent="0.25">
      <c r="A140" s="246" t="s">
        <v>170</v>
      </c>
      <c r="B140" s="258">
        <f>IFERROR(AVERAGE(Y27:Y46),"-")</f>
        <v>1.3636348979124018</v>
      </c>
      <c r="C140" s="258">
        <f>IFERROR(AVERAGE(Z27:Z46),"-")</f>
        <v>1.4554119233409055</v>
      </c>
      <c r="D140" s="247">
        <f>IFERROR(C140/B140-1,"-")</f>
        <v>6.7303224322731614E-2</v>
      </c>
      <c r="E140" s="259">
        <f>IFERROR(MIN(X27:X46),"-")</f>
        <v>151200</v>
      </c>
      <c r="F140" s="249">
        <f>IFERROR(MAX(X27:X46),"-")</f>
        <v>1764000</v>
      </c>
    </row>
    <row r="141" spans="1:8" x14ac:dyDescent="0.25">
      <c r="A141" s="250" t="s">
        <v>596</v>
      </c>
      <c r="B141" s="256">
        <f>IFERROR(AVERAGE(Y48:Y71),"-")</f>
        <v>4.4505617376957014</v>
      </c>
      <c r="C141" s="256">
        <f>IFERROR(AVERAGE(Z48:Z71),"-")</f>
        <v>5.2662925679653929</v>
      </c>
      <c r="D141" s="251">
        <f>IFERROR(C141/B141-1,"-")</f>
        <v>0.18328716201385387</v>
      </c>
      <c r="E141" s="257">
        <f>IFERROR(MIN(X48:X71),"-")</f>
        <v>151200</v>
      </c>
      <c r="F141" s="253">
        <f>IFERROR(MAX(X48:X71),"-")</f>
        <v>1764000</v>
      </c>
    </row>
    <row r="142" spans="1:8" x14ac:dyDescent="0.25">
      <c r="A142" s="246" t="s">
        <v>597</v>
      </c>
      <c r="B142" s="258">
        <f>IFERROR(AVERAGE(Y73:Y96),"-")</f>
        <v>13.816279164185572</v>
      </c>
      <c r="C142" s="258">
        <f>IFERROR(AVERAGE(Z73:Z96),"-")</f>
        <v>13.499352241142061</v>
      </c>
      <c r="D142" s="247">
        <f>IFERROR(C142/B142-1,"-")</f>
        <v>-2.293865948113194E-2</v>
      </c>
      <c r="E142" s="259">
        <f>IFERROR(MIN(X73:X96),"-")</f>
        <v>75600</v>
      </c>
      <c r="F142" s="249">
        <f>IFERROR(MAX(X73:X96),"-")</f>
        <v>352800</v>
      </c>
    </row>
    <row r="143" spans="1:8" x14ac:dyDescent="0.25">
      <c r="A143" s="250" t="s">
        <v>603</v>
      </c>
      <c r="B143" s="256">
        <f>IFERROR(AVERAGE(Y98:Y102),"-")</f>
        <v>10.625543360494836</v>
      </c>
      <c r="C143" s="256">
        <f>IFERROR(AVERAGE(Z98:Z102),"-")</f>
        <v>1.4219761522601855</v>
      </c>
      <c r="D143" s="251">
        <f>IFERROR(C143/B143-1,"-")</f>
        <v>-0.86617379422241958</v>
      </c>
      <c r="E143" s="257">
        <f>IFERROR(MIN(X98:X102),"-")</f>
        <v>336400</v>
      </c>
      <c r="F143" s="253">
        <f>IFERROR(MAX(X98:X102),"-")</f>
        <v>960400</v>
      </c>
    </row>
    <row r="144" spans="1:8" x14ac:dyDescent="0.25">
      <c r="A144" s="267" t="s">
        <v>658</v>
      </c>
      <c r="B144" s="268">
        <f>IFERROR(AVERAGE(Y104:Y108),"-")</f>
        <v>1.3501909075064837</v>
      </c>
      <c r="C144" s="268">
        <f>IFERROR(AVERAGE(Z104:Z108),"-")</f>
        <v>1.4219761522601855</v>
      </c>
      <c r="D144" s="269">
        <f>IFERROR(C144/B144-1,"-")</f>
        <v>5.3166736907059864E-2</v>
      </c>
      <c r="E144" s="270">
        <f>IFERROR(MIN(X104:X108),"-")</f>
        <v>336400</v>
      </c>
      <c r="F144" s="271">
        <f>IFERROR(MAX(X104:X108),"-")</f>
        <v>960400</v>
      </c>
    </row>
    <row r="147" spans="1:8" ht="15.75" x14ac:dyDescent="0.25">
      <c r="A147" s="280" t="s">
        <v>723</v>
      </c>
      <c r="B147" s="196"/>
      <c r="C147" s="196"/>
      <c r="D147" s="196"/>
      <c r="E147" s="196"/>
      <c r="F147" s="196"/>
      <c r="G147" s="196"/>
      <c r="H147" s="196"/>
    </row>
    <row r="148" spans="1:8" x14ac:dyDescent="0.25">
      <c r="A148" s="204" t="s">
        <v>724</v>
      </c>
      <c r="B148" s="281" t="s">
        <v>725</v>
      </c>
      <c r="C148" s="161"/>
      <c r="D148" s="161"/>
      <c r="E148" s="161"/>
      <c r="F148" s="161"/>
      <c r="G148" s="161"/>
      <c r="H148" s="161"/>
    </row>
    <row r="149" spans="1:8" x14ac:dyDescent="0.25">
      <c r="A149" s="204" t="s">
        <v>726</v>
      </c>
      <c r="B149" s="281" t="s">
        <v>746</v>
      </c>
      <c r="C149" s="281"/>
      <c r="D149" s="281"/>
      <c r="E149" s="281"/>
      <c r="F149" s="281"/>
      <c r="G149" s="281"/>
      <c r="H149" s="281"/>
    </row>
    <row r="150" spans="1:8" x14ac:dyDescent="0.25">
      <c r="A150" s="204" t="s">
        <v>727</v>
      </c>
      <c r="B150" s="281" t="s">
        <v>728</v>
      </c>
      <c r="C150" s="161"/>
      <c r="D150" s="161"/>
      <c r="E150" s="161"/>
      <c r="F150" s="161"/>
      <c r="G150" s="161"/>
      <c r="H150" s="161"/>
    </row>
    <row r="151" spans="1:8" x14ac:dyDescent="0.25">
      <c r="A151" s="204" t="s">
        <v>729</v>
      </c>
      <c r="B151" s="281" t="s">
        <v>730</v>
      </c>
      <c r="C151" s="161"/>
      <c r="D151" s="161"/>
      <c r="E151" s="161"/>
      <c r="F151" s="161"/>
      <c r="G151" s="161"/>
      <c r="H151" s="161"/>
    </row>
    <row r="152" spans="1:8" x14ac:dyDescent="0.25">
      <c r="A152" s="204" t="s">
        <v>731</v>
      </c>
      <c r="B152" s="281" t="s">
        <v>732</v>
      </c>
      <c r="C152" s="161"/>
      <c r="D152" s="161"/>
      <c r="E152" s="161"/>
      <c r="F152" s="161"/>
      <c r="G152" s="161"/>
      <c r="H152" s="161"/>
    </row>
    <row r="153" spans="1:8" x14ac:dyDescent="0.25">
      <c r="A153" s="204" t="s">
        <v>733</v>
      </c>
      <c r="B153" s="281" t="s">
        <v>734</v>
      </c>
      <c r="C153" s="161"/>
      <c r="D153" s="161"/>
      <c r="E153" s="161"/>
      <c r="F153" s="161"/>
      <c r="G153" s="161"/>
      <c r="H153" s="161"/>
    </row>
    <row r="154" spans="1:8" x14ac:dyDescent="0.25">
      <c r="A154" s="204" t="s">
        <v>735</v>
      </c>
      <c r="B154" s="281" t="s">
        <v>736</v>
      </c>
      <c r="C154" s="161"/>
      <c r="D154" s="161"/>
      <c r="E154" s="161"/>
      <c r="F154" s="161"/>
      <c r="G154" s="161"/>
      <c r="H154" s="161"/>
    </row>
    <row r="155" spans="1:8" x14ac:dyDescent="0.25">
      <c r="A155" s="204" t="s">
        <v>737</v>
      </c>
      <c r="B155" s="281" t="s">
        <v>738</v>
      </c>
      <c r="C155" s="161"/>
      <c r="D155" s="161"/>
      <c r="E155" s="161"/>
      <c r="F155" s="161"/>
      <c r="G155" s="161"/>
      <c r="H155" s="161"/>
    </row>
  </sheetData>
  <mergeCells count="28">
    <mergeCell ref="B152:H152"/>
    <mergeCell ref="B153:H153"/>
    <mergeCell ref="B154:H154"/>
    <mergeCell ref="B155:H155"/>
    <mergeCell ref="A137:F137"/>
    <mergeCell ref="A147:H147"/>
    <mergeCell ref="B148:H148"/>
    <mergeCell ref="B149:H149"/>
    <mergeCell ref="B150:H150"/>
    <mergeCell ref="B151:H151"/>
    <mergeCell ref="A114:H114"/>
    <mergeCell ref="A112:J112"/>
    <mergeCell ref="A125:J125"/>
    <mergeCell ref="A126:J126"/>
    <mergeCell ref="A136:F136"/>
    <mergeCell ref="A6:Z6"/>
    <mergeCell ref="A26:Z26"/>
    <mergeCell ref="A47:Z47"/>
    <mergeCell ref="A72:Z72"/>
    <mergeCell ref="A97:Z97"/>
    <mergeCell ref="A103:Z103"/>
    <mergeCell ref="A1:Z1"/>
    <mergeCell ref="A2:Z2"/>
    <mergeCell ref="A4:E4"/>
    <mergeCell ref="F4:M4"/>
    <mergeCell ref="N4:Q4"/>
    <mergeCell ref="R4:U4"/>
    <mergeCell ref="V4:Z4"/>
  </mergeCells>
  <conditionalFormatting sqref="R6:U108">
    <cfRule type="cellIs" dxfId="21" priority="1" operator="lessThan">
      <formula>0</formula>
    </cfRule>
  </conditionalFormatting>
  <conditionalFormatting sqref="R6:U108">
    <cfRule type="cellIs" dxfId="20" priority="2" operator="greaterThan">
      <formula>0</formula>
    </cfRule>
  </conditionalFormatting>
  <conditionalFormatting sqref="B116:E122">
    <cfRule type="cellIs" dxfId="15" priority="3" operator="lessThan">
      <formula>0</formula>
    </cfRule>
  </conditionalFormatting>
  <conditionalFormatting sqref="B116:E122">
    <cfRule type="cellIs" dxfId="14" priority="4" operator="greaterThan">
      <formula>0</formula>
    </cfRule>
  </conditionalFormatting>
  <conditionalFormatting sqref="D139:D144">
    <cfRule type="cellIs" dxfId="13" priority="5" operator="lessThan">
      <formula>0</formula>
    </cfRule>
  </conditionalFormatting>
  <conditionalFormatting sqref="D139:D144">
    <cfRule type="cellIs" dxfId="12" priority="6" operator="greaterThan">
      <formula>0</formula>
    </cfRule>
  </conditionalFormatting>
  <pageMargins left="0.7" right="0.7" top="0.78740157499999996" bottom="0.78740157499999996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04DA-A154-4ED6-9EE0-1FFD2DE4F713}">
  <dimension ref="A1:R333"/>
  <sheetViews>
    <sheetView tabSelected="1" workbookViewId="0">
      <pane ySplit="28" topLeftCell="A29" activePane="bottomLeft" state="frozen"/>
      <selection pane="bottomLeft" activeCell="K23" sqref="K23"/>
    </sheetView>
  </sheetViews>
  <sheetFormatPr baseColWidth="10" defaultRowHeight="15" x14ac:dyDescent="0.25"/>
  <cols>
    <col min="1" max="1" width="24.7109375" customWidth="1"/>
    <col min="2" max="2" width="5.7109375" customWidth="1"/>
    <col min="3" max="10" width="13.28515625" customWidth="1"/>
    <col min="11" max="11" width="38.140625" customWidth="1"/>
  </cols>
  <sheetData>
    <row r="1" spans="1:14" ht="30" customHeight="1" x14ac:dyDescent="0.3">
      <c r="A1" s="286" t="s">
        <v>747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 x14ac:dyDescent="0.25">
      <c r="A2" s="287" t="s">
        <v>748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4" spans="1:14" x14ac:dyDescent="0.25">
      <c r="A4" s="289" t="s">
        <v>775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4" ht="27.95" customHeight="1" x14ac:dyDescent="0.25">
      <c r="A5" s="323" t="s">
        <v>76</v>
      </c>
      <c r="B5" s="324"/>
      <c r="C5" s="324" t="s">
        <v>776</v>
      </c>
      <c r="D5" s="324" t="s">
        <v>777</v>
      </c>
      <c r="E5" s="324" t="s">
        <v>778</v>
      </c>
      <c r="F5" s="324" t="s">
        <v>779</v>
      </c>
      <c r="G5" s="324" t="s">
        <v>780</v>
      </c>
      <c r="H5" s="324" t="s">
        <v>781</v>
      </c>
      <c r="I5" s="324" t="s">
        <v>782</v>
      </c>
      <c r="J5" s="325" t="s">
        <v>783</v>
      </c>
      <c r="K5" s="296" t="s">
        <v>787</v>
      </c>
    </row>
    <row r="6" spans="1:14" x14ac:dyDescent="0.25">
      <c r="A6" s="326" t="s">
        <v>784</v>
      </c>
      <c r="B6" s="327"/>
      <c r="C6" s="328">
        <v>1.3057000000000001</v>
      </c>
      <c r="D6" s="328">
        <v>6.8</v>
      </c>
      <c r="E6" s="328">
        <v>2.4441999999999999</v>
      </c>
      <c r="F6" s="328">
        <v>56.7</v>
      </c>
      <c r="G6" s="328">
        <v>2.802</v>
      </c>
      <c r="H6" s="328">
        <v>55.7</v>
      </c>
      <c r="I6" s="328">
        <v>2.4033000000000002</v>
      </c>
      <c r="J6" s="329">
        <v>84.6</v>
      </c>
      <c r="K6" s="317" t="s">
        <v>788</v>
      </c>
    </row>
    <row r="7" spans="1:14" x14ac:dyDescent="0.25">
      <c r="A7" s="326" t="s">
        <v>785</v>
      </c>
      <c r="B7" s="327"/>
      <c r="C7" s="328">
        <v>1.3106</v>
      </c>
      <c r="D7" s="328">
        <v>11</v>
      </c>
      <c r="E7" s="328">
        <v>2.6015000000000001</v>
      </c>
      <c r="F7" s="328">
        <v>71.2</v>
      </c>
      <c r="G7" s="328">
        <v>3.9026999999999998</v>
      </c>
      <c r="H7" s="328">
        <v>59.5</v>
      </c>
      <c r="I7" s="328">
        <v>5.9768999999999997</v>
      </c>
      <c r="J7" s="329">
        <v>5.3</v>
      </c>
      <c r="K7" s="317" t="s">
        <v>789</v>
      </c>
    </row>
    <row r="8" spans="1:14" x14ac:dyDescent="0.25">
      <c r="A8" s="326" t="s">
        <v>170</v>
      </c>
      <c r="B8" s="327"/>
      <c r="C8" s="328">
        <v>1.3069</v>
      </c>
      <c r="D8" s="328">
        <v>11.1</v>
      </c>
      <c r="E8" s="328">
        <v>2.6638999999999999</v>
      </c>
      <c r="F8" s="328">
        <v>77.099999999999994</v>
      </c>
      <c r="G8" s="328">
        <v>3.9352999999999998</v>
      </c>
      <c r="H8" s="328">
        <v>59.6</v>
      </c>
      <c r="I8" s="328">
        <v>5.7651000000000003</v>
      </c>
      <c r="J8" s="329">
        <v>26.9</v>
      </c>
      <c r="K8" s="317" t="s">
        <v>790</v>
      </c>
    </row>
    <row r="9" spans="1:14" x14ac:dyDescent="0.25">
      <c r="A9" s="326" t="s">
        <v>10</v>
      </c>
      <c r="B9" s="327"/>
      <c r="C9" s="328">
        <v>2.1238000000000001</v>
      </c>
      <c r="D9" s="328">
        <v>135.19999999999999</v>
      </c>
      <c r="E9" s="328">
        <v>3.0769000000000002</v>
      </c>
      <c r="F9" s="328">
        <v>167.4</v>
      </c>
      <c r="G9" s="330">
        <v>1.252</v>
      </c>
      <c r="H9" s="330">
        <v>217.3</v>
      </c>
      <c r="I9" s="330">
        <v>2.1314000000000002</v>
      </c>
      <c r="J9" s="331">
        <v>368.8</v>
      </c>
      <c r="K9" s="317" t="s">
        <v>791</v>
      </c>
    </row>
    <row r="10" spans="1:14" x14ac:dyDescent="0.25">
      <c r="A10" s="326" t="s">
        <v>314</v>
      </c>
      <c r="B10" s="327"/>
      <c r="C10" s="328">
        <v>2.7564000000000002</v>
      </c>
      <c r="D10" s="328">
        <v>74.3</v>
      </c>
      <c r="E10" s="328">
        <v>4.3724999999999996</v>
      </c>
      <c r="F10" s="328">
        <v>72.2</v>
      </c>
      <c r="G10" s="328">
        <v>4.1558999999999999</v>
      </c>
      <c r="H10" s="328">
        <v>109.9</v>
      </c>
      <c r="I10" s="328">
        <v>5.3151999999999999</v>
      </c>
      <c r="J10" s="329">
        <v>233.1</v>
      </c>
      <c r="K10" s="317" t="s">
        <v>792</v>
      </c>
    </row>
    <row r="11" spans="1:14" x14ac:dyDescent="0.25">
      <c r="A11" s="326" t="s">
        <v>327</v>
      </c>
      <c r="B11" s="327"/>
      <c r="C11" s="328">
        <v>3.1751999999999998</v>
      </c>
      <c r="D11" s="328">
        <v>120.2</v>
      </c>
      <c r="E11" s="328">
        <v>5.2811000000000003</v>
      </c>
      <c r="F11" s="328">
        <v>87.5</v>
      </c>
      <c r="G11" s="328">
        <v>4.6048999999999998</v>
      </c>
      <c r="H11" s="328">
        <v>153.80000000000001</v>
      </c>
      <c r="I11" s="328">
        <v>5.7403000000000004</v>
      </c>
      <c r="J11" s="329">
        <v>371.8</v>
      </c>
      <c r="K11" s="317" t="s">
        <v>790</v>
      </c>
    </row>
    <row r="12" spans="1:14" x14ac:dyDescent="0.25">
      <c r="A12" s="332" t="s">
        <v>786</v>
      </c>
      <c r="B12" s="333"/>
      <c r="C12" s="334">
        <v>3.9752000000000001</v>
      </c>
      <c r="D12" s="334">
        <v>234.7</v>
      </c>
      <c r="E12" s="335">
        <v>1.8069</v>
      </c>
      <c r="F12" s="335">
        <v>332.2</v>
      </c>
      <c r="G12" s="334">
        <v>5.7228000000000003</v>
      </c>
      <c r="H12" s="334">
        <v>219.5</v>
      </c>
      <c r="I12" s="334">
        <v>5.3582000000000001</v>
      </c>
      <c r="J12" s="336">
        <v>238.9</v>
      </c>
      <c r="K12" s="317" t="s">
        <v>793</v>
      </c>
    </row>
    <row r="14" spans="1:14" x14ac:dyDescent="0.25">
      <c r="A14" s="320" t="s">
        <v>794</v>
      </c>
      <c r="B14" s="321"/>
      <c r="C14" s="321"/>
      <c r="D14" s="321"/>
      <c r="E14" s="321"/>
      <c r="F14" s="321"/>
      <c r="G14" s="321"/>
      <c r="H14" s="321"/>
      <c r="I14" s="321"/>
      <c r="J14" s="321"/>
    </row>
    <row r="15" spans="1:14" x14ac:dyDescent="0.25">
      <c r="A15" t="s">
        <v>105</v>
      </c>
      <c r="B15" s="290">
        <v>1.1499999999999999</v>
      </c>
    </row>
    <row r="17" spans="1:18" x14ac:dyDescent="0.25">
      <c r="A17" s="289" t="s">
        <v>795</v>
      </c>
      <c r="B17" s="206"/>
      <c r="C17" s="206"/>
      <c r="D17" s="206"/>
      <c r="E17" s="206"/>
      <c r="F17" s="206"/>
      <c r="G17" s="206"/>
      <c r="H17" s="206"/>
      <c r="I17" s="206"/>
      <c r="J17" s="206"/>
    </row>
    <row r="18" spans="1:18" x14ac:dyDescent="0.25">
      <c r="A18" s="241" t="s">
        <v>796</v>
      </c>
      <c r="B18" s="161"/>
      <c r="C18" s="161"/>
      <c r="D18" s="161"/>
      <c r="E18" s="161"/>
      <c r="F18" s="161"/>
      <c r="G18" s="161"/>
      <c r="H18" s="161"/>
      <c r="I18" s="161"/>
      <c r="J18" s="161"/>
    </row>
    <row r="19" spans="1:18" x14ac:dyDescent="0.25">
      <c r="A19" s="241" t="s">
        <v>797</v>
      </c>
      <c r="B19" s="161"/>
      <c r="C19" s="161"/>
      <c r="D19" s="161"/>
      <c r="E19" s="161"/>
      <c r="F19" s="161"/>
      <c r="G19" s="161"/>
      <c r="H19" s="161"/>
      <c r="I19" s="161"/>
      <c r="J19" s="161"/>
    </row>
    <row r="20" spans="1:18" x14ac:dyDescent="0.25">
      <c r="A20" s="241" t="s">
        <v>798</v>
      </c>
      <c r="B20" s="161"/>
      <c r="C20" s="161"/>
      <c r="D20" s="161"/>
      <c r="E20" s="161"/>
      <c r="F20" s="161"/>
      <c r="G20" s="161"/>
      <c r="H20" s="161"/>
      <c r="I20" s="161"/>
      <c r="J20" s="161"/>
    </row>
    <row r="22" spans="1:18" x14ac:dyDescent="0.25">
      <c r="A22" s="322" t="s">
        <v>799</v>
      </c>
      <c r="B22" s="161"/>
      <c r="C22" s="161"/>
      <c r="D22" s="161"/>
      <c r="E22" s="161"/>
      <c r="F22" s="161"/>
      <c r="G22" s="161"/>
      <c r="H22" s="161"/>
      <c r="I22" s="161"/>
      <c r="J22" s="161"/>
    </row>
    <row r="27" spans="1:18" x14ac:dyDescent="0.25">
      <c r="A27" s="295" t="s">
        <v>753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</row>
    <row r="28" spans="1:18" ht="27.95" customHeight="1" x14ac:dyDescent="0.25">
      <c r="A28" s="296" t="s">
        <v>662</v>
      </c>
      <c r="B28" s="296" t="s">
        <v>76</v>
      </c>
      <c r="C28" s="296" t="s">
        <v>77</v>
      </c>
      <c r="D28" s="296" t="s">
        <v>455</v>
      </c>
      <c r="E28" s="296" t="s">
        <v>453</v>
      </c>
      <c r="F28" s="296" t="s">
        <v>754</v>
      </c>
      <c r="G28" s="297" t="s">
        <v>755</v>
      </c>
      <c r="H28" s="297" t="s">
        <v>756</v>
      </c>
      <c r="I28" s="297" t="s">
        <v>757</v>
      </c>
      <c r="J28" s="298" t="s">
        <v>758</v>
      </c>
      <c r="K28" s="298" t="s">
        <v>759</v>
      </c>
      <c r="L28" s="298" t="s">
        <v>760</v>
      </c>
      <c r="M28" s="299" t="s">
        <v>761</v>
      </c>
      <c r="N28" s="299" t="s">
        <v>762</v>
      </c>
      <c r="O28" s="299" t="s">
        <v>763</v>
      </c>
      <c r="P28" s="300" t="s">
        <v>764</v>
      </c>
      <c r="Q28" s="300" t="s">
        <v>765</v>
      </c>
      <c r="R28" s="300" t="s">
        <v>766</v>
      </c>
    </row>
    <row r="29" spans="1:18" x14ac:dyDescent="0.25">
      <c r="A29" s="302" t="s">
        <v>91</v>
      </c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</row>
    <row r="30" spans="1:18" x14ac:dyDescent="0.25">
      <c r="A30" s="303">
        <v>3000</v>
      </c>
      <c r="B30" s="303" t="s">
        <v>91</v>
      </c>
      <c r="C30" s="303" t="s">
        <v>92</v>
      </c>
      <c r="D30" s="304">
        <v>360</v>
      </c>
      <c r="E30" s="304">
        <v>360</v>
      </c>
      <c r="F30" s="305">
        <f>(D30*E30)/10000</f>
        <v>12.96</v>
      </c>
      <c r="G30" s="304">
        <v>26</v>
      </c>
      <c r="H30" s="304">
        <f>ROUND(F30*$C$6+$D$6,0)</f>
        <v>24</v>
      </c>
      <c r="I30" s="306">
        <f>IF(G30=0,"",H30/G30-1)</f>
        <v>-7.6923076923076872E-2</v>
      </c>
      <c r="J30" s="304">
        <v>75</v>
      </c>
      <c r="K30" s="304">
        <f>ROUND(F30*$E$6+$F$6,0)</f>
        <v>88</v>
      </c>
      <c r="L30" s="306">
        <f>IF(J30=0,"",K30/J30-1)</f>
        <v>0.17333333333333334</v>
      </c>
      <c r="M30" s="304">
        <v>81</v>
      </c>
      <c r="N30" s="304">
        <f>ROUND(F30*$G$6+$H$6,0)</f>
        <v>92</v>
      </c>
      <c r="O30" s="306">
        <f>IF(M30=0,"",N30/M30-1)</f>
        <v>0.13580246913580241</v>
      </c>
      <c r="P30" s="304">
        <v>135</v>
      </c>
      <c r="Q30" s="304">
        <f>ROUND(F30*$I$6+$J$6,0)</f>
        <v>116</v>
      </c>
      <c r="R30" s="306">
        <f>IF(P30=0,"",Q30/P30-1)</f>
        <v>-0.14074074074074072</v>
      </c>
    </row>
    <row r="31" spans="1:18" x14ac:dyDescent="0.25">
      <c r="A31" s="291">
        <v>3001</v>
      </c>
      <c r="B31" s="291" t="s">
        <v>91</v>
      </c>
      <c r="C31" s="291" t="s">
        <v>95</v>
      </c>
      <c r="D31" s="307">
        <v>420</v>
      </c>
      <c r="E31" s="307">
        <v>360</v>
      </c>
      <c r="F31" s="308">
        <f>(D31*E31)/10000</f>
        <v>15.12</v>
      </c>
      <c r="G31" s="307">
        <v>26</v>
      </c>
      <c r="H31" s="307">
        <f>ROUND(F31*$C$6+$D$6,0)</f>
        <v>27</v>
      </c>
      <c r="I31" s="309">
        <f>IF(G31=0,"",H31/G31-1)</f>
        <v>3.8461538461538547E-2</v>
      </c>
      <c r="J31" s="307">
        <v>80</v>
      </c>
      <c r="K31" s="307">
        <f>ROUND(F31*$E$6+$F$6,0)</f>
        <v>94</v>
      </c>
      <c r="L31" s="309">
        <f>IF(J31=0,"",K31/J31-1)</f>
        <v>0.17500000000000004</v>
      </c>
      <c r="M31" s="307">
        <v>84</v>
      </c>
      <c r="N31" s="307">
        <f>ROUND(F31*$G$6+$H$6,0)</f>
        <v>98</v>
      </c>
      <c r="O31" s="309">
        <f>IF(M31=0,"",N31/M31-1)</f>
        <v>0.16666666666666674</v>
      </c>
      <c r="P31" s="307">
        <v>135</v>
      </c>
      <c r="Q31" s="307">
        <f>ROUND(F31*$I$6+$J$6,0)</f>
        <v>121</v>
      </c>
      <c r="R31" s="309">
        <f>IF(P31=0,"",Q31/P31-1)</f>
        <v>-0.10370370370370374</v>
      </c>
    </row>
    <row r="32" spans="1:18" x14ac:dyDescent="0.25">
      <c r="A32" s="303">
        <v>3002</v>
      </c>
      <c r="B32" s="303" t="s">
        <v>91</v>
      </c>
      <c r="C32" s="303" t="s">
        <v>97</v>
      </c>
      <c r="D32" s="304">
        <v>580</v>
      </c>
      <c r="E32" s="304">
        <v>360</v>
      </c>
      <c r="F32" s="305">
        <f>(D32*E32)/10000</f>
        <v>20.88</v>
      </c>
      <c r="G32" s="304">
        <v>32</v>
      </c>
      <c r="H32" s="304">
        <f>ROUND(F32*$C$6+$D$6,0)</f>
        <v>34</v>
      </c>
      <c r="I32" s="306">
        <f>IF(G32=0,"",H32/G32-1)</f>
        <v>6.25E-2</v>
      </c>
      <c r="J32" s="304">
        <v>106</v>
      </c>
      <c r="K32" s="304">
        <f>ROUND(F32*$E$6+$F$6,0)</f>
        <v>108</v>
      </c>
      <c r="L32" s="306">
        <f>IF(J32=0,"",K32/J32-1)</f>
        <v>1.8867924528301883E-2</v>
      </c>
      <c r="M32" s="304">
        <v>118</v>
      </c>
      <c r="N32" s="304">
        <f>ROUND(F32*$G$6+$H$6,0)</f>
        <v>114</v>
      </c>
      <c r="O32" s="306">
        <f>IF(M32=0,"",N32/M32-1)</f>
        <v>-3.3898305084745783E-2</v>
      </c>
      <c r="P32" s="304">
        <v>141</v>
      </c>
      <c r="Q32" s="304">
        <f>ROUND(F32*$I$6+$J$6,0)</f>
        <v>135</v>
      </c>
      <c r="R32" s="306">
        <f>IF(P32=0,"",Q32/P32-1)</f>
        <v>-4.2553191489361653E-2</v>
      </c>
    </row>
    <row r="33" spans="1:18" x14ac:dyDescent="0.25">
      <c r="A33" s="291">
        <v>3003</v>
      </c>
      <c r="B33" s="291" t="s">
        <v>91</v>
      </c>
      <c r="C33" s="291" t="s">
        <v>99</v>
      </c>
      <c r="D33" s="307">
        <v>780</v>
      </c>
      <c r="E33" s="307">
        <v>360</v>
      </c>
      <c r="F33" s="308">
        <f>(D33*E33)/10000</f>
        <v>28.08</v>
      </c>
      <c r="G33" s="307">
        <v>42</v>
      </c>
      <c r="H33" s="307">
        <f>ROUND(F33*$C$6+$D$6,0)</f>
        <v>43</v>
      </c>
      <c r="I33" s="309">
        <f>IF(G33=0,"",H33/G33-1)</f>
        <v>2.3809523809523725E-2</v>
      </c>
      <c r="J33" s="307">
        <v>122</v>
      </c>
      <c r="K33" s="307">
        <f>ROUND(F33*$E$6+$F$6,0)</f>
        <v>125</v>
      </c>
      <c r="L33" s="309">
        <f>IF(J33=0,"",K33/J33-1)</f>
        <v>2.4590163934426146E-2</v>
      </c>
      <c r="M33" s="307">
        <v>131</v>
      </c>
      <c r="N33" s="307">
        <f>ROUND(F33*$G$6+$H$6,0)</f>
        <v>134</v>
      </c>
      <c r="O33" s="309">
        <f>IF(M33=0,"",N33/M33-1)</f>
        <v>2.2900763358778553E-2</v>
      </c>
      <c r="P33" s="307">
        <v>144</v>
      </c>
      <c r="Q33" s="307">
        <f>ROUND(F33*$I$6+$J$6,0)</f>
        <v>152</v>
      </c>
      <c r="R33" s="309">
        <f>IF(P33=0,"",Q33/P33-1)</f>
        <v>5.555555555555558E-2</v>
      </c>
    </row>
    <row r="34" spans="1:18" x14ac:dyDescent="0.25">
      <c r="A34" s="303">
        <v>3004</v>
      </c>
      <c r="B34" s="303" t="s">
        <v>91</v>
      </c>
      <c r="C34" s="303" t="s">
        <v>102</v>
      </c>
      <c r="D34" s="304">
        <v>980</v>
      </c>
      <c r="E34" s="304">
        <v>360</v>
      </c>
      <c r="F34" s="305">
        <f>(D34*E34)/10000</f>
        <v>35.28</v>
      </c>
      <c r="G34" s="304">
        <v>53</v>
      </c>
      <c r="H34" s="304">
        <f>ROUND(F34*$C$6+$D$6,0)</f>
        <v>53</v>
      </c>
      <c r="I34" s="306">
        <f>IF(G34=0,"",H34/G34-1)</f>
        <v>0</v>
      </c>
      <c r="J34" s="304">
        <v>147</v>
      </c>
      <c r="K34" s="304">
        <f>ROUND(F34*$E$6+$F$6,0)</f>
        <v>143</v>
      </c>
      <c r="L34" s="306">
        <f>IF(J34=0,"",K34/J34-1)</f>
        <v>-2.7210884353741527E-2</v>
      </c>
      <c r="M34" s="304">
        <v>158</v>
      </c>
      <c r="N34" s="304">
        <f>ROUND(F34*$G$6+$H$6,0)</f>
        <v>155</v>
      </c>
      <c r="O34" s="306">
        <f>IF(M34=0,"",N34/M34-1)</f>
        <v>-1.8987341772151889E-2</v>
      </c>
      <c r="P34" s="304">
        <v>159</v>
      </c>
      <c r="Q34" s="304">
        <f>ROUND(F34*$I$6+$J$6,0)</f>
        <v>169</v>
      </c>
      <c r="R34" s="306">
        <f>IF(P34=0,"",Q34/P34-1)</f>
        <v>6.2893081761006275E-2</v>
      </c>
    </row>
    <row r="35" spans="1:18" x14ac:dyDescent="0.25">
      <c r="A35" s="291">
        <v>3005</v>
      </c>
      <c r="B35" s="291" t="s">
        <v>91</v>
      </c>
      <c r="C35" s="291" t="s">
        <v>104</v>
      </c>
      <c r="D35" s="307">
        <v>360</v>
      </c>
      <c r="E35" s="307">
        <v>580</v>
      </c>
      <c r="F35" s="308">
        <f>(D35*E35)/10000</f>
        <v>20.88</v>
      </c>
      <c r="G35" s="307">
        <v>32</v>
      </c>
      <c r="H35" s="307">
        <f>ROUND(F35*$C$6+$D$6,0)</f>
        <v>34</v>
      </c>
      <c r="I35" s="309">
        <f>IF(G35=0,"",H35/G35-1)</f>
        <v>6.25E-2</v>
      </c>
      <c r="J35" s="307">
        <v>106</v>
      </c>
      <c r="K35" s="307">
        <f>ROUND(F35*$E$6+$F$6,0)</f>
        <v>108</v>
      </c>
      <c r="L35" s="309">
        <f>IF(J35=0,"",K35/J35-1)</f>
        <v>1.8867924528301883E-2</v>
      </c>
      <c r="M35" s="307">
        <v>118</v>
      </c>
      <c r="N35" s="307">
        <f>ROUND(F35*$G$6+$H$6,0)</f>
        <v>114</v>
      </c>
      <c r="O35" s="309">
        <f>IF(M35=0,"",N35/M35-1)</f>
        <v>-3.3898305084745783E-2</v>
      </c>
      <c r="P35" s="307">
        <v>141</v>
      </c>
      <c r="Q35" s="307">
        <f>ROUND(F35*$I$6+$J$6,0)</f>
        <v>135</v>
      </c>
      <c r="R35" s="309">
        <f>IF(P35=0,"",Q35/P35-1)</f>
        <v>-4.2553191489361653E-2</v>
      </c>
    </row>
    <row r="36" spans="1:18" x14ac:dyDescent="0.25">
      <c r="A36" s="303">
        <v>3006</v>
      </c>
      <c r="B36" s="303" t="s">
        <v>91</v>
      </c>
      <c r="C36" s="303" t="s">
        <v>106</v>
      </c>
      <c r="D36" s="304">
        <v>420</v>
      </c>
      <c r="E36" s="304">
        <v>580</v>
      </c>
      <c r="F36" s="305">
        <f>(D36*E36)/10000</f>
        <v>24.36</v>
      </c>
      <c r="G36" s="304">
        <v>37</v>
      </c>
      <c r="H36" s="304">
        <f>ROUND(F36*$C$6+$D$6,0)</f>
        <v>39</v>
      </c>
      <c r="I36" s="306">
        <f>IF(G36=0,"",H36/G36-1)</f>
        <v>5.4054054054053946E-2</v>
      </c>
      <c r="J36" s="304">
        <v>119</v>
      </c>
      <c r="K36" s="304">
        <f>ROUND(F36*$E$6+$F$6,0)</f>
        <v>116</v>
      </c>
      <c r="L36" s="306">
        <f>IF(J36=0,"",K36/J36-1)</f>
        <v>-2.5210084033613467E-2</v>
      </c>
      <c r="M36" s="304">
        <v>134</v>
      </c>
      <c r="N36" s="304">
        <f>ROUND(F36*$G$6+$H$6,0)</f>
        <v>124</v>
      </c>
      <c r="O36" s="306">
        <f>IF(M36=0,"",N36/M36-1)</f>
        <v>-7.4626865671641784E-2</v>
      </c>
      <c r="P36" s="304">
        <v>141</v>
      </c>
      <c r="Q36" s="304">
        <f>ROUND(F36*$I$6+$J$6,0)</f>
        <v>143</v>
      </c>
      <c r="R36" s="306">
        <f>IF(P36=0,"",Q36/P36-1)</f>
        <v>1.4184397163120588E-2</v>
      </c>
    </row>
    <row r="37" spans="1:18" x14ac:dyDescent="0.25">
      <c r="A37" s="291">
        <v>3007</v>
      </c>
      <c r="B37" s="291" t="s">
        <v>91</v>
      </c>
      <c r="C37" s="291" t="s">
        <v>109</v>
      </c>
      <c r="D37" s="307">
        <v>580</v>
      </c>
      <c r="E37" s="307">
        <v>580</v>
      </c>
      <c r="F37" s="308">
        <f>(D37*E37)/10000</f>
        <v>33.64</v>
      </c>
      <c r="G37" s="307">
        <v>50</v>
      </c>
      <c r="H37" s="307">
        <f>ROUND(F37*$C$6+$D$6,0)</f>
        <v>51</v>
      </c>
      <c r="I37" s="309">
        <f>IF(G37=0,"",H37/G37-1)</f>
        <v>2.0000000000000018E-2</v>
      </c>
      <c r="J37" s="307">
        <v>150</v>
      </c>
      <c r="K37" s="307">
        <f>ROUND(F37*$E$6+$F$6,0)</f>
        <v>139</v>
      </c>
      <c r="L37" s="309">
        <f>IF(J37=0,"",K37/J37-1)</f>
        <v>-7.3333333333333361E-2</v>
      </c>
      <c r="M37" s="307">
        <v>167</v>
      </c>
      <c r="N37" s="307">
        <f>ROUND(F37*$G$6+$H$6,0)</f>
        <v>150</v>
      </c>
      <c r="O37" s="309">
        <f>IF(M37=0,"",N37/M37-1)</f>
        <v>-0.10179640718562877</v>
      </c>
      <c r="P37" s="307">
        <v>145</v>
      </c>
      <c r="Q37" s="307">
        <f>ROUND(F37*$I$6+$J$6,0)</f>
        <v>165</v>
      </c>
      <c r="R37" s="309">
        <f>IF(P37=0,"",Q37/P37-1)</f>
        <v>0.13793103448275867</v>
      </c>
    </row>
    <row r="38" spans="1:18" x14ac:dyDescent="0.25">
      <c r="A38" s="303">
        <v>3008</v>
      </c>
      <c r="B38" s="303" t="s">
        <v>91</v>
      </c>
      <c r="C38" s="303" t="s">
        <v>110</v>
      </c>
      <c r="D38" s="304">
        <v>780</v>
      </c>
      <c r="E38" s="304">
        <v>580</v>
      </c>
      <c r="F38" s="305">
        <f>(D38*E38)/10000</f>
        <v>45.24</v>
      </c>
      <c r="G38" s="304">
        <v>65</v>
      </c>
      <c r="H38" s="304">
        <f>ROUND(F38*$C$6+$D$6,0)</f>
        <v>66</v>
      </c>
      <c r="I38" s="306">
        <f>IF(G38=0,"",H38/G38-1)</f>
        <v>1.538461538461533E-2</v>
      </c>
      <c r="J38" s="304">
        <v>182</v>
      </c>
      <c r="K38" s="304">
        <f>ROUND(F38*$E$6+$F$6,0)</f>
        <v>167</v>
      </c>
      <c r="L38" s="306">
        <f>IF(J38=0,"",K38/J38-1)</f>
        <v>-8.2417582417582458E-2</v>
      </c>
      <c r="M38" s="304">
        <v>205</v>
      </c>
      <c r="N38" s="304">
        <f>ROUND(F38*$G$6+$H$6,0)</f>
        <v>182</v>
      </c>
      <c r="O38" s="306">
        <f>IF(M38=0,"",N38/M38-1)</f>
        <v>-0.1121951219512195</v>
      </c>
      <c r="P38" s="304">
        <v>180</v>
      </c>
      <c r="Q38" s="304">
        <f>ROUND(F38*$I$6+$J$6,0)</f>
        <v>193</v>
      </c>
      <c r="R38" s="306">
        <f>IF(P38=0,"",Q38/P38-1)</f>
        <v>7.2222222222222188E-2</v>
      </c>
    </row>
    <row r="39" spans="1:18" x14ac:dyDescent="0.25">
      <c r="A39" s="291">
        <v>3009</v>
      </c>
      <c r="B39" s="291" t="s">
        <v>91</v>
      </c>
      <c r="C39" s="291" t="s">
        <v>111</v>
      </c>
      <c r="D39" s="307">
        <v>980</v>
      </c>
      <c r="E39" s="307">
        <v>580</v>
      </c>
      <c r="F39" s="308">
        <f>(D39*E39)/10000</f>
        <v>56.84</v>
      </c>
      <c r="G39" s="307">
        <v>83</v>
      </c>
      <c r="H39" s="307">
        <f>ROUND(F39*$C$6+$D$6,0)</f>
        <v>81</v>
      </c>
      <c r="I39" s="309">
        <f>IF(G39=0,"",H39/G39-1)</f>
        <v>-2.4096385542168641E-2</v>
      </c>
      <c r="J39" s="307">
        <v>234</v>
      </c>
      <c r="K39" s="307">
        <f>ROUND(F39*$E$6+$F$6,0)</f>
        <v>196</v>
      </c>
      <c r="L39" s="309">
        <f>IF(J39=0,"",K39/J39-1)</f>
        <v>-0.16239316239316237</v>
      </c>
      <c r="M39" s="307">
        <v>260</v>
      </c>
      <c r="N39" s="307">
        <f>ROUND(F39*$G$6+$H$6,0)</f>
        <v>215</v>
      </c>
      <c r="O39" s="309">
        <f>IF(M39=0,"",N39/M39-1)</f>
        <v>-0.17307692307692313</v>
      </c>
      <c r="P39" s="307">
        <v>210</v>
      </c>
      <c r="Q39" s="307">
        <f>ROUND(F39*$I$6+$J$6,0)</f>
        <v>221</v>
      </c>
      <c r="R39" s="309">
        <f>IF(P39=0,"",Q39/P39-1)</f>
        <v>5.2380952380952417E-2</v>
      </c>
    </row>
    <row r="40" spans="1:18" x14ac:dyDescent="0.25">
      <c r="A40" s="303">
        <v>3010</v>
      </c>
      <c r="B40" s="303" t="s">
        <v>91</v>
      </c>
      <c r="C40" s="303" t="s">
        <v>112</v>
      </c>
      <c r="D40" s="304">
        <v>780</v>
      </c>
      <c r="E40" s="304">
        <v>780</v>
      </c>
      <c r="F40" s="305">
        <f>(D40*E40)/10000</f>
        <v>60.84</v>
      </c>
      <c r="G40" s="304">
        <v>85</v>
      </c>
      <c r="H40" s="304">
        <f>ROUND(F40*$C$6+$D$6,0)</f>
        <v>86</v>
      </c>
      <c r="I40" s="306">
        <f>IF(G40=0,"",H40/G40-1)</f>
        <v>1.1764705882352899E-2</v>
      </c>
      <c r="J40" s="304">
        <v>199</v>
      </c>
      <c r="K40" s="304">
        <f>ROUND(F40*$E$6+$F$6,0)</f>
        <v>205</v>
      </c>
      <c r="L40" s="306">
        <f>IF(J40=0,"",K40/J40-1)</f>
        <v>3.015075376884413E-2</v>
      </c>
      <c r="M40" s="304">
        <v>248</v>
      </c>
      <c r="N40" s="304">
        <f>ROUND(F40*$G$6+$H$6,0)</f>
        <v>226</v>
      </c>
      <c r="O40" s="306">
        <f>IF(M40=0,"",N40/M40-1)</f>
        <v>-8.8709677419354871E-2</v>
      </c>
      <c r="P40" s="304">
        <v>224</v>
      </c>
      <c r="Q40" s="304">
        <f>ROUND(F40*$I$6+$J$6,0)</f>
        <v>231</v>
      </c>
      <c r="R40" s="306">
        <f>IF(P40=0,"",Q40/P40-1)</f>
        <v>3.125E-2</v>
      </c>
    </row>
    <row r="41" spans="1:18" x14ac:dyDescent="0.25">
      <c r="A41" s="291">
        <v>3011</v>
      </c>
      <c r="B41" s="291" t="s">
        <v>91</v>
      </c>
      <c r="C41" s="291" t="s">
        <v>113</v>
      </c>
      <c r="D41" s="307">
        <v>980</v>
      </c>
      <c r="E41" s="307">
        <v>780</v>
      </c>
      <c r="F41" s="308">
        <f>(D41*E41)/10000</f>
        <v>76.44</v>
      </c>
      <c r="G41" s="307">
        <v>104</v>
      </c>
      <c r="H41" s="307">
        <f>ROUND(F41*$C$6+$D$6,0)</f>
        <v>107</v>
      </c>
      <c r="I41" s="309">
        <f>IF(G41=0,"",H41/G41-1)</f>
        <v>2.8846153846153744E-2</v>
      </c>
      <c r="J41" s="307">
        <v>275</v>
      </c>
      <c r="K41" s="307">
        <f>ROUND(F41*$E$6+$F$6,0)</f>
        <v>244</v>
      </c>
      <c r="L41" s="309">
        <f>IF(J41=0,"",K41/J41-1)</f>
        <v>-0.11272727272727268</v>
      </c>
      <c r="M41" s="307">
        <v>197</v>
      </c>
      <c r="N41" s="307">
        <f>ROUND(F41*$G$6+$H$6,0)</f>
        <v>270</v>
      </c>
      <c r="O41" s="309">
        <f>IF(M41=0,"",N41/M41-1)</f>
        <v>0.37055837563451766</v>
      </c>
      <c r="P41" s="307">
        <v>309</v>
      </c>
      <c r="Q41" s="307">
        <f>ROUND(F41*$I$6+$J$6,0)</f>
        <v>268</v>
      </c>
      <c r="R41" s="309">
        <f>IF(P41=0,"",Q41/P41-1)</f>
        <v>-0.1326860841423948</v>
      </c>
    </row>
    <row r="42" spans="1:18" x14ac:dyDescent="0.25">
      <c r="A42" s="303">
        <v>3012</v>
      </c>
      <c r="B42" s="303" t="s">
        <v>91</v>
      </c>
      <c r="C42" s="303" t="s">
        <v>114</v>
      </c>
      <c r="D42" s="304">
        <v>980</v>
      </c>
      <c r="E42" s="304">
        <v>980</v>
      </c>
      <c r="F42" s="305">
        <f>(D42*E42)/10000</f>
        <v>96.04</v>
      </c>
      <c r="G42" s="304">
        <v>135</v>
      </c>
      <c r="H42" s="304">
        <f>ROUND(F42*$C$6+$D$6,0)</f>
        <v>132</v>
      </c>
      <c r="I42" s="306">
        <f>IF(G42=0,"",H42/G42-1)</f>
        <v>-2.2222222222222254E-2</v>
      </c>
      <c r="J42" s="304">
        <v>327</v>
      </c>
      <c r="K42" s="304">
        <f>ROUND(F42*$E$6+$F$6,0)</f>
        <v>291</v>
      </c>
      <c r="L42" s="306">
        <f>IF(J42=0,"",K42/J42-1)</f>
        <v>-0.11009174311926606</v>
      </c>
      <c r="M42" s="304">
        <v>234</v>
      </c>
      <c r="N42" s="304">
        <f>ROUND(F42*$G$6+$H$6,0)</f>
        <v>325</v>
      </c>
      <c r="O42" s="306">
        <f>IF(M42=0,"",N42/M42-1)</f>
        <v>0.38888888888888884</v>
      </c>
      <c r="P42" s="304">
        <v>367</v>
      </c>
      <c r="Q42" s="304">
        <f>ROUND(F42*$I$6+$J$6,0)</f>
        <v>315</v>
      </c>
      <c r="R42" s="306">
        <f>IF(P42=0,"",Q42/P42-1)</f>
        <v>-0.14168937329700271</v>
      </c>
    </row>
    <row r="43" spans="1:18" x14ac:dyDescent="0.25">
      <c r="A43" s="291">
        <v>3013</v>
      </c>
      <c r="B43" s="291" t="s">
        <v>91</v>
      </c>
      <c r="C43" s="291" t="s">
        <v>115</v>
      </c>
      <c r="D43" s="307">
        <v>420</v>
      </c>
      <c r="E43" s="307">
        <v>780</v>
      </c>
      <c r="F43" s="308">
        <f>(D43*E43)/10000</f>
        <v>32.76</v>
      </c>
      <c r="G43" s="307">
        <v>53</v>
      </c>
      <c r="H43" s="307">
        <f>ROUND(F43*$C$6+$D$6,0)</f>
        <v>50</v>
      </c>
      <c r="I43" s="309">
        <f>IF(G43=0,"",H43/G43-1)</f>
        <v>-5.6603773584905648E-2</v>
      </c>
      <c r="J43" s="307">
        <v>145</v>
      </c>
      <c r="K43" s="307">
        <f>ROUND(F43*$E$6+$F$6,0)</f>
        <v>137</v>
      </c>
      <c r="L43" s="309">
        <f>IF(J43=0,"",K43/J43-1)</f>
        <v>-5.5172413793103448E-2</v>
      </c>
      <c r="M43" s="307">
        <v>103</v>
      </c>
      <c r="N43" s="307">
        <f>ROUND(F43*$G$6+$H$6,0)</f>
        <v>147</v>
      </c>
      <c r="O43" s="309">
        <f>IF(M43=0,"",N43/M43-1)</f>
        <v>0.42718446601941751</v>
      </c>
      <c r="P43" s="307">
        <v>162</v>
      </c>
      <c r="Q43" s="307">
        <f>ROUND(F43*$I$6+$J$6,0)</f>
        <v>163</v>
      </c>
      <c r="R43" s="309">
        <f>IF(P43=0,"",Q43/P43-1)</f>
        <v>6.1728395061728669E-3</v>
      </c>
    </row>
    <row r="44" spans="1:18" x14ac:dyDescent="0.25">
      <c r="A44" s="303">
        <v>3014</v>
      </c>
      <c r="B44" s="303" t="s">
        <v>91</v>
      </c>
      <c r="C44" s="303" t="s">
        <v>116</v>
      </c>
      <c r="D44" s="304">
        <v>420</v>
      </c>
      <c r="E44" s="304">
        <v>980</v>
      </c>
      <c r="F44" s="305">
        <f>(D44*E44)/10000</f>
        <v>41.16</v>
      </c>
      <c r="G44" s="304">
        <v>66</v>
      </c>
      <c r="H44" s="304">
        <f>ROUND(F44*$C$6+$D$6,0)</f>
        <v>61</v>
      </c>
      <c r="I44" s="306">
        <f>IF(G44=0,"",H44/G44-1)</f>
        <v>-7.5757575757575801E-2</v>
      </c>
      <c r="J44" s="304">
        <v>163</v>
      </c>
      <c r="K44" s="304">
        <f>ROUND(F44*$E$6+$F$6,0)</f>
        <v>157</v>
      </c>
      <c r="L44" s="306">
        <f>IF(J44=0,"",K44/J44-1)</f>
        <v>-3.6809815950920255E-2</v>
      </c>
      <c r="M44" s="304">
        <v>116</v>
      </c>
      <c r="N44" s="304">
        <f>ROUND(F44*$G$6+$H$6,0)</f>
        <v>171</v>
      </c>
      <c r="O44" s="306">
        <f>IF(M44=0,"",N44/M44-1)</f>
        <v>0.47413793103448265</v>
      </c>
      <c r="P44" s="304">
        <v>183</v>
      </c>
      <c r="Q44" s="304">
        <f>ROUND(F44*$I$6+$J$6,0)</f>
        <v>184</v>
      </c>
      <c r="R44" s="306">
        <f>IF(P44=0,"",Q44/P44-1)</f>
        <v>5.464480874316946E-3</v>
      </c>
    </row>
    <row r="45" spans="1:18" x14ac:dyDescent="0.25">
      <c r="A45" s="291" t="s">
        <v>117</v>
      </c>
      <c r="B45" s="291" t="s">
        <v>91</v>
      </c>
      <c r="C45" s="291" t="s">
        <v>118</v>
      </c>
      <c r="D45" s="307">
        <v>420</v>
      </c>
      <c r="E45" s="307">
        <v>420</v>
      </c>
      <c r="F45" s="308">
        <f>(D45*E45)/10000</f>
        <v>17.64</v>
      </c>
      <c r="G45" s="307">
        <v>42</v>
      </c>
      <c r="H45" s="307">
        <f>ROUND(F45*$C$6+$D$6,0)</f>
        <v>30</v>
      </c>
      <c r="I45" s="309">
        <f>IF(G45=0,"",H45/G45-1)</f>
        <v>-0.2857142857142857</v>
      </c>
      <c r="J45" s="307">
        <v>88</v>
      </c>
      <c r="K45" s="307">
        <f>ROUND(F45*$E$6+$F$6,0)</f>
        <v>100</v>
      </c>
      <c r="L45" s="309">
        <f>IF(J45=0,"",K45/J45-1)</f>
        <v>0.13636363636363646</v>
      </c>
      <c r="M45" s="307">
        <v>63</v>
      </c>
      <c r="N45" s="307">
        <f>ROUND(F45*$G$6+$H$6,0)</f>
        <v>105</v>
      </c>
      <c r="O45" s="309">
        <f>IF(M45=0,"",N45/M45-1)</f>
        <v>0.66666666666666674</v>
      </c>
      <c r="P45" s="307">
        <v>99</v>
      </c>
      <c r="Q45" s="307">
        <f>ROUND(F45*$I$6+$J$6,0)</f>
        <v>127</v>
      </c>
      <c r="R45" s="309">
        <f>IF(P45=0,"",Q45/P45-1)</f>
        <v>0.28282828282828287</v>
      </c>
    </row>
    <row r="46" spans="1:18" x14ac:dyDescent="0.25">
      <c r="A46" s="310" t="s">
        <v>119</v>
      </c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</row>
    <row r="47" spans="1:18" x14ac:dyDescent="0.25">
      <c r="A47" s="303">
        <v>3100</v>
      </c>
      <c r="B47" s="303" t="s">
        <v>119</v>
      </c>
      <c r="C47" s="303" t="s">
        <v>120</v>
      </c>
      <c r="D47" s="304">
        <v>360</v>
      </c>
      <c r="E47" s="304">
        <v>180</v>
      </c>
      <c r="F47" s="305">
        <f>(D47*E47)/10000</f>
        <v>6.48</v>
      </c>
      <c r="G47" s="304">
        <v>26</v>
      </c>
      <c r="H47" s="304">
        <f>ROUND(F47*$C$7+$D$7,0)</f>
        <v>19</v>
      </c>
      <c r="I47" s="306">
        <f>IF(G47=0,"",H47/G47-1)</f>
        <v>-0.26923076923076927</v>
      </c>
      <c r="J47" s="304">
        <v>79</v>
      </c>
      <c r="K47" s="304">
        <f>ROUND(F47*$E$7+$F$7,0)</f>
        <v>88</v>
      </c>
      <c r="L47" s="306">
        <f>IF(J47=0,"",K47/J47-1)</f>
        <v>0.11392405063291133</v>
      </c>
      <c r="M47" s="304">
        <v>88</v>
      </c>
      <c r="N47" s="304">
        <f>ROUND(F47*$G$7+$H$7,0)</f>
        <v>85</v>
      </c>
      <c r="O47" s="306">
        <f>IF(M47=0,"",N47/M47-1)</f>
        <v>-3.4090909090909061E-2</v>
      </c>
      <c r="P47" s="304">
        <v>161</v>
      </c>
      <c r="Q47" s="304">
        <f>ROUND(F47*$I$7+$J$7,0)</f>
        <v>44</v>
      </c>
      <c r="R47" s="306">
        <f>IF(P47=0,"",Q47/P47-1)</f>
        <v>-0.72670807453416142</v>
      </c>
    </row>
    <row r="48" spans="1:18" x14ac:dyDescent="0.25">
      <c r="A48" s="291">
        <v>3101</v>
      </c>
      <c r="B48" s="291" t="s">
        <v>119</v>
      </c>
      <c r="C48" s="291" t="s">
        <v>121</v>
      </c>
      <c r="D48" s="307">
        <v>360</v>
      </c>
      <c r="E48" s="307">
        <v>360</v>
      </c>
      <c r="F48" s="308">
        <f>(D48*E48)/10000</f>
        <v>12.96</v>
      </c>
      <c r="G48" s="307">
        <v>26</v>
      </c>
      <c r="H48" s="307">
        <f>ROUND(F48*$C$7+$D$7,0)</f>
        <v>28</v>
      </c>
      <c r="I48" s="309">
        <f>IF(G48=0,"",H48/G48-1)</f>
        <v>7.6923076923076872E-2</v>
      </c>
      <c r="J48" s="307">
        <v>79</v>
      </c>
      <c r="K48" s="307">
        <f>ROUND(F48*$E$7+$F$7,0)</f>
        <v>105</v>
      </c>
      <c r="L48" s="309">
        <f>IF(J48=0,"",K48/J48-1)</f>
        <v>0.32911392405063289</v>
      </c>
      <c r="M48" s="307">
        <v>88</v>
      </c>
      <c r="N48" s="307">
        <f>ROUND(F48*$G$7+$H$7,0)</f>
        <v>110</v>
      </c>
      <c r="O48" s="309">
        <f>IF(M48=0,"",N48/M48-1)</f>
        <v>0.25</v>
      </c>
      <c r="P48" s="307">
        <v>142</v>
      </c>
      <c r="Q48" s="307">
        <f>ROUND(F48*$I$7+$J$7,0)</f>
        <v>83</v>
      </c>
      <c r="R48" s="309">
        <f>IF(P48=0,"",Q48/P48-1)</f>
        <v>-0.41549295774647887</v>
      </c>
    </row>
    <row r="49" spans="1:18" x14ac:dyDescent="0.25">
      <c r="A49" s="303">
        <v>3102</v>
      </c>
      <c r="B49" s="303" t="s">
        <v>119</v>
      </c>
      <c r="C49" s="303" t="s">
        <v>122</v>
      </c>
      <c r="D49" s="304">
        <v>360</v>
      </c>
      <c r="E49" s="304">
        <v>720</v>
      </c>
      <c r="F49" s="305">
        <f>(D49*E49)/10000</f>
        <v>25.92</v>
      </c>
      <c r="G49" s="304">
        <v>39</v>
      </c>
      <c r="H49" s="304">
        <f>ROUND(F49*$C$7+$D$7,0)</f>
        <v>45</v>
      </c>
      <c r="I49" s="306">
        <f>IF(G49=0,"",H49/G49-1)</f>
        <v>0.15384615384615374</v>
      </c>
      <c r="J49" s="304">
        <v>125</v>
      </c>
      <c r="K49" s="304">
        <f>ROUND(F49*$E$7+$F$7,0)</f>
        <v>139</v>
      </c>
      <c r="L49" s="306">
        <f>IF(J49=0,"",K49/J49-1)</f>
        <v>0.1120000000000001</v>
      </c>
      <c r="M49" s="304">
        <v>142</v>
      </c>
      <c r="N49" s="304">
        <f>ROUND(F49*$G$7+$H$7,0)</f>
        <v>161</v>
      </c>
      <c r="O49" s="306">
        <f>IF(M49=0,"",N49/M49-1)</f>
        <v>0.13380281690140849</v>
      </c>
      <c r="P49" s="304">
        <v>170</v>
      </c>
      <c r="Q49" s="304">
        <f>ROUND(F49*$I$7+$J$7,0)</f>
        <v>160</v>
      </c>
      <c r="R49" s="306">
        <f>IF(P49=0,"",Q49/P49-1)</f>
        <v>-5.8823529411764719E-2</v>
      </c>
    </row>
    <row r="50" spans="1:18" x14ac:dyDescent="0.25">
      <c r="A50" s="291">
        <v>3103</v>
      </c>
      <c r="B50" s="291" t="s">
        <v>119</v>
      </c>
      <c r="C50" s="291" t="s">
        <v>123</v>
      </c>
      <c r="D50" s="307">
        <v>360</v>
      </c>
      <c r="E50" s="307">
        <v>1080</v>
      </c>
      <c r="F50" s="308">
        <f>(D50*E50)/10000</f>
        <v>38.880000000000003</v>
      </c>
      <c r="G50" s="307">
        <v>57</v>
      </c>
      <c r="H50" s="307">
        <f>ROUND(F50*$C$7+$D$7,0)</f>
        <v>62</v>
      </c>
      <c r="I50" s="309">
        <f>IF(G50=0,"",H50/G50-1)</f>
        <v>8.7719298245614086E-2</v>
      </c>
      <c r="J50" s="307">
        <v>184</v>
      </c>
      <c r="K50" s="307">
        <f>ROUND(F50*$E$7+$F$7,0)</f>
        <v>172</v>
      </c>
      <c r="L50" s="309">
        <f>IF(J50=0,"",K50/J50-1)</f>
        <v>-6.5217391304347783E-2</v>
      </c>
      <c r="M50" s="307">
        <v>220</v>
      </c>
      <c r="N50" s="307">
        <f>ROUND(F50*$G$7+$H$7,0)</f>
        <v>211</v>
      </c>
      <c r="O50" s="309">
        <f>IF(M50=0,"",N50/M50-1)</f>
        <v>-4.0909090909090895E-2</v>
      </c>
      <c r="P50" s="307">
        <v>192</v>
      </c>
      <c r="Q50" s="307">
        <f>ROUND(F50*$I$7+$J$7,0)</f>
        <v>238</v>
      </c>
      <c r="R50" s="309">
        <f>IF(P50=0,"",Q50/P50-1)</f>
        <v>0.23958333333333326</v>
      </c>
    </row>
    <row r="51" spans="1:18" x14ac:dyDescent="0.25">
      <c r="A51" s="303">
        <v>3104</v>
      </c>
      <c r="B51" s="303" t="s">
        <v>119</v>
      </c>
      <c r="C51" s="303" t="s">
        <v>124</v>
      </c>
      <c r="D51" s="304">
        <v>360</v>
      </c>
      <c r="E51" s="304">
        <v>1440</v>
      </c>
      <c r="F51" s="305">
        <f>(D51*E51)/10000</f>
        <v>51.84</v>
      </c>
      <c r="G51" s="304">
        <v>75</v>
      </c>
      <c r="H51" s="304">
        <f>ROUND(F51*$C$7+$D$7,0)</f>
        <v>79</v>
      </c>
      <c r="I51" s="306">
        <f>IF(G51=0,"",H51/G51-1)</f>
        <v>5.3333333333333233E-2</v>
      </c>
      <c r="J51" s="304">
        <v>232</v>
      </c>
      <c r="K51" s="304">
        <f>ROUND(F51*$E$7+$F$7,0)</f>
        <v>206</v>
      </c>
      <c r="L51" s="306">
        <f>IF(J51=0,"",K51/J51-1)</f>
        <v>-0.11206896551724133</v>
      </c>
      <c r="M51" s="304">
        <v>278</v>
      </c>
      <c r="N51" s="304">
        <f>ROUND(F51*$G$7+$H$7,0)</f>
        <v>262</v>
      </c>
      <c r="O51" s="306">
        <f>IF(M51=0,"",N51/M51-1)</f>
        <v>-5.7553956834532349E-2</v>
      </c>
      <c r="P51" s="304">
        <v>423</v>
      </c>
      <c r="Q51" s="304">
        <f>ROUND(F51*$I$7+$J$7,0)</f>
        <v>315</v>
      </c>
      <c r="R51" s="306">
        <f>IF(P51=0,"",Q51/P51-1)</f>
        <v>-0.25531914893617025</v>
      </c>
    </row>
    <row r="52" spans="1:18" x14ac:dyDescent="0.25">
      <c r="A52" s="291">
        <v>3105</v>
      </c>
      <c r="B52" s="291" t="s">
        <v>119</v>
      </c>
      <c r="C52" s="291" t="s">
        <v>125</v>
      </c>
      <c r="D52" s="307">
        <v>360</v>
      </c>
      <c r="E52" s="307">
        <v>1800</v>
      </c>
      <c r="F52" s="308">
        <f>(D52*E52)/10000</f>
        <v>64.8</v>
      </c>
      <c r="G52" s="307">
        <v>94</v>
      </c>
      <c r="H52" s="307">
        <f>ROUND(F52*$C$7+$D$7,0)</f>
        <v>96</v>
      </c>
      <c r="I52" s="309">
        <f>IF(G52=0,"",H52/G52-1)</f>
        <v>2.1276595744680771E-2</v>
      </c>
      <c r="J52" s="307">
        <v>170</v>
      </c>
      <c r="K52" s="307">
        <f>ROUND(F52*$E$7+$F$7,0)</f>
        <v>240</v>
      </c>
      <c r="L52" s="309">
        <f>IF(J52=0,"",K52/J52-1)</f>
        <v>0.41176470588235303</v>
      </c>
      <c r="M52" s="307">
        <v>340</v>
      </c>
      <c r="N52" s="307">
        <f>ROUND(F52*$G$7+$H$7,0)</f>
        <v>312</v>
      </c>
      <c r="O52" s="309">
        <f>IF(M52=0,"",N52/M52-1)</f>
        <v>-8.2352941176470629E-2</v>
      </c>
      <c r="P52" s="307">
        <v>516</v>
      </c>
      <c r="Q52" s="307">
        <f>ROUND(F52*$I$7+$J$7,0)</f>
        <v>393</v>
      </c>
      <c r="R52" s="309">
        <f>IF(P52=0,"",Q52/P52-1)</f>
        <v>-0.23837209302325579</v>
      </c>
    </row>
    <row r="53" spans="1:18" x14ac:dyDescent="0.25">
      <c r="A53" s="303">
        <v>3106</v>
      </c>
      <c r="B53" s="303" t="s">
        <v>119</v>
      </c>
      <c r="C53" s="303" t="s">
        <v>126</v>
      </c>
      <c r="D53" s="304">
        <v>580</v>
      </c>
      <c r="E53" s="304">
        <v>180</v>
      </c>
      <c r="F53" s="305">
        <f>(D53*E53)/10000</f>
        <v>10.44</v>
      </c>
      <c r="G53" s="304">
        <v>32</v>
      </c>
      <c r="H53" s="304">
        <f>ROUND(F53*$C$7+$D$7,0)</f>
        <v>25</v>
      </c>
      <c r="I53" s="306">
        <f>IF(G53=0,"",H53/G53-1)</f>
        <v>-0.21875</v>
      </c>
      <c r="J53" s="304">
        <v>111</v>
      </c>
      <c r="K53" s="304">
        <f>ROUND(F53*$E$7+$F$7,0)</f>
        <v>98</v>
      </c>
      <c r="L53" s="306">
        <f>IF(J53=0,"",K53/J53-1)</f>
        <v>-0.11711711711711714</v>
      </c>
      <c r="M53" s="304">
        <v>129</v>
      </c>
      <c r="N53" s="304">
        <f>ROUND(F53*$G$7+$H$7,0)</f>
        <v>100</v>
      </c>
      <c r="O53" s="306">
        <f>IF(M53=0,"",N53/M53-1)</f>
        <v>-0.22480620155038755</v>
      </c>
      <c r="P53" s="304">
        <v>166</v>
      </c>
      <c r="Q53" s="304">
        <f>ROUND(F53*$I$7+$J$7,0)</f>
        <v>68</v>
      </c>
      <c r="R53" s="306">
        <f>IF(P53=0,"",Q53/P53-1)</f>
        <v>-0.59036144578313254</v>
      </c>
    </row>
    <row r="54" spans="1:18" x14ac:dyDescent="0.25">
      <c r="A54" s="291">
        <v>3107</v>
      </c>
      <c r="B54" s="291" t="s">
        <v>119</v>
      </c>
      <c r="C54" s="291" t="s">
        <v>127</v>
      </c>
      <c r="D54" s="307">
        <v>580</v>
      </c>
      <c r="E54" s="307">
        <v>360</v>
      </c>
      <c r="F54" s="308">
        <f>(D54*E54)/10000</f>
        <v>20.88</v>
      </c>
      <c r="G54" s="307">
        <v>32</v>
      </c>
      <c r="H54" s="307">
        <f>ROUND(F54*$C$7+$D$7,0)</f>
        <v>38</v>
      </c>
      <c r="I54" s="309">
        <f>IF(G54=0,"",H54/G54-1)</f>
        <v>0.1875</v>
      </c>
      <c r="J54" s="307">
        <v>111</v>
      </c>
      <c r="K54" s="307">
        <f>ROUND(F54*$E$7+$F$7,0)</f>
        <v>126</v>
      </c>
      <c r="L54" s="309">
        <f>IF(J54=0,"",K54/J54-1)</f>
        <v>0.13513513513513509</v>
      </c>
      <c r="M54" s="307">
        <v>129</v>
      </c>
      <c r="N54" s="307">
        <f>ROUND(F54*$G$7+$H$7,0)</f>
        <v>141</v>
      </c>
      <c r="O54" s="309">
        <f>IF(M54=0,"",N54/M54-1)</f>
        <v>9.3023255813953432E-2</v>
      </c>
      <c r="P54" s="307">
        <v>148</v>
      </c>
      <c r="Q54" s="307">
        <f>ROUND(F54*$I$7+$J$7,0)</f>
        <v>130</v>
      </c>
      <c r="R54" s="309">
        <f>IF(P54=0,"",Q54/P54-1)</f>
        <v>-0.1216216216216216</v>
      </c>
    </row>
    <row r="55" spans="1:18" x14ac:dyDescent="0.25">
      <c r="A55" s="303">
        <v>3108</v>
      </c>
      <c r="B55" s="303" t="s">
        <v>119</v>
      </c>
      <c r="C55" s="303" t="s">
        <v>128</v>
      </c>
      <c r="D55" s="304">
        <v>580</v>
      </c>
      <c r="E55" s="304">
        <v>720</v>
      </c>
      <c r="F55" s="305">
        <f>(D55*E55)/10000</f>
        <v>41.76</v>
      </c>
      <c r="G55" s="304">
        <v>62</v>
      </c>
      <c r="H55" s="304">
        <f>ROUND(F55*$C$7+$D$7,0)</f>
        <v>66</v>
      </c>
      <c r="I55" s="306">
        <f>IF(G55=0,"",H55/G55-1)</f>
        <v>6.4516129032258007E-2</v>
      </c>
      <c r="J55" s="304">
        <v>181</v>
      </c>
      <c r="K55" s="304">
        <f>ROUND(F55*$E$7+$F$7,0)</f>
        <v>180</v>
      </c>
      <c r="L55" s="306">
        <f>IF(J55=0,"",K55/J55-1)</f>
        <v>-5.5248618784530246E-3</v>
      </c>
      <c r="M55" s="304">
        <v>214</v>
      </c>
      <c r="N55" s="304">
        <f>ROUND(F55*$G$7+$H$7,0)</f>
        <v>222</v>
      </c>
      <c r="O55" s="306">
        <f>IF(M55=0,"",N55/M55-1)</f>
        <v>3.7383177570093462E-2</v>
      </c>
      <c r="P55" s="304">
        <v>196</v>
      </c>
      <c r="Q55" s="304">
        <f>ROUND(F55*$I$7+$J$7,0)</f>
        <v>255</v>
      </c>
      <c r="R55" s="306">
        <f>IF(P55=0,"",Q55/P55-1)</f>
        <v>0.30102040816326525</v>
      </c>
    </row>
    <row r="56" spans="1:18" x14ac:dyDescent="0.25">
      <c r="A56" s="291">
        <v>3109</v>
      </c>
      <c r="B56" s="291" t="s">
        <v>119</v>
      </c>
      <c r="C56" s="291" t="s">
        <v>129</v>
      </c>
      <c r="D56" s="307">
        <v>580</v>
      </c>
      <c r="E56" s="307">
        <v>1080</v>
      </c>
      <c r="F56" s="308">
        <f>(D56*E56)/10000</f>
        <v>62.64</v>
      </c>
      <c r="G56" s="307">
        <v>89</v>
      </c>
      <c r="H56" s="307">
        <f>ROUND(F56*$C$7+$D$7,0)</f>
        <v>93</v>
      </c>
      <c r="I56" s="309">
        <f>IF(G56=0,"",H56/G56-1)</f>
        <v>4.4943820224719211E-2</v>
      </c>
      <c r="J56" s="307">
        <v>260</v>
      </c>
      <c r="K56" s="307">
        <f>ROUND(F56*$E$7+$F$7,0)</f>
        <v>234</v>
      </c>
      <c r="L56" s="309">
        <f>IF(J56=0,"",K56/J56-1)</f>
        <v>-9.9999999999999978E-2</v>
      </c>
      <c r="M56" s="307">
        <v>297</v>
      </c>
      <c r="N56" s="307">
        <f>ROUND(F56*$G$7+$H$7,0)</f>
        <v>304</v>
      </c>
      <c r="O56" s="309">
        <f>IF(M56=0,"",N56/M56-1)</f>
        <v>2.3569023569023573E-2</v>
      </c>
      <c r="P56" s="307">
        <v>246</v>
      </c>
      <c r="Q56" s="307">
        <f>ROUND(F56*$I$7+$J$7,0)</f>
        <v>380</v>
      </c>
      <c r="R56" s="309">
        <f>IF(P56=0,"",Q56/P56-1)</f>
        <v>0.54471544715447151</v>
      </c>
    </row>
    <row r="57" spans="1:18" x14ac:dyDescent="0.25">
      <c r="A57" s="303">
        <v>3110</v>
      </c>
      <c r="B57" s="303" t="s">
        <v>119</v>
      </c>
      <c r="C57" s="303" t="s">
        <v>130</v>
      </c>
      <c r="D57" s="304">
        <v>580</v>
      </c>
      <c r="E57" s="304">
        <v>1440</v>
      </c>
      <c r="F57" s="305">
        <f>(D57*E57)/10000</f>
        <v>83.52</v>
      </c>
      <c r="G57" s="304">
        <v>119</v>
      </c>
      <c r="H57" s="304">
        <f>ROUND(F57*$C$7+$D$7,0)</f>
        <v>120</v>
      </c>
      <c r="I57" s="306">
        <f>IF(G57=0,"",H57/G57-1)</f>
        <v>8.4033613445377853E-3</v>
      </c>
      <c r="J57" s="304">
        <v>334</v>
      </c>
      <c r="K57" s="304">
        <f>ROUND(F57*$E$7+$F$7,0)</f>
        <v>288</v>
      </c>
      <c r="L57" s="306">
        <f>IF(J57=0,"",K57/J57-1)</f>
        <v>-0.13772455089820357</v>
      </c>
      <c r="M57" s="304">
        <v>396</v>
      </c>
      <c r="N57" s="304">
        <f>ROUND(F57*$G$7+$H$7,0)</f>
        <v>385</v>
      </c>
      <c r="O57" s="306">
        <f>IF(M57=0,"",N57/M57-1)</f>
        <v>-2.777777777777779E-2</v>
      </c>
      <c r="P57" s="304">
        <v>602</v>
      </c>
      <c r="Q57" s="304">
        <f>ROUND(F57*$I$7+$J$7,0)</f>
        <v>504</v>
      </c>
      <c r="R57" s="306">
        <f>IF(P57=0,"",Q57/P57-1)</f>
        <v>-0.16279069767441856</v>
      </c>
    </row>
    <row r="58" spans="1:18" x14ac:dyDescent="0.25">
      <c r="A58" s="291">
        <v>3111</v>
      </c>
      <c r="B58" s="291" t="s">
        <v>119</v>
      </c>
      <c r="C58" s="291" t="s">
        <v>131</v>
      </c>
      <c r="D58" s="307">
        <v>580</v>
      </c>
      <c r="E58" s="307">
        <v>1800</v>
      </c>
      <c r="F58" s="308">
        <f>(D58*E58)/10000</f>
        <v>104.4</v>
      </c>
      <c r="G58" s="307">
        <v>148</v>
      </c>
      <c r="H58" s="307">
        <f>ROUND(F58*$C$7+$D$7,0)</f>
        <v>148</v>
      </c>
      <c r="I58" s="309">
        <f>IF(G58=0,"",H58/G58-1)</f>
        <v>0</v>
      </c>
      <c r="J58" s="307">
        <v>268</v>
      </c>
      <c r="K58" s="307">
        <f>ROUND(F58*$E$7+$F$7,0)</f>
        <v>343</v>
      </c>
      <c r="L58" s="309">
        <f>IF(J58=0,"",K58/J58-1)</f>
        <v>0.2798507462686568</v>
      </c>
      <c r="M58" s="307">
        <v>462</v>
      </c>
      <c r="N58" s="307">
        <f>ROUND(F58*$G$7+$H$7,0)</f>
        <v>467</v>
      </c>
      <c r="O58" s="309">
        <f>IF(M58=0,"",N58/M58-1)</f>
        <v>1.0822510822510845E-2</v>
      </c>
      <c r="P58" s="307">
        <v>703</v>
      </c>
      <c r="Q58" s="307">
        <f>ROUND(F58*$I$7+$J$7,0)</f>
        <v>629</v>
      </c>
      <c r="R58" s="309">
        <f>IF(P58=0,"",Q58/P58-1)</f>
        <v>-0.10526315789473684</v>
      </c>
    </row>
    <row r="59" spans="1:18" x14ac:dyDescent="0.25">
      <c r="A59" s="303">
        <v>3112</v>
      </c>
      <c r="B59" s="303" t="s">
        <v>119</v>
      </c>
      <c r="C59" s="303" t="s">
        <v>132</v>
      </c>
      <c r="D59" s="304">
        <v>180</v>
      </c>
      <c r="E59" s="304">
        <v>780</v>
      </c>
      <c r="F59" s="305">
        <f>(D59*E59)/10000</f>
        <v>14.04</v>
      </c>
      <c r="G59" s="304">
        <v>42</v>
      </c>
      <c r="H59" s="304">
        <f>ROUND(F59*$C$7+$D$7,0)</f>
        <v>29</v>
      </c>
      <c r="I59" s="306">
        <f>IF(G59=0,"",H59/G59-1)</f>
        <v>-0.30952380952380953</v>
      </c>
      <c r="J59" s="304">
        <v>128</v>
      </c>
      <c r="K59" s="304">
        <f>ROUND(F59*$E$7+$F$7,0)</f>
        <v>108</v>
      </c>
      <c r="L59" s="306">
        <f>IF(J59=0,"",K59/J59-1)</f>
        <v>-0.15625</v>
      </c>
      <c r="M59" s="304">
        <v>143</v>
      </c>
      <c r="N59" s="304">
        <f>ROUND(F59*$G$7+$H$7,0)</f>
        <v>114</v>
      </c>
      <c r="O59" s="306">
        <f>IF(M59=0,"",N59/M59-1)</f>
        <v>-0.20279720279720281</v>
      </c>
      <c r="P59" s="304">
        <v>170</v>
      </c>
      <c r="Q59" s="304">
        <f>ROUND(F59*$I$7+$J$7,0)</f>
        <v>89</v>
      </c>
      <c r="R59" s="306">
        <f>IF(P59=0,"",Q59/P59-1)</f>
        <v>-0.47647058823529409</v>
      </c>
    </row>
    <row r="60" spans="1:18" x14ac:dyDescent="0.25">
      <c r="A60" s="291">
        <v>3113</v>
      </c>
      <c r="B60" s="291" t="s">
        <v>119</v>
      </c>
      <c r="C60" s="291" t="s">
        <v>133</v>
      </c>
      <c r="D60" s="307">
        <v>180</v>
      </c>
      <c r="E60" s="307">
        <v>980</v>
      </c>
      <c r="F60" s="308">
        <f>(D60*E60)/10000</f>
        <v>17.64</v>
      </c>
      <c r="G60" s="307">
        <v>53</v>
      </c>
      <c r="H60" s="307">
        <f>ROUND(F60*$C$7+$D$7,0)</f>
        <v>34</v>
      </c>
      <c r="I60" s="309">
        <f>IF(G60=0,"",H60/G60-1)</f>
        <v>-0.35849056603773588</v>
      </c>
      <c r="J60" s="307">
        <v>154</v>
      </c>
      <c r="K60" s="307">
        <f>ROUND(F60*$E$7+$F$7,0)</f>
        <v>117</v>
      </c>
      <c r="L60" s="309">
        <f>IF(J60=0,"",K60/J60-1)</f>
        <v>-0.24025974025974028</v>
      </c>
      <c r="M60" s="307">
        <v>172</v>
      </c>
      <c r="N60" s="307">
        <f>ROUND(F60*$G$7+$H$7,0)</f>
        <v>128</v>
      </c>
      <c r="O60" s="309">
        <f>IF(M60=0,"",N60/M60-1)</f>
        <v>-0.2558139534883721</v>
      </c>
      <c r="P60" s="307">
        <v>183</v>
      </c>
      <c r="Q60" s="307">
        <f>ROUND(F60*$I$7+$J$7,0)</f>
        <v>111</v>
      </c>
      <c r="R60" s="309">
        <f>IF(P60=0,"",Q60/P60-1)</f>
        <v>-0.39344262295081966</v>
      </c>
    </row>
    <row r="61" spans="1:18" x14ac:dyDescent="0.25">
      <c r="A61" s="303">
        <v>3114</v>
      </c>
      <c r="B61" s="303" t="s">
        <v>119</v>
      </c>
      <c r="C61" s="303" t="s">
        <v>134</v>
      </c>
      <c r="D61" s="304">
        <v>360</v>
      </c>
      <c r="E61" s="304">
        <v>780</v>
      </c>
      <c r="F61" s="305">
        <f>(D61*E61)/10000</f>
        <v>28.08</v>
      </c>
      <c r="G61" s="304">
        <v>42</v>
      </c>
      <c r="H61" s="304">
        <f>ROUND(F61*$C$7+$D$7,0)</f>
        <v>48</v>
      </c>
      <c r="I61" s="306">
        <f>IF(G61=0,"",H61/G61-1)</f>
        <v>0.14285714285714279</v>
      </c>
      <c r="J61" s="304">
        <v>128</v>
      </c>
      <c r="K61" s="304">
        <f>ROUND(F61*$E$7+$F$7,0)</f>
        <v>144</v>
      </c>
      <c r="L61" s="306">
        <f>IF(J61=0,"",K61/J61-1)</f>
        <v>0.125</v>
      </c>
      <c r="M61" s="304">
        <v>143</v>
      </c>
      <c r="N61" s="304">
        <f>ROUND(F61*$G$7+$H$7,0)</f>
        <v>169</v>
      </c>
      <c r="O61" s="306">
        <f>IF(M61=0,"",N61/M61-1)</f>
        <v>0.18181818181818188</v>
      </c>
      <c r="P61" s="304">
        <v>152</v>
      </c>
      <c r="Q61" s="304">
        <f>ROUND(F61*$I$7+$J$7,0)</f>
        <v>173</v>
      </c>
      <c r="R61" s="306">
        <f>IF(P61=0,"",Q61/P61-1)</f>
        <v>0.13815789473684204</v>
      </c>
    </row>
    <row r="62" spans="1:18" x14ac:dyDescent="0.25">
      <c r="A62" s="291">
        <v>3115</v>
      </c>
      <c r="B62" s="291" t="s">
        <v>119</v>
      </c>
      <c r="C62" s="291" t="s">
        <v>135</v>
      </c>
      <c r="D62" s="307">
        <v>360</v>
      </c>
      <c r="E62" s="307">
        <v>980</v>
      </c>
      <c r="F62" s="308">
        <f>(D62*E62)/10000</f>
        <v>35.28</v>
      </c>
      <c r="G62" s="307">
        <v>53</v>
      </c>
      <c r="H62" s="307">
        <f>ROUND(F62*$C$7+$D$7,0)</f>
        <v>57</v>
      </c>
      <c r="I62" s="309">
        <f>IF(G62=0,"",H62/G62-1)</f>
        <v>7.547169811320753E-2</v>
      </c>
      <c r="J62" s="307">
        <v>154</v>
      </c>
      <c r="K62" s="307">
        <f>ROUND(F62*$E$7+$F$7,0)</f>
        <v>163</v>
      </c>
      <c r="L62" s="309">
        <f>IF(J62=0,"",K62/J62-1)</f>
        <v>5.8441558441558517E-2</v>
      </c>
      <c r="M62" s="307">
        <v>172</v>
      </c>
      <c r="N62" s="307">
        <f>ROUND(F62*$G$7+$H$7,0)</f>
        <v>197</v>
      </c>
      <c r="O62" s="309">
        <f>IF(M62=0,"",N62/M62-1)</f>
        <v>0.14534883720930236</v>
      </c>
      <c r="P62" s="307">
        <v>167</v>
      </c>
      <c r="Q62" s="307">
        <f>ROUND(F62*$I$7+$J$7,0)</f>
        <v>216</v>
      </c>
      <c r="R62" s="309">
        <f>IF(P62=0,"",Q62/P62-1)</f>
        <v>0.29341317365269459</v>
      </c>
    </row>
    <row r="63" spans="1:18" x14ac:dyDescent="0.25">
      <c r="A63" s="303">
        <v>3116</v>
      </c>
      <c r="B63" s="303" t="s">
        <v>119</v>
      </c>
      <c r="C63" s="303" t="s">
        <v>136</v>
      </c>
      <c r="D63" s="304">
        <v>720</v>
      </c>
      <c r="E63" s="304">
        <v>780</v>
      </c>
      <c r="F63" s="305">
        <f>(D63*E63)/10000</f>
        <v>56.16</v>
      </c>
      <c r="G63" s="304">
        <v>80</v>
      </c>
      <c r="H63" s="304">
        <f>ROUND(F63*$C$7+$D$7,0)</f>
        <v>85</v>
      </c>
      <c r="I63" s="306">
        <f>IF(G63=0,"",H63/G63-1)</f>
        <v>6.25E-2</v>
      </c>
      <c r="J63" s="304">
        <v>245</v>
      </c>
      <c r="K63" s="304">
        <f>ROUND(F63*$E$7+$F$7,0)</f>
        <v>217</v>
      </c>
      <c r="L63" s="306">
        <f>IF(J63=0,"",K63/J63-1)</f>
        <v>-0.11428571428571432</v>
      </c>
      <c r="M63" s="304">
        <v>274</v>
      </c>
      <c r="N63" s="304">
        <f>ROUND(F63*$G$7+$H$7,0)</f>
        <v>279</v>
      </c>
      <c r="O63" s="306">
        <f>IF(M63=0,"",N63/M63-1)</f>
        <v>1.8248175182481674E-2</v>
      </c>
      <c r="P63" s="304">
        <v>214</v>
      </c>
      <c r="Q63" s="304">
        <f>ROUND(F63*$I$7+$J$7,0)</f>
        <v>341</v>
      </c>
      <c r="R63" s="306">
        <f>IF(P63=0,"",Q63/P63-1)</f>
        <v>0.59345794392523366</v>
      </c>
    </row>
    <row r="64" spans="1:18" x14ac:dyDescent="0.25">
      <c r="A64" s="291">
        <v>3117</v>
      </c>
      <c r="B64" s="291" t="s">
        <v>119</v>
      </c>
      <c r="C64" s="291" t="s">
        <v>137</v>
      </c>
      <c r="D64" s="307">
        <v>720</v>
      </c>
      <c r="E64" s="307">
        <v>980</v>
      </c>
      <c r="F64" s="308">
        <f>(D64*E64)/10000</f>
        <v>70.56</v>
      </c>
      <c r="G64" s="307">
        <v>101</v>
      </c>
      <c r="H64" s="307">
        <f>ROUND(F64*$C$7+$D$7,0)</f>
        <v>103</v>
      </c>
      <c r="I64" s="309">
        <f>IF(G64=0,"",H64/G64-1)</f>
        <v>1.980198019801982E-2</v>
      </c>
      <c r="J64" s="307">
        <v>280</v>
      </c>
      <c r="K64" s="307">
        <f>ROUND(F64*$E$7+$F$7,0)</f>
        <v>255</v>
      </c>
      <c r="L64" s="309">
        <f>IF(J64=0,"",K64/J64-1)</f>
        <v>-8.9285714285714302E-2</v>
      </c>
      <c r="M64" s="307">
        <v>317</v>
      </c>
      <c r="N64" s="307">
        <f>ROUND(F64*$G$7+$H$7,0)</f>
        <v>335</v>
      </c>
      <c r="O64" s="309">
        <f>IF(M64=0,"",N64/M64-1)</f>
        <v>5.6782334384858135E-2</v>
      </c>
      <c r="P64" s="307">
        <v>263</v>
      </c>
      <c r="Q64" s="307">
        <f>ROUND(F64*$I$7+$J$7,0)</f>
        <v>427</v>
      </c>
      <c r="R64" s="309">
        <f>IF(P64=0,"",Q64/P64-1)</f>
        <v>0.62357414448669202</v>
      </c>
    </row>
    <row r="65" spans="1:18" x14ac:dyDescent="0.25">
      <c r="A65" s="303">
        <v>3118</v>
      </c>
      <c r="B65" s="303" t="s">
        <v>119</v>
      </c>
      <c r="C65" s="303" t="s">
        <v>138</v>
      </c>
      <c r="D65" s="304">
        <v>1080</v>
      </c>
      <c r="E65" s="304">
        <v>780</v>
      </c>
      <c r="F65" s="305">
        <f>(D65*E65)/10000</f>
        <v>84.24</v>
      </c>
      <c r="G65" s="304">
        <v>121</v>
      </c>
      <c r="H65" s="304">
        <f>ROUND(F65*$C$7+$D$7,0)</f>
        <v>121</v>
      </c>
      <c r="I65" s="306">
        <f>IF(G65=0,"",H65/G65-1)</f>
        <v>0</v>
      </c>
      <c r="J65" s="304">
        <v>357</v>
      </c>
      <c r="K65" s="304">
        <f>ROUND(F65*$E$7+$F$7,0)</f>
        <v>290</v>
      </c>
      <c r="L65" s="306">
        <f>IF(J65=0,"",K65/J65-1)</f>
        <v>-0.1876750700280112</v>
      </c>
      <c r="M65" s="304">
        <v>405</v>
      </c>
      <c r="N65" s="304">
        <f>ROUND(F65*$G$7+$H$7,0)</f>
        <v>388</v>
      </c>
      <c r="O65" s="306">
        <f>IF(M65=0,"",N65/M65-1)</f>
        <v>-4.1975308641975295E-2</v>
      </c>
      <c r="P65" s="304">
        <v>308</v>
      </c>
      <c r="Q65" s="304">
        <f>ROUND(F65*$I$7+$J$7,0)</f>
        <v>509</v>
      </c>
      <c r="R65" s="306">
        <f>IF(P65=0,"",Q65/P65-1)</f>
        <v>0.65259740259740262</v>
      </c>
    </row>
    <row r="66" spans="1:18" x14ac:dyDescent="0.25">
      <c r="A66" s="291">
        <v>3119</v>
      </c>
      <c r="B66" s="291" t="s">
        <v>119</v>
      </c>
      <c r="C66" s="291" t="s">
        <v>139</v>
      </c>
      <c r="D66" s="307">
        <v>1080</v>
      </c>
      <c r="E66" s="307">
        <v>980</v>
      </c>
      <c r="F66" s="308">
        <f>(D66*E66)/10000</f>
        <v>105.84</v>
      </c>
      <c r="G66" s="307">
        <v>150</v>
      </c>
      <c r="H66" s="307">
        <f>ROUND(F66*$C$7+$D$7,0)</f>
        <v>150</v>
      </c>
      <c r="I66" s="309">
        <f>IF(G66=0,"",H66/G66-1)</f>
        <v>0</v>
      </c>
      <c r="J66" s="307">
        <v>432</v>
      </c>
      <c r="K66" s="307">
        <f>ROUND(F66*$E$7+$F$7,0)</f>
        <v>347</v>
      </c>
      <c r="L66" s="309">
        <f>IF(J66=0,"",K66/J66-1)</f>
        <v>-0.1967592592592593</v>
      </c>
      <c r="M66" s="307">
        <v>469</v>
      </c>
      <c r="N66" s="307">
        <f>ROUND(F66*$G$7+$H$7,0)</f>
        <v>473</v>
      </c>
      <c r="O66" s="309">
        <f>IF(M66=0,"",N66/M66-1)</f>
        <v>8.5287846481876262E-3</v>
      </c>
      <c r="P66" s="307">
        <v>345</v>
      </c>
      <c r="Q66" s="307">
        <f>ROUND(F66*$I$7+$J$7,0)</f>
        <v>638</v>
      </c>
      <c r="R66" s="309">
        <f>IF(P66=0,"",Q66/P66-1)</f>
        <v>0.84927536231884049</v>
      </c>
    </row>
    <row r="67" spans="1:18" x14ac:dyDescent="0.25">
      <c r="A67" s="303">
        <v>3120</v>
      </c>
      <c r="B67" s="303" t="s">
        <v>119</v>
      </c>
      <c r="C67" s="303" t="s">
        <v>140</v>
      </c>
      <c r="D67" s="304">
        <v>1440</v>
      </c>
      <c r="E67" s="304">
        <v>780</v>
      </c>
      <c r="F67" s="305">
        <f>(D67*E67)/10000</f>
        <v>112.32</v>
      </c>
      <c r="G67" s="304">
        <v>158</v>
      </c>
      <c r="H67" s="304">
        <f>ROUND(F67*$C$7+$D$7,0)</f>
        <v>158</v>
      </c>
      <c r="I67" s="306">
        <f>IF(G67=0,"",H67/G67-1)</f>
        <v>0</v>
      </c>
      <c r="J67" s="304">
        <v>435</v>
      </c>
      <c r="K67" s="304">
        <f>ROUND(F67*$E$7+$F$7,0)</f>
        <v>363</v>
      </c>
      <c r="L67" s="306">
        <f>IF(J67=0,"",K67/J67-1)</f>
        <v>-0.16551724137931034</v>
      </c>
      <c r="M67" s="304">
        <v>494</v>
      </c>
      <c r="N67" s="304">
        <f>ROUND(F67*$G$7+$H$7,0)</f>
        <v>498</v>
      </c>
      <c r="O67" s="306">
        <f>IF(M67=0,"",N67/M67-1)</f>
        <v>8.0971659919029104E-3</v>
      </c>
      <c r="P67" s="304">
        <v>751</v>
      </c>
      <c r="Q67" s="304">
        <f>ROUND(F67*$I$7+$J$7,0)</f>
        <v>677</v>
      </c>
      <c r="R67" s="306">
        <f>IF(P67=0,"",Q67/P67-1)</f>
        <v>-9.8535286284953449E-2</v>
      </c>
    </row>
    <row r="68" spans="1:18" x14ac:dyDescent="0.25">
      <c r="A68" s="291">
        <v>3121</v>
      </c>
      <c r="B68" s="291" t="s">
        <v>119</v>
      </c>
      <c r="C68" s="291" t="s">
        <v>141</v>
      </c>
      <c r="D68" s="307">
        <v>1440</v>
      </c>
      <c r="E68" s="307">
        <v>980</v>
      </c>
      <c r="F68" s="308">
        <f>(D68*E68)/10000</f>
        <v>141.12</v>
      </c>
      <c r="G68" s="307">
        <v>198</v>
      </c>
      <c r="H68" s="307">
        <f>ROUND(F68*$C$7+$D$7,0)</f>
        <v>196</v>
      </c>
      <c r="I68" s="309">
        <f>IF(G68=0,"",H68/G68-1)</f>
        <v>-1.0101010101010055E-2</v>
      </c>
      <c r="J68" s="307">
        <v>537</v>
      </c>
      <c r="K68" s="307">
        <f>ROUND(F68*$E$7+$F$7,0)</f>
        <v>438</v>
      </c>
      <c r="L68" s="309">
        <f>IF(J68=0,"",K68/J68-1)</f>
        <v>-0.18435754189944131</v>
      </c>
      <c r="M68" s="307">
        <v>610</v>
      </c>
      <c r="N68" s="307">
        <f>ROUND(F68*$G$7+$H$7,0)</f>
        <v>610</v>
      </c>
      <c r="O68" s="309">
        <f>IF(M68=0,"",N68/M68-1)</f>
        <v>0</v>
      </c>
      <c r="P68" s="307">
        <v>927</v>
      </c>
      <c r="Q68" s="307">
        <f>ROUND(F68*$I$7+$J$7,0)</f>
        <v>849</v>
      </c>
      <c r="R68" s="309">
        <f>IF(P68=0,"",Q68/P68-1)</f>
        <v>-8.4142394822006472E-2</v>
      </c>
    </row>
    <row r="69" spans="1:18" x14ac:dyDescent="0.25">
      <c r="A69" s="303">
        <v>3122</v>
      </c>
      <c r="B69" s="303" t="s">
        <v>119</v>
      </c>
      <c r="C69" s="303" t="s">
        <v>142</v>
      </c>
      <c r="D69" s="304">
        <v>1800</v>
      </c>
      <c r="E69" s="304">
        <v>780</v>
      </c>
      <c r="F69" s="305">
        <f>(D69*E69)/10000</f>
        <v>140.4</v>
      </c>
      <c r="G69" s="304">
        <v>198</v>
      </c>
      <c r="H69" s="304">
        <f>ROUND(F69*$C$7+$D$7,0)</f>
        <v>195</v>
      </c>
      <c r="I69" s="306">
        <f>IF(G69=0,"",H69/G69-1)</f>
        <v>-1.5151515151515138E-2</v>
      </c>
      <c r="J69" s="304">
        <v>359</v>
      </c>
      <c r="K69" s="304">
        <f>ROUND(F69*$E$7+$F$7,0)</f>
        <v>436</v>
      </c>
      <c r="L69" s="306">
        <f>IF(J69=0,"",K69/J69-1)</f>
        <v>0.21448467966573825</v>
      </c>
      <c r="M69" s="304">
        <v>606</v>
      </c>
      <c r="N69" s="304">
        <f>ROUND(F69*$G$7+$H$7,0)</f>
        <v>607</v>
      </c>
      <c r="O69" s="306">
        <f>IF(M69=0,"",N69/M69-1)</f>
        <v>1.6501650165017256E-3</v>
      </c>
      <c r="P69" s="304">
        <v>921</v>
      </c>
      <c r="Q69" s="304">
        <f>ROUND(F69*$I$7+$J$7,0)</f>
        <v>844</v>
      </c>
      <c r="R69" s="306">
        <f>IF(P69=0,"",Q69/P69-1)</f>
        <v>-8.3604777415852372E-2</v>
      </c>
    </row>
    <row r="70" spans="1:18" x14ac:dyDescent="0.25">
      <c r="A70" s="291">
        <v>3123</v>
      </c>
      <c r="B70" s="291" t="s">
        <v>119</v>
      </c>
      <c r="C70" s="291" t="s">
        <v>143</v>
      </c>
      <c r="D70" s="307">
        <v>1800</v>
      </c>
      <c r="E70" s="307">
        <v>980</v>
      </c>
      <c r="F70" s="308">
        <f>(D70*E70)/10000</f>
        <v>176.4</v>
      </c>
      <c r="G70" s="307">
        <v>247</v>
      </c>
      <c r="H70" s="307">
        <f>ROUND(F70*$C$7+$D$7,0)</f>
        <v>242</v>
      </c>
      <c r="I70" s="309">
        <f>IF(G70=0,"",H70/G70-1)</f>
        <v>-2.0242914979757054E-2</v>
      </c>
      <c r="J70" s="307">
        <v>447</v>
      </c>
      <c r="K70" s="307">
        <f>ROUND(F70*$E$7+$F$7,0)</f>
        <v>530</v>
      </c>
      <c r="L70" s="309">
        <f>IF(J70=0,"",K70/J70-1)</f>
        <v>0.18568232662192385</v>
      </c>
      <c r="M70" s="307">
        <v>745</v>
      </c>
      <c r="N70" s="307">
        <f>ROUND(F70*$G$7+$H$7,0)</f>
        <v>748</v>
      </c>
      <c r="O70" s="309">
        <f>IF(M70=0,"",N70/M70-1)</f>
        <v>4.0268456375838202E-3</v>
      </c>
      <c r="P70" s="307">
        <v>1134</v>
      </c>
      <c r="Q70" s="307">
        <f>ROUND(F70*$I$7+$J$7,0)</f>
        <v>1060</v>
      </c>
      <c r="R70" s="309">
        <f>IF(P70=0,"",Q70/P70-1)</f>
        <v>-6.5255731922398641E-2</v>
      </c>
    </row>
    <row r="71" spans="1:18" x14ac:dyDescent="0.25">
      <c r="A71" s="303">
        <v>3124</v>
      </c>
      <c r="B71" s="303" t="s">
        <v>119</v>
      </c>
      <c r="C71" s="303" t="s">
        <v>144</v>
      </c>
      <c r="D71" s="304">
        <v>580</v>
      </c>
      <c r="E71" s="304">
        <v>580</v>
      </c>
      <c r="F71" s="305">
        <f>(D71*E71)/10000</f>
        <v>33.64</v>
      </c>
      <c r="G71" s="304">
        <v>50</v>
      </c>
      <c r="H71" s="304">
        <f>ROUND(F71*$C$7+$D$7,0)</f>
        <v>55</v>
      </c>
      <c r="I71" s="306">
        <f>IF(G71=0,"",H71/G71-1)</f>
        <v>0.10000000000000009</v>
      </c>
      <c r="J71" s="304">
        <v>157</v>
      </c>
      <c r="K71" s="304">
        <f>ROUND(F71*$E$7+$F$7,0)</f>
        <v>159</v>
      </c>
      <c r="L71" s="306">
        <f>IF(J71=0,"",K71/J71-1)</f>
        <v>1.2738853503184711E-2</v>
      </c>
      <c r="M71" s="304">
        <v>181</v>
      </c>
      <c r="N71" s="304">
        <f>ROUND(F71*$G$7+$H$7,0)</f>
        <v>191</v>
      </c>
      <c r="O71" s="306">
        <f>IF(M71=0,"",N71/M71-1)</f>
        <v>5.5248618784530468E-2</v>
      </c>
      <c r="P71" s="304">
        <v>153</v>
      </c>
      <c r="Q71" s="304">
        <f>ROUND(F71*$I$7+$J$7,0)</f>
        <v>206</v>
      </c>
      <c r="R71" s="306">
        <f>IF(P71=0,"",Q71/P71-1)</f>
        <v>0.34640522875817004</v>
      </c>
    </row>
    <row r="72" spans="1:18" x14ac:dyDescent="0.25">
      <c r="A72" s="291" t="s">
        <v>145</v>
      </c>
      <c r="B72" s="291" t="s">
        <v>119</v>
      </c>
      <c r="C72" s="291" t="s">
        <v>146</v>
      </c>
      <c r="D72" s="307">
        <v>660</v>
      </c>
      <c r="E72" s="307">
        <v>360</v>
      </c>
      <c r="F72" s="308">
        <f>(D72*E72)/10000</f>
        <v>23.76</v>
      </c>
      <c r="G72" s="307">
        <v>122</v>
      </c>
      <c r="H72" s="307">
        <f>ROUND(F72*$C$7+$D$7,0)</f>
        <v>42</v>
      </c>
      <c r="I72" s="309">
        <f>IF(G72=0,"",H72/G72-1)</f>
        <v>-0.65573770491803285</v>
      </c>
      <c r="J72" s="307">
        <v>220</v>
      </c>
      <c r="K72" s="307">
        <f>ROUND(F72*$E$7+$F$7,0)</f>
        <v>133</v>
      </c>
      <c r="L72" s="309">
        <f>IF(J72=0,"",K72/J72-1)</f>
        <v>-0.3954545454545455</v>
      </c>
      <c r="M72" s="307">
        <v>163</v>
      </c>
      <c r="N72" s="307">
        <f>ROUND(F72*$G$7+$H$7,0)</f>
        <v>152</v>
      </c>
      <c r="O72" s="309">
        <f>IF(M72=0,"",N72/M72-1)</f>
        <v>-6.7484662576687171E-2</v>
      </c>
      <c r="P72" s="307">
        <v>248</v>
      </c>
      <c r="Q72" s="307">
        <f>ROUND(F72*$I$7+$J$7,0)</f>
        <v>147</v>
      </c>
      <c r="R72" s="309">
        <f>IF(P72=0,"",Q72/P72-1)</f>
        <v>-0.407258064516129</v>
      </c>
    </row>
    <row r="73" spans="1:18" x14ac:dyDescent="0.25">
      <c r="A73" s="310" t="s">
        <v>147</v>
      </c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</row>
    <row r="74" spans="1:18" x14ac:dyDescent="0.25">
      <c r="A74" s="303">
        <v>3200</v>
      </c>
      <c r="B74" s="303" t="s">
        <v>147</v>
      </c>
      <c r="C74" s="303" t="s">
        <v>148</v>
      </c>
      <c r="D74" s="304">
        <v>360</v>
      </c>
      <c r="E74" s="304">
        <v>360</v>
      </c>
      <c r="F74" s="305">
        <f>(D74*E74)/10000</f>
        <v>12.96</v>
      </c>
      <c r="G74" s="304">
        <v>26</v>
      </c>
      <c r="H74" s="304">
        <f>ROUND(F74*$C$7+$D$7,0)</f>
        <v>28</v>
      </c>
      <c r="I74" s="306">
        <f>IF(G74=0,"",H74/G74-1)</f>
        <v>7.6923076923076872E-2</v>
      </c>
      <c r="J74" s="304">
        <v>79</v>
      </c>
      <c r="K74" s="304">
        <f>ROUND(F74*$E$7+$F$7,0)</f>
        <v>105</v>
      </c>
      <c r="L74" s="306">
        <f>IF(J74=0,"",K74/J74-1)</f>
        <v>0.32911392405063289</v>
      </c>
      <c r="M74" s="304">
        <v>88</v>
      </c>
      <c r="N74" s="304">
        <f>ROUND(F74*$G$7+$H$7,0)</f>
        <v>110</v>
      </c>
      <c r="O74" s="306">
        <f>IF(M74=0,"",N74/M74-1)</f>
        <v>0.25</v>
      </c>
      <c r="P74" s="304">
        <v>142</v>
      </c>
      <c r="Q74" s="304">
        <f>ROUND(F74*$I$7+$J$7,0)</f>
        <v>83</v>
      </c>
      <c r="R74" s="306">
        <f>IF(P74=0,"",Q74/P74-1)</f>
        <v>-0.41549295774647887</v>
      </c>
    </row>
    <row r="75" spans="1:18" x14ac:dyDescent="0.25">
      <c r="A75" s="291">
        <v>3201</v>
      </c>
      <c r="B75" s="291" t="s">
        <v>147</v>
      </c>
      <c r="C75" s="291" t="s">
        <v>149</v>
      </c>
      <c r="D75" s="307">
        <v>360</v>
      </c>
      <c r="E75" s="307">
        <v>720</v>
      </c>
      <c r="F75" s="308">
        <f>(D75*E75)/10000</f>
        <v>25.92</v>
      </c>
      <c r="G75" s="307">
        <v>39</v>
      </c>
      <c r="H75" s="307">
        <f>ROUND(F75*$C$7+$D$7,0)</f>
        <v>45</v>
      </c>
      <c r="I75" s="309">
        <f>IF(G75=0,"",H75/G75-1)</f>
        <v>0.15384615384615374</v>
      </c>
      <c r="J75" s="307">
        <v>125</v>
      </c>
      <c r="K75" s="307">
        <f>ROUND(F75*$E$7+$F$7,0)</f>
        <v>139</v>
      </c>
      <c r="L75" s="309">
        <f>IF(J75=0,"",K75/J75-1)</f>
        <v>0.1120000000000001</v>
      </c>
      <c r="M75" s="307">
        <v>142</v>
      </c>
      <c r="N75" s="307">
        <f>ROUND(F75*$G$7+$H$7,0)</f>
        <v>161</v>
      </c>
      <c r="O75" s="309">
        <f>IF(M75=0,"",N75/M75-1)</f>
        <v>0.13380281690140849</v>
      </c>
      <c r="P75" s="307">
        <v>170</v>
      </c>
      <c r="Q75" s="307">
        <f>ROUND(F75*$I$7+$J$7,0)</f>
        <v>160</v>
      </c>
      <c r="R75" s="309">
        <f>IF(P75=0,"",Q75/P75-1)</f>
        <v>-5.8823529411764719E-2</v>
      </c>
    </row>
    <row r="76" spans="1:18" x14ac:dyDescent="0.25">
      <c r="A76" s="303">
        <v>3202</v>
      </c>
      <c r="B76" s="303" t="s">
        <v>147</v>
      </c>
      <c r="C76" s="303" t="s">
        <v>150</v>
      </c>
      <c r="D76" s="304">
        <v>360</v>
      </c>
      <c r="E76" s="304">
        <v>1080</v>
      </c>
      <c r="F76" s="305">
        <f>(D76*E76)/10000</f>
        <v>38.880000000000003</v>
      </c>
      <c r="G76" s="304">
        <v>57</v>
      </c>
      <c r="H76" s="304">
        <f>ROUND(F76*$C$7+$D$7,0)</f>
        <v>62</v>
      </c>
      <c r="I76" s="306">
        <f>IF(G76=0,"",H76/G76-1)</f>
        <v>8.7719298245614086E-2</v>
      </c>
      <c r="J76" s="304">
        <v>184</v>
      </c>
      <c r="K76" s="304">
        <f>ROUND(F76*$E$7+$F$7,0)</f>
        <v>172</v>
      </c>
      <c r="L76" s="306">
        <f>IF(J76=0,"",K76/J76-1)</f>
        <v>-6.5217391304347783E-2</v>
      </c>
      <c r="M76" s="304">
        <v>220</v>
      </c>
      <c r="N76" s="304">
        <f>ROUND(F76*$G$7+$H$7,0)</f>
        <v>211</v>
      </c>
      <c r="O76" s="306">
        <f>IF(M76=0,"",N76/M76-1)</f>
        <v>-4.0909090909090895E-2</v>
      </c>
      <c r="P76" s="304">
        <v>192</v>
      </c>
      <c r="Q76" s="304">
        <f>ROUND(F76*$I$7+$J$7,0)</f>
        <v>238</v>
      </c>
      <c r="R76" s="306">
        <f>IF(P76=0,"",Q76/P76-1)</f>
        <v>0.23958333333333326</v>
      </c>
    </row>
    <row r="77" spans="1:18" x14ac:dyDescent="0.25">
      <c r="A77" s="291">
        <v>3203</v>
      </c>
      <c r="B77" s="291" t="s">
        <v>147</v>
      </c>
      <c r="C77" s="291" t="s">
        <v>151</v>
      </c>
      <c r="D77" s="307">
        <v>360</v>
      </c>
      <c r="E77" s="307">
        <v>1440</v>
      </c>
      <c r="F77" s="308">
        <f>(D77*E77)/10000</f>
        <v>51.84</v>
      </c>
      <c r="G77" s="307">
        <v>75</v>
      </c>
      <c r="H77" s="307">
        <f>ROUND(F77*$C$7+$D$7,0)</f>
        <v>79</v>
      </c>
      <c r="I77" s="309">
        <f>IF(G77=0,"",H77/G77-1)</f>
        <v>5.3333333333333233E-2</v>
      </c>
      <c r="J77" s="307">
        <v>232</v>
      </c>
      <c r="K77" s="307">
        <f>ROUND(F77*$E$7+$F$7,0)</f>
        <v>206</v>
      </c>
      <c r="L77" s="309">
        <f>IF(J77=0,"",K77/J77-1)</f>
        <v>-0.11206896551724133</v>
      </c>
      <c r="M77" s="307">
        <v>278</v>
      </c>
      <c r="N77" s="307">
        <f>ROUND(F77*$G$7+$H$7,0)</f>
        <v>262</v>
      </c>
      <c r="O77" s="309">
        <f>IF(M77=0,"",N77/M77-1)</f>
        <v>-5.7553956834532349E-2</v>
      </c>
      <c r="P77" s="307">
        <v>423</v>
      </c>
      <c r="Q77" s="307">
        <f>ROUND(F77*$I$7+$J$7,0)</f>
        <v>315</v>
      </c>
      <c r="R77" s="309">
        <f>IF(P77=0,"",Q77/P77-1)</f>
        <v>-0.25531914893617025</v>
      </c>
    </row>
    <row r="78" spans="1:18" x14ac:dyDescent="0.25">
      <c r="A78" s="303">
        <v>3204</v>
      </c>
      <c r="B78" s="303" t="s">
        <v>147</v>
      </c>
      <c r="C78" s="303" t="s">
        <v>152</v>
      </c>
      <c r="D78" s="304">
        <v>360</v>
      </c>
      <c r="E78" s="304">
        <v>1800</v>
      </c>
      <c r="F78" s="305">
        <f>(D78*E78)/10000</f>
        <v>64.8</v>
      </c>
      <c r="G78" s="304">
        <v>94</v>
      </c>
      <c r="H78" s="304">
        <f>ROUND(F78*$C$7+$D$7,0)</f>
        <v>96</v>
      </c>
      <c r="I78" s="306">
        <f>IF(G78=0,"",H78/G78-1)</f>
        <v>2.1276595744680771E-2</v>
      </c>
      <c r="J78" s="304">
        <v>170</v>
      </c>
      <c r="K78" s="304">
        <f>ROUND(F78*$E$7+$F$7,0)</f>
        <v>240</v>
      </c>
      <c r="L78" s="306">
        <f>IF(J78=0,"",K78/J78-1)</f>
        <v>0.41176470588235303</v>
      </c>
      <c r="M78" s="304">
        <v>340</v>
      </c>
      <c r="N78" s="304">
        <f>ROUND(F78*$G$7+$H$7,0)</f>
        <v>312</v>
      </c>
      <c r="O78" s="306">
        <f>IF(M78=0,"",N78/M78-1)</f>
        <v>-8.2352941176470629E-2</v>
      </c>
      <c r="P78" s="304">
        <v>516</v>
      </c>
      <c r="Q78" s="304">
        <f>ROUND(F78*$I$7+$J$7,0)</f>
        <v>393</v>
      </c>
      <c r="R78" s="306">
        <f>IF(P78=0,"",Q78/P78-1)</f>
        <v>-0.23837209302325579</v>
      </c>
    </row>
    <row r="79" spans="1:18" x14ac:dyDescent="0.25">
      <c r="A79" s="291">
        <v>3205</v>
      </c>
      <c r="B79" s="291" t="s">
        <v>147</v>
      </c>
      <c r="C79" s="291" t="s">
        <v>153</v>
      </c>
      <c r="D79" s="307">
        <v>580</v>
      </c>
      <c r="E79" s="307">
        <v>360</v>
      </c>
      <c r="F79" s="308">
        <f>(D79*E79)/10000</f>
        <v>20.88</v>
      </c>
      <c r="G79" s="307">
        <v>32</v>
      </c>
      <c r="H79" s="307">
        <f>ROUND(F79*$C$7+$D$7,0)</f>
        <v>38</v>
      </c>
      <c r="I79" s="309">
        <f>IF(G79=0,"",H79/G79-1)</f>
        <v>0.1875</v>
      </c>
      <c r="J79" s="307">
        <v>111</v>
      </c>
      <c r="K79" s="307">
        <f>ROUND(F79*$E$7+$F$7,0)</f>
        <v>126</v>
      </c>
      <c r="L79" s="309">
        <f>IF(J79=0,"",K79/J79-1)</f>
        <v>0.13513513513513509</v>
      </c>
      <c r="M79" s="307">
        <v>129</v>
      </c>
      <c r="N79" s="307">
        <f>ROUND(F79*$G$7+$H$7,0)</f>
        <v>141</v>
      </c>
      <c r="O79" s="309">
        <f>IF(M79=0,"",N79/M79-1)</f>
        <v>9.3023255813953432E-2</v>
      </c>
      <c r="P79" s="307">
        <v>148</v>
      </c>
      <c r="Q79" s="307">
        <f>ROUND(F79*$I$7+$J$7,0)</f>
        <v>130</v>
      </c>
      <c r="R79" s="309">
        <f>IF(P79=0,"",Q79/P79-1)</f>
        <v>-0.1216216216216216</v>
      </c>
    </row>
    <row r="80" spans="1:18" x14ac:dyDescent="0.25">
      <c r="A80" s="303">
        <v>3206</v>
      </c>
      <c r="B80" s="303" t="s">
        <v>147</v>
      </c>
      <c r="C80" s="303" t="s">
        <v>154</v>
      </c>
      <c r="D80" s="304">
        <v>580</v>
      </c>
      <c r="E80" s="304">
        <v>720</v>
      </c>
      <c r="F80" s="305">
        <f>(D80*E80)/10000</f>
        <v>41.76</v>
      </c>
      <c r="G80" s="304">
        <v>62</v>
      </c>
      <c r="H80" s="304">
        <f>ROUND(F80*$C$7+$D$7,0)</f>
        <v>66</v>
      </c>
      <c r="I80" s="306">
        <f>IF(G80=0,"",H80/G80-1)</f>
        <v>6.4516129032258007E-2</v>
      </c>
      <c r="J80" s="304">
        <v>181</v>
      </c>
      <c r="K80" s="304">
        <f>ROUND(F80*$E$7+$F$7,0)</f>
        <v>180</v>
      </c>
      <c r="L80" s="306">
        <f>IF(J80=0,"",K80/J80-1)</f>
        <v>-5.5248618784530246E-3</v>
      </c>
      <c r="M80" s="304">
        <v>214</v>
      </c>
      <c r="N80" s="304">
        <f>ROUND(F80*$G$7+$H$7,0)</f>
        <v>222</v>
      </c>
      <c r="O80" s="306">
        <f>IF(M80=0,"",N80/M80-1)</f>
        <v>3.7383177570093462E-2</v>
      </c>
      <c r="P80" s="304">
        <v>196</v>
      </c>
      <c r="Q80" s="304">
        <f>ROUND(F80*$I$7+$J$7,0)</f>
        <v>255</v>
      </c>
      <c r="R80" s="306">
        <f>IF(P80=0,"",Q80/P80-1)</f>
        <v>0.30102040816326525</v>
      </c>
    </row>
    <row r="81" spans="1:18" x14ac:dyDescent="0.25">
      <c r="A81" s="291">
        <v>3207</v>
      </c>
      <c r="B81" s="291" t="s">
        <v>147</v>
      </c>
      <c r="C81" s="291" t="s">
        <v>155</v>
      </c>
      <c r="D81" s="307">
        <v>580</v>
      </c>
      <c r="E81" s="307">
        <v>1080</v>
      </c>
      <c r="F81" s="308">
        <f>(D81*E81)/10000</f>
        <v>62.64</v>
      </c>
      <c r="G81" s="307">
        <v>89</v>
      </c>
      <c r="H81" s="307">
        <f>ROUND(F81*$C$7+$D$7,0)</f>
        <v>93</v>
      </c>
      <c r="I81" s="309">
        <f>IF(G81=0,"",H81/G81-1)</f>
        <v>4.4943820224719211E-2</v>
      </c>
      <c r="J81" s="307">
        <v>260</v>
      </c>
      <c r="K81" s="307">
        <f>ROUND(F81*$E$7+$F$7,0)</f>
        <v>234</v>
      </c>
      <c r="L81" s="309">
        <f>IF(J81=0,"",K81/J81-1)</f>
        <v>-9.9999999999999978E-2</v>
      </c>
      <c r="M81" s="307">
        <v>297</v>
      </c>
      <c r="N81" s="307">
        <f>ROUND(F81*$G$7+$H$7,0)</f>
        <v>304</v>
      </c>
      <c r="O81" s="309">
        <f>IF(M81=0,"",N81/M81-1)</f>
        <v>2.3569023569023573E-2</v>
      </c>
      <c r="P81" s="307">
        <v>246</v>
      </c>
      <c r="Q81" s="307">
        <f>ROUND(F81*$I$7+$J$7,0)</f>
        <v>380</v>
      </c>
      <c r="R81" s="309">
        <f>IF(P81=0,"",Q81/P81-1)</f>
        <v>0.54471544715447151</v>
      </c>
    </row>
    <row r="82" spans="1:18" x14ac:dyDescent="0.25">
      <c r="A82" s="303">
        <v>3208</v>
      </c>
      <c r="B82" s="303" t="s">
        <v>147</v>
      </c>
      <c r="C82" s="303" t="s">
        <v>156</v>
      </c>
      <c r="D82" s="304">
        <v>580</v>
      </c>
      <c r="E82" s="304">
        <v>1440</v>
      </c>
      <c r="F82" s="305">
        <f>(D82*E82)/10000</f>
        <v>83.52</v>
      </c>
      <c r="G82" s="304">
        <v>119</v>
      </c>
      <c r="H82" s="304">
        <f>ROUND(F82*$C$7+$D$7,0)</f>
        <v>120</v>
      </c>
      <c r="I82" s="306">
        <f>IF(G82=0,"",H82/G82-1)</f>
        <v>8.4033613445377853E-3</v>
      </c>
      <c r="J82" s="304">
        <v>334</v>
      </c>
      <c r="K82" s="304">
        <f>ROUND(F82*$E$7+$F$7,0)</f>
        <v>288</v>
      </c>
      <c r="L82" s="306">
        <f>IF(J82=0,"",K82/J82-1)</f>
        <v>-0.13772455089820357</v>
      </c>
      <c r="M82" s="304">
        <v>396</v>
      </c>
      <c r="N82" s="304">
        <f>ROUND(F82*$G$7+$H$7,0)</f>
        <v>385</v>
      </c>
      <c r="O82" s="306">
        <f>IF(M82=0,"",N82/M82-1)</f>
        <v>-2.777777777777779E-2</v>
      </c>
      <c r="P82" s="304">
        <v>602</v>
      </c>
      <c r="Q82" s="304">
        <f>ROUND(F82*$I$7+$J$7,0)</f>
        <v>504</v>
      </c>
      <c r="R82" s="306">
        <f>IF(P82=0,"",Q82/P82-1)</f>
        <v>-0.16279069767441856</v>
      </c>
    </row>
    <row r="83" spans="1:18" x14ac:dyDescent="0.25">
      <c r="A83" s="291">
        <v>3209</v>
      </c>
      <c r="B83" s="291" t="s">
        <v>147</v>
      </c>
      <c r="C83" s="291" t="s">
        <v>157</v>
      </c>
      <c r="D83" s="307">
        <v>580</v>
      </c>
      <c r="E83" s="307">
        <v>1800</v>
      </c>
      <c r="F83" s="308">
        <f>(D83*E83)/10000</f>
        <v>104.4</v>
      </c>
      <c r="G83" s="307">
        <v>148</v>
      </c>
      <c r="H83" s="307">
        <f>ROUND(F83*$C$7+$D$7,0)</f>
        <v>148</v>
      </c>
      <c r="I83" s="309">
        <f>IF(G83=0,"",H83/G83-1)</f>
        <v>0</v>
      </c>
      <c r="J83" s="307">
        <v>268</v>
      </c>
      <c r="K83" s="307">
        <f>ROUND(F83*$E$7+$F$7,0)</f>
        <v>343</v>
      </c>
      <c r="L83" s="309">
        <f>IF(J83=0,"",K83/J83-1)</f>
        <v>0.2798507462686568</v>
      </c>
      <c r="M83" s="307">
        <v>462</v>
      </c>
      <c r="N83" s="307">
        <f>ROUND(F83*$G$7+$H$7,0)</f>
        <v>467</v>
      </c>
      <c r="O83" s="309">
        <f>IF(M83=0,"",N83/M83-1)</f>
        <v>1.0822510822510845E-2</v>
      </c>
      <c r="P83" s="307">
        <v>703</v>
      </c>
      <c r="Q83" s="307">
        <f>ROUND(F83*$I$7+$J$7,0)</f>
        <v>629</v>
      </c>
      <c r="R83" s="309">
        <f>IF(P83=0,"",Q83/P83-1)</f>
        <v>-0.10526315789473684</v>
      </c>
    </row>
    <row r="84" spans="1:18" x14ac:dyDescent="0.25">
      <c r="A84" s="303">
        <v>3210</v>
      </c>
      <c r="B84" s="303" t="s">
        <v>147</v>
      </c>
      <c r="C84" s="303" t="s">
        <v>158</v>
      </c>
      <c r="D84" s="304">
        <v>180</v>
      </c>
      <c r="E84" s="304">
        <v>780</v>
      </c>
      <c r="F84" s="305">
        <f>(D84*E84)/10000</f>
        <v>14.04</v>
      </c>
      <c r="G84" s="304">
        <v>42</v>
      </c>
      <c r="H84" s="304">
        <f>ROUND(F84*$C$7+$D$7,0)</f>
        <v>29</v>
      </c>
      <c r="I84" s="306">
        <f>IF(G84=0,"",H84/G84-1)</f>
        <v>-0.30952380952380953</v>
      </c>
      <c r="J84" s="304">
        <v>128</v>
      </c>
      <c r="K84" s="304">
        <f>ROUND(F84*$E$7+$F$7,0)</f>
        <v>108</v>
      </c>
      <c r="L84" s="306">
        <f>IF(J84=0,"",K84/J84-1)</f>
        <v>-0.15625</v>
      </c>
      <c r="M84" s="304">
        <v>143</v>
      </c>
      <c r="N84" s="304">
        <f>ROUND(F84*$G$7+$H$7,0)</f>
        <v>114</v>
      </c>
      <c r="O84" s="306">
        <f>IF(M84=0,"",N84/M84-1)</f>
        <v>-0.20279720279720281</v>
      </c>
      <c r="P84" s="304">
        <v>170</v>
      </c>
      <c r="Q84" s="304">
        <f>ROUND(F84*$I$7+$J$7,0)</f>
        <v>89</v>
      </c>
      <c r="R84" s="306">
        <f>IF(P84=0,"",Q84/P84-1)</f>
        <v>-0.47647058823529409</v>
      </c>
    </row>
    <row r="85" spans="1:18" x14ac:dyDescent="0.25">
      <c r="A85" s="291">
        <v>3211</v>
      </c>
      <c r="B85" s="291" t="s">
        <v>147</v>
      </c>
      <c r="C85" s="291" t="s">
        <v>159</v>
      </c>
      <c r="D85" s="307">
        <v>180</v>
      </c>
      <c r="E85" s="307">
        <v>980</v>
      </c>
      <c r="F85" s="308">
        <f>(D85*E85)/10000</f>
        <v>17.64</v>
      </c>
      <c r="G85" s="307">
        <v>53</v>
      </c>
      <c r="H85" s="307">
        <f>ROUND(F85*$C$7+$D$7,0)</f>
        <v>34</v>
      </c>
      <c r="I85" s="309">
        <f>IF(G85=0,"",H85/G85-1)</f>
        <v>-0.35849056603773588</v>
      </c>
      <c r="J85" s="307">
        <v>154</v>
      </c>
      <c r="K85" s="307">
        <f>ROUND(F85*$E$7+$F$7,0)</f>
        <v>117</v>
      </c>
      <c r="L85" s="309">
        <f>IF(J85=0,"",K85/J85-1)</f>
        <v>-0.24025974025974028</v>
      </c>
      <c r="M85" s="307">
        <v>172</v>
      </c>
      <c r="N85" s="307">
        <f>ROUND(F85*$G$7+$H$7,0)</f>
        <v>128</v>
      </c>
      <c r="O85" s="309">
        <f>IF(M85=0,"",N85/M85-1)</f>
        <v>-0.2558139534883721</v>
      </c>
      <c r="P85" s="307">
        <v>183</v>
      </c>
      <c r="Q85" s="307">
        <f>ROUND(F85*$I$7+$J$7,0)</f>
        <v>111</v>
      </c>
      <c r="R85" s="309">
        <f>IF(P85=0,"",Q85/P85-1)</f>
        <v>-0.39344262295081966</v>
      </c>
    </row>
    <row r="86" spans="1:18" x14ac:dyDescent="0.25">
      <c r="A86" s="303">
        <v>3212</v>
      </c>
      <c r="B86" s="303" t="s">
        <v>147</v>
      </c>
      <c r="C86" s="303" t="s">
        <v>160</v>
      </c>
      <c r="D86" s="304">
        <v>360</v>
      </c>
      <c r="E86" s="304">
        <v>780</v>
      </c>
      <c r="F86" s="305">
        <f>(D86*E86)/10000</f>
        <v>28.08</v>
      </c>
      <c r="G86" s="304">
        <v>42</v>
      </c>
      <c r="H86" s="304">
        <f>ROUND(F86*$C$7+$D$7,0)</f>
        <v>48</v>
      </c>
      <c r="I86" s="306">
        <f>IF(G86=0,"",H86/G86-1)</f>
        <v>0.14285714285714279</v>
      </c>
      <c r="J86" s="304">
        <v>128</v>
      </c>
      <c r="K86" s="304">
        <f>ROUND(F86*$E$7+$F$7,0)</f>
        <v>144</v>
      </c>
      <c r="L86" s="306">
        <f>IF(J86=0,"",K86/J86-1)</f>
        <v>0.125</v>
      </c>
      <c r="M86" s="304">
        <v>143</v>
      </c>
      <c r="N86" s="304">
        <f>ROUND(F86*$G$7+$H$7,0)</f>
        <v>169</v>
      </c>
      <c r="O86" s="306">
        <f>IF(M86=0,"",N86/M86-1)</f>
        <v>0.18181818181818188</v>
      </c>
      <c r="P86" s="304">
        <v>152</v>
      </c>
      <c r="Q86" s="304">
        <f>ROUND(F86*$I$7+$J$7,0)</f>
        <v>173</v>
      </c>
      <c r="R86" s="306">
        <f>IF(P86=0,"",Q86/P86-1)</f>
        <v>0.13815789473684204</v>
      </c>
    </row>
    <row r="87" spans="1:18" x14ac:dyDescent="0.25">
      <c r="A87" s="291">
        <v>3213</v>
      </c>
      <c r="B87" s="291" t="s">
        <v>147</v>
      </c>
      <c r="C87" s="291" t="s">
        <v>161</v>
      </c>
      <c r="D87" s="307">
        <v>360</v>
      </c>
      <c r="E87" s="307">
        <v>980</v>
      </c>
      <c r="F87" s="308">
        <f>(D87*E87)/10000</f>
        <v>35.28</v>
      </c>
      <c r="G87" s="307">
        <v>53</v>
      </c>
      <c r="H87" s="307">
        <f>ROUND(F87*$C$7+$D$7,0)</f>
        <v>57</v>
      </c>
      <c r="I87" s="309">
        <f>IF(G87=0,"",H87/G87-1)</f>
        <v>7.547169811320753E-2</v>
      </c>
      <c r="J87" s="307">
        <v>154</v>
      </c>
      <c r="K87" s="307">
        <f>ROUND(F87*$E$7+$F$7,0)</f>
        <v>163</v>
      </c>
      <c r="L87" s="309">
        <f>IF(J87=0,"",K87/J87-1)</f>
        <v>5.8441558441558517E-2</v>
      </c>
      <c r="M87" s="307">
        <v>172</v>
      </c>
      <c r="N87" s="307">
        <f>ROUND(F87*$G$7+$H$7,0)</f>
        <v>197</v>
      </c>
      <c r="O87" s="309">
        <f>IF(M87=0,"",N87/M87-1)</f>
        <v>0.14534883720930236</v>
      </c>
      <c r="P87" s="307">
        <v>167</v>
      </c>
      <c r="Q87" s="307">
        <f>ROUND(F87*$I$7+$J$7,0)</f>
        <v>216</v>
      </c>
      <c r="R87" s="309">
        <f>IF(P87=0,"",Q87/P87-1)</f>
        <v>0.29341317365269459</v>
      </c>
    </row>
    <row r="88" spans="1:18" x14ac:dyDescent="0.25">
      <c r="A88" s="303">
        <v>3214</v>
      </c>
      <c r="B88" s="303" t="s">
        <v>147</v>
      </c>
      <c r="C88" s="303" t="s">
        <v>162</v>
      </c>
      <c r="D88" s="304">
        <v>720</v>
      </c>
      <c r="E88" s="304">
        <v>780</v>
      </c>
      <c r="F88" s="305">
        <f>(D88*E88)/10000</f>
        <v>56.16</v>
      </c>
      <c r="G88" s="304">
        <v>80</v>
      </c>
      <c r="H88" s="304">
        <f>ROUND(F88*$C$7+$D$7,0)</f>
        <v>85</v>
      </c>
      <c r="I88" s="306">
        <f>IF(G88=0,"",H88/G88-1)</f>
        <v>6.25E-2</v>
      </c>
      <c r="J88" s="304">
        <v>245</v>
      </c>
      <c r="K88" s="304">
        <f>ROUND(F88*$E$7+$F$7,0)</f>
        <v>217</v>
      </c>
      <c r="L88" s="306">
        <f>IF(J88=0,"",K88/J88-1)</f>
        <v>-0.11428571428571432</v>
      </c>
      <c r="M88" s="304">
        <v>274</v>
      </c>
      <c r="N88" s="304">
        <f>ROUND(F88*$G$7+$H$7,0)</f>
        <v>279</v>
      </c>
      <c r="O88" s="306">
        <f>IF(M88=0,"",N88/M88-1)</f>
        <v>1.8248175182481674E-2</v>
      </c>
      <c r="P88" s="304">
        <v>214</v>
      </c>
      <c r="Q88" s="304">
        <f>ROUND(F88*$I$7+$J$7,0)</f>
        <v>341</v>
      </c>
      <c r="R88" s="306">
        <f>IF(P88=0,"",Q88/P88-1)</f>
        <v>0.59345794392523366</v>
      </c>
    </row>
    <row r="89" spans="1:18" x14ac:dyDescent="0.25">
      <c r="A89" s="291">
        <v>3215</v>
      </c>
      <c r="B89" s="291" t="s">
        <v>147</v>
      </c>
      <c r="C89" s="291" t="s">
        <v>163</v>
      </c>
      <c r="D89" s="307">
        <v>720</v>
      </c>
      <c r="E89" s="307">
        <v>980</v>
      </c>
      <c r="F89" s="308">
        <f>(D89*E89)/10000</f>
        <v>70.56</v>
      </c>
      <c r="G89" s="307">
        <v>101</v>
      </c>
      <c r="H89" s="307">
        <f>ROUND(F89*$C$7+$D$7,0)</f>
        <v>103</v>
      </c>
      <c r="I89" s="309">
        <f>IF(G89=0,"",H89/G89-1)</f>
        <v>1.980198019801982E-2</v>
      </c>
      <c r="J89" s="307">
        <v>280</v>
      </c>
      <c r="K89" s="307">
        <f>ROUND(F89*$E$7+$F$7,0)</f>
        <v>255</v>
      </c>
      <c r="L89" s="309">
        <f>IF(J89=0,"",K89/J89-1)</f>
        <v>-8.9285714285714302E-2</v>
      </c>
      <c r="M89" s="307">
        <v>317</v>
      </c>
      <c r="N89" s="307">
        <f>ROUND(F89*$G$7+$H$7,0)</f>
        <v>335</v>
      </c>
      <c r="O89" s="309">
        <f>IF(M89=0,"",N89/M89-1)</f>
        <v>5.6782334384858135E-2</v>
      </c>
      <c r="P89" s="307">
        <v>263</v>
      </c>
      <c r="Q89" s="307">
        <f>ROUND(F89*$I$7+$J$7,0)</f>
        <v>427</v>
      </c>
      <c r="R89" s="309">
        <f>IF(P89=0,"",Q89/P89-1)</f>
        <v>0.62357414448669202</v>
      </c>
    </row>
    <row r="90" spans="1:18" x14ac:dyDescent="0.25">
      <c r="A90" s="303">
        <v>3216</v>
      </c>
      <c r="B90" s="303" t="s">
        <v>147</v>
      </c>
      <c r="C90" s="303" t="s">
        <v>164</v>
      </c>
      <c r="D90" s="304">
        <v>1080</v>
      </c>
      <c r="E90" s="304">
        <v>780</v>
      </c>
      <c r="F90" s="305">
        <f>(D90*E90)/10000</f>
        <v>84.24</v>
      </c>
      <c r="G90" s="304">
        <v>121</v>
      </c>
      <c r="H90" s="304">
        <f>ROUND(F90*$C$7+$D$7,0)</f>
        <v>121</v>
      </c>
      <c r="I90" s="306">
        <f>IF(G90=0,"",H90/G90-1)</f>
        <v>0</v>
      </c>
      <c r="J90" s="304">
        <v>357</v>
      </c>
      <c r="K90" s="304">
        <f>ROUND(F90*$E$7+$F$7,0)</f>
        <v>290</v>
      </c>
      <c r="L90" s="306">
        <f>IF(J90=0,"",K90/J90-1)</f>
        <v>-0.1876750700280112</v>
      </c>
      <c r="M90" s="304">
        <v>405</v>
      </c>
      <c r="N90" s="304">
        <f>ROUND(F90*$G$7+$H$7,0)</f>
        <v>388</v>
      </c>
      <c r="O90" s="306">
        <f>IF(M90=0,"",N90/M90-1)</f>
        <v>-4.1975308641975295E-2</v>
      </c>
      <c r="P90" s="304">
        <v>308</v>
      </c>
      <c r="Q90" s="304">
        <f>ROUND(F90*$I$7+$J$7,0)</f>
        <v>509</v>
      </c>
      <c r="R90" s="306">
        <f>IF(P90=0,"",Q90/P90-1)</f>
        <v>0.65259740259740262</v>
      </c>
    </row>
    <row r="91" spans="1:18" x14ac:dyDescent="0.25">
      <c r="A91" s="291">
        <v>3217</v>
      </c>
      <c r="B91" s="291" t="s">
        <v>147</v>
      </c>
      <c r="C91" s="291" t="s">
        <v>165</v>
      </c>
      <c r="D91" s="307">
        <v>1080</v>
      </c>
      <c r="E91" s="307">
        <v>980</v>
      </c>
      <c r="F91" s="308">
        <f>(D91*E91)/10000</f>
        <v>105.84</v>
      </c>
      <c r="G91" s="307">
        <v>150</v>
      </c>
      <c r="H91" s="307">
        <f>ROUND(F91*$C$7+$D$7,0)</f>
        <v>150</v>
      </c>
      <c r="I91" s="309">
        <f>IF(G91=0,"",H91/G91-1)</f>
        <v>0</v>
      </c>
      <c r="J91" s="307">
        <v>432</v>
      </c>
      <c r="K91" s="307">
        <f>ROUND(F91*$E$7+$F$7,0)</f>
        <v>347</v>
      </c>
      <c r="L91" s="309">
        <f>IF(J91=0,"",K91/J91-1)</f>
        <v>-0.1967592592592593</v>
      </c>
      <c r="M91" s="307">
        <v>469</v>
      </c>
      <c r="N91" s="307">
        <f>ROUND(F91*$G$7+$H$7,0)</f>
        <v>473</v>
      </c>
      <c r="O91" s="309">
        <f>IF(M91=0,"",N91/M91-1)</f>
        <v>8.5287846481876262E-3</v>
      </c>
      <c r="P91" s="307">
        <v>345</v>
      </c>
      <c r="Q91" s="307">
        <f>ROUND(F91*$I$7+$J$7,0)</f>
        <v>638</v>
      </c>
      <c r="R91" s="309">
        <f>IF(P91=0,"",Q91/P91-1)</f>
        <v>0.84927536231884049</v>
      </c>
    </row>
    <row r="92" spans="1:18" x14ac:dyDescent="0.25">
      <c r="A92" s="303">
        <v>3218</v>
      </c>
      <c r="B92" s="303" t="s">
        <v>147</v>
      </c>
      <c r="C92" s="303" t="s">
        <v>166</v>
      </c>
      <c r="D92" s="304">
        <v>1440</v>
      </c>
      <c r="E92" s="304">
        <v>780</v>
      </c>
      <c r="F92" s="305">
        <f>(D92*E92)/10000</f>
        <v>112.32</v>
      </c>
      <c r="G92" s="304">
        <v>158</v>
      </c>
      <c r="H92" s="304">
        <f>ROUND(F92*$C$7+$D$7,0)</f>
        <v>158</v>
      </c>
      <c r="I92" s="306">
        <f>IF(G92=0,"",H92/G92-1)</f>
        <v>0</v>
      </c>
      <c r="J92" s="304">
        <v>435</v>
      </c>
      <c r="K92" s="304">
        <f>ROUND(F92*$E$7+$F$7,0)</f>
        <v>363</v>
      </c>
      <c r="L92" s="306">
        <f>IF(J92=0,"",K92/J92-1)</f>
        <v>-0.16551724137931034</v>
      </c>
      <c r="M92" s="304">
        <v>494</v>
      </c>
      <c r="N92" s="304">
        <f>ROUND(F92*$G$7+$H$7,0)</f>
        <v>498</v>
      </c>
      <c r="O92" s="306">
        <f>IF(M92=0,"",N92/M92-1)</f>
        <v>8.0971659919029104E-3</v>
      </c>
      <c r="P92" s="304">
        <v>751</v>
      </c>
      <c r="Q92" s="304">
        <f>ROUND(F92*$I$7+$J$7,0)</f>
        <v>677</v>
      </c>
      <c r="R92" s="306">
        <f>IF(P92=0,"",Q92/P92-1)</f>
        <v>-9.8535286284953449E-2</v>
      </c>
    </row>
    <row r="93" spans="1:18" x14ac:dyDescent="0.25">
      <c r="A93" s="291">
        <v>3219</v>
      </c>
      <c r="B93" s="291" t="s">
        <v>147</v>
      </c>
      <c r="C93" s="291" t="s">
        <v>167</v>
      </c>
      <c r="D93" s="307">
        <v>1440</v>
      </c>
      <c r="E93" s="307">
        <v>980</v>
      </c>
      <c r="F93" s="308">
        <f>(D93*E93)/10000</f>
        <v>141.12</v>
      </c>
      <c r="G93" s="307">
        <v>198</v>
      </c>
      <c r="H93" s="307">
        <f>ROUND(F93*$C$7+$D$7,0)</f>
        <v>196</v>
      </c>
      <c r="I93" s="309">
        <f>IF(G93=0,"",H93/G93-1)</f>
        <v>-1.0101010101010055E-2</v>
      </c>
      <c r="J93" s="307">
        <v>537</v>
      </c>
      <c r="K93" s="307">
        <f>ROUND(F93*$E$7+$F$7,0)</f>
        <v>438</v>
      </c>
      <c r="L93" s="309">
        <f>IF(J93=0,"",K93/J93-1)</f>
        <v>-0.18435754189944131</v>
      </c>
      <c r="M93" s="307">
        <v>610</v>
      </c>
      <c r="N93" s="307">
        <f>ROUND(F93*$G$7+$H$7,0)</f>
        <v>610</v>
      </c>
      <c r="O93" s="309">
        <f>IF(M93=0,"",N93/M93-1)</f>
        <v>0</v>
      </c>
      <c r="P93" s="307">
        <v>927</v>
      </c>
      <c r="Q93" s="307">
        <f>ROUND(F93*$I$7+$J$7,0)</f>
        <v>849</v>
      </c>
      <c r="R93" s="309">
        <f>IF(P93=0,"",Q93/P93-1)</f>
        <v>-8.4142394822006472E-2</v>
      </c>
    </row>
    <row r="94" spans="1:18" x14ac:dyDescent="0.25">
      <c r="A94" s="303">
        <v>3220</v>
      </c>
      <c r="B94" s="303" t="s">
        <v>147</v>
      </c>
      <c r="C94" s="303" t="s">
        <v>168</v>
      </c>
      <c r="D94" s="304">
        <v>1800</v>
      </c>
      <c r="E94" s="304">
        <v>780</v>
      </c>
      <c r="F94" s="305">
        <f>(D94*E94)/10000</f>
        <v>140.4</v>
      </c>
      <c r="G94" s="304">
        <v>198</v>
      </c>
      <c r="H94" s="304">
        <f>ROUND(F94*$C$7+$D$7,0)</f>
        <v>195</v>
      </c>
      <c r="I94" s="306">
        <f>IF(G94=0,"",H94/G94-1)</f>
        <v>-1.5151515151515138E-2</v>
      </c>
      <c r="J94" s="304">
        <v>359</v>
      </c>
      <c r="K94" s="304">
        <f>ROUND(F94*$E$7+$F$7,0)</f>
        <v>436</v>
      </c>
      <c r="L94" s="306">
        <f>IF(J94=0,"",K94/J94-1)</f>
        <v>0.21448467966573825</v>
      </c>
      <c r="M94" s="304">
        <v>606</v>
      </c>
      <c r="N94" s="304">
        <f>ROUND(F94*$G$7+$H$7,0)</f>
        <v>607</v>
      </c>
      <c r="O94" s="306">
        <f>IF(M94=0,"",N94/M94-1)</f>
        <v>1.6501650165017256E-3</v>
      </c>
      <c r="P94" s="304">
        <v>921</v>
      </c>
      <c r="Q94" s="304">
        <f>ROUND(F94*$I$7+$J$7,0)</f>
        <v>844</v>
      </c>
      <c r="R94" s="306">
        <f>IF(P94=0,"",Q94/P94-1)</f>
        <v>-8.3604777415852372E-2</v>
      </c>
    </row>
    <row r="95" spans="1:18" x14ac:dyDescent="0.25">
      <c r="A95" s="291">
        <v>3221</v>
      </c>
      <c r="B95" s="291" t="s">
        <v>147</v>
      </c>
      <c r="C95" s="291" t="s">
        <v>169</v>
      </c>
      <c r="D95" s="307">
        <v>1800</v>
      </c>
      <c r="E95" s="307">
        <v>980</v>
      </c>
      <c r="F95" s="308">
        <f>(D95*E95)/10000</f>
        <v>176.4</v>
      </c>
      <c r="G95" s="307">
        <v>247</v>
      </c>
      <c r="H95" s="307">
        <f>ROUND(F95*$C$7+$D$7,0)</f>
        <v>242</v>
      </c>
      <c r="I95" s="309">
        <f>IF(G95=0,"",H95/G95-1)</f>
        <v>-2.0242914979757054E-2</v>
      </c>
      <c r="J95" s="307">
        <v>447</v>
      </c>
      <c r="K95" s="307">
        <f>ROUND(F95*$E$7+$F$7,0)</f>
        <v>530</v>
      </c>
      <c r="L95" s="309">
        <f>IF(J95=0,"",K95/J95-1)</f>
        <v>0.18568232662192385</v>
      </c>
      <c r="M95" s="307">
        <v>745</v>
      </c>
      <c r="N95" s="307">
        <f>ROUND(F95*$G$7+$H$7,0)</f>
        <v>748</v>
      </c>
      <c r="O95" s="309">
        <f>IF(M95=0,"",N95/M95-1)</f>
        <v>4.0268456375838202E-3</v>
      </c>
      <c r="P95" s="307">
        <v>1134</v>
      </c>
      <c r="Q95" s="307">
        <f>ROUND(F95*$I$7+$J$7,0)</f>
        <v>1060</v>
      </c>
      <c r="R95" s="309">
        <f>IF(P95=0,"",Q95/P95-1)</f>
        <v>-6.5255731922398641E-2</v>
      </c>
    </row>
    <row r="96" spans="1:18" x14ac:dyDescent="0.25">
      <c r="A96" s="310" t="s">
        <v>170</v>
      </c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</row>
    <row r="97" spans="1:18" x14ac:dyDescent="0.25">
      <c r="A97" s="303">
        <v>3300</v>
      </c>
      <c r="B97" s="303" t="s">
        <v>170</v>
      </c>
      <c r="C97" s="303" t="s">
        <v>171</v>
      </c>
      <c r="D97" s="304">
        <v>360</v>
      </c>
      <c r="E97" s="304">
        <v>180</v>
      </c>
      <c r="F97" s="305">
        <f>(D97*E97)/10000</f>
        <v>6.48</v>
      </c>
      <c r="G97" s="304">
        <v>26</v>
      </c>
      <c r="H97" s="304">
        <f>ROUND(F97*$C$8+$D$8,0)</f>
        <v>20</v>
      </c>
      <c r="I97" s="306">
        <f>IF(G97=0,"",H97/G97-1)</f>
        <v>-0.23076923076923073</v>
      </c>
      <c r="J97" s="304">
        <v>81</v>
      </c>
      <c r="K97" s="304">
        <f>ROUND(F97*$E$8+$F$8,0)</f>
        <v>94</v>
      </c>
      <c r="L97" s="306">
        <f>IF(J97=0,"",K97/J97-1)</f>
        <v>0.16049382716049387</v>
      </c>
      <c r="M97" s="304">
        <v>89</v>
      </c>
      <c r="N97" s="304">
        <f>ROUND(F97*$G$8+$H$8,0)</f>
        <v>85</v>
      </c>
      <c r="O97" s="306">
        <f>IF(M97=0,"",N97/M97-1)</f>
        <v>-4.49438202247191E-2</v>
      </c>
      <c r="P97" s="304">
        <v>161</v>
      </c>
      <c r="Q97" s="304">
        <f>ROUND(F97*$I$8+$J$8,0)</f>
        <v>64</v>
      </c>
      <c r="R97" s="306">
        <f>IF(P97=0,"",Q97/P97-1)</f>
        <v>-0.60248447204968947</v>
      </c>
    </row>
    <row r="98" spans="1:18" x14ac:dyDescent="0.25">
      <c r="A98" s="291">
        <v>3301</v>
      </c>
      <c r="B98" s="291" t="s">
        <v>170</v>
      </c>
      <c r="C98" s="291" t="s">
        <v>172</v>
      </c>
      <c r="D98" s="307">
        <v>420</v>
      </c>
      <c r="E98" s="307">
        <v>180</v>
      </c>
      <c r="F98" s="308">
        <f>(D98*E98)/10000</f>
        <v>7.56</v>
      </c>
      <c r="G98" s="307">
        <v>26</v>
      </c>
      <c r="H98" s="307">
        <f>ROUND(F98*$C$8+$D$8,0)</f>
        <v>21</v>
      </c>
      <c r="I98" s="309">
        <f>IF(G98=0,"",H98/G98-1)</f>
        <v>-0.19230769230769229</v>
      </c>
      <c r="J98" s="307">
        <v>86</v>
      </c>
      <c r="K98" s="307">
        <f>ROUND(F98*$E$8+$F$8,0)</f>
        <v>97</v>
      </c>
      <c r="L98" s="309">
        <f>IF(J98=0,"",K98/J98-1)</f>
        <v>0.12790697674418605</v>
      </c>
      <c r="M98" s="307">
        <v>92</v>
      </c>
      <c r="N98" s="307">
        <f>ROUND(F98*$G$8+$H$8,0)</f>
        <v>89</v>
      </c>
      <c r="O98" s="309">
        <f>IF(M98=0,"",N98/M98-1)</f>
        <v>-3.2608695652173947E-2</v>
      </c>
      <c r="P98" s="307">
        <v>162</v>
      </c>
      <c r="Q98" s="307">
        <f>ROUND(F98*$I$8+$J$8,0)</f>
        <v>70</v>
      </c>
      <c r="R98" s="309">
        <f>IF(P98=0,"",Q98/P98-1)</f>
        <v>-0.56790123456790131</v>
      </c>
    </row>
    <row r="99" spans="1:18" x14ac:dyDescent="0.25">
      <c r="A99" s="303">
        <v>3302</v>
      </c>
      <c r="B99" s="303" t="s">
        <v>170</v>
      </c>
      <c r="C99" s="303" t="s">
        <v>173</v>
      </c>
      <c r="D99" s="304">
        <v>580</v>
      </c>
      <c r="E99" s="304">
        <v>180</v>
      </c>
      <c r="F99" s="305">
        <f>(D99*E99)/10000</f>
        <v>10.44</v>
      </c>
      <c r="G99" s="304">
        <v>32</v>
      </c>
      <c r="H99" s="304">
        <f>ROUND(F99*$C$8+$D$8,0)</f>
        <v>25</v>
      </c>
      <c r="I99" s="306">
        <f>IF(G99=0,"",H99/G99-1)</f>
        <v>-0.21875</v>
      </c>
      <c r="J99" s="304">
        <v>114</v>
      </c>
      <c r="K99" s="304">
        <f>ROUND(F99*$E$8+$F$8,0)</f>
        <v>105</v>
      </c>
      <c r="L99" s="306">
        <f>IF(J99=0,"",K99/J99-1)</f>
        <v>-7.8947368421052655E-2</v>
      </c>
      <c r="M99" s="304">
        <v>130</v>
      </c>
      <c r="N99" s="304">
        <f>ROUND(F99*$G$8+$H$8,0)</f>
        <v>101</v>
      </c>
      <c r="O99" s="306">
        <f>IF(M99=0,"",N99/M99-1)</f>
        <v>-0.22307692307692306</v>
      </c>
      <c r="P99" s="304">
        <v>166</v>
      </c>
      <c r="Q99" s="304">
        <f>ROUND(F99*$I$8+$J$8,0)</f>
        <v>87</v>
      </c>
      <c r="R99" s="306">
        <f>IF(P99=0,"",Q99/P99-1)</f>
        <v>-0.47590361445783136</v>
      </c>
    </row>
    <row r="100" spans="1:18" x14ac:dyDescent="0.25">
      <c r="A100" s="291">
        <v>3303</v>
      </c>
      <c r="B100" s="291" t="s">
        <v>170</v>
      </c>
      <c r="C100" s="291" t="s">
        <v>174</v>
      </c>
      <c r="D100" s="307">
        <v>780</v>
      </c>
      <c r="E100" s="307">
        <v>180</v>
      </c>
      <c r="F100" s="308">
        <f>(D100*E100)/10000</f>
        <v>14.04</v>
      </c>
      <c r="G100" s="307">
        <v>42</v>
      </c>
      <c r="H100" s="307">
        <f>ROUND(F100*$C$8+$D$8,0)</f>
        <v>29</v>
      </c>
      <c r="I100" s="309">
        <f>IF(G100=0,"",H100/G100-1)</f>
        <v>-0.30952380952380953</v>
      </c>
      <c r="J100" s="307">
        <v>131</v>
      </c>
      <c r="K100" s="307">
        <f>ROUND(F100*$E$8+$F$8,0)</f>
        <v>115</v>
      </c>
      <c r="L100" s="309">
        <f>IF(J100=0,"",K100/J100-1)</f>
        <v>-0.12213740458015265</v>
      </c>
      <c r="M100" s="307">
        <v>144</v>
      </c>
      <c r="N100" s="307">
        <f>ROUND(F100*$G$8+$H$8,0)</f>
        <v>115</v>
      </c>
      <c r="O100" s="309">
        <f>IF(M100=0,"",N100/M100-1)</f>
        <v>-0.20138888888888884</v>
      </c>
      <c r="P100" s="307">
        <v>170</v>
      </c>
      <c r="Q100" s="307">
        <f>ROUND(F100*$I$8+$J$8,0)</f>
        <v>108</v>
      </c>
      <c r="R100" s="309">
        <f>IF(P100=0,"",Q100/P100-1)</f>
        <v>-0.36470588235294121</v>
      </c>
    </row>
    <row r="101" spans="1:18" x14ac:dyDescent="0.25">
      <c r="A101" s="303">
        <v>3304</v>
      </c>
      <c r="B101" s="303" t="s">
        <v>170</v>
      </c>
      <c r="C101" s="303" t="s">
        <v>175</v>
      </c>
      <c r="D101" s="304">
        <v>980</v>
      </c>
      <c r="E101" s="304">
        <v>180</v>
      </c>
      <c r="F101" s="305">
        <f>(D101*E101)/10000</f>
        <v>17.64</v>
      </c>
      <c r="G101" s="304">
        <v>53</v>
      </c>
      <c r="H101" s="304">
        <f>ROUND(F101*$C$8+$D$8,0)</f>
        <v>34</v>
      </c>
      <c r="I101" s="306">
        <f>IF(G101=0,"",H101/G101-1)</f>
        <v>-0.35849056603773588</v>
      </c>
      <c r="J101" s="304">
        <v>158</v>
      </c>
      <c r="K101" s="304">
        <f>ROUND(F101*$E$8+$F$8,0)</f>
        <v>124</v>
      </c>
      <c r="L101" s="306">
        <f>IF(J101=0,"",K101/J101-1)</f>
        <v>-0.21518987341772156</v>
      </c>
      <c r="M101" s="304">
        <v>174</v>
      </c>
      <c r="N101" s="304">
        <f>ROUND(F101*$G$8+$H$8,0)</f>
        <v>129</v>
      </c>
      <c r="O101" s="306">
        <f>IF(M101=0,"",N101/M101-1)</f>
        <v>-0.25862068965517238</v>
      </c>
      <c r="P101" s="304">
        <v>183</v>
      </c>
      <c r="Q101" s="304">
        <f>ROUND(F101*$I$8+$J$8,0)</f>
        <v>129</v>
      </c>
      <c r="R101" s="306">
        <f>IF(P101=0,"",Q101/P101-1)</f>
        <v>-0.29508196721311475</v>
      </c>
    </row>
    <row r="102" spans="1:18" x14ac:dyDescent="0.25">
      <c r="A102" s="291">
        <v>3305</v>
      </c>
      <c r="B102" s="291" t="s">
        <v>170</v>
      </c>
      <c r="C102" s="291" t="s">
        <v>176</v>
      </c>
      <c r="D102" s="307">
        <v>360</v>
      </c>
      <c r="E102" s="307">
        <v>360</v>
      </c>
      <c r="F102" s="308">
        <f>(D102*E102)/10000</f>
        <v>12.96</v>
      </c>
      <c r="G102" s="307">
        <v>26</v>
      </c>
      <c r="H102" s="307">
        <f>ROUND(F102*$C$8+$D$8,0)</f>
        <v>28</v>
      </c>
      <c r="I102" s="309">
        <f>IF(G102=0,"",H102/G102-1)</f>
        <v>7.6923076923076872E-2</v>
      </c>
      <c r="J102" s="307">
        <v>81</v>
      </c>
      <c r="K102" s="307">
        <f>ROUND(F102*$E$8+$F$8,0)</f>
        <v>112</v>
      </c>
      <c r="L102" s="309">
        <f>IF(J102=0,"",K102/J102-1)</f>
        <v>0.38271604938271597</v>
      </c>
      <c r="M102" s="307">
        <v>89</v>
      </c>
      <c r="N102" s="307">
        <f>ROUND(F102*$G$8+$H$8,0)</f>
        <v>111</v>
      </c>
      <c r="O102" s="309">
        <f>IF(M102=0,"",N102/M102-1)</f>
        <v>0.24719101123595499</v>
      </c>
      <c r="P102" s="307">
        <v>142</v>
      </c>
      <c r="Q102" s="307">
        <f>ROUND(F102*$I$8+$J$8,0)</f>
        <v>102</v>
      </c>
      <c r="R102" s="309">
        <f>IF(P102=0,"",Q102/P102-1)</f>
        <v>-0.28169014084507038</v>
      </c>
    </row>
    <row r="103" spans="1:18" x14ac:dyDescent="0.25">
      <c r="A103" s="303">
        <v>3306</v>
      </c>
      <c r="B103" s="303" t="s">
        <v>170</v>
      </c>
      <c r="C103" s="303" t="s">
        <v>177</v>
      </c>
      <c r="D103" s="304">
        <v>420</v>
      </c>
      <c r="E103" s="304">
        <v>360</v>
      </c>
      <c r="F103" s="305">
        <f>(D103*E103)/10000</f>
        <v>15.12</v>
      </c>
      <c r="G103" s="304">
        <v>26</v>
      </c>
      <c r="H103" s="304">
        <f>ROUND(F103*$C$8+$D$8,0)</f>
        <v>31</v>
      </c>
      <c r="I103" s="306">
        <f>IF(G103=0,"",H103/G103-1)</f>
        <v>0.19230769230769229</v>
      </c>
      <c r="J103" s="304">
        <v>86</v>
      </c>
      <c r="K103" s="304">
        <f>ROUND(F103*$E$8+$F$8,0)</f>
        <v>117</v>
      </c>
      <c r="L103" s="306">
        <f>IF(J103=0,"",K103/J103-1)</f>
        <v>0.36046511627906974</v>
      </c>
      <c r="M103" s="304">
        <v>92</v>
      </c>
      <c r="N103" s="304">
        <f>ROUND(F103*$G$8+$H$8,0)</f>
        <v>119</v>
      </c>
      <c r="O103" s="306">
        <f>IF(M103=0,"",N103/M103-1)</f>
        <v>0.29347826086956519</v>
      </c>
      <c r="P103" s="304">
        <v>142</v>
      </c>
      <c r="Q103" s="304">
        <f>ROUND(F103*$I$8+$J$8,0)</f>
        <v>114</v>
      </c>
      <c r="R103" s="306">
        <f>IF(P103=0,"",Q103/P103-1)</f>
        <v>-0.19718309859154926</v>
      </c>
    </row>
    <row r="104" spans="1:18" x14ac:dyDescent="0.25">
      <c r="A104" s="291">
        <v>3307</v>
      </c>
      <c r="B104" s="291" t="s">
        <v>170</v>
      </c>
      <c r="C104" s="291" t="s">
        <v>178</v>
      </c>
      <c r="D104" s="307">
        <v>580</v>
      </c>
      <c r="E104" s="307">
        <v>360</v>
      </c>
      <c r="F104" s="308">
        <f>(D104*E104)/10000</f>
        <v>20.88</v>
      </c>
      <c r="G104" s="307">
        <v>32</v>
      </c>
      <c r="H104" s="307">
        <f>ROUND(F104*$C$8+$D$8,0)</f>
        <v>38</v>
      </c>
      <c r="I104" s="309">
        <f>IF(G104=0,"",H104/G104-1)</f>
        <v>0.1875</v>
      </c>
      <c r="J104" s="307">
        <v>114</v>
      </c>
      <c r="K104" s="307">
        <f>ROUND(F104*$E$8+$F$8,0)</f>
        <v>133</v>
      </c>
      <c r="L104" s="309">
        <f>IF(J104=0,"",K104/J104-1)</f>
        <v>0.16666666666666674</v>
      </c>
      <c r="M104" s="307">
        <v>130</v>
      </c>
      <c r="N104" s="307">
        <f>ROUND(F104*$G$8+$H$8,0)</f>
        <v>142</v>
      </c>
      <c r="O104" s="309">
        <f>IF(M104=0,"",N104/M104-1)</f>
        <v>9.2307692307692202E-2</v>
      </c>
      <c r="P104" s="307">
        <v>148</v>
      </c>
      <c r="Q104" s="307">
        <f>ROUND(F104*$I$8+$J$8,0)</f>
        <v>147</v>
      </c>
      <c r="R104" s="309">
        <f>IF(P104=0,"",Q104/P104-1)</f>
        <v>-6.7567567567567988E-3</v>
      </c>
    </row>
    <row r="105" spans="1:18" x14ac:dyDescent="0.25">
      <c r="A105" s="303">
        <v>3308</v>
      </c>
      <c r="B105" s="303" t="s">
        <v>170</v>
      </c>
      <c r="C105" s="303" t="s">
        <v>179</v>
      </c>
      <c r="D105" s="304">
        <v>780</v>
      </c>
      <c r="E105" s="304">
        <v>360</v>
      </c>
      <c r="F105" s="305">
        <f>(D105*E105)/10000</f>
        <v>28.08</v>
      </c>
      <c r="G105" s="304">
        <v>42</v>
      </c>
      <c r="H105" s="304">
        <f>ROUND(F105*$C$8+$D$8,0)</f>
        <v>48</v>
      </c>
      <c r="I105" s="306">
        <f>IF(G105=0,"",H105/G105-1)</f>
        <v>0.14285714285714279</v>
      </c>
      <c r="J105" s="304">
        <v>131</v>
      </c>
      <c r="K105" s="304">
        <f>ROUND(F105*$E$8+$F$8,0)</f>
        <v>152</v>
      </c>
      <c r="L105" s="306">
        <f>IF(J105=0,"",K105/J105-1)</f>
        <v>0.16030534351145032</v>
      </c>
      <c r="M105" s="304">
        <v>144</v>
      </c>
      <c r="N105" s="304">
        <f>ROUND(F105*$G$8+$H$8,0)</f>
        <v>170</v>
      </c>
      <c r="O105" s="306">
        <f>IF(M105=0,"",N105/M105-1)</f>
        <v>0.18055555555555558</v>
      </c>
      <c r="P105" s="304">
        <v>152</v>
      </c>
      <c r="Q105" s="304">
        <f>ROUND(F105*$I$8+$J$8,0)</f>
        <v>189</v>
      </c>
      <c r="R105" s="306">
        <f>IF(P105=0,"",Q105/P105-1)</f>
        <v>0.24342105263157898</v>
      </c>
    </row>
    <row r="106" spans="1:18" x14ac:dyDescent="0.25">
      <c r="A106" s="291">
        <v>3309</v>
      </c>
      <c r="B106" s="291" t="s">
        <v>170</v>
      </c>
      <c r="C106" s="291" t="s">
        <v>180</v>
      </c>
      <c r="D106" s="307">
        <v>980</v>
      </c>
      <c r="E106" s="307">
        <v>360</v>
      </c>
      <c r="F106" s="308">
        <f>(D106*E106)/10000</f>
        <v>35.28</v>
      </c>
      <c r="G106" s="307">
        <v>53</v>
      </c>
      <c r="H106" s="307">
        <f>ROUND(F106*$C$8+$D$8,0)</f>
        <v>57</v>
      </c>
      <c r="I106" s="309">
        <f>IF(G106=0,"",H106/G106-1)</f>
        <v>7.547169811320753E-2</v>
      </c>
      <c r="J106" s="307">
        <v>158</v>
      </c>
      <c r="K106" s="307">
        <f>ROUND(F106*$E$8+$F$8,0)</f>
        <v>171</v>
      </c>
      <c r="L106" s="309">
        <f>IF(J106=0,"",K106/J106-1)</f>
        <v>8.2278481012658222E-2</v>
      </c>
      <c r="M106" s="307">
        <v>174</v>
      </c>
      <c r="N106" s="307">
        <f>ROUND(F106*$G$8+$H$8,0)</f>
        <v>198</v>
      </c>
      <c r="O106" s="309">
        <f>IF(M106=0,"",N106/M106-1)</f>
        <v>0.13793103448275867</v>
      </c>
      <c r="P106" s="307">
        <v>167</v>
      </c>
      <c r="Q106" s="307">
        <f>ROUND(F106*$I$8+$J$8,0)</f>
        <v>230</v>
      </c>
      <c r="R106" s="309">
        <f>IF(P106=0,"",Q106/P106-1)</f>
        <v>0.3772455089820359</v>
      </c>
    </row>
    <row r="107" spans="1:18" x14ac:dyDescent="0.25">
      <c r="A107" s="303">
        <v>3310</v>
      </c>
      <c r="B107" s="303" t="s">
        <v>170</v>
      </c>
      <c r="C107" s="303" t="s">
        <v>181</v>
      </c>
      <c r="D107" s="304">
        <v>360</v>
      </c>
      <c r="E107" s="304">
        <v>720</v>
      </c>
      <c r="F107" s="305">
        <f>(D107*E107)/10000</f>
        <v>25.92</v>
      </c>
      <c r="G107" s="304">
        <v>39</v>
      </c>
      <c r="H107" s="304">
        <f>ROUND(F107*$C$8+$D$8,0)</f>
        <v>45</v>
      </c>
      <c r="I107" s="306">
        <f>IF(G107=0,"",H107/G107-1)</f>
        <v>0.15384615384615374</v>
      </c>
      <c r="J107" s="304">
        <v>129</v>
      </c>
      <c r="K107" s="304">
        <f>ROUND(F107*$E$8+$F$8,0)</f>
        <v>146</v>
      </c>
      <c r="L107" s="306">
        <f>IF(J107=0,"",K107/J107-1)</f>
        <v>0.13178294573643412</v>
      </c>
      <c r="M107" s="304">
        <v>143</v>
      </c>
      <c r="N107" s="304">
        <f>ROUND(F107*$G$8+$H$8,0)</f>
        <v>162</v>
      </c>
      <c r="O107" s="306">
        <f>IF(M107=0,"",N107/M107-1)</f>
        <v>0.13286713286713292</v>
      </c>
      <c r="P107" s="304">
        <v>170</v>
      </c>
      <c r="Q107" s="304">
        <f>ROUND(F107*$I$8+$J$8,0)</f>
        <v>176</v>
      </c>
      <c r="R107" s="306">
        <f>IF(P107=0,"",Q107/P107-1)</f>
        <v>3.529411764705892E-2</v>
      </c>
    </row>
    <row r="108" spans="1:18" x14ac:dyDescent="0.25">
      <c r="A108" s="291">
        <v>3311</v>
      </c>
      <c r="B108" s="291" t="s">
        <v>170</v>
      </c>
      <c r="C108" s="291" t="s">
        <v>182</v>
      </c>
      <c r="D108" s="307">
        <v>420</v>
      </c>
      <c r="E108" s="307">
        <v>720</v>
      </c>
      <c r="F108" s="308">
        <f>(D108*E108)/10000</f>
        <v>30.24</v>
      </c>
      <c r="G108" s="307">
        <v>45</v>
      </c>
      <c r="H108" s="307">
        <f>ROUND(F108*$C$8+$D$8,0)</f>
        <v>51</v>
      </c>
      <c r="I108" s="309">
        <f>IF(G108=0,"",H108/G108-1)</f>
        <v>0.1333333333333333</v>
      </c>
      <c r="J108" s="307">
        <v>151</v>
      </c>
      <c r="K108" s="307">
        <f>ROUND(F108*$E$8+$F$8,0)</f>
        <v>158</v>
      </c>
      <c r="L108" s="309">
        <f>IF(J108=0,"",K108/J108-1)</f>
        <v>4.635761589403975E-2</v>
      </c>
      <c r="M108" s="307">
        <v>166</v>
      </c>
      <c r="N108" s="307">
        <f>ROUND(F108*$G$8+$H$8,0)</f>
        <v>179</v>
      </c>
      <c r="O108" s="309">
        <f>IF(M108=0,"",N108/M108-1)</f>
        <v>7.8313253012048278E-2</v>
      </c>
      <c r="P108" s="307">
        <v>170</v>
      </c>
      <c r="Q108" s="307">
        <f>ROUND(F108*$I$8+$J$8,0)</f>
        <v>201</v>
      </c>
      <c r="R108" s="309">
        <f>IF(P108=0,"",Q108/P108-1)</f>
        <v>0.18235294117647061</v>
      </c>
    </row>
    <row r="109" spans="1:18" x14ac:dyDescent="0.25">
      <c r="A109" s="303">
        <v>3312</v>
      </c>
      <c r="B109" s="303" t="s">
        <v>170</v>
      </c>
      <c r="C109" s="303" t="s">
        <v>183</v>
      </c>
      <c r="D109" s="304">
        <v>580</v>
      </c>
      <c r="E109" s="304">
        <v>720</v>
      </c>
      <c r="F109" s="305">
        <f>(D109*E109)/10000</f>
        <v>41.76</v>
      </c>
      <c r="G109" s="304">
        <v>62</v>
      </c>
      <c r="H109" s="304">
        <f>ROUND(F109*$C$8+$D$8,0)</f>
        <v>66</v>
      </c>
      <c r="I109" s="306">
        <f>IF(G109=0,"",H109/G109-1)</f>
        <v>6.4516129032258007E-2</v>
      </c>
      <c r="J109" s="304">
        <v>186</v>
      </c>
      <c r="K109" s="304">
        <f>ROUND(F109*$E$8+$F$8,0)</f>
        <v>188</v>
      </c>
      <c r="L109" s="306">
        <f>IF(J109=0,"",K109/J109-1)</f>
        <v>1.0752688172043001E-2</v>
      </c>
      <c r="M109" s="304">
        <v>216</v>
      </c>
      <c r="N109" s="304">
        <f>ROUND(F109*$G$8+$H$8,0)</f>
        <v>224</v>
      </c>
      <c r="O109" s="306">
        <f>IF(M109=0,"",N109/M109-1)</f>
        <v>3.7037037037036979E-2</v>
      </c>
      <c r="P109" s="304">
        <v>196</v>
      </c>
      <c r="Q109" s="304">
        <f>ROUND(F109*$I$8+$J$8,0)</f>
        <v>268</v>
      </c>
      <c r="R109" s="306">
        <f>IF(P109=0,"",Q109/P109-1)</f>
        <v>0.36734693877551017</v>
      </c>
    </row>
    <row r="110" spans="1:18" x14ac:dyDescent="0.25">
      <c r="A110" s="291">
        <v>3313</v>
      </c>
      <c r="B110" s="291" t="s">
        <v>170</v>
      </c>
      <c r="C110" s="291" t="s">
        <v>184</v>
      </c>
      <c r="D110" s="307">
        <v>780</v>
      </c>
      <c r="E110" s="307">
        <v>720</v>
      </c>
      <c r="F110" s="308">
        <f>(D110*E110)/10000</f>
        <v>56.16</v>
      </c>
      <c r="G110" s="307">
        <v>80</v>
      </c>
      <c r="H110" s="307">
        <f>ROUND(F110*$C$8+$D$8,0)</f>
        <v>84</v>
      </c>
      <c r="I110" s="309">
        <f>IF(G110=0,"",H110/G110-1)</f>
        <v>5.0000000000000044E-2</v>
      </c>
      <c r="J110" s="307">
        <v>252</v>
      </c>
      <c r="K110" s="307">
        <f>ROUND(F110*$E$8+$F$8,0)</f>
        <v>227</v>
      </c>
      <c r="L110" s="309">
        <f>IF(J110=0,"",K110/J110-1)</f>
        <v>-9.9206349206349187E-2</v>
      </c>
      <c r="M110" s="307">
        <v>277</v>
      </c>
      <c r="N110" s="307">
        <f>ROUND(F110*$G$8+$H$8,0)</f>
        <v>281</v>
      </c>
      <c r="O110" s="309">
        <f>IF(M110=0,"",N110/M110-1)</f>
        <v>1.4440433212996373E-2</v>
      </c>
      <c r="P110" s="307">
        <v>214</v>
      </c>
      <c r="Q110" s="307">
        <f>ROUND(F110*$I$8+$J$8,0)</f>
        <v>351</v>
      </c>
      <c r="R110" s="309">
        <f>IF(P110=0,"",Q110/P110-1)</f>
        <v>0.64018691588785037</v>
      </c>
    </row>
    <row r="111" spans="1:18" x14ac:dyDescent="0.25">
      <c r="A111" s="303">
        <v>3314</v>
      </c>
      <c r="B111" s="303" t="s">
        <v>170</v>
      </c>
      <c r="C111" s="303" t="s">
        <v>185</v>
      </c>
      <c r="D111" s="304">
        <v>980</v>
      </c>
      <c r="E111" s="304">
        <v>720</v>
      </c>
      <c r="F111" s="305">
        <f>(D111*E111)/10000</f>
        <v>70.56</v>
      </c>
      <c r="G111" s="304">
        <v>101</v>
      </c>
      <c r="H111" s="304">
        <f>ROUND(F111*$C$8+$D$8,0)</f>
        <v>103</v>
      </c>
      <c r="I111" s="306">
        <f>IF(G111=0,"",H111/G111-1)</f>
        <v>1.980198019801982E-2</v>
      </c>
      <c r="J111" s="304">
        <v>288</v>
      </c>
      <c r="K111" s="304">
        <f>ROUND(F111*$E$8+$F$8,0)</f>
        <v>265</v>
      </c>
      <c r="L111" s="306">
        <f>IF(J111=0,"",K111/J111-1)</f>
        <v>-7.986111111111116E-2</v>
      </c>
      <c r="M111" s="304">
        <v>320</v>
      </c>
      <c r="N111" s="304">
        <f>ROUND(F111*$G$8+$H$8,0)</f>
        <v>337</v>
      </c>
      <c r="O111" s="306">
        <f>IF(M111=0,"",N111/M111-1)</f>
        <v>5.3125000000000089E-2</v>
      </c>
      <c r="P111" s="304">
        <v>263</v>
      </c>
      <c r="Q111" s="304">
        <f>ROUND(F111*$I$8+$J$8,0)</f>
        <v>434</v>
      </c>
      <c r="R111" s="306">
        <f>IF(P111=0,"",Q111/P111-1)</f>
        <v>0.65019011406844096</v>
      </c>
    </row>
    <row r="112" spans="1:18" x14ac:dyDescent="0.25">
      <c r="A112" s="291">
        <v>3315</v>
      </c>
      <c r="B112" s="291" t="s">
        <v>170</v>
      </c>
      <c r="C112" s="291" t="s">
        <v>186</v>
      </c>
      <c r="D112" s="307">
        <v>360</v>
      </c>
      <c r="E112" s="307">
        <v>1080</v>
      </c>
      <c r="F112" s="308">
        <f>(D112*E112)/10000</f>
        <v>38.880000000000003</v>
      </c>
      <c r="G112" s="307">
        <v>66</v>
      </c>
      <c r="H112" s="307">
        <f>ROUND(F112*$C$8+$D$8,0)</f>
        <v>62</v>
      </c>
      <c r="I112" s="309">
        <f>IF(G112=0,"",H112/G112-1)</f>
        <v>-6.0606060606060552E-2</v>
      </c>
      <c r="J112" s="307">
        <v>190</v>
      </c>
      <c r="K112" s="307">
        <f>ROUND(F112*$E$8+$F$8,0)</f>
        <v>181</v>
      </c>
      <c r="L112" s="309">
        <f>IF(J112=0,"",K112/J112-1)</f>
        <v>-4.7368421052631615E-2</v>
      </c>
      <c r="M112" s="307">
        <v>222</v>
      </c>
      <c r="N112" s="307">
        <f>ROUND(F112*$G$8+$H$8,0)</f>
        <v>213</v>
      </c>
      <c r="O112" s="309">
        <f>IF(M112=0,"",N112/M112-1)</f>
        <v>-4.0540540540540571E-2</v>
      </c>
      <c r="P112" s="307">
        <v>192</v>
      </c>
      <c r="Q112" s="307">
        <f>ROUND(F112*$I$8+$J$8,0)</f>
        <v>251</v>
      </c>
      <c r="R112" s="309">
        <f>IF(P112=0,"",Q112/P112-1)</f>
        <v>0.30729166666666674</v>
      </c>
    </row>
    <row r="113" spans="1:18" x14ac:dyDescent="0.25">
      <c r="A113" s="303">
        <v>3316</v>
      </c>
      <c r="B113" s="303" t="s">
        <v>170</v>
      </c>
      <c r="C113" s="303" t="s">
        <v>187</v>
      </c>
      <c r="D113" s="304">
        <v>420</v>
      </c>
      <c r="E113" s="304">
        <v>1080</v>
      </c>
      <c r="F113" s="305">
        <f>(D113*E113)/10000</f>
        <v>45.36</v>
      </c>
      <c r="G113" s="304">
        <v>66</v>
      </c>
      <c r="H113" s="304">
        <f>ROUND(F113*$C$8+$D$8,0)</f>
        <v>70</v>
      </c>
      <c r="I113" s="306">
        <f>IF(G113=0,"",H113/G113-1)</f>
        <v>6.0606060606060552E-2</v>
      </c>
      <c r="J113" s="304">
        <v>216</v>
      </c>
      <c r="K113" s="304">
        <f>ROUND(F113*$E$8+$F$8,0)</f>
        <v>198</v>
      </c>
      <c r="L113" s="306">
        <f>IF(J113=0,"",K113/J113-1)</f>
        <v>-8.333333333333337E-2</v>
      </c>
      <c r="M113" s="304">
        <v>241</v>
      </c>
      <c r="N113" s="304">
        <f>ROUND(F113*$G$8+$H$8,0)</f>
        <v>238</v>
      </c>
      <c r="O113" s="306">
        <f>IF(M113=0,"",N113/M113-1)</f>
        <v>-1.2448132780082943E-2</v>
      </c>
      <c r="P113" s="304">
        <v>207</v>
      </c>
      <c r="Q113" s="304">
        <f>ROUND(F113*$I$8+$J$8,0)</f>
        <v>288</v>
      </c>
      <c r="R113" s="306">
        <f>IF(P113=0,"",Q113/P113-1)</f>
        <v>0.39130434782608692</v>
      </c>
    </row>
    <row r="114" spans="1:18" x14ac:dyDescent="0.25">
      <c r="A114" s="291">
        <v>3317</v>
      </c>
      <c r="B114" s="291" t="s">
        <v>170</v>
      </c>
      <c r="C114" s="291" t="s">
        <v>188</v>
      </c>
      <c r="D114" s="307">
        <v>580</v>
      </c>
      <c r="E114" s="307">
        <v>1080</v>
      </c>
      <c r="F114" s="308">
        <f>(D114*E114)/10000</f>
        <v>62.64</v>
      </c>
      <c r="G114" s="307">
        <v>89</v>
      </c>
      <c r="H114" s="307">
        <f>ROUND(F114*$C$8+$D$8,0)</f>
        <v>93</v>
      </c>
      <c r="I114" s="309">
        <f>IF(G114=0,"",H114/G114-1)</f>
        <v>4.4943820224719211E-2</v>
      </c>
      <c r="J114" s="307">
        <v>268</v>
      </c>
      <c r="K114" s="307">
        <f>ROUND(F114*$E$8+$F$8,0)</f>
        <v>244</v>
      </c>
      <c r="L114" s="309">
        <f>IF(J114=0,"",K114/J114-1)</f>
        <v>-8.9552238805970186E-2</v>
      </c>
      <c r="M114" s="307">
        <v>300</v>
      </c>
      <c r="N114" s="307">
        <f>ROUND(F114*$G$8+$H$8,0)</f>
        <v>306</v>
      </c>
      <c r="O114" s="309">
        <f>IF(M114=0,"",N114/M114-1)</f>
        <v>2.0000000000000018E-2</v>
      </c>
      <c r="P114" s="307">
        <v>246</v>
      </c>
      <c r="Q114" s="307">
        <f>ROUND(F114*$I$8+$J$8,0)</f>
        <v>388</v>
      </c>
      <c r="R114" s="309">
        <f>IF(P114=0,"",Q114/P114-1)</f>
        <v>0.5772357723577235</v>
      </c>
    </row>
    <row r="115" spans="1:18" x14ac:dyDescent="0.25">
      <c r="A115" s="303">
        <v>3318</v>
      </c>
      <c r="B115" s="303" t="s">
        <v>170</v>
      </c>
      <c r="C115" s="303" t="s">
        <v>189</v>
      </c>
      <c r="D115" s="304">
        <v>780</v>
      </c>
      <c r="E115" s="304">
        <v>1080</v>
      </c>
      <c r="F115" s="305">
        <f>(D115*E115)/10000</f>
        <v>84.24</v>
      </c>
      <c r="G115" s="304">
        <v>121</v>
      </c>
      <c r="H115" s="304">
        <f>ROUND(F115*$C$8+$D$8,0)</f>
        <v>121</v>
      </c>
      <c r="I115" s="306">
        <f>IF(G115=0,"",H115/G115-1)</f>
        <v>0</v>
      </c>
      <c r="J115" s="304">
        <v>367</v>
      </c>
      <c r="K115" s="304">
        <f>ROUND(F115*$E$8+$F$8,0)</f>
        <v>302</v>
      </c>
      <c r="L115" s="306">
        <f>IF(J115=0,"",K115/J115-1)</f>
        <v>-0.17711171662125336</v>
      </c>
      <c r="M115" s="304">
        <v>409</v>
      </c>
      <c r="N115" s="304">
        <f>ROUND(F115*$G$8+$H$8,0)</f>
        <v>391</v>
      </c>
      <c r="O115" s="306">
        <f>IF(M115=0,"",N115/M115-1)</f>
        <v>-4.4009779951100225E-2</v>
      </c>
      <c r="P115" s="304">
        <v>308</v>
      </c>
      <c r="Q115" s="304">
        <f>ROUND(F115*$I$8+$J$8,0)</f>
        <v>513</v>
      </c>
      <c r="R115" s="306">
        <f>IF(P115=0,"",Q115/P115-1)</f>
        <v>0.6655844155844155</v>
      </c>
    </row>
    <row r="116" spans="1:18" x14ac:dyDescent="0.25">
      <c r="A116" s="291">
        <v>3319</v>
      </c>
      <c r="B116" s="291" t="s">
        <v>170</v>
      </c>
      <c r="C116" s="291" t="s">
        <v>190</v>
      </c>
      <c r="D116" s="307">
        <v>980</v>
      </c>
      <c r="E116" s="307">
        <v>1080</v>
      </c>
      <c r="F116" s="308">
        <f>(D116*E116)/10000</f>
        <v>105.84</v>
      </c>
      <c r="G116" s="307">
        <v>150</v>
      </c>
      <c r="H116" s="307">
        <f>ROUND(F116*$C$8+$D$8,0)</f>
        <v>149</v>
      </c>
      <c r="I116" s="309">
        <f>IF(G116=0,"",H116/G116-1)</f>
        <v>-6.6666666666667096E-3</v>
      </c>
      <c r="J116" s="307">
        <v>444</v>
      </c>
      <c r="K116" s="307">
        <f>ROUND(F116*$E$8+$F$8,0)</f>
        <v>359</v>
      </c>
      <c r="L116" s="309">
        <f>IF(J116=0,"",K116/J116-1)</f>
        <v>-0.19144144144144148</v>
      </c>
      <c r="M116" s="307">
        <v>474</v>
      </c>
      <c r="N116" s="307">
        <f>ROUND(F116*$G$8+$H$8,0)</f>
        <v>476</v>
      </c>
      <c r="O116" s="309">
        <f>IF(M116=0,"",N116/M116-1)</f>
        <v>4.2194092827003704E-3</v>
      </c>
      <c r="P116" s="307">
        <v>345</v>
      </c>
      <c r="Q116" s="307">
        <f>ROUND(F116*$I$8+$J$8,0)</f>
        <v>637</v>
      </c>
      <c r="R116" s="309">
        <f>IF(P116=0,"",Q116/P116-1)</f>
        <v>0.84637681159420297</v>
      </c>
    </row>
    <row r="117" spans="1:18" x14ac:dyDescent="0.25">
      <c r="A117" s="303">
        <v>3320</v>
      </c>
      <c r="B117" s="303" t="s">
        <v>170</v>
      </c>
      <c r="C117" s="303" t="s">
        <v>191</v>
      </c>
      <c r="D117" s="304">
        <v>360</v>
      </c>
      <c r="E117" s="304">
        <v>1440</v>
      </c>
      <c r="F117" s="305">
        <f>(D117*E117)/10000</f>
        <v>51.84</v>
      </c>
      <c r="G117" s="304">
        <v>75</v>
      </c>
      <c r="H117" s="304">
        <f>ROUND(F117*$C$8+$D$8,0)</f>
        <v>79</v>
      </c>
      <c r="I117" s="306">
        <f>IF(G117=0,"",H117/G117-1)</f>
        <v>5.3333333333333233E-2</v>
      </c>
      <c r="J117" s="304">
        <v>239</v>
      </c>
      <c r="K117" s="304">
        <f>ROUND(F117*$E$8+$F$8,0)</f>
        <v>215</v>
      </c>
      <c r="L117" s="306">
        <f>IF(J117=0,"",K117/J117-1)</f>
        <v>-0.10041841004184104</v>
      </c>
      <c r="M117" s="304">
        <v>281</v>
      </c>
      <c r="N117" s="304">
        <f>ROUND(F117*$G$8+$H$8,0)</f>
        <v>264</v>
      </c>
      <c r="O117" s="306">
        <f>IF(M117=0,"",N117/M117-1)</f>
        <v>-6.0498220640569422E-2</v>
      </c>
      <c r="P117" s="304">
        <v>423</v>
      </c>
      <c r="Q117" s="304">
        <f>ROUND(F117*$I$8+$J$8,0)</f>
        <v>326</v>
      </c>
      <c r="R117" s="306">
        <f>IF(P117=0,"",Q117/P117-1)</f>
        <v>-0.2293144208037825</v>
      </c>
    </row>
    <row r="118" spans="1:18" x14ac:dyDescent="0.25">
      <c r="A118" s="291">
        <v>3321</v>
      </c>
      <c r="B118" s="291" t="s">
        <v>170</v>
      </c>
      <c r="C118" s="291" t="s">
        <v>192</v>
      </c>
      <c r="D118" s="307">
        <v>420</v>
      </c>
      <c r="E118" s="307">
        <v>1440</v>
      </c>
      <c r="F118" s="308">
        <f>(D118*E118)/10000</f>
        <v>60.48</v>
      </c>
      <c r="G118" s="307">
        <v>86</v>
      </c>
      <c r="H118" s="307">
        <f>ROUND(F118*$C$8+$D$8,0)</f>
        <v>90</v>
      </c>
      <c r="I118" s="309">
        <f>IF(G118=0,"",H118/G118-1)</f>
        <v>4.6511627906976827E-2</v>
      </c>
      <c r="J118" s="307">
        <v>259</v>
      </c>
      <c r="K118" s="307">
        <f>ROUND(F118*$E$8+$F$8,0)</f>
        <v>238</v>
      </c>
      <c r="L118" s="309">
        <f>IF(J118=0,"",K118/J118-1)</f>
        <v>-8.108108108108103E-2</v>
      </c>
      <c r="M118" s="307">
        <v>291</v>
      </c>
      <c r="N118" s="307">
        <f>ROUND(F118*$G$8+$H$8,0)</f>
        <v>298</v>
      </c>
      <c r="O118" s="309">
        <f>IF(M118=0,"",N118/M118-1)</f>
        <v>2.405498281786933E-2</v>
      </c>
      <c r="P118" s="307">
        <v>438</v>
      </c>
      <c r="Q118" s="307">
        <f>ROUND(F118*$I$8+$J$8,0)</f>
        <v>376</v>
      </c>
      <c r="R118" s="309">
        <f>IF(P118=0,"",Q118/P118-1)</f>
        <v>-0.14155251141552516</v>
      </c>
    </row>
    <row r="119" spans="1:18" x14ac:dyDescent="0.25">
      <c r="A119" s="303">
        <v>3322</v>
      </c>
      <c r="B119" s="303" t="s">
        <v>170</v>
      </c>
      <c r="C119" s="303" t="s">
        <v>193</v>
      </c>
      <c r="D119" s="304">
        <v>580</v>
      </c>
      <c r="E119" s="304">
        <v>1440</v>
      </c>
      <c r="F119" s="305">
        <f>(D119*E119)/10000</f>
        <v>83.52</v>
      </c>
      <c r="G119" s="304">
        <v>119</v>
      </c>
      <c r="H119" s="304">
        <f>ROUND(F119*$C$8+$D$8,0)</f>
        <v>120</v>
      </c>
      <c r="I119" s="306">
        <f>IF(G119=0,"",H119/G119-1)</f>
        <v>8.4033613445377853E-3</v>
      </c>
      <c r="J119" s="304">
        <v>344</v>
      </c>
      <c r="K119" s="304">
        <f>ROUND(F119*$E$8+$F$8,0)</f>
        <v>300</v>
      </c>
      <c r="L119" s="306">
        <f>IF(J119=0,"",K119/J119-1)</f>
        <v>-0.12790697674418605</v>
      </c>
      <c r="M119" s="304">
        <v>400</v>
      </c>
      <c r="N119" s="304">
        <f>ROUND(F119*$G$8+$H$8,0)</f>
        <v>388</v>
      </c>
      <c r="O119" s="306">
        <f>IF(M119=0,"",N119/M119-1)</f>
        <v>-3.0000000000000027E-2</v>
      </c>
      <c r="P119" s="304">
        <v>602</v>
      </c>
      <c r="Q119" s="304">
        <f>ROUND(F119*$I$8+$J$8,0)</f>
        <v>508</v>
      </c>
      <c r="R119" s="306">
        <f>IF(P119=0,"",Q119/P119-1)</f>
        <v>-0.15614617940199338</v>
      </c>
    </row>
    <row r="120" spans="1:18" x14ac:dyDescent="0.25">
      <c r="A120" s="291">
        <v>3323</v>
      </c>
      <c r="B120" s="291" t="s">
        <v>170</v>
      </c>
      <c r="C120" s="291" t="s">
        <v>194</v>
      </c>
      <c r="D120" s="307">
        <v>780</v>
      </c>
      <c r="E120" s="307">
        <v>1440</v>
      </c>
      <c r="F120" s="308">
        <f>(D120*E120)/10000</f>
        <v>112.32</v>
      </c>
      <c r="G120" s="307">
        <v>158</v>
      </c>
      <c r="H120" s="307">
        <f>ROUND(F120*$C$8+$D$8,0)</f>
        <v>158</v>
      </c>
      <c r="I120" s="309">
        <f>IF(G120=0,"",H120/G120-1)</f>
        <v>0</v>
      </c>
      <c r="J120" s="307">
        <v>447</v>
      </c>
      <c r="K120" s="307">
        <f>ROUND(F120*$E$8+$F$8,0)</f>
        <v>376</v>
      </c>
      <c r="L120" s="309">
        <f>IF(J120=0,"",K120/J120-1)</f>
        <v>-0.15883668903803128</v>
      </c>
      <c r="M120" s="307">
        <v>499</v>
      </c>
      <c r="N120" s="307">
        <f>ROUND(F120*$G$8+$H$8,0)</f>
        <v>502</v>
      </c>
      <c r="O120" s="309">
        <f>IF(M120=0,"",N120/M120-1)</f>
        <v>6.0120240480960874E-3</v>
      </c>
      <c r="P120" s="307">
        <v>751</v>
      </c>
      <c r="Q120" s="307">
        <f>ROUND(F120*$I$8+$J$8,0)</f>
        <v>674</v>
      </c>
      <c r="R120" s="309">
        <f>IF(P120=0,"",Q120/P120-1)</f>
        <v>-0.10252996005326231</v>
      </c>
    </row>
    <row r="121" spans="1:18" x14ac:dyDescent="0.25">
      <c r="A121" s="303">
        <v>3324</v>
      </c>
      <c r="B121" s="303" t="s">
        <v>170</v>
      </c>
      <c r="C121" s="303" t="s">
        <v>195</v>
      </c>
      <c r="D121" s="304">
        <v>980</v>
      </c>
      <c r="E121" s="304">
        <v>1440</v>
      </c>
      <c r="F121" s="305">
        <f>(D121*E121)/10000</f>
        <v>141.12</v>
      </c>
      <c r="G121" s="304">
        <v>198</v>
      </c>
      <c r="H121" s="304">
        <f>ROUND(F121*$C$8+$D$8,0)</f>
        <v>196</v>
      </c>
      <c r="I121" s="306">
        <f>IF(G121=0,"",H121/G121-1)</f>
        <v>-1.0101010101010055E-2</v>
      </c>
      <c r="J121" s="304">
        <v>552</v>
      </c>
      <c r="K121" s="304">
        <f>ROUND(F121*$E$8+$F$8,0)</f>
        <v>453</v>
      </c>
      <c r="L121" s="306">
        <f>IF(J121=0,"",K121/J121-1)</f>
        <v>-0.17934782608695654</v>
      </c>
      <c r="M121" s="304">
        <v>616</v>
      </c>
      <c r="N121" s="304">
        <f>ROUND(F121*$G$8+$H$8,0)</f>
        <v>615</v>
      </c>
      <c r="O121" s="306">
        <f>IF(M121=0,"",N121/M121-1)</f>
        <v>-1.6233766233766378E-3</v>
      </c>
      <c r="P121" s="304">
        <v>927</v>
      </c>
      <c r="Q121" s="304">
        <f>ROUND(F121*$I$8+$J$8,0)</f>
        <v>840</v>
      </c>
      <c r="R121" s="306">
        <f>IF(P121=0,"",Q121/P121-1)</f>
        <v>-9.3851132686084138E-2</v>
      </c>
    </row>
    <row r="122" spans="1:18" x14ac:dyDescent="0.25">
      <c r="A122" s="291">
        <v>3325</v>
      </c>
      <c r="B122" s="291" t="s">
        <v>170</v>
      </c>
      <c r="C122" s="291" t="s">
        <v>196</v>
      </c>
      <c r="D122" s="307">
        <v>360</v>
      </c>
      <c r="E122" s="307">
        <v>1800</v>
      </c>
      <c r="F122" s="308">
        <f>(D122*E122)/10000</f>
        <v>64.8</v>
      </c>
      <c r="G122" s="307">
        <v>94</v>
      </c>
      <c r="H122" s="307">
        <f>ROUND(F122*$C$8+$D$8,0)</f>
        <v>96</v>
      </c>
      <c r="I122" s="309">
        <f>IF(G122=0,"",H122/G122-1)</f>
        <v>2.1276595744680771E-2</v>
      </c>
      <c r="J122" s="307">
        <v>175</v>
      </c>
      <c r="K122" s="307">
        <f>ROUND(F122*$E$8+$F$8,0)</f>
        <v>250</v>
      </c>
      <c r="L122" s="309">
        <f>IF(J122=0,"",K122/J122-1)</f>
        <v>0.4285714285714286</v>
      </c>
      <c r="M122" s="307">
        <v>343</v>
      </c>
      <c r="N122" s="307">
        <f>ROUND(F122*$G$8+$H$8,0)</f>
        <v>315</v>
      </c>
      <c r="O122" s="309">
        <f>IF(M122=0,"",N122/M122-1)</f>
        <v>-8.1632653061224469E-2</v>
      </c>
      <c r="P122" s="307">
        <v>516</v>
      </c>
      <c r="Q122" s="307">
        <f>ROUND(F122*$I$8+$J$8,0)</f>
        <v>400</v>
      </c>
      <c r="R122" s="309">
        <f>IF(P122=0,"",Q122/P122-1)</f>
        <v>-0.22480620155038755</v>
      </c>
    </row>
    <row r="123" spans="1:18" x14ac:dyDescent="0.25">
      <c r="A123" s="303">
        <v>3326</v>
      </c>
      <c r="B123" s="303" t="s">
        <v>170</v>
      </c>
      <c r="C123" s="303" t="s">
        <v>197</v>
      </c>
      <c r="D123" s="304">
        <v>420</v>
      </c>
      <c r="E123" s="304">
        <v>1800</v>
      </c>
      <c r="F123" s="305">
        <f>(D123*E123)/10000</f>
        <v>75.599999999999994</v>
      </c>
      <c r="G123" s="304">
        <v>107</v>
      </c>
      <c r="H123" s="304">
        <f>ROUND(F123*$C$8+$D$8,0)</f>
        <v>110</v>
      </c>
      <c r="I123" s="306">
        <f>IF(G123=0,"",H123/G123-1)</f>
        <v>2.8037383177569986E-2</v>
      </c>
      <c r="J123" s="304">
        <v>200</v>
      </c>
      <c r="K123" s="304">
        <f>ROUND(F123*$E$8+$F$8,0)</f>
        <v>278</v>
      </c>
      <c r="L123" s="306">
        <f>IF(J123=0,"",K123/J123-1)</f>
        <v>0.3899999999999999</v>
      </c>
      <c r="M123" s="304">
        <v>350</v>
      </c>
      <c r="N123" s="304">
        <f>ROUND(F123*$G$8+$H$8,0)</f>
        <v>357</v>
      </c>
      <c r="O123" s="306">
        <f>IF(M123=0,"",N123/M123-1)</f>
        <v>2.0000000000000018E-2</v>
      </c>
      <c r="P123" s="304">
        <v>526</v>
      </c>
      <c r="Q123" s="304">
        <f>ROUND(F123*$I$8+$J$8,0)</f>
        <v>463</v>
      </c>
      <c r="R123" s="306">
        <f>IF(P123=0,"",Q123/P123-1)</f>
        <v>-0.11977186311787069</v>
      </c>
    </row>
    <row r="124" spans="1:18" x14ac:dyDescent="0.25">
      <c r="A124" s="291">
        <v>3327</v>
      </c>
      <c r="B124" s="291" t="s">
        <v>170</v>
      </c>
      <c r="C124" s="291" t="s">
        <v>198</v>
      </c>
      <c r="D124" s="307">
        <v>580</v>
      </c>
      <c r="E124" s="307">
        <v>1800</v>
      </c>
      <c r="F124" s="308">
        <f>(D124*E124)/10000</f>
        <v>104.4</v>
      </c>
      <c r="G124" s="307">
        <v>148</v>
      </c>
      <c r="H124" s="307">
        <f>ROUND(F124*$C$8+$D$8,0)</f>
        <v>148</v>
      </c>
      <c r="I124" s="309">
        <f>IF(G124=0,"",H124/G124-1)</f>
        <v>0</v>
      </c>
      <c r="J124" s="307">
        <v>275</v>
      </c>
      <c r="K124" s="307">
        <f>ROUND(F124*$E$8+$F$8,0)</f>
        <v>355</v>
      </c>
      <c r="L124" s="309">
        <f>IF(J124=0,"",K124/J124-1)</f>
        <v>0.29090909090909101</v>
      </c>
      <c r="M124" s="307">
        <v>467</v>
      </c>
      <c r="N124" s="307">
        <f>ROUND(F124*$G$8+$H$8,0)</f>
        <v>470</v>
      </c>
      <c r="O124" s="309">
        <f>IF(M124=0,"",N124/M124-1)</f>
        <v>6.4239828693790635E-3</v>
      </c>
      <c r="P124" s="307">
        <v>703</v>
      </c>
      <c r="Q124" s="307">
        <f>ROUND(F124*$I$8+$J$8,0)</f>
        <v>629</v>
      </c>
      <c r="R124" s="309">
        <f>IF(P124=0,"",Q124/P124-1)</f>
        <v>-0.10526315789473684</v>
      </c>
    </row>
    <row r="125" spans="1:18" x14ac:dyDescent="0.25">
      <c r="A125" s="303">
        <v>3328</v>
      </c>
      <c r="B125" s="303" t="s">
        <v>170</v>
      </c>
      <c r="C125" s="303" t="s">
        <v>199</v>
      </c>
      <c r="D125" s="304">
        <v>780</v>
      </c>
      <c r="E125" s="304">
        <v>1800</v>
      </c>
      <c r="F125" s="305">
        <f>(D125*E125)/10000</f>
        <v>140.4</v>
      </c>
      <c r="G125" s="304">
        <v>198</v>
      </c>
      <c r="H125" s="304">
        <f>ROUND(F125*$C$8+$D$8,0)</f>
        <v>195</v>
      </c>
      <c r="I125" s="306">
        <f>IF(G125=0,"",H125/G125-1)</f>
        <v>-1.5151515151515138E-2</v>
      </c>
      <c r="J125" s="304">
        <v>369</v>
      </c>
      <c r="K125" s="304">
        <f>ROUND(F125*$E$8+$F$8,0)</f>
        <v>451</v>
      </c>
      <c r="L125" s="306">
        <f>IF(J125=0,"",K125/J125-1)</f>
        <v>0.22222222222222232</v>
      </c>
      <c r="M125" s="304">
        <v>612</v>
      </c>
      <c r="N125" s="304">
        <f>ROUND(F125*$G$8+$H$8,0)</f>
        <v>612</v>
      </c>
      <c r="O125" s="306">
        <f>IF(M125=0,"",N125/M125-1)</f>
        <v>0</v>
      </c>
      <c r="P125" s="304">
        <v>921</v>
      </c>
      <c r="Q125" s="304">
        <f>ROUND(F125*$I$8+$J$8,0)</f>
        <v>836</v>
      </c>
      <c r="R125" s="306">
        <f>IF(P125=0,"",Q125/P125-1)</f>
        <v>-9.229098805646041E-2</v>
      </c>
    </row>
    <row r="126" spans="1:18" x14ac:dyDescent="0.25">
      <c r="A126" s="291">
        <v>3329</v>
      </c>
      <c r="B126" s="291" t="s">
        <v>170</v>
      </c>
      <c r="C126" s="291" t="s">
        <v>200</v>
      </c>
      <c r="D126" s="307">
        <v>980</v>
      </c>
      <c r="E126" s="307">
        <v>1800</v>
      </c>
      <c r="F126" s="308">
        <f>(D126*E126)/10000</f>
        <v>176.4</v>
      </c>
      <c r="G126" s="307">
        <v>247</v>
      </c>
      <c r="H126" s="307">
        <f>ROUND(F126*$C$8+$D$8,0)</f>
        <v>242</v>
      </c>
      <c r="I126" s="309">
        <f>IF(G126=0,"",H126/G126-1)</f>
        <v>-2.0242914979757054E-2</v>
      </c>
      <c r="J126" s="307">
        <v>460</v>
      </c>
      <c r="K126" s="307">
        <f>ROUND(F126*$E$8+$F$8,0)</f>
        <v>547</v>
      </c>
      <c r="L126" s="309">
        <f>IF(J126=0,"",K126/J126-1)</f>
        <v>0.1891304347826086</v>
      </c>
      <c r="M126" s="307">
        <v>753</v>
      </c>
      <c r="N126" s="307">
        <f>ROUND(F126*$G$8+$H$8,0)</f>
        <v>754</v>
      </c>
      <c r="O126" s="309">
        <f>IF(M126=0,"",N126/M126-1)</f>
        <v>1.3280212483399723E-3</v>
      </c>
      <c r="P126" s="307">
        <v>1134</v>
      </c>
      <c r="Q126" s="307">
        <f>ROUND(F126*$I$8+$J$8,0)</f>
        <v>1044</v>
      </c>
      <c r="R126" s="309">
        <f>IF(P126=0,"",Q126/P126-1)</f>
        <v>-7.9365079365079416E-2</v>
      </c>
    </row>
    <row r="127" spans="1:18" x14ac:dyDescent="0.25">
      <c r="A127" s="310" t="s">
        <v>201</v>
      </c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</row>
    <row r="128" spans="1:18" x14ac:dyDescent="0.25">
      <c r="A128" s="303">
        <v>3500</v>
      </c>
      <c r="B128" s="303" t="s">
        <v>201</v>
      </c>
      <c r="C128" s="303" t="s">
        <v>202</v>
      </c>
      <c r="D128" s="304">
        <v>360</v>
      </c>
      <c r="E128" s="304">
        <v>180</v>
      </c>
      <c r="F128" s="305">
        <f>(D128*E128)/10000</f>
        <v>6.48</v>
      </c>
      <c r="G128" s="304">
        <v>26</v>
      </c>
      <c r="H128" s="304">
        <f>ROUND(F128*$C$7+$D$7,0)</f>
        <v>19</v>
      </c>
      <c r="I128" s="306">
        <f>IF(G128=0,"",H128/G128-1)</f>
        <v>-0.26923076923076927</v>
      </c>
      <c r="J128" s="304">
        <v>79</v>
      </c>
      <c r="K128" s="304">
        <f>ROUND(F128*$E$7+$F$7,0)</f>
        <v>88</v>
      </c>
      <c r="L128" s="306">
        <f>IF(J128=0,"",K128/J128-1)</f>
        <v>0.11392405063291133</v>
      </c>
      <c r="M128" s="304">
        <v>88</v>
      </c>
      <c r="N128" s="304">
        <f>ROUND(F128*$G$7+$H$7,0)</f>
        <v>85</v>
      </c>
      <c r="O128" s="306">
        <f>IF(M128=0,"",N128/M128-1)</f>
        <v>-3.4090909090909061E-2</v>
      </c>
      <c r="P128" s="304">
        <v>161</v>
      </c>
      <c r="Q128" s="304">
        <f>ROUND(F128*$I$7+$J$7,0)</f>
        <v>44</v>
      </c>
      <c r="R128" s="306">
        <f>IF(P128=0,"",Q128/P128-1)</f>
        <v>-0.72670807453416142</v>
      </c>
    </row>
    <row r="129" spans="1:18" x14ac:dyDescent="0.25">
      <c r="A129" s="291">
        <v>3501</v>
      </c>
      <c r="B129" s="291" t="s">
        <v>201</v>
      </c>
      <c r="C129" s="291" t="s">
        <v>203</v>
      </c>
      <c r="D129" s="307">
        <v>360</v>
      </c>
      <c r="E129" s="307">
        <v>360</v>
      </c>
      <c r="F129" s="308">
        <f>(D129*E129)/10000</f>
        <v>12.96</v>
      </c>
      <c r="G129" s="307">
        <v>26</v>
      </c>
      <c r="H129" s="307">
        <f>ROUND(F129*$C$7+$D$7,0)</f>
        <v>28</v>
      </c>
      <c r="I129" s="309">
        <f>IF(G129=0,"",H129/G129-1)</f>
        <v>7.6923076923076872E-2</v>
      </c>
      <c r="J129" s="307">
        <v>79</v>
      </c>
      <c r="K129" s="307">
        <f>ROUND(F129*$E$7+$F$7,0)</f>
        <v>105</v>
      </c>
      <c r="L129" s="309">
        <f>IF(J129=0,"",K129/J129-1)</f>
        <v>0.32911392405063289</v>
      </c>
      <c r="M129" s="307">
        <v>88</v>
      </c>
      <c r="N129" s="307">
        <f>ROUND(F129*$G$7+$H$7,0)</f>
        <v>110</v>
      </c>
      <c r="O129" s="309">
        <f>IF(M129=0,"",N129/M129-1)</f>
        <v>0.25</v>
      </c>
      <c r="P129" s="307">
        <v>142</v>
      </c>
      <c r="Q129" s="307">
        <f>ROUND(F129*$I$7+$J$7,0)</f>
        <v>83</v>
      </c>
      <c r="R129" s="309">
        <f>IF(P129=0,"",Q129/P129-1)</f>
        <v>-0.41549295774647887</v>
      </c>
    </row>
    <row r="130" spans="1:18" x14ac:dyDescent="0.25">
      <c r="A130" s="303">
        <v>3502</v>
      </c>
      <c r="B130" s="303" t="s">
        <v>201</v>
      </c>
      <c r="C130" s="303" t="s">
        <v>204</v>
      </c>
      <c r="D130" s="304">
        <v>360</v>
      </c>
      <c r="E130" s="304">
        <v>720</v>
      </c>
      <c r="F130" s="305">
        <f>(D130*E130)/10000</f>
        <v>25.92</v>
      </c>
      <c r="G130" s="304">
        <v>39</v>
      </c>
      <c r="H130" s="304">
        <f>ROUND(F130*$C$7+$D$7,0)</f>
        <v>45</v>
      </c>
      <c r="I130" s="306">
        <f>IF(G130=0,"",H130/G130-1)</f>
        <v>0.15384615384615374</v>
      </c>
      <c r="J130" s="304">
        <v>125</v>
      </c>
      <c r="K130" s="304">
        <f>ROUND(F130*$E$7+$F$7,0)</f>
        <v>139</v>
      </c>
      <c r="L130" s="306">
        <f>IF(J130=0,"",K130/J130-1)</f>
        <v>0.1120000000000001</v>
      </c>
      <c r="M130" s="304">
        <v>142</v>
      </c>
      <c r="N130" s="304">
        <f>ROUND(F130*$G$7+$H$7,0)</f>
        <v>161</v>
      </c>
      <c r="O130" s="306">
        <f>IF(M130=0,"",N130/M130-1)</f>
        <v>0.13380281690140849</v>
      </c>
      <c r="P130" s="304">
        <v>170</v>
      </c>
      <c r="Q130" s="304">
        <f>ROUND(F130*$I$7+$J$7,0)</f>
        <v>160</v>
      </c>
      <c r="R130" s="306">
        <f>IF(P130=0,"",Q130/P130-1)</f>
        <v>-5.8823529411764719E-2</v>
      </c>
    </row>
    <row r="131" spans="1:18" x14ac:dyDescent="0.25">
      <c r="A131" s="291">
        <v>3503</v>
      </c>
      <c r="B131" s="291" t="s">
        <v>201</v>
      </c>
      <c r="C131" s="291" t="s">
        <v>205</v>
      </c>
      <c r="D131" s="307">
        <v>360</v>
      </c>
      <c r="E131" s="307">
        <v>1080</v>
      </c>
      <c r="F131" s="308">
        <f>(D131*E131)/10000</f>
        <v>38.880000000000003</v>
      </c>
      <c r="G131" s="307">
        <v>57</v>
      </c>
      <c r="H131" s="307">
        <f>ROUND(F131*$C$7+$D$7,0)</f>
        <v>62</v>
      </c>
      <c r="I131" s="309">
        <f>IF(G131=0,"",H131/G131-1)</f>
        <v>8.7719298245614086E-2</v>
      </c>
      <c r="J131" s="307">
        <v>184</v>
      </c>
      <c r="K131" s="307">
        <f>ROUND(F131*$E$7+$F$7,0)</f>
        <v>172</v>
      </c>
      <c r="L131" s="309">
        <f>IF(J131=0,"",K131/J131-1)</f>
        <v>-6.5217391304347783E-2</v>
      </c>
      <c r="M131" s="307">
        <v>220</v>
      </c>
      <c r="N131" s="307">
        <f>ROUND(F131*$G$7+$H$7,0)</f>
        <v>211</v>
      </c>
      <c r="O131" s="309">
        <f>IF(M131=0,"",N131/M131-1)</f>
        <v>-4.0909090909090895E-2</v>
      </c>
      <c r="P131" s="307">
        <v>192</v>
      </c>
      <c r="Q131" s="307">
        <f>ROUND(F131*$I$7+$J$7,0)</f>
        <v>238</v>
      </c>
      <c r="R131" s="309">
        <f>IF(P131=0,"",Q131/P131-1)</f>
        <v>0.23958333333333326</v>
      </c>
    </row>
    <row r="132" spans="1:18" x14ac:dyDescent="0.25">
      <c r="A132" s="303">
        <v>3504</v>
      </c>
      <c r="B132" s="303" t="s">
        <v>201</v>
      </c>
      <c r="C132" s="303" t="s">
        <v>206</v>
      </c>
      <c r="D132" s="304">
        <v>360</v>
      </c>
      <c r="E132" s="304">
        <v>1440</v>
      </c>
      <c r="F132" s="305">
        <f>(D132*E132)/10000</f>
        <v>51.84</v>
      </c>
      <c r="G132" s="304">
        <v>75</v>
      </c>
      <c r="H132" s="304">
        <f>ROUND(F132*$C$7+$D$7,0)</f>
        <v>79</v>
      </c>
      <c r="I132" s="306">
        <f>IF(G132=0,"",H132/G132-1)</f>
        <v>5.3333333333333233E-2</v>
      </c>
      <c r="J132" s="304">
        <v>232</v>
      </c>
      <c r="K132" s="304">
        <f>ROUND(F132*$E$7+$F$7,0)</f>
        <v>206</v>
      </c>
      <c r="L132" s="306">
        <f>IF(J132=0,"",K132/J132-1)</f>
        <v>-0.11206896551724133</v>
      </c>
      <c r="M132" s="304">
        <v>278</v>
      </c>
      <c r="N132" s="304">
        <f>ROUND(F132*$G$7+$H$7,0)</f>
        <v>262</v>
      </c>
      <c r="O132" s="306">
        <f>IF(M132=0,"",N132/M132-1)</f>
        <v>-5.7553956834532349E-2</v>
      </c>
      <c r="P132" s="304">
        <v>423</v>
      </c>
      <c r="Q132" s="304">
        <f>ROUND(F132*$I$7+$J$7,0)</f>
        <v>315</v>
      </c>
      <c r="R132" s="306">
        <f>IF(P132=0,"",Q132/P132-1)</f>
        <v>-0.25531914893617025</v>
      </c>
    </row>
    <row r="133" spans="1:18" x14ac:dyDescent="0.25">
      <c r="A133" s="291">
        <v>3505</v>
      </c>
      <c r="B133" s="291" t="s">
        <v>201</v>
      </c>
      <c r="C133" s="291" t="s">
        <v>207</v>
      </c>
      <c r="D133" s="307">
        <v>360</v>
      </c>
      <c r="E133" s="307">
        <v>1800</v>
      </c>
      <c r="F133" s="308">
        <f>(D133*E133)/10000</f>
        <v>64.8</v>
      </c>
      <c r="G133" s="307">
        <v>94</v>
      </c>
      <c r="H133" s="307">
        <f>ROUND(F133*$C$7+$D$7,0)</f>
        <v>96</v>
      </c>
      <c r="I133" s="309">
        <f>IF(G133=0,"",H133/G133-1)</f>
        <v>2.1276595744680771E-2</v>
      </c>
      <c r="J133" s="307">
        <v>170</v>
      </c>
      <c r="K133" s="307">
        <f>ROUND(F133*$E$7+$F$7,0)</f>
        <v>240</v>
      </c>
      <c r="L133" s="309">
        <f>IF(J133=0,"",K133/J133-1)</f>
        <v>0.41176470588235303</v>
      </c>
      <c r="M133" s="307">
        <v>340</v>
      </c>
      <c r="N133" s="307">
        <f>ROUND(F133*$G$7+$H$7,0)</f>
        <v>312</v>
      </c>
      <c r="O133" s="309">
        <f>IF(M133=0,"",N133/M133-1)</f>
        <v>-8.2352941176470629E-2</v>
      </c>
      <c r="P133" s="307">
        <v>516</v>
      </c>
      <c r="Q133" s="307">
        <f>ROUND(F133*$I$7+$J$7,0)</f>
        <v>393</v>
      </c>
      <c r="R133" s="309">
        <f>IF(P133=0,"",Q133/P133-1)</f>
        <v>-0.23837209302325579</v>
      </c>
    </row>
    <row r="134" spans="1:18" x14ac:dyDescent="0.25">
      <c r="A134" s="303">
        <v>3506</v>
      </c>
      <c r="B134" s="303" t="s">
        <v>201</v>
      </c>
      <c r="C134" s="303" t="s">
        <v>208</v>
      </c>
      <c r="D134" s="304">
        <v>580</v>
      </c>
      <c r="E134" s="304">
        <v>180</v>
      </c>
      <c r="F134" s="305">
        <f>(D134*E134)/10000</f>
        <v>10.44</v>
      </c>
      <c r="G134" s="304">
        <v>32</v>
      </c>
      <c r="H134" s="304">
        <f>ROUND(F134*$C$7+$D$7,0)</f>
        <v>25</v>
      </c>
      <c r="I134" s="306">
        <f>IF(G134=0,"",H134/G134-1)</f>
        <v>-0.21875</v>
      </c>
      <c r="J134" s="304">
        <v>111</v>
      </c>
      <c r="K134" s="304">
        <f>ROUND(F134*$E$7+$F$7,0)</f>
        <v>98</v>
      </c>
      <c r="L134" s="306">
        <f>IF(J134=0,"",K134/J134-1)</f>
        <v>-0.11711711711711714</v>
      </c>
      <c r="M134" s="304">
        <v>129</v>
      </c>
      <c r="N134" s="304">
        <f>ROUND(F134*$G$7+$H$7,0)</f>
        <v>100</v>
      </c>
      <c r="O134" s="306">
        <f>IF(M134=0,"",N134/M134-1)</f>
        <v>-0.22480620155038755</v>
      </c>
      <c r="P134" s="304">
        <v>166</v>
      </c>
      <c r="Q134" s="304">
        <f>ROUND(F134*$I$7+$J$7,0)</f>
        <v>68</v>
      </c>
      <c r="R134" s="306">
        <f>IF(P134=0,"",Q134/P134-1)</f>
        <v>-0.59036144578313254</v>
      </c>
    </row>
    <row r="135" spans="1:18" x14ac:dyDescent="0.25">
      <c r="A135" s="291">
        <v>3507</v>
      </c>
      <c r="B135" s="291" t="s">
        <v>201</v>
      </c>
      <c r="C135" s="291" t="s">
        <v>209</v>
      </c>
      <c r="D135" s="307">
        <v>580</v>
      </c>
      <c r="E135" s="307">
        <v>360</v>
      </c>
      <c r="F135" s="308">
        <f>(D135*E135)/10000</f>
        <v>20.88</v>
      </c>
      <c r="G135" s="307">
        <v>32</v>
      </c>
      <c r="H135" s="307">
        <f>ROUND(F135*$C$7+$D$7,0)</f>
        <v>38</v>
      </c>
      <c r="I135" s="309">
        <f>IF(G135=0,"",H135/G135-1)</f>
        <v>0.1875</v>
      </c>
      <c r="J135" s="307">
        <v>111</v>
      </c>
      <c r="K135" s="307">
        <f>ROUND(F135*$E$7+$F$7,0)</f>
        <v>126</v>
      </c>
      <c r="L135" s="309">
        <f>IF(J135=0,"",K135/J135-1)</f>
        <v>0.13513513513513509</v>
      </c>
      <c r="M135" s="307">
        <v>129</v>
      </c>
      <c r="N135" s="307">
        <f>ROUND(F135*$G$7+$H$7,0)</f>
        <v>141</v>
      </c>
      <c r="O135" s="309">
        <f>IF(M135=0,"",N135/M135-1)</f>
        <v>9.3023255813953432E-2</v>
      </c>
      <c r="P135" s="307">
        <v>148</v>
      </c>
      <c r="Q135" s="307">
        <f>ROUND(F135*$I$7+$J$7,0)</f>
        <v>130</v>
      </c>
      <c r="R135" s="309">
        <f>IF(P135=0,"",Q135/P135-1)</f>
        <v>-0.1216216216216216</v>
      </c>
    </row>
    <row r="136" spans="1:18" x14ac:dyDescent="0.25">
      <c r="A136" s="303">
        <v>3508</v>
      </c>
      <c r="B136" s="303" t="s">
        <v>201</v>
      </c>
      <c r="C136" s="303" t="s">
        <v>210</v>
      </c>
      <c r="D136" s="304">
        <v>580</v>
      </c>
      <c r="E136" s="304">
        <v>720</v>
      </c>
      <c r="F136" s="305">
        <f>(D136*E136)/10000</f>
        <v>41.76</v>
      </c>
      <c r="G136" s="304">
        <v>62</v>
      </c>
      <c r="H136" s="304">
        <f>ROUND(F136*$C$7+$D$7,0)</f>
        <v>66</v>
      </c>
      <c r="I136" s="306">
        <f>IF(G136=0,"",H136/G136-1)</f>
        <v>6.4516129032258007E-2</v>
      </c>
      <c r="J136" s="304">
        <v>181</v>
      </c>
      <c r="K136" s="304">
        <f>ROUND(F136*$E$7+$F$7,0)</f>
        <v>180</v>
      </c>
      <c r="L136" s="306">
        <f>IF(J136=0,"",K136/J136-1)</f>
        <v>-5.5248618784530246E-3</v>
      </c>
      <c r="M136" s="304">
        <v>214</v>
      </c>
      <c r="N136" s="304">
        <f>ROUND(F136*$G$7+$H$7,0)</f>
        <v>222</v>
      </c>
      <c r="O136" s="306">
        <f>IF(M136=0,"",N136/M136-1)</f>
        <v>3.7383177570093462E-2</v>
      </c>
      <c r="P136" s="304">
        <v>196</v>
      </c>
      <c r="Q136" s="304">
        <f>ROUND(F136*$I$7+$J$7,0)</f>
        <v>255</v>
      </c>
      <c r="R136" s="306">
        <f>IF(P136=0,"",Q136/P136-1)</f>
        <v>0.30102040816326525</v>
      </c>
    </row>
    <row r="137" spans="1:18" x14ac:dyDescent="0.25">
      <c r="A137" s="291">
        <v>3509</v>
      </c>
      <c r="B137" s="291" t="s">
        <v>201</v>
      </c>
      <c r="C137" s="291" t="s">
        <v>211</v>
      </c>
      <c r="D137" s="307">
        <v>580</v>
      </c>
      <c r="E137" s="307">
        <v>1080</v>
      </c>
      <c r="F137" s="308">
        <f>(D137*E137)/10000</f>
        <v>62.64</v>
      </c>
      <c r="G137" s="307">
        <v>89</v>
      </c>
      <c r="H137" s="307">
        <f>ROUND(F137*$C$7+$D$7,0)</f>
        <v>93</v>
      </c>
      <c r="I137" s="309">
        <f>IF(G137=0,"",H137/G137-1)</f>
        <v>4.4943820224719211E-2</v>
      </c>
      <c r="J137" s="307">
        <v>260</v>
      </c>
      <c r="K137" s="307">
        <f>ROUND(F137*$E$7+$F$7,0)</f>
        <v>234</v>
      </c>
      <c r="L137" s="309">
        <f>IF(J137=0,"",K137/J137-1)</f>
        <v>-9.9999999999999978E-2</v>
      </c>
      <c r="M137" s="307">
        <v>297</v>
      </c>
      <c r="N137" s="307">
        <f>ROUND(F137*$G$7+$H$7,0)</f>
        <v>304</v>
      </c>
      <c r="O137" s="309">
        <f>IF(M137=0,"",N137/M137-1)</f>
        <v>2.3569023569023573E-2</v>
      </c>
      <c r="P137" s="307">
        <v>246</v>
      </c>
      <c r="Q137" s="307">
        <f>ROUND(F137*$I$7+$J$7,0)</f>
        <v>380</v>
      </c>
      <c r="R137" s="309">
        <f>IF(P137=0,"",Q137/P137-1)</f>
        <v>0.54471544715447151</v>
      </c>
    </row>
    <row r="138" spans="1:18" x14ac:dyDescent="0.25">
      <c r="A138" s="303">
        <v>3510</v>
      </c>
      <c r="B138" s="303" t="s">
        <v>201</v>
      </c>
      <c r="C138" s="303" t="s">
        <v>212</v>
      </c>
      <c r="D138" s="304">
        <v>580</v>
      </c>
      <c r="E138" s="304">
        <v>1440</v>
      </c>
      <c r="F138" s="305">
        <f>(D138*E138)/10000</f>
        <v>83.52</v>
      </c>
      <c r="G138" s="304">
        <v>119</v>
      </c>
      <c r="H138" s="304">
        <f>ROUND(F138*$C$7+$D$7,0)</f>
        <v>120</v>
      </c>
      <c r="I138" s="306">
        <f>IF(G138=0,"",H138/G138-1)</f>
        <v>8.4033613445377853E-3</v>
      </c>
      <c r="J138" s="304">
        <v>334</v>
      </c>
      <c r="K138" s="304">
        <f>ROUND(F138*$E$7+$F$7,0)</f>
        <v>288</v>
      </c>
      <c r="L138" s="306">
        <f>IF(J138=0,"",K138/J138-1)</f>
        <v>-0.13772455089820357</v>
      </c>
      <c r="M138" s="304">
        <v>396</v>
      </c>
      <c r="N138" s="304">
        <f>ROUND(F138*$G$7+$H$7,0)</f>
        <v>385</v>
      </c>
      <c r="O138" s="306">
        <f>IF(M138=0,"",N138/M138-1)</f>
        <v>-2.777777777777779E-2</v>
      </c>
      <c r="P138" s="304">
        <v>602</v>
      </c>
      <c r="Q138" s="304">
        <f>ROUND(F138*$I$7+$J$7,0)</f>
        <v>504</v>
      </c>
      <c r="R138" s="306">
        <f>IF(P138=0,"",Q138/P138-1)</f>
        <v>-0.16279069767441856</v>
      </c>
    </row>
    <row r="139" spans="1:18" x14ac:dyDescent="0.25">
      <c r="A139" s="291">
        <v>3511</v>
      </c>
      <c r="B139" s="291" t="s">
        <v>201</v>
      </c>
      <c r="C139" s="291" t="s">
        <v>213</v>
      </c>
      <c r="D139" s="307">
        <v>580</v>
      </c>
      <c r="E139" s="307">
        <v>1800</v>
      </c>
      <c r="F139" s="308">
        <f>(D139*E139)/10000</f>
        <v>104.4</v>
      </c>
      <c r="G139" s="307">
        <v>148</v>
      </c>
      <c r="H139" s="307">
        <f>ROUND(F139*$C$7+$D$7,0)</f>
        <v>148</v>
      </c>
      <c r="I139" s="309">
        <f>IF(G139=0,"",H139/G139-1)</f>
        <v>0</v>
      </c>
      <c r="J139" s="307">
        <v>268</v>
      </c>
      <c r="K139" s="307">
        <f>ROUND(F139*$E$7+$F$7,0)</f>
        <v>343</v>
      </c>
      <c r="L139" s="309">
        <f>IF(J139=0,"",K139/J139-1)</f>
        <v>0.2798507462686568</v>
      </c>
      <c r="M139" s="307">
        <v>462</v>
      </c>
      <c r="N139" s="307">
        <f>ROUND(F139*$G$7+$H$7,0)</f>
        <v>467</v>
      </c>
      <c r="O139" s="309">
        <f>IF(M139=0,"",N139/M139-1)</f>
        <v>1.0822510822510845E-2</v>
      </c>
      <c r="P139" s="307">
        <v>703</v>
      </c>
      <c r="Q139" s="307">
        <f>ROUND(F139*$I$7+$J$7,0)</f>
        <v>629</v>
      </c>
      <c r="R139" s="309">
        <f>IF(P139=0,"",Q139/P139-1)</f>
        <v>-0.10526315789473684</v>
      </c>
    </row>
    <row r="140" spans="1:18" x14ac:dyDescent="0.25">
      <c r="A140" s="303">
        <v>3512</v>
      </c>
      <c r="B140" s="303" t="s">
        <v>201</v>
      </c>
      <c r="C140" s="303" t="s">
        <v>214</v>
      </c>
      <c r="D140" s="304">
        <v>180</v>
      </c>
      <c r="E140" s="304">
        <v>780</v>
      </c>
      <c r="F140" s="305">
        <f>(D140*E140)/10000</f>
        <v>14.04</v>
      </c>
      <c r="G140" s="304">
        <v>42</v>
      </c>
      <c r="H140" s="304">
        <f>ROUND(F140*$C$7+$D$7,0)</f>
        <v>29</v>
      </c>
      <c r="I140" s="306">
        <f>IF(G140=0,"",H140/G140-1)</f>
        <v>-0.30952380952380953</v>
      </c>
      <c r="J140" s="304">
        <v>128</v>
      </c>
      <c r="K140" s="304">
        <f>ROUND(F140*$E$7+$F$7,0)</f>
        <v>108</v>
      </c>
      <c r="L140" s="306">
        <f>IF(J140=0,"",K140/J140-1)</f>
        <v>-0.15625</v>
      </c>
      <c r="M140" s="304">
        <v>143</v>
      </c>
      <c r="N140" s="304">
        <f>ROUND(F140*$G$7+$H$7,0)</f>
        <v>114</v>
      </c>
      <c r="O140" s="306">
        <f>IF(M140=0,"",N140/M140-1)</f>
        <v>-0.20279720279720281</v>
      </c>
      <c r="P140" s="304">
        <v>170</v>
      </c>
      <c r="Q140" s="304">
        <f>ROUND(F140*$I$7+$J$7,0)</f>
        <v>89</v>
      </c>
      <c r="R140" s="306">
        <f>IF(P140=0,"",Q140/P140-1)</f>
        <v>-0.47647058823529409</v>
      </c>
    </row>
    <row r="141" spans="1:18" x14ac:dyDescent="0.25">
      <c r="A141" s="291">
        <v>3513</v>
      </c>
      <c r="B141" s="291" t="s">
        <v>201</v>
      </c>
      <c r="C141" s="291" t="s">
        <v>215</v>
      </c>
      <c r="D141" s="307">
        <v>180</v>
      </c>
      <c r="E141" s="307">
        <v>980</v>
      </c>
      <c r="F141" s="308">
        <f>(D141*E141)/10000</f>
        <v>17.64</v>
      </c>
      <c r="G141" s="307">
        <v>53</v>
      </c>
      <c r="H141" s="307">
        <f>ROUND(F141*$C$7+$D$7,0)</f>
        <v>34</v>
      </c>
      <c r="I141" s="309">
        <f>IF(G141=0,"",H141/G141-1)</f>
        <v>-0.35849056603773588</v>
      </c>
      <c r="J141" s="307">
        <v>154</v>
      </c>
      <c r="K141" s="307">
        <f>ROUND(F141*$E$7+$F$7,0)</f>
        <v>117</v>
      </c>
      <c r="L141" s="309">
        <f>IF(J141=0,"",K141/J141-1)</f>
        <v>-0.24025974025974028</v>
      </c>
      <c r="M141" s="307">
        <v>172</v>
      </c>
      <c r="N141" s="307">
        <f>ROUND(F141*$G$7+$H$7,0)</f>
        <v>128</v>
      </c>
      <c r="O141" s="309">
        <f>IF(M141=0,"",N141/M141-1)</f>
        <v>-0.2558139534883721</v>
      </c>
      <c r="P141" s="307">
        <v>183</v>
      </c>
      <c r="Q141" s="307">
        <f>ROUND(F141*$I$7+$J$7,0)</f>
        <v>111</v>
      </c>
      <c r="R141" s="309">
        <f>IF(P141=0,"",Q141/P141-1)</f>
        <v>-0.39344262295081966</v>
      </c>
    </row>
    <row r="142" spans="1:18" x14ac:dyDescent="0.25">
      <c r="A142" s="303">
        <v>3514</v>
      </c>
      <c r="B142" s="303" t="s">
        <v>201</v>
      </c>
      <c r="C142" s="303" t="s">
        <v>216</v>
      </c>
      <c r="D142" s="304">
        <v>360</v>
      </c>
      <c r="E142" s="304">
        <v>780</v>
      </c>
      <c r="F142" s="305">
        <f>(D142*E142)/10000</f>
        <v>28.08</v>
      </c>
      <c r="G142" s="304">
        <v>42</v>
      </c>
      <c r="H142" s="304">
        <f>ROUND(F142*$C$7+$D$7,0)</f>
        <v>48</v>
      </c>
      <c r="I142" s="306">
        <f>IF(G142=0,"",H142/G142-1)</f>
        <v>0.14285714285714279</v>
      </c>
      <c r="J142" s="304">
        <v>128</v>
      </c>
      <c r="K142" s="304">
        <f>ROUND(F142*$E$7+$F$7,0)</f>
        <v>144</v>
      </c>
      <c r="L142" s="306">
        <f>IF(J142=0,"",K142/J142-1)</f>
        <v>0.125</v>
      </c>
      <c r="M142" s="304">
        <v>143</v>
      </c>
      <c r="N142" s="304">
        <f>ROUND(F142*$G$7+$H$7,0)</f>
        <v>169</v>
      </c>
      <c r="O142" s="306">
        <f>IF(M142=0,"",N142/M142-1)</f>
        <v>0.18181818181818188</v>
      </c>
      <c r="P142" s="304">
        <v>152</v>
      </c>
      <c r="Q142" s="304">
        <f>ROUND(F142*$I$7+$J$7,0)</f>
        <v>173</v>
      </c>
      <c r="R142" s="306">
        <f>IF(P142=0,"",Q142/P142-1)</f>
        <v>0.13815789473684204</v>
      </c>
    </row>
    <row r="143" spans="1:18" x14ac:dyDescent="0.25">
      <c r="A143" s="291">
        <v>3515</v>
      </c>
      <c r="B143" s="291" t="s">
        <v>201</v>
      </c>
      <c r="C143" s="291" t="s">
        <v>217</v>
      </c>
      <c r="D143" s="307">
        <v>360</v>
      </c>
      <c r="E143" s="307">
        <v>980</v>
      </c>
      <c r="F143" s="308">
        <f>(D143*E143)/10000</f>
        <v>35.28</v>
      </c>
      <c r="G143" s="307">
        <v>53</v>
      </c>
      <c r="H143" s="307">
        <f>ROUND(F143*$C$7+$D$7,0)</f>
        <v>57</v>
      </c>
      <c r="I143" s="309">
        <f>IF(G143=0,"",H143/G143-1)</f>
        <v>7.547169811320753E-2</v>
      </c>
      <c r="J143" s="307">
        <v>154</v>
      </c>
      <c r="K143" s="307">
        <f>ROUND(F143*$E$7+$F$7,0)</f>
        <v>163</v>
      </c>
      <c r="L143" s="309">
        <f>IF(J143=0,"",K143/J143-1)</f>
        <v>5.8441558441558517E-2</v>
      </c>
      <c r="M143" s="307">
        <v>172</v>
      </c>
      <c r="N143" s="307">
        <f>ROUND(F143*$G$7+$H$7,0)</f>
        <v>197</v>
      </c>
      <c r="O143" s="309">
        <f>IF(M143=0,"",N143/M143-1)</f>
        <v>0.14534883720930236</v>
      </c>
      <c r="P143" s="307">
        <v>167</v>
      </c>
      <c r="Q143" s="307">
        <f>ROUND(F143*$I$7+$J$7,0)</f>
        <v>216</v>
      </c>
      <c r="R143" s="309">
        <f>IF(P143=0,"",Q143/P143-1)</f>
        <v>0.29341317365269459</v>
      </c>
    </row>
    <row r="144" spans="1:18" x14ac:dyDescent="0.25">
      <c r="A144" s="303">
        <v>3516</v>
      </c>
      <c r="B144" s="303" t="s">
        <v>201</v>
      </c>
      <c r="C144" s="303" t="s">
        <v>218</v>
      </c>
      <c r="D144" s="304">
        <v>720</v>
      </c>
      <c r="E144" s="304">
        <v>780</v>
      </c>
      <c r="F144" s="305">
        <f>(D144*E144)/10000</f>
        <v>56.16</v>
      </c>
      <c r="G144" s="304">
        <v>80</v>
      </c>
      <c r="H144" s="304">
        <f>ROUND(F144*$C$7+$D$7,0)</f>
        <v>85</v>
      </c>
      <c r="I144" s="306">
        <f>IF(G144=0,"",H144/G144-1)</f>
        <v>6.25E-2</v>
      </c>
      <c r="J144" s="304">
        <v>245</v>
      </c>
      <c r="K144" s="304">
        <f>ROUND(F144*$E$7+$F$7,0)</f>
        <v>217</v>
      </c>
      <c r="L144" s="306">
        <f>IF(J144=0,"",K144/J144-1)</f>
        <v>-0.11428571428571432</v>
      </c>
      <c r="M144" s="304">
        <v>274</v>
      </c>
      <c r="N144" s="304">
        <f>ROUND(F144*$G$7+$H$7,0)</f>
        <v>279</v>
      </c>
      <c r="O144" s="306">
        <f>IF(M144=0,"",N144/M144-1)</f>
        <v>1.8248175182481674E-2</v>
      </c>
      <c r="P144" s="304">
        <v>214</v>
      </c>
      <c r="Q144" s="304">
        <f>ROUND(F144*$I$7+$J$7,0)</f>
        <v>341</v>
      </c>
      <c r="R144" s="306">
        <f>IF(P144=0,"",Q144/P144-1)</f>
        <v>0.59345794392523366</v>
      </c>
    </row>
    <row r="145" spans="1:18" x14ac:dyDescent="0.25">
      <c r="A145" s="291">
        <v>3517</v>
      </c>
      <c r="B145" s="291" t="s">
        <v>201</v>
      </c>
      <c r="C145" s="291" t="s">
        <v>219</v>
      </c>
      <c r="D145" s="307">
        <v>720</v>
      </c>
      <c r="E145" s="307">
        <v>980</v>
      </c>
      <c r="F145" s="308">
        <f>(D145*E145)/10000</f>
        <v>70.56</v>
      </c>
      <c r="G145" s="307">
        <v>101</v>
      </c>
      <c r="H145" s="307">
        <f>ROUND(F145*$C$7+$D$7,0)</f>
        <v>103</v>
      </c>
      <c r="I145" s="309">
        <f>IF(G145=0,"",H145/G145-1)</f>
        <v>1.980198019801982E-2</v>
      </c>
      <c r="J145" s="307">
        <v>280</v>
      </c>
      <c r="K145" s="307">
        <f>ROUND(F145*$E$7+$F$7,0)</f>
        <v>255</v>
      </c>
      <c r="L145" s="309">
        <f>IF(J145=0,"",K145/J145-1)</f>
        <v>-8.9285714285714302E-2</v>
      </c>
      <c r="M145" s="307">
        <v>317</v>
      </c>
      <c r="N145" s="307">
        <f>ROUND(F145*$G$7+$H$7,0)</f>
        <v>335</v>
      </c>
      <c r="O145" s="309">
        <f>IF(M145=0,"",N145/M145-1)</f>
        <v>5.6782334384858135E-2</v>
      </c>
      <c r="P145" s="307">
        <v>263</v>
      </c>
      <c r="Q145" s="307">
        <f>ROUND(F145*$I$7+$J$7,0)</f>
        <v>427</v>
      </c>
      <c r="R145" s="309">
        <f>IF(P145=0,"",Q145/P145-1)</f>
        <v>0.62357414448669202</v>
      </c>
    </row>
    <row r="146" spans="1:18" x14ac:dyDescent="0.25">
      <c r="A146" s="303">
        <v>3518</v>
      </c>
      <c r="B146" s="303" t="s">
        <v>201</v>
      </c>
      <c r="C146" s="303" t="s">
        <v>220</v>
      </c>
      <c r="D146" s="304">
        <v>1080</v>
      </c>
      <c r="E146" s="304">
        <v>780</v>
      </c>
      <c r="F146" s="305">
        <f>(D146*E146)/10000</f>
        <v>84.24</v>
      </c>
      <c r="G146" s="304">
        <v>121</v>
      </c>
      <c r="H146" s="304">
        <f>ROUND(F146*$C$7+$D$7,0)</f>
        <v>121</v>
      </c>
      <c r="I146" s="306">
        <f>IF(G146=0,"",H146/G146-1)</f>
        <v>0</v>
      </c>
      <c r="J146" s="304">
        <v>357</v>
      </c>
      <c r="K146" s="304">
        <f>ROUND(F146*$E$7+$F$7,0)</f>
        <v>290</v>
      </c>
      <c r="L146" s="306">
        <f>IF(J146=0,"",K146/J146-1)</f>
        <v>-0.1876750700280112</v>
      </c>
      <c r="M146" s="304">
        <v>405</v>
      </c>
      <c r="N146" s="304">
        <f>ROUND(F146*$G$7+$H$7,0)</f>
        <v>388</v>
      </c>
      <c r="O146" s="306">
        <f>IF(M146=0,"",N146/M146-1)</f>
        <v>-4.1975308641975295E-2</v>
      </c>
      <c r="P146" s="304">
        <v>308</v>
      </c>
      <c r="Q146" s="304">
        <f>ROUND(F146*$I$7+$J$7,0)</f>
        <v>509</v>
      </c>
      <c r="R146" s="306">
        <f>IF(P146=0,"",Q146/P146-1)</f>
        <v>0.65259740259740262</v>
      </c>
    </row>
    <row r="147" spans="1:18" x14ac:dyDescent="0.25">
      <c r="A147" s="291">
        <v>3519</v>
      </c>
      <c r="B147" s="291" t="s">
        <v>201</v>
      </c>
      <c r="C147" s="291" t="s">
        <v>221</v>
      </c>
      <c r="D147" s="307">
        <v>1080</v>
      </c>
      <c r="E147" s="307">
        <v>980</v>
      </c>
      <c r="F147" s="308">
        <f>(D147*E147)/10000</f>
        <v>105.84</v>
      </c>
      <c r="G147" s="307">
        <v>150</v>
      </c>
      <c r="H147" s="307">
        <f>ROUND(F147*$C$7+$D$7,0)</f>
        <v>150</v>
      </c>
      <c r="I147" s="309">
        <f>IF(G147=0,"",H147/G147-1)</f>
        <v>0</v>
      </c>
      <c r="J147" s="307">
        <v>432</v>
      </c>
      <c r="K147" s="307">
        <f>ROUND(F147*$E$7+$F$7,0)</f>
        <v>347</v>
      </c>
      <c r="L147" s="309">
        <f>IF(J147=0,"",K147/J147-1)</f>
        <v>-0.1967592592592593</v>
      </c>
      <c r="M147" s="307">
        <v>469</v>
      </c>
      <c r="N147" s="307">
        <f>ROUND(F147*$G$7+$H$7,0)</f>
        <v>473</v>
      </c>
      <c r="O147" s="309">
        <f>IF(M147=0,"",N147/M147-1)</f>
        <v>8.5287846481876262E-3</v>
      </c>
      <c r="P147" s="307">
        <v>345</v>
      </c>
      <c r="Q147" s="307">
        <f>ROUND(F147*$I$7+$J$7,0)</f>
        <v>638</v>
      </c>
      <c r="R147" s="309">
        <f>IF(P147=0,"",Q147/P147-1)</f>
        <v>0.84927536231884049</v>
      </c>
    </row>
    <row r="148" spans="1:18" x14ac:dyDescent="0.25">
      <c r="A148" s="303">
        <v>3520</v>
      </c>
      <c r="B148" s="303" t="s">
        <v>201</v>
      </c>
      <c r="C148" s="303" t="s">
        <v>222</v>
      </c>
      <c r="D148" s="304">
        <v>1440</v>
      </c>
      <c r="E148" s="304">
        <v>780</v>
      </c>
      <c r="F148" s="305">
        <f>(D148*E148)/10000</f>
        <v>112.32</v>
      </c>
      <c r="G148" s="304">
        <v>158</v>
      </c>
      <c r="H148" s="304">
        <f>ROUND(F148*$C$7+$D$7,0)</f>
        <v>158</v>
      </c>
      <c r="I148" s="306">
        <f>IF(G148=0,"",H148/G148-1)</f>
        <v>0</v>
      </c>
      <c r="J148" s="304">
        <v>435</v>
      </c>
      <c r="K148" s="304">
        <f>ROUND(F148*$E$7+$F$7,0)</f>
        <v>363</v>
      </c>
      <c r="L148" s="306">
        <f>IF(J148=0,"",K148/J148-1)</f>
        <v>-0.16551724137931034</v>
      </c>
      <c r="M148" s="304">
        <v>494</v>
      </c>
      <c r="N148" s="304">
        <f>ROUND(F148*$G$7+$H$7,0)</f>
        <v>498</v>
      </c>
      <c r="O148" s="306">
        <f>IF(M148=0,"",N148/M148-1)</f>
        <v>8.0971659919029104E-3</v>
      </c>
      <c r="P148" s="304">
        <v>751</v>
      </c>
      <c r="Q148" s="304">
        <f>ROUND(F148*$I$7+$J$7,0)</f>
        <v>677</v>
      </c>
      <c r="R148" s="306">
        <f>IF(P148=0,"",Q148/P148-1)</f>
        <v>-9.8535286284953449E-2</v>
      </c>
    </row>
    <row r="149" spans="1:18" x14ac:dyDescent="0.25">
      <c r="A149" s="291">
        <v>3521</v>
      </c>
      <c r="B149" s="291" t="s">
        <v>201</v>
      </c>
      <c r="C149" s="291" t="s">
        <v>223</v>
      </c>
      <c r="D149" s="307">
        <v>1440</v>
      </c>
      <c r="E149" s="307">
        <v>980</v>
      </c>
      <c r="F149" s="308">
        <f>(D149*E149)/10000</f>
        <v>141.12</v>
      </c>
      <c r="G149" s="307">
        <v>198</v>
      </c>
      <c r="H149" s="307">
        <f>ROUND(F149*$C$7+$D$7,0)</f>
        <v>196</v>
      </c>
      <c r="I149" s="309">
        <f>IF(G149=0,"",H149/G149-1)</f>
        <v>-1.0101010101010055E-2</v>
      </c>
      <c r="J149" s="307">
        <v>537</v>
      </c>
      <c r="K149" s="307">
        <f>ROUND(F149*$E$7+$F$7,0)</f>
        <v>438</v>
      </c>
      <c r="L149" s="309">
        <f>IF(J149=0,"",K149/J149-1)</f>
        <v>-0.18435754189944131</v>
      </c>
      <c r="M149" s="307">
        <v>610</v>
      </c>
      <c r="N149" s="307">
        <f>ROUND(F149*$G$7+$H$7,0)</f>
        <v>610</v>
      </c>
      <c r="O149" s="309">
        <f>IF(M149=0,"",N149/M149-1)</f>
        <v>0</v>
      </c>
      <c r="P149" s="307">
        <v>927</v>
      </c>
      <c r="Q149" s="307">
        <f>ROUND(F149*$I$7+$J$7,0)</f>
        <v>849</v>
      </c>
      <c r="R149" s="309">
        <f>IF(P149=0,"",Q149/P149-1)</f>
        <v>-8.4142394822006472E-2</v>
      </c>
    </row>
    <row r="150" spans="1:18" x14ac:dyDescent="0.25">
      <c r="A150" s="303">
        <v>3522</v>
      </c>
      <c r="B150" s="303" t="s">
        <v>201</v>
      </c>
      <c r="C150" s="303" t="s">
        <v>224</v>
      </c>
      <c r="D150" s="304">
        <v>1800</v>
      </c>
      <c r="E150" s="304">
        <v>780</v>
      </c>
      <c r="F150" s="305">
        <f>(D150*E150)/10000</f>
        <v>140.4</v>
      </c>
      <c r="G150" s="304">
        <v>198</v>
      </c>
      <c r="H150" s="304">
        <f>ROUND(F150*$C$7+$D$7,0)</f>
        <v>195</v>
      </c>
      <c r="I150" s="306">
        <f>IF(G150=0,"",H150/G150-1)</f>
        <v>-1.5151515151515138E-2</v>
      </c>
      <c r="J150" s="304">
        <v>359</v>
      </c>
      <c r="K150" s="304">
        <f>ROUND(F150*$E$7+$F$7,0)</f>
        <v>436</v>
      </c>
      <c r="L150" s="306">
        <f>IF(J150=0,"",K150/J150-1)</f>
        <v>0.21448467966573825</v>
      </c>
      <c r="M150" s="304">
        <v>606</v>
      </c>
      <c r="N150" s="304">
        <f>ROUND(F150*$G$7+$H$7,0)</f>
        <v>607</v>
      </c>
      <c r="O150" s="306">
        <f>IF(M150=0,"",N150/M150-1)</f>
        <v>1.6501650165017256E-3</v>
      </c>
      <c r="P150" s="304">
        <v>921</v>
      </c>
      <c r="Q150" s="304">
        <f>ROUND(F150*$I$7+$J$7,0)</f>
        <v>844</v>
      </c>
      <c r="R150" s="306">
        <f>IF(P150=0,"",Q150/P150-1)</f>
        <v>-8.3604777415852372E-2</v>
      </c>
    </row>
    <row r="151" spans="1:18" x14ac:dyDescent="0.25">
      <c r="A151" s="291">
        <v>3523</v>
      </c>
      <c r="B151" s="291" t="s">
        <v>201</v>
      </c>
      <c r="C151" s="291" t="s">
        <v>225</v>
      </c>
      <c r="D151" s="307">
        <v>1800</v>
      </c>
      <c r="E151" s="307">
        <v>980</v>
      </c>
      <c r="F151" s="308">
        <f>(D151*E151)/10000</f>
        <v>176.4</v>
      </c>
      <c r="G151" s="307">
        <v>247</v>
      </c>
      <c r="H151" s="307">
        <f>ROUND(F151*$C$7+$D$7,0)</f>
        <v>242</v>
      </c>
      <c r="I151" s="309">
        <f>IF(G151=0,"",H151/G151-1)</f>
        <v>-2.0242914979757054E-2</v>
      </c>
      <c r="J151" s="307">
        <v>447</v>
      </c>
      <c r="K151" s="307">
        <f>ROUND(F151*$E$7+$F$7,0)</f>
        <v>530</v>
      </c>
      <c r="L151" s="309">
        <f>IF(J151=0,"",K151/J151-1)</f>
        <v>0.18568232662192385</v>
      </c>
      <c r="M151" s="307">
        <v>745</v>
      </c>
      <c r="N151" s="307">
        <f>ROUND(F151*$G$7+$H$7,0)</f>
        <v>748</v>
      </c>
      <c r="O151" s="309">
        <f>IF(M151=0,"",N151/M151-1)</f>
        <v>4.0268456375838202E-3</v>
      </c>
      <c r="P151" s="307">
        <v>1134</v>
      </c>
      <c r="Q151" s="307">
        <f>ROUND(F151*$I$7+$J$7,0)</f>
        <v>1060</v>
      </c>
      <c r="R151" s="309">
        <f>IF(P151=0,"",Q151/P151-1)</f>
        <v>-6.5255731922398641E-2</v>
      </c>
    </row>
    <row r="152" spans="1:18" x14ac:dyDescent="0.25">
      <c r="A152" s="303">
        <v>3524</v>
      </c>
      <c r="B152" s="303" t="s">
        <v>201</v>
      </c>
      <c r="C152" s="303" t="s">
        <v>226</v>
      </c>
      <c r="D152" s="304">
        <v>580</v>
      </c>
      <c r="E152" s="304">
        <v>580</v>
      </c>
      <c r="F152" s="305">
        <f>(D152*E152)/10000</f>
        <v>33.64</v>
      </c>
      <c r="G152" s="304">
        <v>50</v>
      </c>
      <c r="H152" s="304">
        <f>ROUND(F152*$C$7+$D$7,0)</f>
        <v>55</v>
      </c>
      <c r="I152" s="306">
        <f>IF(G152=0,"",H152/G152-1)</f>
        <v>0.10000000000000009</v>
      </c>
      <c r="J152" s="304">
        <v>157</v>
      </c>
      <c r="K152" s="304">
        <f>ROUND(F152*$E$7+$F$7,0)</f>
        <v>159</v>
      </c>
      <c r="L152" s="306">
        <f>IF(J152=0,"",K152/J152-1)</f>
        <v>1.2738853503184711E-2</v>
      </c>
      <c r="M152" s="304">
        <v>181</v>
      </c>
      <c r="N152" s="304">
        <f>ROUND(F152*$G$7+$H$7,0)</f>
        <v>191</v>
      </c>
      <c r="O152" s="306">
        <f>IF(M152=0,"",N152/M152-1)</f>
        <v>5.5248618784530468E-2</v>
      </c>
      <c r="P152" s="304">
        <v>153</v>
      </c>
      <c r="Q152" s="304">
        <f>ROUND(F152*$I$7+$J$7,0)</f>
        <v>206</v>
      </c>
      <c r="R152" s="306">
        <f>IF(P152=0,"",Q152/P152-1)</f>
        <v>0.34640522875817004</v>
      </c>
    </row>
    <row r="153" spans="1:18" x14ac:dyDescent="0.25">
      <c r="A153" s="310" t="s">
        <v>227</v>
      </c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</row>
    <row r="154" spans="1:18" x14ac:dyDescent="0.25">
      <c r="A154" s="303">
        <v>3600</v>
      </c>
      <c r="B154" s="303" t="s">
        <v>227</v>
      </c>
      <c r="C154" s="303" t="s">
        <v>228</v>
      </c>
      <c r="D154" s="304">
        <v>360</v>
      </c>
      <c r="E154" s="304">
        <v>360</v>
      </c>
      <c r="F154" s="305">
        <f>(D154*E154)/10000</f>
        <v>12.96</v>
      </c>
      <c r="G154" s="304">
        <v>26</v>
      </c>
      <c r="H154" s="304">
        <f>ROUND(F154*$C$7+$D$7,0)</f>
        <v>28</v>
      </c>
      <c r="I154" s="306">
        <f>IF(G154=0,"",H154/G154-1)</f>
        <v>7.6923076923076872E-2</v>
      </c>
      <c r="J154" s="304">
        <v>79</v>
      </c>
      <c r="K154" s="304">
        <f>ROUND(F154*$E$7+$F$7,0)</f>
        <v>105</v>
      </c>
      <c r="L154" s="306">
        <f>IF(J154=0,"",K154/J154-1)</f>
        <v>0.32911392405063289</v>
      </c>
      <c r="M154" s="304">
        <v>88</v>
      </c>
      <c r="N154" s="304">
        <f>ROUND(F154*$G$7+$H$7,0)</f>
        <v>110</v>
      </c>
      <c r="O154" s="306">
        <f>IF(M154=0,"",N154/M154-1)</f>
        <v>0.25</v>
      </c>
      <c r="P154" s="304">
        <v>142</v>
      </c>
      <c r="Q154" s="304">
        <f>ROUND(F154*$I$7+$J$7,0)</f>
        <v>83</v>
      </c>
      <c r="R154" s="306">
        <f>IF(P154=0,"",Q154/P154-1)</f>
        <v>-0.41549295774647887</v>
      </c>
    </row>
    <row r="155" spans="1:18" x14ac:dyDescent="0.25">
      <c r="A155" s="291">
        <v>3601</v>
      </c>
      <c r="B155" s="291" t="s">
        <v>227</v>
      </c>
      <c r="C155" s="291" t="s">
        <v>229</v>
      </c>
      <c r="D155" s="307">
        <v>360</v>
      </c>
      <c r="E155" s="307">
        <v>720</v>
      </c>
      <c r="F155" s="308">
        <f>(D155*E155)/10000</f>
        <v>25.92</v>
      </c>
      <c r="G155" s="307">
        <v>39</v>
      </c>
      <c r="H155" s="307">
        <f>ROUND(F155*$C$7+$D$7,0)</f>
        <v>45</v>
      </c>
      <c r="I155" s="309">
        <f>IF(G155=0,"",H155/G155-1)</f>
        <v>0.15384615384615374</v>
      </c>
      <c r="J155" s="307">
        <v>125</v>
      </c>
      <c r="K155" s="307">
        <f>ROUND(F155*$E$7+$F$7,0)</f>
        <v>139</v>
      </c>
      <c r="L155" s="309">
        <f>IF(J155=0,"",K155/J155-1)</f>
        <v>0.1120000000000001</v>
      </c>
      <c r="M155" s="307">
        <v>142</v>
      </c>
      <c r="N155" s="307">
        <f>ROUND(F155*$G$7+$H$7,0)</f>
        <v>161</v>
      </c>
      <c r="O155" s="309">
        <f>IF(M155=0,"",N155/M155-1)</f>
        <v>0.13380281690140849</v>
      </c>
      <c r="P155" s="307">
        <v>170</v>
      </c>
      <c r="Q155" s="307">
        <f>ROUND(F155*$I$7+$J$7,0)</f>
        <v>160</v>
      </c>
      <c r="R155" s="309">
        <f>IF(P155=0,"",Q155/P155-1)</f>
        <v>-5.8823529411764719E-2</v>
      </c>
    </row>
    <row r="156" spans="1:18" x14ac:dyDescent="0.25">
      <c r="A156" s="303">
        <v>3602</v>
      </c>
      <c r="B156" s="303" t="s">
        <v>227</v>
      </c>
      <c r="C156" s="303" t="s">
        <v>230</v>
      </c>
      <c r="D156" s="304">
        <v>360</v>
      </c>
      <c r="E156" s="304">
        <v>1080</v>
      </c>
      <c r="F156" s="305">
        <f>(D156*E156)/10000</f>
        <v>38.880000000000003</v>
      </c>
      <c r="G156" s="304">
        <v>57</v>
      </c>
      <c r="H156" s="304">
        <f>ROUND(F156*$C$7+$D$7,0)</f>
        <v>62</v>
      </c>
      <c r="I156" s="306">
        <f>IF(G156=0,"",H156/G156-1)</f>
        <v>8.7719298245614086E-2</v>
      </c>
      <c r="J156" s="304">
        <v>184</v>
      </c>
      <c r="K156" s="304">
        <f>ROUND(F156*$E$7+$F$7,0)</f>
        <v>172</v>
      </c>
      <c r="L156" s="306">
        <f>IF(J156=0,"",K156/J156-1)</f>
        <v>-6.5217391304347783E-2</v>
      </c>
      <c r="M156" s="304">
        <v>220</v>
      </c>
      <c r="N156" s="304">
        <f>ROUND(F156*$G$7+$H$7,0)</f>
        <v>211</v>
      </c>
      <c r="O156" s="306">
        <f>IF(M156=0,"",N156/M156-1)</f>
        <v>-4.0909090909090895E-2</v>
      </c>
      <c r="P156" s="304">
        <v>192</v>
      </c>
      <c r="Q156" s="304">
        <f>ROUND(F156*$I$7+$J$7,0)</f>
        <v>238</v>
      </c>
      <c r="R156" s="306">
        <f>IF(P156=0,"",Q156/P156-1)</f>
        <v>0.23958333333333326</v>
      </c>
    </row>
    <row r="157" spans="1:18" x14ac:dyDescent="0.25">
      <c r="A157" s="291">
        <v>3603</v>
      </c>
      <c r="B157" s="291" t="s">
        <v>227</v>
      </c>
      <c r="C157" s="291" t="s">
        <v>231</v>
      </c>
      <c r="D157" s="307">
        <v>360</v>
      </c>
      <c r="E157" s="307">
        <v>1440</v>
      </c>
      <c r="F157" s="308">
        <f>(D157*E157)/10000</f>
        <v>51.84</v>
      </c>
      <c r="G157" s="307">
        <v>75</v>
      </c>
      <c r="H157" s="307">
        <f>ROUND(F157*$C$7+$D$7,0)</f>
        <v>79</v>
      </c>
      <c r="I157" s="309">
        <f>IF(G157=0,"",H157/G157-1)</f>
        <v>5.3333333333333233E-2</v>
      </c>
      <c r="J157" s="307">
        <v>232</v>
      </c>
      <c r="K157" s="307">
        <f>ROUND(F157*$E$7+$F$7,0)</f>
        <v>206</v>
      </c>
      <c r="L157" s="309">
        <f>IF(J157=0,"",K157/J157-1)</f>
        <v>-0.11206896551724133</v>
      </c>
      <c r="M157" s="307">
        <v>278</v>
      </c>
      <c r="N157" s="307">
        <f>ROUND(F157*$G$7+$H$7,0)</f>
        <v>262</v>
      </c>
      <c r="O157" s="309">
        <f>IF(M157=0,"",N157/M157-1)</f>
        <v>-5.7553956834532349E-2</v>
      </c>
      <c r="P157" s="307">
        <v>423</v>
      </c>
      <c r="Q157" s="307">
        <f>ROUND(F157*$I$7+$J$7,0)</f>
        <v>315</v>
      </c>
      <c r="R157" s="309">
        <f>IF(P157=0,"",Q157/P157-1)</f>
        <v>-0.25531914893617025</v>
      </c>
    </row>
    <row r="158" spans="1:18" x14ac:dyDescent="0.25">
      <c r="A158" s="303">
        <v>3604</v>
      </c>
      <c r="B158" s="303" t="s">
        <v>227</v>
      </c>
      <c r="C158" s="303" t="s">
        <v>232</v>
      </c>
      <c r="D158" s="304">
        <v>360</v>
      </c>
      <c r="E158" s="304">
        <v>1800</v>
      </c>
      <c r="F158" s="305">
        <f>(D158*E158)/10000</f>
        <v>64.8</v>
      </c>
      <c r="G158" s="304">
        <v>94</v>
      </c>
      <c r="H158" s="304">
        <f>ROUND(F158*$C$7+$D$7,0)</f>
        <v>96</v>
      </c>
      <c r="I158" s="306">
        <f>IF(G158=0,"",H158/G158-1)</f>
        <v>2.1276595744680771E-2</v>
      </c>
      <c r="J158" s="304">
        <v>170</v>
      </c>
      <c r="K158" s="304">
        <f>ROUND(F158*$E$7+$F$7,0)</f>
        <v>240</v>
      </c>
      <c r="L158" s="306">
        <f>IF(J158=0,"",K158/J158-1)</f>
        <v>0.41176470588235303</v>
      </c>
      <c r="M158" s="304">
        <v>340</v>
      </c>
      <c r="N158" s="304">
        <f>ROUND(F158*$G$7+$H$7,0)</f>
        <v>312</v>
      </c>
      <c r="O158" s="306">
        <f>IF(M158=0,"",N158/M158-1)</f>
        <v>-8.2352941176470629E-2</v>
      </c>
      <c r="P158" s="304">
        <v>516</v>
      </c>
      <c r="Q158" s="304">
        <f>ROUND(F158*$I$7+$J$7,0)</f>
        <v>393</v>
      </c>
      <c r="R158" s="306">
        <f>IF(P158=0,"",Q158/P158-1)</f>
        <v>-0.23837209302325579</v>
      </c>
    </row>
    <row r="159" spans="1:18" x14ac:dyDescent="0.25">
      <c r="A159" s="291">
        <v>3605</v>
      </c>
      <c r="B159" s="291" t="s">
        <v>227</v>
      </c>
      <c r="C159" s="291" t="s">
        <v>233</v>
      </c>
      <c r="D159" s="307">
        <v>580</v>
      </c>
      <c r="E159" s="307">
        <v>360</v>
      </c>
      <c r="F159" s="308">
        <f>(D159*E159)/10000</f>
        <v>20.88</v>
      </c>
      <c r="G159" s="307">
        <v>32</v>
      </c>
      <c r="H159" s="307">
        <f>ROUND(F159*$C$7+$D$7,0)</f>
        <v>38</v>
      </c>
      <c r="I159" s="309">
        <f>IF(G159=0,"",H159/G159-1)</f>
        <v>0.1875</v>
      </c>
      <c r="J159" s="307">
        <v>111</v>
      </c>
      <c r="K159" s="307">
        <f>ROUND(F159*$E$7+$F$7,0)</f>
        <v>126</v>
      </c>
      <c r="L159" s="309">
        <f>IF(J159=0,"",K159/J159-1)</f>
        <v>0.13513513513513509</v>
      </c>
      <c r="M159" s="307">
        <v>129</v>
      </c>
      <c r="N159" s="307">
        <f>ROUND(F159*$G$7+$H$7,0)</f>
        <v>141</v>
      </c>
      <c r="O159" s="309">
        <f>IF(M159=0,"",N159/M159-1)</f>
        <v>9.3023255813953432E-2</v>
      </c>
      <c r="P159" s="307">
        <v>148</v>
      </c>
      <c r="Q159" s="307">
        <f>ROUND(F159*$I$7+$J$7,0)</f>
        <v>130</v>
      </c>
      <c r="R159" s="309">
        <f>IF(P159=0,"",Q159/P159-1)</f>
        <v>-0.1216216216216216</v>
      </c>
    </row>
    <row r="160" spans="1:18" x14ac:dyDescent="0.25">
      <c r="A160" s="303">
        <v>3606</v>
      </c>
      <c r="B160" s="303" t="s">
        <v>227</v>
      </c>
      <c r="C160" s="303" t="s">
        <v>234</v>
      </c>
      <c r="D160" s="304">
        <v>580</v>
      </c>
      <c r="E160" s="304">
        <v>720</v>
      </c>
      <c r="F160" s="305">
        <f>(D160*E160)/10000</f>
        <v>41.76</v>
      </c>
      <c r="G160" s="304">
        <v>62</v>
      </c>
      <c r="H160" s="304">
        <f>ROUND(F160*$C$7+$D$7,0)</f>
        <v>66</v>
      </c>
      <c r="I160" s="306">
        <f>IF(G160=0,"",H160/G160-1)</f>
        <v>6.4516129032258007E-2</v>
      </c>
      <c r="J160" s="304">
        <v>181</v>
      </c>
      <c r="K160" s="304">
        <f>ROUND(F160*$E$7+$F$7,0)</f>
        <v>180</v>
      </c>
      <c r="L160" s="306">
        <f>IF(J160=0,"",K160/J160-1)</f>
        <v>-5.5248618784530246E-3</v>
      </c>
      <c r="M160" s="304">
        <v>214</v>
      </c>
      <c r="N160" s="304">
        <f>ROUND(F160*$G$7+$H$7,0)</f>
        <v>222</v>
      </c>
      <c r="O160" s="306">
        <f>IF(M160=0,"",N160/M160-1)</f>
        <v>3.7383177570093462E-2</v>
      </c>
      <c r="P160" s="304">
        <v>196</v>
      </c>
      <c r="Q160" s="304">
        <f>ROUND(F160*$I$7+$J$7,0)</f>
        <v>255</v>
      </c>
      <c r="R160" s="306">
        <f>IF(P160=0,"",Q160/P160-1)</f>
        <v>0.30102040816326525</v>
      </c>
    </row>
    <row r="161" spans="1:18" x14ac:dyDescent="0.25">
      <c r="A161" s="291">
        <v>3607</v>
      </c>
      <c r="B161" s="291" t="s">
        <v>227</v>
      </c>
      <c r="C161" s="291" t="s">
        <v>235</v>
      </c>
      <c r="D161" s="307">
        <v>580</v>
      </c>
      <c r="E161" s="307">
        <v>1080</v>
      </c>
      <c r="F161" s="308">
        <f>(D161*E161)/10000</f>
        <v>62.64</v>
      </c>
      <c r="G161" s="307">
        <v>89</v>
      </c>
      <c r="H161" s="307">
        <f>ROUND(F161*$C$7+$D$7,0)</f>
        <v>93</v>
      </c>
      <c r="I161" s="309">
        <f>IF(G161=0,"",H161/G161-1)</f>
        <v>4.4943820224719211E-2</v>
      </c>
      <c r="J161" s="307">
        <v>260</v>
      </c>
      <c r="K161" s="307">
        <f>ROUND(F161*$E$7+$F$7,0)</f>
        <v>234</v>
      </c>
      <c r="L161" s="309">
        <f>IF(J161=0,"",K161/J161-1)</f>
        <v>-9.9999999999999978E-2</v>
      </c>
      <c r="M161" s="307">
        <v>297</v>
      </c>
      <c r="N161" s="307">
        <f>ROUND(F161*$G$7+$H$7,0)</f>
        <v>304</v>
      </c>
      <c r="O161" s="309">
        <f>IF(M161=0,"",N161/M161-1)</f>
        <v>2.3569023569023573E-2</v>
      </c>
      <c r="P161" s="307">
        <v>246</v>
      </c>
      <c r="Q161" s="307">
        <f>ROUND(F161*$I$7+$J$7,0)</f>
        <v>380</v>
      </c>
      <c r="R161" s="309">
        <f>IF(P161=0,"",Q161/P161-1)</f>
        <v>0.54471544715447151</v>
      </c>
    </row>
    <row r="162" spans="1:18" x14ac:dyDescent="0.25">
      <c r="A162" s="303">
        <v>3608</v>
      </c>
      <c r="B162" s="303" t="s">
        <v>227</v>
      </c>
      <c r="C162" s="303" t="s">
        <v>236</v>
      </c>
      <c r="D162" s="304">
        <v>580</v>
      </c>
      <c r="E162" s="304">
        <v>1440</v>
      </c>
      <c r="F162" s="305">
        <f>(D162*E162)/10000</f>
        <v>83.52</v>
      </c>
      <c r="G162" s="304">
        <v>119</v>
      </c>
      <c r="H162" s="304">
        <f>ROUND(F162*$C$7+$D$7,0)</f>
        <v>120</v>
      </c>
      <c r="I162" s="306">
        <f>IF(G162=0,"",H162/G162-1)</f>
        <v>8.4033613445377853E-3</v>
      </c>
      <c r="J162" s="304">
        <v>334</v>
      </c>
      <c r="K162" s="304">
        <f>ROUND(F162*$E$7+$F$7,0)</f>
        <v>288</v>
      </c>
      <c r="L162" s="306">
        <f>IF(J162=0,"",K162/J162-1)</f>
        <v>-0.13772455089820357</v>
      </c>
      <c r="M162" s="304">
        <v>396</v>
      </c>
      <c r="N162" s="304">
        <f>ROUND(F162*$G$7+$H$7,0)</f>
        <v>385</v>
      </c>
      <c r="O162" s="306">
        <f>IF(M162=0,"",N162/M162-1)</f>
        <v>-2.777777777777779E-2</v>
      </c>
      <c r="P162" s="304">
        <v>602</v>
      </c>
      <c r="Q162" s="304">
        <f>ROUND(F162*$I$7+$J$7,0)</f>
        <v>504</v>
      </c>
      <c r="R162" s="306">
        <f>IF(P162=0,"",Q162/P162-1)</f>
        <v>-0.16279069767441856</v>
      </c>
    </row>
    <row r="163" spans="1:18" x14ac:dyDescent="0.25">
      <c r="A163" s="291">
        <v>3609</v>
      </c>
      <c r="B163" s="291" t="s">
        <v>227</v>
      </c>
      <c r="C163" s="291" t="s">
        <v>237</v>
      </c>
      <c r="D163" s="307">
        <v>580</v>
      </c>
      <c r="E163" s="307">
        <v>1800</v>
      </c>
      <c r="F163" s="308">
        <f>(D163*E163)/10000</f>
        <v>104.4</v>
      </c>
      <c r="G163" s="307">
        <v>148</v>
      </c>
      <c r="H163" s="307">
        <f>ROUND(F163*$C$7+$D$7,0)</f>
        <v>148</v>
      </c>
      <c r="I163" s="309">
        <f>IF(G163=0,"",H163/G163-1)</f>
        <v>0</v>
      </c>
      <c r="J163" s="307">
        <v>268</v>
      </c>
      <c r="K163" s="307">
        <f>ROUND(F163*$E$7+$F$7,0)</f>
        <v>343</v>
      </c>
      <c r="L163" s="309">
        <f>IF(J163=0,"",K163/J163-1)</f>
        <v>0.2798507462686568</v>
      </c>
      <c r="M163" s="307">
        <v>462</v>
      </c>
      <c r="N163" s="307">
        <f>ROUND(F163*$G$7+$H$7,0)</f>
        <v>467</v>
      </c>
      <c r="O163" s="309">
        <f>IF(M163=0,"",N163/M163-1)</f>
        <v>1.0822510822510845E-2</v>
      </c>
      <c r="P163" s="307">
        <v>703</v>
      </c>
      <c r="Q163" s="307">
        <f>ROUND(F163*$I$7+$J$7,0)</f>
        <v>629</v>
      </c>
      <c r="R163" s="309">
        <f>IF(P163=0,"",Q163/P163-1)</f>
        <v>-0.10526315789473684</v>
      </c>
    </row>
    <row r="164" spans="1:18" x14ac:dyDescent="0.25">
      <c r="A164" s="303">
        <v>3610</v>
      </c>
      <c r="B164" s="303" t="s">
        <v>227</v>
      </c>
      <c r="C164" s="303" t="s">
        <v>238</v>
      </c>
      <c r="D164" s="304">
        <v>720</v>
      </c>
      <c r="E164" s="304">
        <v>780</v>
      </c>
      <c r="F164" s="305">
        <f>(D164*E164)/10000</f>
        <v>56.16</v>
      </c>
      <c r="G164" s="304">
        <v>80</v>
      </c>
      <c r="H164" s="304">
        <f>ROUND(F164*$C$7+$D$7,0)</f>
        <v>85</v>
      </c>
      <c r="I164" s="306">
        <f>IF(G164=0,"",H164/G164-1)</f>
        <v>6.25E-2</v>
      </c>
      <c r="J164" s="304">
        <v>245</v>
      </c>
      <c r="K164" s="304">
        <f>ROUND(F164*$E$7+$F$7,0)</f>
        <v>217</v>
      </c>
      <c r="L164" s="306">
        <f>IF(J164=0,"",K164/J164-1)</f>
        <v>-0.11428571428571432</v>
      </c>
      <c r="M164" s="304">
        <v>274</v>
      </c>
      <c r="N164" s="304">
        <f>ROUND(F164*$G$7+$H$7,0)</f>
        <v>279</v>
      </c>
      <c r="O164" s="306">
        <f>IF(M164=0,"",N164/M164-1)</f>
        <v>1.8248175182481674E-2</v>
      </c>
      <c r="P164" s="304">
        <v>214</v>
      </c>
      <c r="Q164" s="304">
        <f>ROUND(F164*$I$7+$J$7,0)</f>
        <v>341</v>
      </c>
      <c r="R164" s="306">
        <f>IF(P164=0,"",Q164/P164-1)</f>
        <v>0.59345794392523366</v>
      </c>
    </row>
    <row r="165" spans="1:18" x14ac:dyDescent="0.25">
      <c r="A165" s="291">
        <v>3611</v>
      </c>
      <c r="B165" s="291" t="s">
        <v>227</v>
      </c>
      <c r="C165" s="291" t="s">
        <v>239</v>
      </c>
      <c r="D165" s="307">
        <v>720</v>
      </c>
      <c r="E165" s="307">
        <v>980</v>
      </c>
      <c r="F165" s="308">
        <f>(D165*E165)/10000</f>
        <v>70.56</v>
      </c>
      <c r="G165" s="307">
        <v>101</v>
      </c>
      <c r="H165" s="307">
        <f>ROUND(F165*$C$7+$D$7,0)</f>
        <v>103</v>
      </c>
      <c r="I165" s="309">
        <f>IF(G165=0,"",H165/G165-1)</f>
        <v>1.980198019801982E-2</v>
      </c>
      <c r="J165" s="307">
        <v>280</v>
      </c>
      <c r="K165" s="307">
        <f>ROUND(F165*$E$7+$F$7,0)</f>
        <v>255</v>
      </c>
      <c r="L165" s="309">
        <f>IF(J165=0,"",K165/J165-1)</f>
        <v>-8.9285714285714302E-2</v>
      </c>
      <c r="M165" s="307">
        <v>317</v>
      </c>
      <c r="N165" s="307">
        <f>ROUND(F165*$G$7+$H$7,0)</f>
        <v>335</v>
      </c>
      <c r="O165" s="309">
        <f>IF(M165=0,"",N165/M165-1)</f>
        <v>5.6782334384858135E-2</v>
      </c>
      <c r="P165" s="307">
        <v>263</v>
      </c>
      <c r="Q165" s="307">
        <f>ROUND(F165*$I$7+$J$7,0)</f>
        <v>427</v>
      </c>
      <c r="R165" s="309">
        <f>IF(P165=0,"",Q165/P165-1)</f>
        <v>0.62357414448669202</v>
      </c>
    </row>
    <row r="166" spans="1:18" x14ac:dyDescent="0.25">
      <c r="A166" s="303">
        <v>3612</v>
      </c>
      <c r="B166" s="303" t="s">
        <v>227</v>
      </c>
      <c r="C166" s="303" t="s">
        <v>240</v>
      </c>
      <c r="D166" s="304">
        <v>1080</v>
      </c>
      <c r="E166" s="304">
        <v>780</v>
      </c>
      <c r="F166" s="305">
        <f>(D166*E166)/10000</f>
        <v>84.24</v>
      </c>
      <c r="G166" s="304">
        <v>121</v>
      </c>
      <c r="H166" s="304">
        <f>ROUND(F166*$C$7+$D$7,0)</f>
        <v>121</v>
      </c>
      <c r="I166" s="306">
        <f>IF(G166=0,"",H166/G166-1)</f>
        <v>0</v>
      </c>
      <c r="J166" s="304">
        <v>357</v>
      </c>
      <c r="K166" s="304">
        <f>ROUND(F166*$E$7+$F$7,0)</f>
        <v>290</v>
      </c>
      <c r="L166" s="306">
        <f>IF(J166=0,"",K166/J166-1)</f>
        <v>-0.1876750700280112</v>
      </c>
      <c r="M166" s="304">
        <v>405</v>
      </c>
      <c r="N166" s="304">
        <f>ROUND(F166*$G$7+$H$7,0)</f>
        <v>388</v>
      </c>
      <c r="O166" s="306">
        <f>IF(M166=0,"",N166/M166-1)</f>
        <v>-4.1975308641975295E-2</v>
      </c>
      <c r="P166" s="304">
        <v>308</v>
      </c>
      <c r="Q166" s="304">
        <f>ROUND(F166*$I$7+$J$7,0)</f>
        <v>509</v>
      </c>
      <c r="R166" s="306">
        <f>IF(P166=0,"",Q166/P166-1)</f>
        <v>0.65259740259740262</v>
      </c>
    </row>
    <row r="167" spans="1:18" x14ac:dyDescent="0.25">
      <c r="A167" s="291">
        <v>3613</v>
      </c>
      <c r="B167" s="291" t="s">
        <v>227</v>
      </c>
      <c r="C167" s="291" t="s">
        <v>241</v>
      </c>
      <c r="D167" s="307">
        <v>1080</v>
      </c>
      <c r="E167" s="307">
        <v>980</v>
      </c>
      <c r="F167" s="308">
        <f>(D167*E167)/10000</f>
        <v>105.84</v>
      </c>
      <c r="G167" s="307">
        <v>150</v>
      </c>
      <c r="H167" s="307">
        <f>ROUND(F167*$C$7+$D$7,0)</f>
        <v>150</v>
      </c>
      <c r="I167" s="309">
        <f>IF(G167=0,"",H167/G167-1)</f>
        <v>0</v>
      </c>
      <c r="J167" s="307">
        <v>432</v>
      </c>
      <c r="K167" s="307">
        <f>ROUND(F167*$E$7+$F$7,0)</f>
        <v>347</v>
      </c>
      <c r="L167" s="309">
        <f>IF(J167=0,"",K167/J167-1)</f>
        <v>-0.1967592592592593</v>
      </c>
      <c r="M167" s="307">
        <v>469</v>
      </c>
      <c r="N167" s="307">
        <f>ROUND(F167*$G$7+$H$7,0)</f>
        <v>473</v>
      </c>
      <c r="O167" s="309">
        <f>IF(M167=0,"",N167/M167-1)</f>
        <v>8.5287846481876262E-3</v>
      </c>
      <c r="P167" s="307">
        <v>345</v>
      </c>
      <c r="Q167" s="307">
        <f>ROUND(F167*$I$7+$J$7,0)</f>
        <v>638</v>
      </c>
      <c r="R167" s="309">
        <f>IF(P167=0,"",Q167/P167-1)</f>
        <v>0.84927536231884049</v>
      </c>
    </row>
    <row r="168" spans="1:18" x14ac:dyDescent="0.25">
      <c r="A168" s="303">
        <v>3614</v>
      </c>
      <c r="B168" s="303" t="s">
        <v>227</v>
      </c>
      <c r="C168" s="303" t="s">
        <v>242</v>
      </c>
      <c r="D168" s="304">
        <v>1440</v>
      </c>
      <c r="E168" s="304">
        <v>780</v>
      </c>
      <c r="F168" s="305">
        <f>(D168*E168)/10000</f>
        <v>112.32</v>
      </c>
      <c r="G168" s="304">
        <v>158</v>
      </c>
      <c r="H168" s="304">
        <f>ROUND(F168*$C$7+$D$7,0)</f>
        <v>158</v>
      </c>
      <c r="I168" s="306">
        <f>IF(G168=0,"",H168/G168-1)</f>
        <v>0</v>
      </c>
      <c r="J168" s="304">
        <v>435</v>
      </c>
      <c r="K168" s="304">
        <f>ROUND(F168*$E$7+$F$7,0)</f>
        <v>363</v>
      </c>
      <c r="L168" s="306">
        <f>IF(J168=0,"",K168/J168-1)</f>
        <v>-0.16551724137931034</v>
      </c>
      <c r="M168" s="304">
        <v>494</v>
      </c>
      <c r="N168" s="304">
        <f>ROUND(F168*$G$7+$H$7,0)</f>
        <v>498</v>
      </c>
      <c r="O168" s="306">
        <f>IF(M168=0,"",N168/M168-1)</f>
        <v>8.0971659919029104E-3</v>
      </c>
      <c r="P168" s="304">
        <v>751</v>
      </c>
      <c r="Q168" s="304">
        <f>ROUND(F168*$I$7+$J$7,0)</f>
        <v>677</v>
      </c>
      <c r="R168" s="306">
        <f>IF(P168=0,"",Q168/P168-1)</f>
        <v>-9.8535286284953449E-2</v>
      </c>
    </row>
    <row r="169" spans="1:18" x14ac:dyDescent="0.25">
      <c r="A169" s="291">
        <v>3615</v>
      </c>
      <c r="B169" s="291" t="s">
        <v>227</v>
      </c>
      <c r="C169" s="291" t="s">
        <v>243</v>
      </c>
      <c r="D169" s="307">
        <v>1440</v>
      </c>
      <c r="E169" s="307">
        <v>980</v>
      </c>
      <c r="F169" s="308">
        <f>(D169*E169)/10000</f>
        <v>141.12</v>
      </c>
      <c r="G169" s="307">
        <v>198</v>
      </c>
      <c r="H169" s="307">
        <f>ROUND(F169*$C$7+$D$7,0)</f>
        <v>196</v>
      </c>
      <c r="I169" s="309">
        <f>IF(G169=0,"",H169/G169-1)</f>
        <v>-1.0101010101010055E-2</v>
      </c>
      <c r="J169" s="307">
        <v>537</v>
      </c>
      <c r="K169" s="307">
        <f>ROUND(F169*$E$7+$F$7,0)</f>
        <v>438</v>
      </c>
      <c r="L169" s="309">
        <f>IF(J169=0,"",K169/J169-1)</f>
        <v>-0.18435754189944131</v>
      </c>
      <c r="M169" s="307">
        <v>610</v>
      </c>
      <c r="N169" s="307">
        <f>ROUND(F169*$G$7+$H$7,0)</f>
        <v>610</v>
      </c>
      <c r="O169" s="309">
        <f>IF(M169=0,"",N169/M169-1)</f>
        <v>0</v>
      </c>
      <c r="P169" s="307">
        <v>927</v>
      </c>
      <c r="Q169" s="307">
        <f>ROUND(F169*$I$7+$J$7,0)</f>
        <v>849</v>
      </c>
      <c r="R169" s="309">
        <f>IF(P169=0,"",Q169/P169-1)</f>
        <v>-8.4142394822006472E-2</v>
      </c>
    </row>
    <row r="170" spans="1:18" x14ac:dyDescent="0.25">
      <c r="A170" s="303">
        <v>3616</v>
      </c>
      <c r="B170" s="303" t="s">
        <v>227</v>
      </c>
      <c r="C170" s="303" t="s">
        <v>244</v>
      </c>
      <c r="D170" s="304">
        <v>1800</v>
      </c>
      <c r="E170" s="304">
        <v>780</v>
      </c>
      <c r="F170" s="305">
        <f>(D170*E170)/10000</f>
        <v>140.4</v>
      </c>
      <c r="G170" s="304">
        <v>198</v>
      </c>
      <c r="H170" s="304">
        <f>ROUND(F170*$C$7+$D$7,0)</f>
        <v>195</v>
      </c>
      <c r="I170" s="306">
        <f>IF(G170=0,"",H170/G170-1)</f>
        <v>-1.5151515151515138E-2</v>
      </c>
      <c r="J170" s="304">
        <v>359</v>
      </c>
      <c r="K170" s="304">
        <f>ROUND(F170*$E$7+$F$7,0)</f>
        <v>436</v>
      </c>
      <c r="L170" s="306">
        <f>IF(J170=0,"",K170/J170-1)</f>
        <v>0.21448467966573825</v>
      </c>
      <c r="M170" s="304">
        <v>606</v>
      </c>
      <c r="N170" s="304">
        <f>ROUND(F170*$G$7+$H$7,0)</f>
        <v>607</v>
      </c>
      <c r="O170" s="306">
        <f>IF(M170=0,"",N170/M170-1)</f>
        <v>1.6501650165017256E-3</v>
      </c>
      <c r="P170" s="304">
        <v>921</v>
      </c>
      <c r="Q170" s="304">
        <f>ROUND(F170*$I$7+$J$7,0)</f>
        <v>844</v>
      </c>
      <c r="R170" s="306">
        <f>IF(P170=0,"",Q170/P170-1)</f>
        <v>-8.3604777415852372E-2</v>
      </c>
    </row>
    <row r="171" spans="1:18" x14ac:dyDescent="0.25">
      <c r="A171" s="291">
        <v>3617</v>
      </c>
      <c r="B171" s="291" t="s">
        <v>227</v>
      </c>
      <c r="C171" s="291" t="s">
        <v>245</v>
      </c>
      <c r="D171" s="307">
        <v>1800</v>
      </c>
      <c r="E171" s="307">
        <v>980</v>
      </c>
      <c r="F171" s="308">
        <f>(D171*E171)/10000</f>
        <v>176.4</v>
      </c>
      <c r="G171" s="307">
        <v>247</v>
      </c>
      <c r="H171" s="307">
        <f>ROUND(F171*$C$7+$D$7,0)</f>
        <v>242</v>
      </c>
      <c r="I171" s="309">
        <f>IF(G171=0,"",H171/G171-1)</f>
        <v>-2.0242914979757054E-2</v>
      </c>
      <c r="J171" s="307">
        <v>447</v>
      </c>
      <c r="K171" s="307">
        <f>ROUND(F171*$E$7+$F$7,0)</f>
        <v>530</v>
      </c>
      <c r="L171" s="309">
        <f>IF(J171=0,"",K171/J171-1)</f>
        <v>0.18568232662192385</v>
      </c>
      <c r="M171" s="307">
        <v>745</v>
      </c>
      <c r="N171" s="307">
        <f>ROUND(F171*$G$7+$H$7,0)</f>
        <v>748</v>
      </c>
      <c r="O171" s="309">
        <f>IF(M171=0,"",N171/M171-1)</f>
        <v>4.0268456375838202E-3</v>
      </c>
      <c r="P171" s="307">
        <v>1134</v>
      </c>
      <c r="Q171" s="307">
        <f>ROUND(F171*$I$7+$J$7,0)</f>
        <v>1060</v>
      </c>
      <c r="R171" s="309">
        <f>IF(P171=0,"",Q171/P171-1)</f>
        <v>-6.5255731922398641E-2</v>
      </c>
    </row>
    <row r="172" spans="1:18" x14ac:dyDescent="0.25">
      <c r="A172" s="310" t="s">
        <v>246</v>
      </c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</row>
    <row r="173" spans="1:18" x14ac:dyDescent="0.25">
      <c r="A173" s="303">
        <v>3620</v>
      </c>
      <c r="B173" s="303" t="s">
        <v>246</v>
      </c>
      <c r="C173" s="303" t="s">
        <v>247</v>
      </c>
      <c r="D173" s="304">
        <v>360</v>
      </c>
      <c r="E173" s="304">
        <v>360</v>
      </c>
      <c r="F173" s="305">
        <f>(D173*E173)/10000</f>
        <v>12.96</v>
      </c>
      <c r="G173" s="304">
        <v>26</v>
      </c>
      <c r="H173" s="304">
        <f>ROUND(F173*$C$7+$D$7,0)</f>
        <v>28</v>
      </c>
      <c r="I173" s="306">
        <f>IF(G173=0,"",H173/G173-1)</f>
        <v>7.6923076923076872E-2</v>
      </c>
      <c r="J173" s="304">
        <v>46</v>
      </c>
      <c r="K173" s="304">
        <f>ROUND(F173*$E$7+$F$7,0)</f>
        <v>105</v>
      </c>
      <c r="L173" s="306">
        <f>IF(J173=0,"",K173/J173-1)</f>
        <v>1.2826086956521738</v>
      </c>
      <c r="M173" s="304">
        <v>88</v>
      </c>
      <c r="N173" s="304">
        <f>ROUND(F173*$G$7+$H$7,0)</f>
        <v>110</v>
      </c>
      <c r="O173" s="306">
        <f>IF(M173=0,"",N173/M173-1)</f>
        <v>0.25</v>
      </c>
      <c r="P173" s="304">
        <v>142</v>
      </c>
      <c r="Q173" s="304">
        <f>ROUND(F173*$I$7+$J$7,0)</f>
        <v>83</v>
      </c>
      <c r="R173" s="306">
        <f>IF(P173=0,"",Q173/P173-1)</f>
        <v>-0.41549295774647887</v>
      </c>
    </row>
    <row r="174" spans="1:18" x14ac:dyDescent="0.25">
      <c r="A174" s="291">
        <v>3621</v>
      </c>
      <c r="B174" s="291" t="s">
        <v>246</v>
      </c>
      <c r="C174" s="291" t="s">
        <v>248</v>
      </c>
      <c r="D174" s="307">
        <v>360</v>
      </c>
      <c r="E174" s="307">
        <v>720</v>
      </c>
      <c r="F174" s="308">
        <f>(D174*E174)/10000</f>
        <v>25.92</v>
      </c>
      <c r="G174" s="307">
        <v>39</v>
      </c>
      <c r="H174" s="307">
        <f>ROUND(F174*$C$7+$D$7,0)</f>
        <v>45</v>
      </c>
      <c r="I174" s="309">
        <f>IF(G174=0,"",H174/G174-1)</f>
        <v>0.15384615384615374</v>
      </c>
      <c r="J174" s="307">
        <v>70</v>
      </c>
      <c r="K174" s="307">
        <f>ROUND(F174*$E$7+$F$7,0)</f>
        <v>139</v>
      </c>
      <c r="L174" s="309">
        <f>IF(J174=0,"",K174/J174-1)</f>
        <v>0.98571428571428577</v>
      </c>
      <c r="M174" s="307">
        <v>142</v>
      </c>
      <c r="N174" s="307">
        <f>ROUND(F174*$G$7+$H$7,0)</f>
        <v>161</v>
      </c>
      <c r="O174" s="309">
        <f>IF(M174=0,"",N174/M174-1)</f>
        <v>0.13380281690140849</v>
      </c>
      <c r="P174" s="307">
        <v>170</v>
      </c>
      <c r="Q174" s="307">
        <f>ROUND(F174*$I$7+$J$7,0)</f>
        <v>160</v>
      </c>
      <c r="R174" s="309">
        <f>IF(P174=0,"",Q174/P174-1)</f>
        <v>-5.8823529411764719E-2</v>
      </c>
    </row>
    <row r="175" spans="1:18" x14ac:dyDescent="0.25">
      <c r="A175" s="303">
        <v>3622</v>
      </c>
      <c r="B175" s="303" t="s">
        <v>246</v>
      </c>
      <c r="C175" s="303" t="s">
        <v>249</v>
      </c>
      <c r="D175" s="304">
        <v>360</v>
      </c>
      <c r="E175" s="304">
        <v>1080</v>
      </c>
      <c r="F175" s="305">
        <f>(D175*E175)/10000</f>
        <v>38.880000000000003</v>
      </c>
      <c r="G175" s="304">
        <v>57</v>
      </c>
      <c r="H175" s="304">
        <f>ROUND(F175*$C$7+$D$7,0)</f>
        <v>62</v>
      </c>
      <c r="I175" s="306">
        <f>IF(G175=0,"",H175/G175-1)</f>
        <v>8.7719298245614086E-2</v>
      </c>
      <c r="J175" s="304">
        <v>104</v>
      </c>
      <c r="K175" s="304">
        <f>ROUND(F175*$E$7+$F$7,0)</f>
        <v>172</v>
      </c>
      <c r="L175" s="306">
        <f>IF(J175=0,"",K175/J175-1)</f>
        <v>0.65384615384615374</v>
      </c>
      <c r="M175" s="304">
        <v>220</v>
      </c>
      <c r="N175" s="304">
        <f>ROUND(F175*$G$7+$H$7,0)</f>
        <v>211</v>
      </c>
      <c r="O175" s="306">
        <f>IF(M175=0,"",N175/M175-1)</f>
        <v>-4.0909090909090895E-2</v>
      </c>
      <c r="P175" s="304">
        <v>192</v>
      </c>
      <c r="Q175" s="304">
        <f>ROUND(F175*$I$7+$J$7,0)</f>
        <v>238</v>
      </c>
      <c r="R175" s="306">
        <f>IF(P175=0,"",Q175/P175-1)</f>
        <v>0.23958333333333326</v>
      </c>
    </row>
    <row r="176" spans="1:18" x14ac:dyDescent="0.25">
      <c r="A176" s="291">
        <v>3623</v>
      </c>
      <c r="B176" s="291" t="s">
        <v>246</v>
      </c>
      <c r="C176" s="291" t="s">
        <v>250</v>
      </c>
      <c r="D176" s="307">
        <v>360</v>
      </c>
      <c r="E176" s="307">
        <v>1440</v>
      </c>
      <c r="F176" s="308">
        <f>(D176*E176)/10000</f>
        <v>51.84</v>
      </c>
      <c r="G176" s="307">
        <v>75</v>
      </c>
      <c r="H176" s="307">
        <f>ROUND(F176*$C$7+$D$7,0)</f>
        <v>79</v>
      </c>
      <c r="I176" s="309">
        <f>IF(G176=0,"",H176/G176-1)</f>
        <v>5.3333333333333233E-2</v>
      </c>
      <c r="J176" s="307">
        <v>136</v>
      </c>
      <c r="K176" s="307">
        <f>ROUND(F176*$E$7+$F$7,0)</f>
        <v>206</v>
      </c>
      <c r="L176" s="309">
        <f>IF(J176=0,"",K176/J176-1)</f>
        <v>0.51470588235294112</v>
      </c>
      <c r="M176" s="307">
        <v>278</v>
      </c>
      <c r="N176" s="307">
        <f>ROUND(F176*$G$7+$H$7,0)</f>
        <v>262</v>
      </c>
      <c r="O176" s="309">
        <f>IF(M176=0,"",N176/M176-1)</f>
        <v>-5.7553956834532349E-2</v>
      </c>
      <c r="P176" s="307">
        <v>423</v>
      </c>
      <c r="Q176" s="307">
        <f>ROUND(F176*$I$7+$J$7,0)</f>
        <v>315</v>
      </c>
      <c r="R176" s="309">
        <f>IF(P176=0,"",Q176/P176-1)</f>
        <v>-0.25531914893617025</v>
      </c>
    </row>
    <row r="177" spans="1:18" x14ac:dyDescent="0.25">
      <c r="A177" s="303">
        <v>3624</v>
      </c>
      <c r="B177" s="303" t="s">
        <v>246</v>
      </c>
      <c r="C177" s="303" t="s">
        <v>251</v>
      </c>
      <c r="D177" s="304">
        <v>360</v>
      </c>
      <c r="E177" s="304">
        <v>1800</v>
      </c>
      <c r="F177" s="305">
        <f>(D177*E177)/10000</f>
        <v>64.8</v>
      </c>
      <c r="G177" s="304">
        <v>94</v>
      </c>
      <c r="H177" s="304">
        <f>ROUND(F177*$C$7+$D$7,0)</f>
        <v>96</v>
      </c>
      <c r="I177" s="306">
        <f>IF(G177=0,"",H177/G177-1)</f>
        <v>2.1276595744680771E-2</v>
      </c>
      <c r="J177" s="304">
        <v>170</v>
      </c>
      <c r="K177" s="304">
        <f>ROUND(F177*$E$7+$F$7,0)</f>
        <v>240</v>
      </c>
      <c r="L177" s="306">
        <f>IF(J177=0,"",K177/J177-1)</f>
        <v>0.41176470588235303</v>
      </c>
      <c r="M177" s="304">
        <v>340</v>
      </c>
      <c r="N177" s="304">
        <f>ROUND(F177*$G$7+$H$7,0)</f>
        <v>312</v>
      </c>
      <c r="O177" s="306">
        <f>IF(M177=0,"",N177/M177-1)</f>
        <v>-8.2352941176470629E-2</v>
      </c>
      <c r="P177" s="304">
        <v>516</v>
      </c>
      <c r="Q177" s="304">
        <f>ROUND(F177*$I$7+$J$7,0)</f>
        <v>393</v>
      </c>
      <c r="R177" s="306">
        <f>IF(P177=0,"",Q177/P177-1)</f>
        <v>-0.23837209302325579</v>
      </c>
    </row>
    <row r="178" spans="1:18" x14ac:dyDescent="0.25">
      <c r="A178" s="291">
        <v>3625</v>
      </c>
      <c r="B178" s="291" t="s">
        <v>246</v>
      </c>
      <c r="C178" s="291" t="s">
        <v>252</v>
      </c>
      <c r="D178" s="307">
        <v>580</v>
      </c>
      <c r="E178" s="307">
        <v>360</v>
      </c>
      <c r="F178" s="308">
        <f>(D178*E178)/10000</f>
        <v>20.88</v>
      </c>
      <c r="G178" s="307">
        <v>32</v>
      </c>
      <c r="H178" s="307">
        <f>ROUND(F178*$C$7+$D$7,0)</f>
        <v>38</v>
      </c>
      <c r="I178" s="309">
        <f>IF(G178=0,"",H178/G178-1)</f>
        <v>0.1875</v>
      </c>
      <c r="J178" s="307">
        <v>59</v>
      </c>
      <c r="K178" s="307">
        <f>ROUND(F178*$E$7+$F$7,0)</f>
        <v>126</v>
      </c>
      <c r="L178" s="309">
        <f>IF(J178=0,"",K178/J178-1)</f>
        <v>1.1355932203389831</v>
      </c>
      <c r="M178" s="307">
        <v>129</v>
      </c>
      <c r="N178" s="307">
        <f>ROUND(F178*$G$7+$H$7,0)</f>
        <v>141</v>
      </c>
      <c r="O178" s="309">
        <f>IF(M178=0,"",N178/M178-1)</f>
        <v>9.3023255813953432E-2</v>
      </c>
      <c r="P178" s="307">
        <v>148</v>
      </c>
      <c r="Q178" s="307">
        <f>ROUND(F178*$I$7+$J$7,0)</f>
        <v>130</v>
      </c>
      <c r="R178" s="309">
        <f>IF(P178=0,"",Q178/P178-1)</f>
        <v>-0.1216216216216216</v>
      </c>
    </row>
    <row r="179" spans="1:18" x14ac:dyDescent="0.25">
      <c r="A179" s="303">
        <v>3626</v>
      </c>
      <c r="B179" s="303" t="s">
        <v>246</v>
      </c>
      <c r="C179" s="303" t="s">
        <v>253</v>
      </c>
      <c r="D179" s="304">
        <v>580</v>
      </c>
      <c r="E179" s="304">
        <v>720</v>
      </c>
      <c r="F179" s="305">
        <f>(D179*E179)/10000</f>
        <v>41.76</v>
      </c>
      <c r="G179" s="304">
        <v>62</v>
      </c>
      <c r="H179" s="304">
        <f>ROUND(F179*$C$7+$D$7,0)</f>
        <v>66</v>
      </c>
      <c r="I179" s="306">
        <f>IF(G179=0,"",H179/G179-1)</f>
        <v>6.4516129032258007E-2</v>
      </c>
      <c r="J179" s="304">
        <v>111</v>
      </c>
      <c r="K179" s="304">
        <f>ROUND(F179*$E$7+$F$7,0)</f>
        <v>180</v>
      </c>
      <c r="L179" s="306">
        <f>IF(J179=0,"",K179/J179-1)</f>
        <v>0.62162162162162171</v>
      </c>
      <c r="M179" s="304">
        <v>214</v>
      </c>
      <c r="N179" s="304">
        <f>ROUND(F179*$G$7+$H$7,0)</f>
        <v>222</v>
      </c>
      <c r="O179" s="306">
        <f>IF(M179=0,"",N179/M179-1)</f>
        <v>3.7383177570093462E-2</v>
      </c>
      <c r="P179" s="304">
        <v>196</v>
      </c>
      <c r="Q179" s="304">
        <f>ROUND(F179*$I$7+$J$7,0)</f>
        <v>255</v>
      </c>
      <c r="R179" s="306">
        <f>IF(P179=0,"",Q179/P179-1)</f>
        <v>0.30102040816326525</v>
      </c>
    </row>
    <row r="180" spans="1:18" x14ac:dyDescent="0.25">
      <c r="A180" s="291">
        <v>3627</v>
      </c>
      <c r="B180" s="291" t="s">
        <v>246</v>
      </c>
      <c r="C180" s="291" t="s">
        <v>254</v>
      </c>
      <c r="D180" s="307">
        <v>580</v>
      </c>
      <c r="E180" s="307">
        <v>1080</v>
      </c>
      <c r="F180" s="308">
        <f>(D180*E180)/10000</f>
        <v>62.64</v>
      </c>
      <c r="G180" s="307">
        <v>89</v>
      </c>
      <c r="H180" s="307">
        <f>ROUND(F180*$C$7+$D$7,0)</f>
        <v>93</v>
      </c>
      <c r="I180" s="309">
        <f>IF(G180=0,"",H180/G180-1)</f>
        <v>4.4943820224719211E-2</v>
      </c>
      <c r="J180" s="307">
        <v>161</v>
      </c>
      <c r="K180" s="307">
        <f>ROUND(F180*$E$7+$F$7,0)</f>
        <v>234</v>
      </c>
      <c r="L180" s="309">
        <f>IF(J180=0,"",K180/J180-1)</f>
        <v>0.45341614906832306</v>
      </c>
      <c r="M180" s="307">
        <v>297</v>
      </c>
      <c r="N180" s="307">
        <f>ROUND(F180*$G$7+$H$7,0)</f>
        <v>304</v>
      </c>
      <c r="O180" s="309">
        <f>IF(M180=0,"",N180/M180-1)</f>
        <v>2.3569023569023573E-2</v>
      </c>
      <c r="P180" s="307">
        <v>246</v>
      </c>
      <c r="Q180" s="307">
        <f>ROUND(F180*$I$7+$J$7,0)</f>
        <v>380</v>
      </c>
      <c r="R180" s="309">
        <f>IF(P180=0,"",Q180/P180-1)</f>
        <v>0.54471544715447151</v>
      </c>
    </row>
    <row r="181" spans="1:18" x14ac:dyDescent="0.25">
      <c r="A181" s="303">
        <v>3628</v>
      </c>
      <c r="B181" s="303" t="s">
        <v>246</v>
      </c>
      <c r="C181" s="303" t="s">
        <v>255</v>
      </c>
      <c r="D181" s="304">
        <v>580</v>
      </c>
      <c r="E181" s="304">
        <v>1440</v>
      </c>
      <c r="F181" s="305">
        <f>(D181*E181)/10000</f>
        <v>83.52</v>
      </c>
      <c r="G181" s="304">
        <v>119</v>
      </c>
      <c r="H181" s="304">
        <f>ROUND(F181*$C$7+$D$7,0)</f>
        <v>120</v>
      </c>
      <c r="I181" s="306">
        <f>IF(G181=0,"",H181/G181-1)</f>
        <v>8.4033613445377853E-3</v>
      </c>
      <c r="J181" s="304">
        <v>215</v>
      </c>
      <c r="K181" s="304">
        <f>ROUND(F181*$E$7+$F$7,0)</f>
        <v>288</v>
      </c>
      <c r="L181" s="306">
        <f>IF(J181=0,"",K181/J181-1)</f>
        <v>0.33953488372093021</v>
      </c>
      <c r="M181" s="304">
        <v>396</v>
      </c>
      <c r="N181" s="304">
        <f>ROUND(F181*$G$7+$H$7,0)</f>
        <v>385</v>
      </c>
      <c r="O181" s="306">
        <f>IF(M181=0,"",N181/M181-1)</f>
        <v>-2.777777777777779E-2</v>
      </c>
      <c r="P181" s="304">
        <v>602</v>
      </c>
      <c r="Q181" s="304">
        <f>ROUND(F181*$I$7+$J$7,0)</f>
        <v>504</v>
      </c>
      <c r="R181" s="306">
        <f>IF(P181=0,"",Q181/P181-1)</f>
        <v>-0.16279069767441856</v>
      </c>
    </row>
    <row r="182" spans="1:18" x14ac:dyDescent="0.25">
      <c r="A182" s="291">
        <v>3629</v>
      </c>
      <c r="B182" s="291" t="s">
        <v>246</v>
      </c>
      <c r="C182" s="291" t="s">
        <v>256</v>
      </c>
      <c r="D182" s="307">
        <v>580</v>
      </c>
      <c r="E182" s="307">
        <v>1800</v>
      </c>
      <c r="F182" s="308">
        <f>(D182*E182)/10000</f>
        <v>104.4</v>
      </c>
      <c r="G182" s="307">
        <v>148</v>
      </c>
      <c r="H182" s="307">
        <f>ROUND(F182*$C$7+$D$7,0)</f>
        <v>148</v>
      </c>
      <c r="I182" s="309">
        <f>IF(G182=0,"",H182/G182-1)</f>
        <v>0</v>
      </c>
      <c r="J182" s="307">
        <v>268</v>
      </c>
      <c r="K182" s="307">
        <f>ROUND(F182*$E$7+$F$7,0)</f>
        <v>343</v>
      </c>
      <c r="L182" s="309">
        <f>IF(J182=0,"",K182/J182-1)</f>
        <v>0.2798507462686568</v>
      </c>
      <c r="M182" s="307">
        <v>462</v>
      </c>
      <c r="N182" s="307">
        <f>ROUND(F182*$G$7+$H$7,0)</f>
        <v>467</v>
      </c>
      <c r="O182" s="309">
        <f>IF(M182=0,"",N182/M182-1)</f>
        <v>1.0822510822510845E-2</v>
      </c>
      <c r="P182" s="307">
        <v>703</v>
      </c>
      <c r="Q182" s="307">
        <f>ROUND(F182*$I$7+$J$7,0)</f>
        <v>629</v>
      </c>
      <c r="R182" s="309">
        <f>IF(P182=0,"",Q182/P182-1)</f>
        <v>-0.10526315789473684</v>
      </c>
    </row>
    <row r="183" spans="1:18" x14ac:dyDescent="0.25">
      <c r="A183" s="310" t="s">
        <v>257</v>
      </c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</row>
    <row r="184" spans="1:18" x14ac:dyDescent="0.25">
      <c r="A184" s="303">
        <v>3700</v>
      </c>
      <c r="B184" s="303" t="s">
        <v>257</v>
      </c>
      <c r="C184" s="303" t="s">
        <v>258</v>
      </c>
      <c r="D184" s="304">
        <v>360</v>
      </c>
      <c r="E184" s="304">
        <v>360</v>
      </c>
      <c r="F184" s="305">
        <f>(D184*E184)/10000</f>
        <v>12.96</v>
      </c>
      <c r="G184" s="304">
        <v>26</v>
      </c>
      <c r="H184" s="304">
        <f>ROUND(F184*$C$6+$D$6,0)</f>
        <v>24</v>
      </c>
      <c r="I184" s="306">
        <f>IF(G184=0,"",H184/G184-1)</f>
        <v>-7.6923076923076872E-2</v>
      </c>
      <c r="J184" s="304">
        <v>75</v>
      </c>
      <c r="K184" s="304">
        <f>ROUND(F184*$E$6+$F$6,0)</f>
        <v>88</v>
      </c>
      <c r="L184" s="306">
        <f>IF(J184=0,"",K184/J184-1)</f>
        <v>0.17333333333333334</v>
      </c>
      <c r="M184" s="304">
        <v>81</v>
      </c>
      <c r="N184" s="304">
        <f>ROUND(F184*$G$6+$H$6,0)</f>
        <v>92</v>
      </c>
      <c r="O184" s="306">
        <f>IF(M184=0,"",N184/M184-1)</f>
        <v>0.13580246913580241</v>
      </c>
      <c r="P184" s="304">
        <v>135</v>
      </c>
      <c r="Q184" s="304">
        <f>ROUND(F184*$I$6+$J$6,0)</f>
        <v>116</v>
      </c>
      <c r="R184" s="306">
        <f>IF(P184=0,"",Q184/P184-1)</f>
        <v>-0.14074074074074072</v>
      </c>
    </row>
    <row r="185" spans="1:18" x14ac:dyDescent="0.25">
      <c r="A185" s="291">
        <v>3701</v>
      </c>
      <c r="B185" s="291" t="s">
        <v>257</v>
      </c>
      <c r="C185" s="291" t="s">
        <v>259</v>
      </c>
      <c r="D185" s="307">
        <v>420</v>
      </c>
      <c r="E185" s="307">
        <v>360</v>
      </c>
      <c r="F185" s="308">
        <f>(D185*E185)/10000</f>
        <v>15.12</v>
      </c>
      <c r="G185" s="307">
        <v>26</v>
      </c>
      <c r="H185" s="307">
        <f>ROUND(F185*$C$6+$D$6,0)</f>
        <v>27</v>
      </c>
      <c r="I185" s="309">
        <f>IF(G185=0,"",H185/G185-1)</f>
        <v>3.8461538461538547E-2</v>
      </c>
      <c r="J185" s="307">
        <v>80</v>
      </c>
      <c r="K185" s="307">
        <f>ROUND(F185*$E$6+$F$6,0)</f>
        <v>94</v>
      </c>
      <c r="L185" s="309">
        <f>IF(J185=0,"",K185/J185-1)</f>
        <v>0.17500000000000004</v>
      </c>
      <c r="M185" s="307">
        <v>84</v>
      </c>
      <c r="N185" s="307">
        <f>ROUND(F185*$G$6+$H$6,0)</f>
        <v>98</v>
      </c>
      <c r="O185" s="309">
        <f>IF(M185=0,"",N185/M185-1)</f>
        <v>0.16666666666666674</v>
      </c>
      <c r="P185" s="307">
        <v>135</v>
      </c>
      <c r="Q185" s="307">
        <f>ROUND(F185*$I$6+$J$6,0)</f>
        <v>121</v>
      </c>
      <c r="R185" s="309">
        <f>IF(P185=0,"",Q185/P185-1)</f>
        <v>-0.10370370370370374</v>
      </c>
    </row>
    <row r="186" spans="1:18" x14ac:dyDescent="0.25">
      <c r="A186" s="303">
        <v>3702</v>
      </c>
      <c r="B186" s="303" t="s">
        <v>257</v>
      </c>
      <c r="C186" s="303" t="s">
        <v>260</v>
      </c>
      <c r="D186" s="304">
        <v>580</v>
      </c>
      <c r="E186" s="304">
        <v>360</v>
      </c>
      <c r="F186" s="305">
        <f>(D186*E186)/10000</f>
        <v>20.88</v>
      </c>
      <c r="G186" s="304">
        <v>32</v>
      </c>
      <c r="H186" s="304">
        <f>ROUND(F186*$C$6+$D$6,0)</f>
        <v>34</v>
      </c>
      <c r="I186" s="306">
        <f>IF(G186=0,"",H186/G186-1)</f>
        <v>6.25E-2</v>
      </c>
      <c r="J186" s="304">
        <v>106</v>
      </c>
      <c r="K186" s="304">
        <f>ROUND(F186*$E$6+$F$6,0)</f>
        <v>108</v>
      </c>
      <c r="L186" s="306">
        <f>IF(J186=0,"",K186/J186-1)</f>
        <v>1.8867924528301883E-2</v>
      </c>
      <c r="M186" s="304">
        <v>118</v>
      </c>
      <c r="N186" s="304">
        <f>ROUND(F186*$G$6+$H$6,0)</f>
        <v>114</v>
      </c>
      <c r="O186" s="306">
        <f>IF(M186=0,"",N186/M186-1)</f>
        <v>-3.3898305084745783E-2</v>
      </c>
      <c r="P186" s="304">
        <v>141</v>
      </c>
      <c r="Q186" s="304">
        <f>ROUND(F186*$I$6+$J$6,0)</f>
        <v>135</v>
      </c>
      <c r="R186" s="306">
        <f>IF(P186=0,"",Q186/P186-1)</f>
        <v>-4.2553191489361653E-2</v>
      </c>
    </row>
    <row r="187" spans="1:18" x14ac:dyDescent="0.25">
      <c r="A187" s="291">
        <v>3703</v>
      </c>
      <c r="B187" s="291" t="s">
        <v>257</v>
      </c>
      <c r="C187" s="291" t="s">
        <v>261</v>
      </c>
      <c r="D187" s="307">
        <v>780</v>
      </c>
      <c r="E187" s="307">
        <v>360</v>
      </c>
      <c r="F187" s="308">
        <f>(D187*E187)/10000</f>
        <v>28.08</v>
      </c>
      <c r="G187" s="307">
        <v>42</v>
      </c>
      <c r="H187" s="307">
        <f>ROUND(F187*$C$6+$D$6,0)</f>
        <v>43</v>
      </c>
      <c r="I187" s="309">
        <f>IF(G187=0,"",H187/G187-1)</f>
        <v>2.3809523809523725E-2</v>
      </c>
      <c r="J187" s="307">
        <v>122</v>
      </c>
      <c r="K187" s="307">
        <f>ROUND(F187*$E$6+$F$6,0)</f>
        <v>125</v>
      </c>
      <c r="L187" s="309">
        <f>IF(J187=0,"",K187/J187-1)</f>
        <v>2.4590163934426146E-2</v>
      </c>
      <c r="M187" s="307">
        <v>131</v>
      </c>
      <c r="N187" s="307">
        <f>ROUND(F187*$G$6+$H$6,0)</f>
        <v>134</v>
      </c>
      <c r="O187" s="309">
        <f>IF(M187=0,"",N187/M187-1)</f>
        <v>2.2900763358778553E-2</v>
      </c>
      <c r="P187" s="307">
        <v>144</v>
      </c>
      <c r="Q187" s="307">
        <f>ROUND(F187*$I$6+$J$6,0)</f>
        <v>152</v>
      </c>
      <c r="R187" s="309">
        <f>IF(P187=0,"",Q187/P187-1)</f>
        <v>5.555555555555558E-2</v>
      </c>
    </row>
    <row r="188" spans="1:18" x14ac:dyDescent="0.25">
      <c r="A188" s="303">
        <v>3704</v>
      </c>
      <c r="B188" s="303" t="s">
        <v>257</v>
      </c>
      <c r="C188" s="303" t="s">
        <v>262</v>
      </c>
      <c r="D188" s="304">
        <v>980</v>
      </c>
      <c r="E188" s="304">
        <v>360</v>
      </c>
      <c r="F188" s="305">
        <f>(D188*E188)/10000</f>
        <v>35.28</v>
      </c>
      <c r="G188" s="304">
        <v>53</v>
      </c>
      <c r="H188" s="304">
        <f>ROUND(F188*$C$6+$D$6,0)</f>
        <v>53</v>
      </c>
      <c r="I188" s="306">
        <f>IF(G188=0,"",H188/G188-1)</f>
        <v>0</v>
      </c>
      <c r="J188" s="304">
        <v>147</v>
      </c>
      <c r="K188" s="304">
        <f>ROUND(F188*$E$6+$F$6,0)</f>
        <v>143</v>
      </c>
      <c r="L188" s="306">
        <f>IF(J188=0,"",K188/J188-1)</f>
        <v>-2.7210884353741527E-2</v>
      </c>
      <c r="M188" s="304">
        <v>158</v>
      </c>
      <c r="N188" s="304">
        <f>ROUND(F188*$G$6+$H$6,0)</f>
        <v>155</v>
      </c>
      <c r="O188" s="306">
        <f>IF(M188=0,"",N188/M188-1)</f>
        <v>-1.8987341772151889E-2</v>
      </c>
      <c r="P188" s="304">
        <v>159</v>
      </c>
      <c r="Q188" s="304">
        <f>ROUND(F188*$I$6+$J$6,0)</f>
        <v>169</v>
      </c>
      <c r="R188" s="306">
        <f>IF(P188=0,"",Q188/P188-1)</f>
        <v>6.2893081761006275E-2</v>
      </c>
    </row>
    <row r="189" spans="1:18" x14ac:dyDescent="0.25">
      <c r="A189" s="291">
        <v>3705</v>
      </c>
      <c r="B189" s="291" t="s">
        <v>257</v>
      </c>
      <c r="C189" s="291" t="s">
        <v>263</v>
      </c>
      <c r="D189" s="307">
        <v>360</v>
      </c>
      <c r="E189" s="307">
        <v>580</v>
      </c>
      <c r="F189" s="308">
        <f>(D189*E189)/10000</f>
        <v>20.88</v>
      </c>
      <c r="G189" s="307">
        <v>32</v>
      </c>
      <c r="H189" s="307">
        <f>ROUND(F189*$C$6+$D$6,0)</f>
        <v>34</v>
      </c>
      <c r="I189" s="309">
        <f>IF(G189=0,"",H189/G189-1)</f>
        <v>6.25E-2</v>
      </c>
      <c r="J189" s="307">
        <v>106</v>
      </c>
      <c r="K189" s="307">
        <f>ROUND(F189*$E$6+$F$6,0)</f>
        <v>108</v>
      </c>
      <c r="L189" s="309">
        <f>IF(J189=0,"",K189/J189-1)</f>
        <v>1.8867924528301883E-2</v>
      </c>
      <c r="M189" s="307">
        <v>118</v>
      </c>
      <c r="N189" s="307">
        <f>ROUND(F189*$G$6+$H$6,0)</f>
        <v>114</v>
      </c>
      <c r="O189" s="309">
        <f>IF(M189=0,"",N189/M189-1)</f>
        <v>-3.3898305084745783E-2</v>
      </c>
      <c r="P189" s="307">
        <v>141</v>
      </c>
      <c r="Q189" s="307">
        <f>ROUND(F189*$I$6+$J$6,0)</f>
        <v>135</v>
      </c>
      <c r="R189" s="309">
        <f>IF(P189=0,"",Q189/P189-1)</f>
        <v>-4.2553191489361653E-2</v>
      </c>
    </row>
    <row r="190" spans="1:18" x14ac:dyDescent="0.25">
      <c r="A190" s="303">
        <v>3706</v>
      </c>
      <c r="B190" s="303" t="s">
        <v>257</v>
      </c>
      <c r="C190" s="303" t="s">
        <v>264</v>
      </c>
      <c r="D190" s="304">
        <v>420</v>
      </c>
      <c r="E190" s="304">
        <v>580</v>
      </c>
      <c r="F190" s="305">
        <f>(D190*E190)/10000</f>
        <v>24.36</v>
      </c>
      <c r="G190" s="304">
        <v>37</v>
      </c>
      <c r="H190" s="304">
        <f>ROUND(F190*$C$6+$D$6,0)</f>
        <v>39</v>
      </c>
      <c r="I190" s="306">
        <f>IF(G190=0,"",H190/G190-1)</f>
        <v>5.4054054054053946E-2</v>
      </c>
      <c r="J190" s="304">
        <v>119</v>
      </c>
      <c r="K190" s="304">
        <f>ROUND(F190*$E$6+$F$6,0)</f>
        <v>116</v>
      </c>
      <c r="L190" s="306">
        <f>IF(J190=0,"",K190/J190-1)</f>
        <v>-2.5210084033613467E-2</v>
      </c>
      <c r="M190" s="304">
        <v>134</v>
      </c>
      <c r="N190" s="304">
        <f>ROUND(F190*$G$6+$H$6,0)</f>
        <v>124</v>
      </c>
      <c r="O190" s="306">
        <f>IF(M190=0,"",N190/M190-1)</f>
        <v>-7.4626865671641784E-2</v>
      </c>
      <c r="P190" s="304">
        <v>141</v>
      </c>
      <c r="Q190" s="304">
        <f>ROUND(F190*$I$6+$J$6,0)</f>
        <v>143</v>
      </c>
      <c r="R190" s="306">
        <f>IF(P190=0,"",Q190/P190-1)</f>
        <v>1.4184397163120588E-2</v>
      </c>
    </row>
    <row r="191" spans="1:18" x14ac:dyDescent="0.25">
      <c r="A191" s="291">
        <v>3707</v>
      </c>
      <c r="B191" s="291" t="s">
        <v>257</v>
      </c>
      <c r="C191" s="291" t="s">
        <v>265</v>
      </c>
      <c r="D191" s="307">
        <v>580</v>
      </c>
      <c r="E191" s="307">
        <v>580</v>
      </c>
      <c r="F191" s="308">
        <f>(D191*E191)/10000</f>
        <v>33.64</v>
      </c>
      <c r="G191" s="307">
        <v>50</v>
      </c>
      <c r="H191" s="307">
        <f>ROUND(F191*$C$6+$D$6,0)</f>
        <v>51</v>
      </c>
      <c r="I191" s="309">
        <f>IF(G191=0,"",H191/G191-1)</f>
        <v>2.0000000000000018E-2</v>
      </c>
      <c r="J191" s="307">
        <v>150</v>
      </c>
      <c r="K191" s="307">
        <f>ROUND(F191*$E$6+$F$6,0)</f>
        <v>139</v>
      </c>
      <c r="L191" s="309">
        <f>IF(J191=0,"",K191/J191-1)</f>
        <v>-7.3333333333333361E-2</v>
      </c>
      <c r="M191" s="307">
        <v>167</v>
      </c>
      <c r="N191" s="307">
        <f>ROUND(F191*$G$6+$H$6,0)</f>
        <v>150</v>
      </c>
      <c r="O191" s="309">
        <f>IF(M191=0,"",N191/M191-1)</f>
        <v>-0.10179640718562877</v>
      </c>
      <c r="P191" s="307">
        <v>145</v>
      </c>
      <c r="Q191" s="307">
        <f>ROUND(F191*$I$6+$J$6,0)</f>
        <v>165</v>
      </c>
      <c r="R191" s="309">
        <f>IF(P191=0,"",Q191/P191-1)</f>
        <v>0.13793103448275867</v>
      </c>
    </row>
    <row r="192" spans="1:18" x14ac:dyDescent="0.25">
      <c r="A192" s="303">
        <v>3708</v>
      </c>
      <c r="B192" s="303" t="s">
        <v>257</v>
      </c>
      <c r="C192" s="303" t="s">
        <v>266</v>
      </c>
      <c r="D192" s="304">
        <v>780</v>
      </c>
      <c r="E192" s="304">
        <v>580</v>
      </c>
      <c r="F192" s="305">
        <f>(D192*E192)/10000</f>
        <v>45.24</v>
      </c>
      <c r="G192" s="304">
        <v>65</v>
      </c>
      <c r="H192" s="304">
        <f>ROUND(F192*$C$6+$D$6,0)</f>
        <v>66</v>
      </c>
      <c r="I192" s="306">
        <f>IF(G192=0,"",H192/G192-1)</f>
        <v>1.538461538461533E-2</v>
      </c>
      <c r="J192" s="304">
        <v>182</v>
      </c>
      <c r="K192" s="304">
        <f>ROUND(F192*$E$6+$F$6,0)</f>
        <v>167</v>
      </c>
      <c r="L192" s="306">
        <f>IF(J192=0,"",K192/J192-1)</f>
        <v>-8.2417582417582458E-2</v>
      </c>
      <c r="M192" s="304">
        <v>205</v>
      </c>
      <c r="N192" s="304">
        <f>ROUND(F192*$G$6+$H$6,0)</f>
        <v>182</v>
      </c>
      <c r="O192" s="306">
        <f>IF(M192=0,"",N192/M192-1)</f>
        <v>-0.1121951219512195</v>
      </c>
      <c r="P192" s="304">
        <v>180</v>
      </c>
      <c r="Q192" s="304">
        <f>ROUND(F192*$I$6+$J$6,0)</f>
        <v>193</v>
      </c>
      <c r="R192" s="306">
        <f>IF(P192=0,"",Q192/P192-1)</f>
        <v>7.2222222222222188E-2</v>
      </c>
    </row>
    <row r="193" spans="1:18" x14ac:dyDescent="0.25">
      <c r="A193" s="291">
        <v>3709</v>
      </c>
      <c r="B193" s="291" t="s">
        <v>257</v>
      </c>
      <c r="C193" s="291" t="s">
        <v>267</v>
      </c>
      <c r="D193" s="307">
        <v>980</v>
      </c>
      <c r="E193" s="307">
        <v>580</v>
      </c>
      <c r="F193" s="308">
        <f>(D193*E193)/10000</f>
        <v>56.84</v>
      </c>
      <c r="G193" s="307">
        <v>83</v>
      </c>
      <c r="H193" s="307">
        <f>ROUND(F193*$C$6+$D$6,0)</f>
        <v>81</v>
      </c>
      <c r="I193" s="309">
        <f>IF(G193=0,"",H193/G193-1)</f>
        <v>-2.4096385542168641E-2</v>
      </c>
      <c r="J193" s="307">
        <v>234</v>
      </c>
      <c r="K193" s="307">
        <f>ROUND(F193*$E$6+$F$6,0)</f>
        <v>196</v>
      </c>
      <c r="L193" s="309">
        <f>IF(J193=0,"",K193/J193-1)</f>
        <v>-0.16239316239316237</v>
      </c>
      <c r="M193" s="307">
        <v>260</v>
      </c>
      <c r="N193" s="307">
        <f>ROUND(F193*$G$6+$H$6,0)</f>
        <v>215</v>
      </c>
      <c r="O193" s="309">
        <f>IF(M193=0,"",N193/M193-1)</f>
        <v>-0.17307692307692313</v>
      </c>
      <c r="P193" s="307">
        <v>210</v>
      </c>
      <c r="Q193" s="307">
        <f>ROUND(F193*$I$6+$J$6,0)</f>
        <v>221</v>
      </c>
      <c r="R193" s="309">
        <f>IF(P193=0,"",Q193/P193-1)</f>
        <v>5.2380952380952417E-2</v>
      </c>
    </row>
    <row r="194" spans="1:18" x14ac:dyDescent="0.25">
      <c r="A194" s="303">
        <v>3710</v>
      </c>
      <c r="B194" s="303" t="s">
        <v>257</v>
      </c>
      <c r="C194" s="303" t="s">
        <v>268</v>
      </c>
      <c r="D194" s="304">
        <v>780</v>
      </c>
      <c r="E194" s="304">
        <v>780</v>
      </c>
      <c r="F194" s="305">
        <f>(D194*E194)/10000</f>
        <v>60.84</v>
      </c>
      <c r="G194" s="304">
        <v>83</v>
      </c>
      <c r="H194" s="304">
        <f>ROUND(F194*$C$6+$D$6,0)</f>
        <v>86</v>
      </c>
      <c r="I194" s="306">
        <f>IF(G194=0,"",H194/G194-1)</f>
        <v>3.6144578313253017E-2</v>
      </c>
      <c r="J194" s="304">
        <v>199</v>
      </c>
      <c r="K194" s="304">
        <f>ROUND(F194*$E$6+$F$6,0)</f>
        <v>205</v>
      </c>
      <c r="L194" s="306">
        <f>IF(J194=0,"",K194/J194-1)</f>
        <v>3.015075376884413E-2</v>
      </c>
      <c r="M194" s="304">
        <v>248</v>
      </c>
      <c r="N194" s="304">
        <f>ROUND(F194*$G$6+$H$6,0)</f>
        <v>226</v>
      </c>
      <c r="O194" s="306">
        <f>IF(M194=0,"",N194/M194-1)</f>
        <v>-8.8709677419354871E-2</v>
      </c>
      <c r="P194" s="304">
        <v>224</v>
      </c>
      <c r="Q194" s="304">
        <f>ROUND(F194*$I$6+$J$6,0)</f>
        <v>231</v>
      </c>
      <c r="R194" s="306">
        <f>IF(P194=0,"",Q194/P194-1)</f>
        <v>3.125E-2</v>
      </c>
    </row>
    <row r="195" spans="1:18" x14ac:dyDescent="0.25">
      <c r="A195" s="291">
        <v>3711</v>
      </c>
      <c r="B195" s="291" t="s">
        <v>257</v>
      </c>
      <c r="C195" s="291" t="s">
        <v>269</v>
      </c>
      <c r="D195" s="307">
        <v>980</v>
      </c>
      <c r="E195" s="307">
        <v>780</v>
      </c>
      <c r="F195" s="308">
        <f>(D195*E195)/10000</f>
        <v>76.44</v>
      </c>
      <c r="G195" s="307">
        <v>104</v>
      </c>
      <c r="H195" s="307">
        <f>ROUND(F195*$C$6+$D$6,0)</f>
        <v>107</v>
      </c>
      <c r="I195" s="309">
        <f>IF(G195=0,"",H195/G195-1)</f>
        <v>2.8846153846153744E-2</v>
      </c>
      <c r="J195" s="307">
        <v>180</v>
      </c>
      <c r="K195" s="307">
        <f>ROUND(F195*$E$6+$F$6,0)</f>
        <v>244</v>
      </c>
      <c r="L195" s="309">
        <f>IF(J195=0,"",K195/J195-1)</f>
        <v>0.35555555555555562</v>
      </c>
      <c r="M195" s="307"/>
      <c r="N195" s="307"/>
      <c r="O195" s="309"/>
      <c r="P195" s="307"/>
      <c r="Q195" s="307"/>
      <c r="R195" s="309"/>
    </row>
    <row r="196" spans="1:18" x14ac:dyDescent="0.25">
      <c r="A196" s="303">
        <v>3712</v>
      </c>
      <c r="B196" s="303" t="s">
        <v>257</v>
      </c>
      <c r="C196" s="303" t="s">
        <v>270</v>
      </c>
      <c r="D196" s="304">
        <v>980</v>
      </c>
      <c r="E196" s="304">
        <v>980</v>
      </c>
      <c r="F196" s="305">
        <f>(D196*E196)/10000</f>
        <v>96.04</v>
      </c>
      <c r="G196" s="304">
        <v>125</v>
      </c>
      <c r="H196" s="304">
        <f>ROUND(F196*$C$6+$D$6,0)</f>
        <v>132</v>
      </c>
      <c r="I196" s="306">
        <f>IF(G196=0,"",H196/G196-1)</f>
        <v>5.600000000000005E-2</v>
      </c>
      <c r="J196" s="304">
        <v>216</v>
      </c>
      <c r="K196" s="304">
        <f>ROUND(F196*$E$6+$F$6,0)</f>
        <v>291</v>
      </c>
      <c r="L196" s="306">
        <f>IF(J196=0,"",K196/J196-1)</f>
        <v>0.34722222222222232</v>
      </c>
      <c r="M196" s="304"/>
      <c r="N196" s="304"/>
      <c r="O196" s="306"/>
      <c r="P196" s="304"/>
      <c r="Q196" s="304"/>
      <c r="R196" s="306"/>
    </row>
    <row r="197" spans="1:18" x14ac:dyDescent="0.25">
      <c r="A197" s="310" t="s">
        <v>271</v>
      </c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</row>
    <row r="198" spans="1:18" x14ac:dyDescent="0.25">
      <c r="A198" s="303">
        <v>3750</v>
      </c>
      <c r="B198" s="303" t="s">
        <v>271</v>
      </c>
      <c r="C198" s="303" t="s">
        <v>272</v>
      </c>
      <c r="D198" s="304">
        <v>360</v>
      </c>
      <c r="E198" s="304">
        <v>360</v>
      </c>
      <c r="F198" s="305">
        <f>(D198*E198)/10000</f>
        <v>12.96</v>
      </c>
      <c r="G198" s="304">
        <v>26</v>
      </c>
      <c r="H198" s="304">
        <f>ROUND(F198*$C$6+$D$6,0)</f>
        <v>24</v>
      </c>
      <c r="I198" s="306">
        <f>IF(G198=0,"",H198/G198-1)</f>
        <v>-7.6923076923076872E-2</v>
      </c>
      <c r="J198" s="304">
        <v>75</v>
      </c>
      <c r="K198" s="304">
        <f>ROUND(F198*$E$6+$F$6,0)</f>
        <v>88</v>
      </c>
      <c r="L198" s="306">
        <f>IF(J198=0,"",K198/J198-1)</f>
        <v>0.17333333333333334</v>
      </c>
      <c r="M198" s="304">
        <v>81</v>
      </c>
      <c r="N198" s="304">
        <f>ROUND(F198*$G$6+$H$6,0)</f>
        <v>92</v>
      </c>
      <c r="O198" s="306">
        <f>IF(M198=0,"",N198/M198-1)</f>
        <v>0.13580246913580241</v>
      </c>
      <c r="P198" s="304">
        <v>135</v>
      </c>
      <c r="Q198" s="304">
        <f>ROUND(F198*$I$6+$J$6,0)</f>
        <v>116</v>
      </c>
      <c r="R198" s="306">
        <f>IF(P198=0,"",Q198/P198-1)</f>
        <v>-0.14074074074074072</v>
      </c>
    </row>
    <row r="199" spans="1:18" x14ac:dyDescent="0.25">
      <c r="A199" s="291">
        <v>3751</v>
      </c>
      <c r="B199" s="291" t="s">
        <v>271</v>
      </c>
      <c r="C199" s="291" t="s">
        <v>273</v>
      </c>
      <c r="D199" s="307">
        <v>420</v>
      </c>
      <c r="E199" s="307">
        <v>360</v>
      </c>
      <c r="F199" s="308">
        <f>(D199*E199)/10000</f>
        <v>15.12</v>
      </c>
      <c r="G199" s="307">
        <v>26</v>
      </c>
      <c r="H199" s="307">
        <f>ROUND(F199*$C$6+$D$6,0)</f>
        <v>27</v>
      </c>
      <c r="I199" s="309">
        <f>IF(G199=0,"",H199/G199-1)</f>
        <v>3.8461538461538547E-2</v>
      </c>
      <c r="J199" s="307">
        <v>80</v>
      </c>
      <c r="K199" s="307">
        <f>ROUND(F199*$E$6+$F$6,0)</f>
        <v>94</v>
      </c>
      <c r="L199" s="309">
        <f>IF(J199=0,"",K199/J199-1)</f>
        <v>0.17500000000000004</v>
      </c>
      <c r="M199" s="307">
        <v>84</v>
      </c>
      <c r="N199" s="307">
        <f>ROUND(F199*$G$6+$H$6,0)</f>
        <v>98</v>
      </c>
      <c r="O199" s="309">
        <f>IF(M199=0,"",N199/M199-1)</f>
        <v>0.16666666666666674</v>
      </c>
      <c r="P199" s="307">
        <v>135</v>
      </c>
      <c r="Q199" s="307">
        <f>ROUND(F199*$I$6+$J$6,0)</f>
        <v>121</v>
      </c>
      <c r="R199" s="309">
        <f>IF(P199=0,"",Q199/P199-1)</f>
        <v>-0.10370370370370374</v>
      </c>
    </row>
    <row r="200" spans="1:18" x14ac:dyDescent="0.25">
      <c r="A200" s="303">
        <v>3752</v>
      </c>
      <c r="B200" s="303" t="s">
        <v>271</v>
      </c>
      <c r="C200" s="303" t="s">
        <v>274</v>
      </c>
      <c r="D200" s="304">
        <v>580</v>
      </c>
      <c r="E200" s="304">
        <v>360</v>
      </c>
      <c r="F200" s="305">
        <f>(D200*E200)/10000</f>
        <v>20.88</v>
      </c>
      <c r="G200" s="304">
        <v>32</v>
      </c>
      <c r="H200" s="304">
        <f>ROUND(F200*$C$6+$D$6,0)</f>
        <v>34</v>
      </c>
      <c r="I200" s="306">
        <f>IF(G200=0,"",H200/G200-1)</f>
        <v>6.25E-2</v>
      </c>
      <c r="J200" s="304">
        <v>106</v>
      </c>
      <c r="K200" s="304">
        <f>ROUND(F200*$E$6+$F$6,0)</f>
        <v>108</v>
      </c>
      <c r="L200" s="306">
        <f>IF(J200=0,"",K200/J200-1)</f>
        <v>1.8867924528301883E-2</v>
      </c>
      <c r="M200" s="304">
        <v>118</v>
      </c>
      <c r="N200" s="304">
        <f>ROUND(F200*$G$6+$H$6,0)</f>
        <v>114</v>
      </c>
      <c r="O200" s="306">
        <f>IF(M200=0,"",N200/M200-1)</f>
        <v>-3.3898305084745783E-2</v>
      </c>
      <c r="P200" s="304">
        <v>141</v>
      </c>
      <c r="Q200" s="304">
        <f>ROUND(F200*$I$6+$J$6,0)</f>
        <v>135</v>
      </c>
      <c r="R200" s="306">
        <f>IF(P200=0,"",Q200/P200-1)</f>
        <v>-4.2553191489361653E-2</v>
      </c>
    </row>
    <row r="201" spans="1:18" x14ac:dyDescent="0.25">
      <c r="A201" s="291">
        <v>3753</v>
      </c>
      <c r="B201" s="291" t="s">
        <v>271</v>
      </c>
      <c r="C201" s="291" t="s">
        <v>275</v>
      </c>
      <c r="D201" s="307">
        <v>780</v>
      </c>
      <c r="E201" s="307">
        <v>360</v>
      </c>
      <c r="F201" s="308">
        <f>(D201*E201)/10000</f>
        <v>28.08</v>
      </c>
      <c r="G201" s="307">
        <v>42</v>
      </c>
      <c r="H201" s="307">
        <f>ROUND(F201*$C$6+$D$6,0)</f>
        <v>43</v>
      </c>
      <c r="I201" s="309">
        <f>IF(G201=0,"",H201/G201-1)</f>
        <v>2.3809523809523725E-2</v>
      </c>
      <c r="J201" s="307">
        <v>122</v>
      </c>
      <c r="K201" s="307">
        <f>ROUND(F201*$E$6+$F$6,0)</f>
        <v>125</v>
      </c>
      <c r="L201" s="309">
        <f>IF(J201=0,"",K201/J201-1)</f>
        <v>2.4590163934426146E-2</v>
      </c>
      <c r="M201" s="307">
        <v>131</v>
      </c>
      <c r="N201" s="307">
        <f>ROUND(F201*$G$6+$H$6,0)</f>
        <v>134</v>
      </c>
      <c r="O201" s="309">
        <f>IF(M201=0,"",N201/M201-1)</f>
        <v>2.2900763358778553E-2</v>
      </c>
      <c r="P201" s="307">
        <v>144</v>
      </c>
      <c r="Q201" s="307">
        <f>ROUND(F201*$I$6+$J$6,0)</f>
        <v>152</v>
      </c>
      <c r="R201" s="309">
        <f>IF(P201=0,"",Q201/P201-1)</f>
        <v>5.555555555555558E-2</v>
      </c>
    </row>
    <row r="202" spans="1:18" x14ac:dyDescent="0.25">
      <c r="A202" s="303">
        <v>3754</v>
      </c>
      <c r="B202" s="303" t="s">
        <v>271</v>
      </c>
      <c r="C202" s="303" t="s">
        <v>276</v>
      </c>
      <c r="D202" s="304">
        <v>980</v>
      </c>
      <c r="E202" s="304">
        <v>360</v>
      </c>
      <c r="F202" s="305">
        <f>(D202*E202)/10000</f>
        <v>35.28</v>
      </c>
      <c r="G202" s="304">
        <v>53</v>
      </c>
      <c r="H202" s="304">
        <f>ROUND(F202*$C$6+$D$6,0)</f>
        <v>53</v>
      </c>
      <c r="I202" s="306">
        <f>IF(G202=0,"",H202/G202-1)</f>
        <v>0</v>
      </c>
      <c r="J202" s="304">
        <v>147</v>
      </c>
      <c r="K202" s="304">
        <f>ROUND(F202*$E$6+$F$6,0)</f>
        <v>143</v>
      </c>
      <c r="L202" s="306">
        <f>IF(J202=0,"",K202/J202-1)</f>
        <v>-2.7210884353741527E-2</v>
      </c>
      <c r="M202" s="304">
        <v>158</v>
      </c>
      <c r="N202" s="304">
        <f>ROUND(F202*$G$6+$H$6,0)</f>
        <v>155</v>
      </c>
      <c r="O202" s="306">
        <f>IF(M202=0,"",N202/M202-1)</f>
        <v>-1.8987341772151889E-2</v>
      </c>
      <c r="P202" s="304">
        <v>159</v>
      </c>
      <c r="Q202" s="304">
        <f>ROUND(F202*$I$6+$J$6,0)</f>
        <v>169</v>
      </c>
      <c r="R202" s="306">
        <f>IF(P202=0,"",Q202/P202-1)</f>
        <v>6.2893081761006275E-2</v>
      </c>
    </row>
    <row r="203" spans="1:18" x14ac:dyDescent="0.25">
      <c r="A203" s="291">
        <v>3755</v>
      </c>
      <c r="B203" s="291" t="s">
        <v>271</v>
      </c>
      <c r="C203" s="291" t="s">
        <v>277</v>
      </c>
      <c r="D203" s="307">
        <v>360</v>
      </c>
      <c r="E203" s="307">
        <v>580</v>
      </c>
      <c r="F203" s="308">
        <f>(D203*E203)/10000</f>
        <v>20.88</v>
      </c>
      <c r="G203" s="307">
        <v>32</v>
      </c>
      <c r="H203" s="307">
        <f>ROUND(F203*$C$6+$D$6,0)</f>
        <v>34</v>
      </c>
      <c r="I203" s="309">
        <f>IF(G203=0,"",H203/G203-1)</f>
        <v>6.25E-2</v>
      </c>
      <c r="J203" s="307">
        <v>106</v>
      </c>
      <c r="K203" s="307">
        <f>ROUND(F203*$E$6+$F$6,0)</f>
        <v>108</v>
      </c>
      <c r="L203" s="309">
        <f>IF(J203=0,"",K203/J203-1)</f>
        <v>1.8867924528301883E-2</v>
      </c>
      <c r="M203" s="307">
        <v>118</v>
      </c>
      <c r="N203" s="307">
        <f>ROUND(F203*$G$6+$H$6,0)</f>
        <v>114</v>
      </c>
      <c r="O203" s="309">
        <f>IF(M203=0,"",N203/M203-1)</f>
        <v>-3.3898305084745783E-2</v>
      </c>
      <c r="P203" s="307">
        <v>141</v>
      </c>
      <c r="Q203" s="307">
        <f>ROUND(F203*$I$6+$J$6,0)</f>
        <v>135</v>
      </c>
      <c r="R203" s="309">
        <f>IF(P203=0,"",Q203/P203-1)</f>
        <v>-4.2553191489361653E-2</v>
      </c>
    </row>
    <row r="204" spans="1:18" x14ac:dyDescent="0.25">
      <c r="A204" s="303">
        <v>3756</v>
      </c>
      <c r="B204" s="303" t="s">
        <v>271</v>
      </c>
      <c r="C204" s="303" t="s">
        <v>278</v>
      </c>
      <c r="D204" s="304">
        <v>420</v>
      </c>
      <c r="E204" s="304">
        <v>580</v>
      </c>
      <c r="F204" s="305">
        <f>(D204*E204)/10000</f>
        <v>24.36</v>
      </c>
      <c r="G204" s="304">
        <v>37</v>
      </c>
      <c r="H204" s="304">
        <f>ROUND(F204*$C$6+$D$6,0)</f>
        <v>39</v>
      </c>
      <c r="I204" s="306">
        <f>IF(G204=0,"",H204/G204-1)</f>
        <v>5.4054054054053946E-2</v>
      </c>
      <c r="J204" s="304">
        <v>119</v>
      </c>
      <c r="K204" s="304">
        <f>ROUND(F204*$E$6+$F$6,0)</f>
        <v>116</v>
      </c>
      <c r="L204" s="306">
        <f>IF(J204=0,"",K204/J204-1)</f>
        <v>-2.5210084033613467E-2</v>
      </c>
      <c r="M204" s="304">
        <v>134</v>
      </c>
      <c r="N204" s="304">
        <f>ROUND(F204*$G$6+$H$6,0)</f>
        <v>124</v>
      </c>
      <c r="O204" s="306">
        <f>IF(M204=0,"",N204/M204-1)</f>
        <v>-7.4626865671641784E-2</v>
      </c>
      <c r="P204" s="304">
        <v>141</v>
      </c>
      <c r="Q204" s="304">
        <f>ROUND(F204*$I$6+$J$6,0)</f>
        <v>143</v>
      </c>
      <c r="R204" s="306">
        <f>IF(P204=0,"",Q204/P204-1)</f>
        <v>1.4184397163120588E-2</v>
      </c>
    </row>
    <row r="205" spans="1:18" x14ac:dyDescent="0.25">
      <c r="A205" s="291">
        <v>3757</v>
      </c>
      <c r="B205" s="291" t="s">
        <v>271</v>
      </c>
      <c r="C205" s="291" t="s">
        <v>279</v>
      </c>
      <c r="D205" s="307">
        <v>580</v>
      </c>
      <c r="E205" s="307">
        <v>580</v>
      </c>
      <c r="F205" s="308">
        <f>(D205*E205)/10000</f>
        <v>33.64</v>
      </c>
      <c r="G205" s="307">
        <v>50</v>
      </c>
      <c r="H205" s="307">
        <f>ROUND(F205*$C$6+$D$6,0)</f>
        <v>51</v>
      </c>
      <c r="I205" s="309">
        <f>IF(G205=0,"",H205/G205-1)</f>
        <v>2.0000000000000018E-2</v>
      </c>
      <c r="J205" s="307">
        <v>150</v>
      </c>
      <c r="K205" s="307">
        <f>ROUND(F205*$E$6+$F$6,0)</f>
        <v>139</v>
      </c>
      <c r="L205" s="309">
        <f>IF(J205=0,"",K205/J205-1)</f>
        <v>-7.3333333333333361E-2</v>
      </c>
      <c r="M205" s="307">
        <v>167</v>
      </c>
      <c r="N205" s="307">
        <f>ROUND(F205*$G$6+$H$6,0)</f>
        <v>150</v>
      </c>
      <c r="O205" s="309">
        <f>IF(M205=0,"",N205/M205-1)</f>
        <v>-0.10179640718562877</v>
      </c>
      <c r="P205" s="307">
        <v>145</v>
      </c>
      <c r="Q205" s="307">
        <f>ROUND(F205*$I$6+$J$6,0)</f>
        <v>165</v>
      </c>
      <c r="R205" s="309">
        <f>IF(P205=0,"",Q205/P205-1)</f>
        <v>0.13793103448275867</v>
      </c>
    </row>
    <row r="206" spans="1:18" x14ac:dyDescent="0.25">
      <c r="A206" s="303">
        <v>3758</v>
      </c>
      <c r="B206" s="303" t="s">
        <v>271</v>
      </c>
      <c r="C206" s="303" t="s">
        <v>280</v>
      </c>
      <c r="D206" s="304">
        <v>780</v>
      </c>
      <c r="E206" s="304">
        <v>580</v>
      </c>
      <c r="F206" s="305">
        <f>(D206*E206)/10000</f>
        <v>45.24</v>
      </c>
      <c r="G206" s="304">
        <v>65</v>
      </c>
      <c r="H206" s="304">
        <f>ROUND(F206*$C$6+$D$6,0)</f>
        <v>66</v>
      </c>
      <c r="I206" s="306">
        <f>IF(G206=0,"",H206/G206-1)</f>
        <v>1.538461538461533E-2</v>
      </c>
      <c r="J206" s="304">
        <v>182</v>
      </c>
      <c r="K206" s="304">
        <f>ROUND(F206*$E$6+$F$6,0)</f>
        <v>167</v>
      </c>
      <c r="L206" s="306">
        <f>IF(J206=0,"",K206/J206-1)</f>
        <v>-8.2417582417582458E-2</v>
      </c>
      <c r="M206" s="304">
        <v>205</v>
      </c>
      <c r="N206" s="304">
        <f>ROUND(F206*$G$6+$H$6,0)</f>
        <v>182</v>
      </c>
      <c r="O206" s="306">
        <f>IF(M206=0,"",N206/M206-1)</f>
        <v>-0.1121951219512195</v>
      </c>
      <c r="P206" s="304">
        <v>180</v>
      </c>
      <c r="Q206" s="304">
        <f>ROUND(F206*$I$6+$J$6,0)</f>
        <v>193</v>
      </c>
      <c r="R206" s="306">
        <f>IF(P206=0,"",Q206/P206-1)</f>
        <v>7.2222222222222188E-2</v>
      </c>
    </row>
    <row r="207" spans="1:18" x14ac:dyDescent="0.25">
      <c r="A207" s="291">
        <v>3759</v>
      </c>
      <c r="B207" s="291" t="s">
        <v>271</v>
      </c>
      <c r="C207" s="291" t="s">
        <v>281</v>
      </c>
      <c r="D207" s="307">
        <v>980</v>
      </c>
      <c r="E207" s="307">
        <v>580</v>
      </c>
      <c r="F207" s="308">
        <f>(D207*E207)/10000</f>
        <v>56.84</v>
      </c>
      <c r="G207" s="307">
        <v>83</v>
      </c>
      <c r="H207" s="307">
        <f>ROUND(F207*$C$6+$D$6,0)</f>
        <v>81</v>
      </c>
      <c r="I207" s="309">
        <f>IF(G207=0,"",H207/G207-1)</f>
        <v>-2.4096385542168641E-2</v>
      </c>
      <c r="J207" s="307">
        <v>234</v>
      </c>
      <c r="K207" s="307">
        <f>ROUND(F207*$E$6+$F$6,0)</f>
        <v>196</v>
      </c>
      <c r="L207" s="309">
        <f>IF(J207=0,"",K207/J207-1)</f>
        <v>-0.16239316239316237</v>
      </c>
      <c r="M207" s="307">
        <v>260</v>
      </c>
      <c r="N207" s="307">
        <f>ROUND(F207*$G$6+$H$6,0)</f>
        <v>215</v>
      </c>
      <c r="O207" s="309">
        <f>IF(M207=0,"",N207/M207-1)</f>
        <v>-0.17307692307692313</v>
      </c>
      <c r="P207" s="307">
        <v>210</v>
      </c>
      <c r="Q207" s="307">
        <f>ROUND(F207*$I$6+$J$6,0)</f>
        <v>221</v>
      </c>
      <c r="R207" s="309">
        <f>IF(P207=0,"",Q207/P207-1)</f>
        <v>5.2380952380952417E-2</v>
      </c>
    </row>
    <row r="208" spans="1:18" x14ac:dyDescent="0.25">
      <c r="A208" s="303">
        <v>3760</v>
      </c>
      <c r="B208" s="303" t="s">
        <v>271</v>
      </c>
      <c r="C208" s="303" t="s">
        <v>282</v>
      </c>
      <c r="D208" s="304">
        <v>780</v>
      </c>
      <c r="E208" s="304">
        <v>780</v>
      </c>
      <c r="F208" s="305">
        <f>(D208*E208)/10000</f>
        <v>60.84</v>
      </c>
      <c r="G208" s="304">
        <v>95</v>
      </c>
      <c r="H208" s="304">
        <f>ROUND(F208*$C$6+$D$6,0)</f>
        <v>86</v>
      </c>
      <c r="I208" s="306">
        <f>IF(G208=0,"",H208/G208-1)</f>
        <v>-9.4736842105263119E-2</v>
      </c>
      <c r="J208" s="304">
        <v>199</v>
      </c>
      <c r="K208" s="304">
        <f>ROUND(F208*$E$6+$F$6,0)</f>
        <v>205</v>
      </c>
      <c r="L208" s="306">
        <f>IF(J208=0,"",K208/J208-1)</f>
        <v>3.015075376884413E-2</v>
      </c>
      <c r="M208" s="304">
        <v>248</v>
      </c>
      <c r="N208" s="304">
        <f>ROUND(F208*$G$6+$H$6,0)</f>
        <v>226</v>
      </c>
      <c r="O208" s="306">
        <f>IF(M208=0,"",N208/M208-1)</f>
        <v>-8.8709677419354871E-2</v>
      </c>
      <c r="P208" s="304">
        <v>224</v>
      </c>
      <c r="Q208" s="304">
        <f>ROUND(F208*$I$6+$J$6,0)</f>
        <v>231</v>
      </c>
      <c r="R208" s="306">
        <f>IF(P208=0,"",Q208/P208-1)</f>
        <v>3.125E-2</v>
      </c>
    </row>
    <row r="209" spans="1:18" x14ac:dyDescent="0.25">
      <c r="A209" s="291">
        <v>3761</v>
      </c>
      <c r="B209" s="291" t="s">
        <v>271</v>
      </c>
      <c r="C209" s="291" t="s">
        <v>283</v>
      </c>
      <c r="D209" s="307">
        <v>980</v>
      </c>
      <c r="E209" s="307">
        <v>780</v>
      </c>
      <c r="F209" s="308">
        <f>(D209*E209)/10000</f>
        <v>76.44</v>
      </c>
      <c r="G209" s="307">
        <v>104</v>
      </c>
      <c r="H209" s="307">
        <f>ROUND(F209*$C$6+$D$6,0)</f>
        <v>107</v>
      </c>
      <c r="I209" s="309">
        <f>IF(G209=0,"",H209/G209-1)</f>
        <v>2.8846153846153744E-2</v>
      </c>
      <c r="J209" s="307">
        <v>275</v>
      </c>
      <c r="K209" s="307">
        <f>ROUND(F209*$E$6+$F$6,0)</f>
        <v>244</v>
      </c>
      <c r="L209" s="309">
        <f>IF(J209=0,"",K209/J209-1)</f>
        <v>-0.11272727272727268</v>
      </c>
      <c r="M209" s="307"/>
      <c r="N209" s="307"/>
      <c r="O209" s="309"/>
      <c r="P209" s="307"/>
      <c r="Q209" s="307"/>
      <c r="R209" s="309"/>
    </row>
    <row r="210" spans="1:18" x14ac:dyDescent="0.25">
      <c r="A210" s="303">
        <v>3762</v>
      </c>
      <c r="B210" s="303" t="s">
        <v>271</v>
      </c>
      <c r="C210" s="303" t="s">
        <v>284</v>
      </c>
      <c r="D210" s="304">
        <v>980</v>
      </c>
      <c r="E210" s="304">
        <v>980</v>
      </c>
      <c r="F210" s="305">
        <f>(D210*E210)/10000</f>
        <v>96.04</v>
      </c>
      <c r="G210" s="304">
        <v>135</v>
      </c>
      <c r="H210" s="304">
        <f>ROUND(F210*$C$6+$D$6,0)</f>
        <v>132</v>
      </c>
      <c r="I210" s="306">
        <f>IF(G210=0,"",H210/G210-1)</f>
        <v>-2.2222222222222254E-2</v>
      </c>
      <c r="J210" s="304">
        <v>234</v>
      </c>
      <c r="K210" s="304">
        <f>ROUND(F210*$E$6+$F$6,0)</f>
        <v>291</v>
      </c>
      <c r="L210" s="306">
        <f>IF(J210=0,"",K210/J210-1)</f>
        <v>0.24358974358974361</v>
      </c>
      <c r="M210" s="304"/>
      <c r="N210" s="304"/>
      <c r="O210" s="306"/>
      <c r="P210" s="304"/>
      <c r="Q210" s="304"/>
      <c r="R210" s="306"/>
    </row>
    <row r="211" spans="1:18" x14ac:dyDescent="0.25">
      <c r="A211" s="310" t="s">
        <v>285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</row>
    <row r="212" spans="1:18" x14ac:dyDescent="0.25">
      <c r="A212" s="303">
        <v>3800</v>
      </c>
      <c r="B212" s="303" t="s">
        <v>285</v>
      </c>
      <c r="C212" s="303" t="s">
        <v>286</v>
      </c>
      <c r="D212" s="304">
        <v>360</v>
      </c>
      <c r="E212" s="304">
        <v>360</v>
      </c>
      <c r="F212" s="305">
        <f>(D212*E212)/10000</f>
        <v>12.96</v>
      </c>
      <c r="G212" s="304">
        <v>26</v>
      </c>
      <c r="H212" s="304">
        <f>ROUND(F212*$C$6+$D$6,0)</f>
        <v>24</v>
      </c>
      <c r="I212" s="306">
        <f>IF(G212=0,"",H212/G212-1)</f>
        <v>-7.6923076923076872E-2</v>
      </c>
      <c r="J212" s="304">
        <v>78</v>
      </c>
      <c r="K212" s="304">
        <f>ROUND(F212*$E$6+$F$6,0)</f>
        <v>88</v>
      </c>
      <c r="L212" s="306">
        <f>IF(J212=0,"",K212/J212-1)</f>
        <v>0.12820512820512819</v>
      </c>
      <c r="M212" s="304">
        <v>77</v>
      </c>
      <c r="N212" s="304">
        <f>ROUND(F212*$G$6+$H$6,0)</f>
        <v>92</v>
      </c>
      <c r="O212" s="306">
        <f>IF(M212=0,"",N212/M212-1)</f>
        <v>0.19480519480519476</v>
      </c>
      <c r="P212" s="304">
        <v>138</v>
      </c>
      <c r="Q212" s="304">
        <f>ROUND(F212*$I$6+$J$6,0)</f>
        <v>116</v>
      </c>
      <c r="R212" s="306">
        <f>IF(P212=0,"",Q212/P212-1)</f>
        <v>-0.15942028985507251</v>
      </c>
    </row>
    <row r="213" spans="1:18" x14ac:dyDescent="0.25">
      <c r="A213" s="291">
        <v>3801</v>
      </c>
      <c r="B213" s="291" t="s">
        <v>285</v>
      </c>
      <c r="C213" s="291" t="s">
        <v>287</v>
      </c>
      <c r="D213" s="307">
        <v>420</v>
      </c>
      <c r="E213" s="307">
        <v>360</v>
      </c>
      <c r="F213" s="308">
        <f>(D213*E213)/10000</f>
        <v>15.12</v>
      </c>
      <c r="G213" s="307">
        <v>26</v>
      </c>
      <c r="H213" s="307">
        <f>ROUND(F213*$C$6+$D$6,0)</f>
        <v>27</v>
      </c>
      <c r="I213" s="309">
        <f>IF(G213=0,"",H213/G213-1)</f>
        <v>3.8461538461538547E-2</v>
      </c>
      <c r="J213" s="307">
        <v>82</v>
      </c>
      <c r="K213" s="307">
        <f>ROUND(F213*$E$6+$F$6,0)</f>
        <v>94</v>
      </c>
      <c r="L213" s="309">
        <f>IF(J213=0,"",K213/J213-1)</f>
        <v>0.14634146341463405</v>
      </c>
      <c r="M213" s="307">
        <v>79</v>
      </c>
      <c r="N213" s="307">
        <f>ROUND(F213*$G$6+$H$6,0)</f>
        <v>98</v>
      </c>
      <c r="O213" s="309">
        <f>IF(M213=0,"",N213/M213-1)</f>
        <v>0.240506329113924</v>
      </c>
      <c r="P213" s="307">
        <v>139</v>
      </c>
      <c r="Q213" s="307">
        <f>ROUND(F213*$I$6+$J$6,0)</f>
        <v>121</v>
      </c>
      <c r="R213" s="309">
        <f>IF(P213=0,"",Q213/P213-1)</f>
        <v>-0.12949640287769781</v>
      </c>
    </row>
    <row r="214" spans="1:18" x14ac:dyDescent="0.25">
      <c r="A214" s="303">
        <v>3802</v>
      </c>
      <c r="B214" s="303" t="s">
        <v>285</v>
      </c>
      <c r="C214" s="303" t="s">
        <v>288</v>
      </c>
      <c r="D214" s="304">
        <v>580</v>
      </c>
      <c r="E214" s="304">
        <v>360</v>
      </c>
      <c r="F214" s="305">
        <f>(D214*E214)/10000</f>
        <v>20.88</v>
      </c>
      <c r="G214" s="304">
        <v>32</v>
      </c>
      <c r="H214" s="304">
        <f>ROUND(F214*$C$6+$D$6,0)</f>
        <v>34</v>
      </c>
      <c r="I214" s="306">
        <f>IF(G214=0,"",H214/G214-1)</f>
        <v>6.25E-2</v>
      </c>
      <c r="J214" s="304">
        <v>109</v>
      </c>
      <c r="K214" s="304">
        <f>ROUND(F214*$E$6+$F$6,0)</f>
        <v>108</v>
      </c>
      <c r="L214" s="306">
        <f>IF(J214=0,"",K214/J214-1)</f>
        <v>-9.1743119266054496E-3</v>
      </c>
      <c r="M214" s="304">
        <v>112</v>
      </c>
      <c r="N214" s="304">
        <f>ROUND(F214*$G$6+$H$6,0)</f>
        <v>114</v>
      </c>
      <c r="O214" s="306">
        <f>IF(M214=0,"",N214/M214-1)</f>
        <v>1.7857142857142794E-2</v>
      </c>
      <c r="P214" s="304">
        <v>144</v>
      </c>
      <c r="Q214" s="304">
        <f>ROUND(F214*$I$6+$J$6,0)</f>
        <v>135</v>
      </c>
      <c r="R214" s="306">
        <f>IF(P214=0,"",Q214/P214-1)</f>
        <v>-6.25E-2</v>
      </c>
    </row>
    <row r="215" spans="1:18" x14ac:dyDescent="0.25">
      <c r="A215" s="291">
        <v>3803</v>
      </c>
      <c r="B215" s="291" t="s">
        <v>285</v>
      </c>
      <c r="C215" s="291" t="s">
        <v>289</v>
      </c>
      <c r="D215" s="307">
        <v>780</v>
      </c>
      <c r="E215" s="307">
        <v>360</v>
      </c>
      <c r="F215" s="308">
        <f>(D215*E215)/10000</f>
        <v>28.08</v>
      </c>
      <c r="G215" s="307">
        <v>42</v>
      </c>
      <c r="H215" s="307">
        <f>ROUND(F215*$C$6+$D$6,0)</f>
        <v>43</v>
      </c>
      <c r="I215" s="309">
        <f>IF(G215=0,"",H215/G215-1)</f>
        <v>2.3809523809523725E-2</v>
      </c>
      <c r="J215" s="307">
        <v>126</v>
      </c>
      <c r="K215" s="307">
        <f>ROUND(F215*$E$6+$F$6,0)</f>
        <v>125</v>
      </c>
      <c r="L215" s="309">
        <f>IF(J215=0,"",K215/J215-1)</f>
        <v>-7.9365079365079083E-3</v>
      </c>
      <c r="M215" s="307">
        <v>124</v>
      </c>
      <c r="N215" s="307">
        <f>ROUND(F215*$G$6+$H$6,0)</f>
        <v>134</v>
      </c>
      <c r="O215" s="309">
        <f>IF(M215=0,"",N215/M215-1)</f>
        <v>8.0645161290322509E-2</v>
      </c>
      <c r="P215" s="307">
        <v>148</v>
      </c>
      <c r="Q215" s="307">
        <f>ROUND(F215*$I$6+$J$6,0)</f>
        <v>152</v>
      </c>
      <c r="R215" s="309">
        <f>IF(P215=0,"",Q215/P215-1)</f>
        <v>2.7027027027026973E-2</v>
      </c>
    </row>
    <row r="216" spans="1:18" x14ac:dyDescent="0.25">
      <c r="A216" s="303">
        <v>3804</v>
      </c>
      <c r="B216" s="303" t="s">
        <v>285</v>
      </c>
      <c r="C216" s="303" t="s">
        <v>290</v>
      </c>
      <c r="D216" s="304">
        <v>980</v>
      </c>
      <c r="E216" s="304">
        <v>360</v>
      </c>
      <c r="F216" s="305">
        <f>(D216*E216)/10000</f>
        <v>35.28</v>
      </c>
      <c r="G216" s="304">
        <v>53</v>
      </c>
      <c r="H216" s="304">
        <f>ROUND(F216*$C$6+$D$6,0)</f>
        <v>53</v>
      </c>
      <c r="I216" s="306">
        <f>IF(G216=0,"",H216/G216-1)</f>
        <v>0</v>
      </c>
      <c r="J216" s="304">
        <v>152</v>
      </c>
      <c r="K216" s="304">
        <f>ROUND(F216*$E$6+$F$6,0)</f>
        <v>143</v>
      </c>
      <c r="L216" s="306">
        <f>IF(J216=0,"",K216/J216-1)</f>
        <v>-5.9210526315789491E-2</v>
      </c>
      <c r="M216" s="304">
        <v>150</v>
      </c>
      <c r="N216" s="304">
        <f>ROUND(F216*$G$6+$H$6,0)</f>
        <v>155</v>
      </c>
      <c r="O216" s="306">
        <f>IF(M216=0,"",N216/M216-1)</f>
        <v>3.3333333333333437E-2</v>
      </c>
      <c r="P216" s="304">
        <v>163</v>
      </c>
      <c r="Q216" s="304">
        <f>ROUND(F216*$I$6+$J$6,0)</f>
        <v>169</v>
      </c>
      <c r="R216" s="306">
        <f>IF(P216=0,"",Q216/P216-1)</f>
        <v>3.6809815950920255E-2</v>
      </c>
    </row>
    <row r="217" spans="1:18" x14ac:dyDescent="0.25">
      <c r="A217" s="291">
        <v>3805</v>
      </c>
      <c r="B217" s="291" t="s">
        <v>285</v>
      </c>
      <c r="C217" s="291" t="s">
        <v>291</v>
      </c>
      <c r="D217" s="307">
        <v>360</v>
      </c>
      <c r="E217" s="307">
        <v>580</v>
      </c>
      <c r="F217" s="308">
        <f>(D217*E217)/10000</f>
        <v>20.88</v>
      </c>
      <c r="G217" s="307">
        <v>32</v>
      </c>
      <c r="H217" s="307">
        <f>ROUND(F217*$C$6+$D$6,0)</f>
        <v>34</v>
      </c>
      <c r="I217" s="309">
        <f>IF(G217=0,"",H217/G217-1)</f>
        <v>6.25E-2</v>
      </c>
      <c r="J217" s="307">
        <v>109</v>
      </c>
      <c r="K217" s="307">
        <f>ROUND(F217*$E$6+$F$6,0)</f>
        <v>108</v>
      </c>
      <c r="L217" s="309">
        <f>IF(J217=0,"",K217/J217-1)</f>
        <v>-9.1743119266054496E-3</v>
      </c>
      <c r="M217" s="307">
        <v>112</v>
      </c>
      <c r="N217" s="307">
        <f>ROUND(F217*$G$6+$H$6,0)</f>
        <v>114</v>
      </c>
      <c r="O217" s="309">
        <f>IF(M217=0,"",N217/M217-1)</f>
        <v>1.7857142857142794E-2</v>
      </c>
      <c r="P217" s="307">
        <v>144</v>
      </c>
      <c r="Q217" s="307">
        <f>ROUND(F217*$I$6+$J$6,0)</f>
        <v>135</v>
      </c>
      <c r="R217" s="309">
        <f>IF(P217=0,"",Q217/P217-1)</f>
        <v>-6.25E-2</v>
      </c>
    </row>
    <row r="218" spans="1:18" x14ac:dyDescent="0.25">
      <c r="A218" s="303">
        <v>3806</v>
      </c>
      <c r="B218" s="303" t="s">
        <v>285</v>
      </c>
      <c r="C218" s="303" t="s">
        <v>292</v>
      </c>
      <c r="D218" s="304">
        <v>420</v>
      </c>
      <c r="E218" s="304">
        <v>580</v>
      </c>
      <c r="F218" s="305">
        <f>(D218*E218)/10000</f>
        <v>24.36</v>
      </c>
      <c r="G218" s="304">
        <v>37</v>
      </c>
      <c r="H218" s="304">
        <f>ROUND(F218*$C$6+$D$6,0)</f>
        <v>39</v>
      </c>
      <c r="I218" s="306">
        <f>IF(G218=0,"",H218/G218-1)</f>
        <v>5.4054054054053946E-2</v>
      </c>
      <c r="J218" s="304">
        <v>123</v>
      </c>
      <c r="K218" s="304">
        <f>ROUND(F218*$E$6+$F$6,0)</f>
        <v>116</v>
      </c>
      <c r="L218" s="306">
        <f>IF(J218=0,"",K218/J218-1)</f>
        <v>-5.6910569105691033E-2</v>
      </c>
      <c r="M218" s="304">
        <v>126</v>
      </c>
      <c r="N218" s="304">
        <f>ROUND(F218*$G$6+$H$6,0)</f>
        <v>124</v>
      </c>
      <c r="O218" s="306">
        <f>IF(M218=0,"",N218/M218-1)</f>
        <v>-1.5873015873015928E-2</v>
      </c>
      <c r="P218" s="304">
        <v>145</v>
      </c>
      <c r="Q218" s="304">
        <f>ROUND(F218*$I$6+$J$6,0)</f>
        <v>143</v>
      </c>
      <c r="R218" s="306">
        <f>IF(P218=0,"",Q218/P218-1)</f>
        <v>-1.379310344827589E-2</v>
      </c>
    </row>
    <row r="219" spans="1:18" x14ac:dyDescent="0.25">
      <c r="A219" s="291">
        <v>3807</v>
      </c>
      <c r="B219" s="291" t="s">
        <v>285</v>
      </c>
      <c r="C219" s="291" t="s">
        <v>293</v>
      </c>
      <c r="D219" s="307">
        <v>580</v>
      </c>
      <c r="E219" s="307">
        <v>580</v>
      </c>
      <c r="F219" s="308">
        <f>(D219*E219)/10000</f>
        <v>33.64</v>
      </c>
      <c r="G219" s="307">
        <v>50</v>
      </c>
      <c r="H219" s="307">
        <f>ROUND(F219*$C$6+$D$6,0)</f>
        <v>51</v>
      </c>
      <c r="I219" s="309">
        <f>IF(G219=0,"",H219/G219-1)</f>
        <v>2.0000000000000018E-2</v>
      </c>
      <c r="J219" s="307">
        <v>155</v>
      </c>
      <c r="K219" s="307">
        <f>ROUND(F219*$E$6+$F$6,0)</f>
        <v>139</v>
      </c>
      <c r="L219" s="309">
        <f>IF(J219=0,"",K219/J219-1)</f>
        <v>-0.10322580645161294</v>
      </c>
      <c r="M219" s="307">
        <v>157</v>
      </c>
      <c r="N219" s="307">
        <f>ROUND(F219*$G$6+$H$6,0)</f>
        <v>150</v>
      </c>
      <c r="O219" s="309">
        <f>IF(M219=0,"",N219/M219-1)</f>
        <v>-4.4585987261146487E-2</v>
      </c>
      <c r="P219" s="307">
        <v>149</v>
      </c>
      <c r="Q219" s="307">
        <f>ROUND(F219*$I$6+$J$6,0)</f>
        <v>165</v>
      </c>
      <c r="R219" s="309">
        <f>IF(P219=0,"",Q219/P219-1)</f>
        <v>0.10738255033557054</v>
      </c>
    </row>
    <row r="220" spans="1:18" x14ac:dyDescent="0.25">
      <c r="A220" s="303">
        <v>3808</v>
      </c>
      <c r="B220" s="303" t="s">
        <v>285</v>
      </c>
      <c r="C220" s="303" t="s">
        <v>294</v>
      </c>
      <c r="D220" s="304">
        <v>780</v>
      </c>
      <c r="E220" s="304">
        <v>580</v>
      </c>
      <c r="F220" s="305">
        <f>(D220*E220)/10000</f>
        <v>45.24</v>
      </c>
      <c r="G220" s="304">
        <v>65</v>
      </c>
      <c r="H220" s="304">
        <f>ROUND(F220*$C$6+$D$6,0)</f>
        <v>66</v>
      </c>
      <c r="I220" s="306">
        <f>IF(G220=0,"",H220/G220-1)</f>
        <v>1.538461538461533E-2</v>
      </c>
      <c r="J220" s="304">
        <v>187</v>
      </c>
      <c r="K220" s="304">
        <f>ROUND(F220*$E$6+$F$6,0)</f>
        <v>167</v>
      </c>
      <c r="L220" s="306">
        <f>IF(J220=0,"",K220/J220-1)</f>
        <v>-0.10695187165775399</v>
      </c>
      <c r="M220" s="304">
        <v>194</v>
      </c>
      <c r="N220" s="304">
        <f>ROUND(F220*$G$6+$H$6,0)</f>
        <v>182</v>
      </c>
      <c r="O220" s="306">
        <f>IF(M220=0,"",N220/M220-1)</f>
        <v>-6.1855670103092786E-2</v>
      </c>
      <c r="P220" s="304">
        <v>185</v>
      </c>
      <c r="Q220" s="304">
        <f>ROUND(F220*$I$6+$J$6,0)</f>
        <v>193</v>
      </c>
      <c r="R220" s="306">
        <f>IF(P220=0,"",Q220/P220-1)</f>
        <v>4.3243243243243246E-2</v>
      </c>
    </row>
    <row r="221" spans="1:18" x14ac:dyDescent="0.25">
      <c r="A221" s="291">
        <v>3809</v>
      </c>
      <c r="B221" s="291" t="s">
        <v>285</v>
      </c>
      <c r="C221" s="291" t="s">
        <v>295</v>
      </c>
      <c r="D221" s="307">
        <v>980</v>
      </c>
      <c r="E221" s="307">
        <v>580</v>
      </c>
      <c r="F221" s="308">
        <f>(D221*E221)/10000</f>
        <v>56.84</v>
      </c>
      <c r="G221" s="307">
        <v>83</v>
      </c>
      <c r="H221" s="307">
        <f>ROUND(F221*$C$6+$D$6,0)</f>
        <v>81</v>
      </c>
      <c r="I221" s="309">
        <f>IF(G221=0,"",H221/G221-1)</f>
        <v>-2.4096385542168641E-2</v>
      </c>
      <c r="J221" s="307">
        <v>241</v>
      </c>
      <c r="K221" s="307">
        <f>ROUND(F221*$E$6+$F$6,0)</f>
        <v>196</v>
      </c>
      <c r="L221" s="309">
        <f>IF(J221=0,"",K221/J221-1)</f>
        <v>-0.18672199170124482</v>
      </c>
      <c r="M221" s="307">
        <v>246</v>
      </c>
      <c r="N221" s="307">
        <f>ROUND(F221*$G$6+$H$6,0)</f>
        <v>215</v>
      </c>
      <c r="O221" s="309">
        <f>IF(M221=0,"",N221/M221-1)</f>
        <v>-0.12601626016260159</v>
      </c>
      <c r="P221" s="307">
        <v>215</v>
      </c>
      <c r="Q221" s="307">
        <f>ROUND(F221*$I$6+$J$6,0)</f>
        <v>221</v>
      </c>
      <c r="R221" s="309">
        <f>IF(P221=0,"",Q221/P221-1)</f>
        <v>2.7906976744185963E-2</v>
      </c>
    </row>
    <row r="222" spans="1:18" x14ac:dyDescent="0.25">
      <c r="A222" s="303">
        <v>3810</v>
      </c>
      <c r="B222" s="303" t="s">
        <v>285</v>
      </c>
      <c r="C222" s="303" t="s">
        <v>296</v>
      </c>
      <c r="D222" s="304">
        <v>420</v>
      </c>
      <c r="E222" s="304">
        <v>780</v>
      </c>
      <c r="F222" s="305">
        <f>(D222*E222)/10000</f>
        <v>32.76</v>
      </c>
      <c r="G222" s="304">
        <v>49</v>
      </c>
      <c r="H222" s="304">
        <f>ROUND(F222*$C$6+$D$6,0)</f>
        <v>50</v>
      </c>
      <c r="I222" s="306">
        <f>IF(G222=0,"",H222/G222-1)</f>
        <v>2.0408163265306145E-2</v>
      </c>
      <c r="J222" s="304">
        <v>87</v>
      </c>
      <c r="K222" s="304">
        <f>ROUND(F222*$E$6+$F$6,0)</f>
        <v>137</v>
      </c>
      <c r="L222" s="306">
        <f>IF(J222=0,"",K222/J222-1)</f>
        <v>0.57471264367816088</v>
      </c>
      <c r="M222" s="304"/>
      <c r="N222" s="304"/>
      <c r="O222" s="306"/>
      <c r="P222" s="304"/>
      <c r="Q222" s="304"/>
      <c r="R222" s="306"/>
    </row>
    <row r="223" spans="1:18" x14ac:dyDescent="0.25">
      <c r="A223" s="291">
        <v>3811</v>
      </c>
      <c r="B223" s="291" t="s">
        <v>285</v>
      </c>
      <c r="C223" s="291" t="s">
        <v>297</v>
      </c>
      <c r="D223" s="307">
        <v>420</v>
      </c>
      <c r="E223" s="307">
        <v>980</v>
      </c>
      <c r="F223" s="308">
        <f>(D223*E223)/10000</f>
        <v>41.16</v>
      </c>
      <c r="G223" s="307">
        <v>59</v>
      </c>
      <c r="H223" s="307">
        <f>ROUND(F223*$C$6+$D$6,0)</f>
        <v>61</v>
      </c>
      <c r="I223" s="309">
        <f>IF(G223=0,"",H223/G223-1)</f>
        <v>3.3898305084745672E-2</v>
      </c>
      <c r="J223" s="307">
        <v>105</v>
      </c>
      <c r="K223" s="307">
        <f>ROUND(F223*$E$6+$F$6,0)</f>
        <v>157</v>
      </c>
      <c r="L223" s="309">
        <f>IF(J223=0,"",K223/J223-1)</f>
        <v>0.49523809523809526</v>
      </c>
      <c r="M223" s="307"/>
      <c r="N223" s="307"/>
      <c r="O223" s="309"/>
      <c r="P223" s="307"/>
      <c r="Q223" s="307"/>
      <c r="R223" s="309"/>
    </row>
    <row r="224" spans="1:18" x14ac:dyDescent="0.25">
      <c r="A224" s="303">
        <v>3812</v>
      </c>
      <c r="B224" s="303" t="s">
        <v>285</v>
      </c>
      <c r="C224" s="303" t="s">
        <v>298</v>
      </c>
      <c r="D224" s="304">
        <v>780</v>
      </c>
      <c r="E224" s="304">
        <v>780</v>
      </c>
      <c r="F224" s="305">
        <f>(D224*E224)/10000</f>
        <v>60.84</v>
      </c>
      <c r="G224" s="304">
        <v>95</v>
      </c>
      <c r="H224" s="304">
        <f>ROUND(F224*$C$6+$D$6,0)</f>
        <v>86</v>
      </c>
      <c r="I224" s="306">
        <f>IF(G224=0,"",H224/G224-1)</f>
        <v>-9.4736842105263119E-2</v>
      </c>
      <c r="J224" s="304">
        <v>205</v>
      </c>
      <c r="K224" s="304">
        <f>ROUND(F224*$E$6+$F$6,0)</f>
        <v>205</v>
      </c>
      <c r="L224" s="306">
        <f>IF(J224=0,"",K224/J224-1)</f>
        <v>0</v>
      </c>
      <c r="M224" s="304">
        <v>234</v>
      </c>
      <c r="N224" s="304">
        <f>ROUND(F224*$G$6+$H$6,0)</f>
        <v>226</v>
      </c>
      <c r="O224" s="306">
        <f>IF(M224=0,"",N224/M224-1)</f>
        <v>-3.4188034188034178E-2</v>
      </c>
      <c r="P224" s="304">
        <v>230</v>
      </c>
      <c r="Q224" s="304">
        <f>ROUND(F224*$I$6+$J$6,0)</f>
        <v>231</v>
      </c>
      <c r="R224" s="306">
        <f>IF(P224=0,"",Q224/P224-1)</f>
        <v>4.3478260869564966E-3</v>
      </c>
    </row>
    <row r="225" spans="1:18" x14ac:dyDescent="0.25">
      <c r="A225" s="291">
        <v>3813</v>
      </c>
      <c r="B225" s="291" t="s">
        <v>285</v>
      </c>
      <c r="C225" s="291" t="s">
        <v>299</v>
      </c>
      <c r="D225" s="307">
        <v>780</v>
      </c>
      <c r="E225" s="307">
        <v>980</v>
      </c>
      <c r="F225" s="308">
        <f>(D225*E225)/10000</f>
        <v>76.44</v>
      </c>
      <c r="G225" s="307">
        <v>104</v>
      </c>
      <c r="H225" s="307">
        <f>ROUND(F225*$C$6+$D$6,0)</f>
        <v>107</v>
      </c>
      <c r="I225" s="309">
        <f>IF(G225=0,"",H225/G225-1)</f>
        <v>2.8846153846153744E-2</v>
      </c>
      <c r="J225" s="307">
        <v>283</v>
      </c>
      <c r="K225" s="307">
        <f>ROUND(F225*$E$6+$F$6,0)</f>
        <v>244</v>
      </c>
      <c r="L225" s="309">
        <f>IF(J225=0,"",K225/J225-1)</f>
        <v>-0.13780918727915192</v>
      </c>
      <c r="M225" s="307"/>
      <c r="N225" s="307"/>
      <c r="O225" s="309"/>
      <c r="P225" s="307"/>
      <c r="Q225" s="307"/>
      <c r="R225" s="309"/>
    </row>
    <row r="226" spans="1:18" x14ac:dyDescent="0.25">
      <c r="A226" s="303">
        <v>3814</v>
      </c>
      <c r="B226" s="303" t="s">
        <v>285</v>
      </c>
      <c r="C226" s="303" t="s">
        <v>300</v>
      </c>
      <c r="D226" s="304">
        <v>980</v>
      </c>
      <c r="E226" s="304">
        <v>780</v>
      </c>
      <c r="F226" s="305">
        <f>(D226*E226)/10000</f>
        <v>76.44</v>
      </c>
      <c r="G226" s="304">
        <v>104</v>
      </c>
      <c r="H226" s="304">
        <f>ROUND(F226*$C$6+$D$6,0)</f>
        <v>107</v>
      </c>
      <c r="I226" s="306">
        <f>IF(G226=0,"",H226/G226-1)</f>
        <v>2.8846153846153744E-2</v>
      </c>
      <c r="J226" s="304">
        <v>283</v>
      </c>
      <c r="K226" s="304">
        <f>ROUND(F226*$E$6+$F$6,0)</f>
        <v>244</v>
      </c>
      <c r="L226" s="306">
        <f>IF(J226=0,"",K226/J226-1)</f>
        <v>-0.13780918727915192</v>
      </c>
      <c r="M226" s="304"/>
      <c r="N226" s="304"/>
      <c r="O226" s="306"/>
      <c r="P226" s="304"/>
      <c r="Q226" s="304"/>
      <c r="R226" s="306"/>
    </row>
    <row r="227" spans="1:18" x14ac:dyDescent="0.25">
      <c r="A227" s="291">
        <v>3815</v>
      </c>
      <c r="B227" s="291" t="s">
        <v>285</v>
      </c>
      <c r="C227" s="291" t="s">
        <v>301</v>
      </c>
      <c r="D227" s="307">
        <v>980</v>
      </c>
      <c r="E227" s="307">
        <v>980</v>
      </c>
      <c r="F227" s="308">
        <f>(D227*E227)/10000</f>
        <v>96.04</v>
      </c>
      <c r="G227" s="307">
        <v>135</v>
      </c>
      <c r="H227" s="307">
        <f>ROUND(F227*$C$6+$D$6,0)</f>
        <v>132</v>
      </c>
      <c r="I227" s="309">
        <f>IF(G227=0,"",H227/G227-1)</f>
        <v>-2.2222222222222254E-2</v>
      </c>
      <c r="J227" s="307">
        <v>241</v>
      </c>
      <c r="K227" s="307">
        <f>ROUND(F227*$E$6+$F$6,0)</f>
        <v>291</v>
      </c>
      <c r="L227" s="309">
        <f>IF(J227=0,"",K227/J227-1)</f>
        <v>0.20746887966804972</v>
      </c>
      <c r="M227" s="307"/>
      <c r="N227" s="307"/>
      <c r="O227" s="309"/>
      <c r="P227" s="307"/>
      <c r="Q227" s="307"/>
      <c r="R227" s="309"/>
    </row>
    <row r="228" spans="1:18" x14ac:dyDescent="0.25">
      <c r="A228" s="310" t="s">
        <v>10</v>
      </c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</row>
    <row r="229" spans="1:18" x14ac:dyDescent="0.25">
      <c r="A229" s="303">
        <v>5000</v>
      </c>
      <c r="B229" s="303" t="s">
        <v>10</v>
      </c>
      <c r="C229" s="303" t="s">
        <v>302</v>
      </c>
      <c r="D229" s="304">
        <v>420</v>
      </c>
      <c r="E229" s="304">
        <v>180</v>
      </c>
      <c r="F229" s="305">
        <f>(D229*E229)/10000</f>
        <v>7.56</v>
      </c>
      <c r="G229" s="304">
        <v>149</v>
      </c>
      <c r="H229" s="304">
        <f>ROUND(F229*$C$9+$D$9,0)</f>
        <v>151</v>
      </c>
      <c r="I229" s="306">
        <f>IF(G229=0,"",H229/G229-1)</f>
        <v>1.3422818791946289E-2</v>
      </c>
      <c r="J229" s="304">
        <v>176</v>
      </c>
      <c r="K229" s="304">
        <f>ROUND(F229*$E$9+$F$9,0)</f>
        <v>191</v>
      </c>
      <c r="L229" s="306">
        <f>IF(J229=0,"",K229/J229-1)</f>
        <v>8.5227272727272707E-2</v>
      </c>
      <c r="M229" s="304">
        <v>192</v>
      </c>
      <c r="N229" s="304">
        <f>ROUND(F229*$G$9+$H$9,0)</f>
        <v>227</v>
      </c>
      <c r="O229" s="306">
        <f>IF(M229=0,"",N229/M229-1)</f>
        <v>0.18229166666666674</v>
      </c>
      <c r="P229" s="304">
        <v>326</v>
      </c>
      <c r="Q229" s="304">
        <f>ROUND(F229*$I$9+$J$9,0)</f>
        <v>385</v>
      </c>
      <c r="R229" s="306">
        <f>IF(P229=0,"",Q229/P229-1)</f>
        <v>0.18098159509202461</v>
      </c>
    </row>
    <row r="230" spans="1:18" x14ac:dyDescent="0.25">
      <c r="A230" s="291">
        <v>5001</v>
      </c>
      <c r="B230" s="291" t="s">
        <v>10</v>
      </c>
      <c r="C230" s="291" t="s">
        <v>303</v>
      </c>
      <c r="D230" s="307">
        <v>420</v>
      </c>
      <c r="E230" s="307">
        <v>360</v>
      </c>
      <c r="F230" s="308">
        <f>(D230*E230)/10000</f>
        <v>15.12</v>
      </c>
      <c r="G230" s="307">
        <v>149</v>
      </c>
      <c r="H230" s="307">
        <f>ROUND(F230*$C$9+$D$9,0)</f>
        <v>167</v>
      </c>
      <c r="I230" s="309">
        <f>IF(G230=0,"",H230/G230-1)</f>
        <v>0.12080536912751683</v>
      </c>
      <c r="J230" s="307">
        <v>176</v>
      </c>
      <c r="K230" s="307">
        <f>ROUND(F230*$E$9+$F$9,0)</f>
        <v>214</v>
      </c>
      <c r="L230" s="309">
        <f>IF(J230=0,"",K230/J230-1)</f>
        <v>0.21590909090909083</v>
      </c>
      <c r="M230" s="307">
        <v>192</v>
      </c>
      <c r="N230" s="307">
        <f>ROUND(F230*$G$9+$H$9,0)</f>
        <v>236</v>
      </c>
      <c r="O230" s="309">
        <f>IF(M230=0,"",N230/M230-1)</f>
        <v>0.22916666666666674</v>
      </c>
      <c r="P230" s="307">
        <v>326</v>
      </c>
      <c r="Q230" s="307">
        <f>ROUND(F230*$I$9+$J$9,0)</f>
        <v>401</v>
      </c>
      <c r="R230" s="309">
        <f>IF(P230=0,"",Q230/P230-1)</f>
        <v>0.23006134969325154</v>
      </c>
    </row>
    <row r="231" spans="1:18" x14ac:dyDescent="0.25">
      <c r="A231" s="303">
        <v>5002</v>
      </c>
      <c r="B231" s="303" t="s">
        <v>10</v>
      </c>
      <c r="C231" s="303" t="s">
        <v>304</v>
      </c>
      <c r="D231" s="304">
        <v>580</v>
      </c>
      <c r="E231" s="304">
        <v>180</v>
      </c>
      <c r="F231" s="305">
        <f>(D231*E231)/10000</f>
        <v>10.44</v>
      </c>
      <c r="G231" s="304">
        <v>162</v>
      </c>
      <c r="H231" s="304">
        <f>ROUND(F231*$C$9+$D$9,0)</f>
        <v>157</v>
      </c>
      <c r="I231" s="306">
        <f>IF(G231=0,"",H231/G231-1)</f>
        <v>-3.0864197530864224E-2</v>
      </c>
      <c r="J231" s="304">
        <v>195</v>
      </c>
      <c r="K231" s="304">
        <f>ROUND(F231*$E$9+$F$9,0)</f>
        <v>200</v>
      </c>
      <c r="L231" s="306">
        <f>IF(J231=0,"",K231/J231-1)</f>
        <v>2.564102564102555E-2</v>
      </c>
      <c r="M231" s="304">
        <v>210</v>
      </c>
      <c r="N231" s="304">
        <f>ROUND(F231*$G$9+$H$9,0)</f>
        <v>230</v>
      </c>
      <c r="O231" s="306">
        <f>IF(M231=0,"",N231/M231-1)</f>
        <v>9.5238095238095344E-2</v>
      </c>
      <c r="P231" s="304">
        <v>356</v>
      </c>
      <c r="Q231" s="304">
        <f>ROUND(F231*$I$9+$J$9,0)</f>
        <v>391</v>
      </c>
      <c r="R231" s="306">
        <f>IF(P231=0,"",Q231/P231-1)</f>
        <v>9.8314606741572996E-2</v>
      </c>
    </row>
    <row r="232" spans="1:18" x14ac:dyDescent="0.25">
      <c r="A232" s="291">
        <v>5003</v>
      </c>
      <c r="B232" s="291" t="s">
        <v>10</v>
      </c>
      <c r="C232" s="291" t="s">
        <v>305</v>
      </c>
      <c r="D232" s="307">
        <v>580</v>
      </c>
      <c r="E232" s="307">
        <v>360</v>
      </c>
      <c r="F232" s="308">
        <f>(D232*E232)/10000</f>
        <v>20.88</v>
      </c>
      <c r="G232" s="307">
        <v>162</v>
      </c>
      <c r="H232" s="307">
        <f>ROUND(F232*$C$9+$D$9,0)</f>
        <v>180</v>
      </c>
      <c r="I232" s="309">
        <f>IF(G232=0,"",H232/G232-1)</f>
        <v>0.11111111111111116</v>
      </c>
      <c r="J232" s="307">
        <v>195</v>
      </c>
      <c r="K232" s="307">
        <f>ROUND(F232*$E$9+$F$9,0)</f>
        <v>232</v>
      </c>
      <c r="L232" s="309">
        <f>IF(J232=0,"",K232/J232-1)</f>
        <v>0.18974358974358974</v>
      </c>
      <c r="M232" s="307">
        <v>210</v>
      </c>
      <c r="N232" s="307">
        <f>ROUND(F232*$G$9+$H$9,0)</f>
        <v>243</v>
      </c>
      <c r="O232" s="309">
        <f>IF(M232=0,"",N232/M232-1)</f>
        <v>0.15714285714285725</v>
      </c>
      <c r="P232" s="307">
        <v>356</v>
      </c>
      <c r="Q232" s="307">
        <f>ROUND(F232*$I$9+$J$9,0)</f>
        <v>413</v>
      </c>
      <c r="R232" s="309">
        <f>IF(P232=0,"",Q232/P232-1)</f>
        <v>0.1601123595505618</v>
      </c>
    </row>
    <row r="233" spans="1:18" x14ac:dyDescent="0.25">
      <c r="A233" s="303">
        <v>5004</v>
      </c>
      <c r="B233" s="303" t="s">
        <v>10</v>
      </c>
      <c r="C233" s="303" t="s">
        <v>306</v>
      </c>
      <c r="D233" s="304">
        <v>780</v>
      </c>
      <c r="E233" s="304">
        <v>180</v>
      </c>
      <c r="F233" s="305">
        <f>(D233*E233)/10000</f>
        <v>14.04</v>
      </c>
      <c r="G233" s="304">
        <v>174</v>
      </c>
      <c r="H233" s="304">
        <f>ROUND(F233*$C$9+$D$9,0)</f>
        <v>165</v>
      </c>
      <c r="I233" s="306">
        <f>IF(G233=0,"",H233/G233-1)</f>
        <v>-5.1724137931034475E-2</v>
      </c>
      <c r="J233" s="304">
        <v>214</v>
      </c>
      <c r="K233" s="304">
        <f>ROUND(F233*$E$9+$F$9,0)</f>
        <v>211</v>
      </c>
      <c r="L233" s="306">
        <f>IF(J233=0,"",K233/J233-1)</f>
        <v>-1.4018691588784993E-2</v>
      </c>
      <c r="M233" s="304">
        <v>227</v>
      </c>
      <c r="N233" s="304">
        <f>ROUND(F233*$G$9+$H$9,0)</f>
        <v>235</v>
      </c>
      <c r="O233" s="306">
        <f>IF(M233=0,"",N233/M233-1)</f>
        <v>3.524229074889873E-2</v>
      </c>
      <c r="P233" s="304">
        <v>385</v>
      </c>
      <c r="Q233" s="304">
        <f>ROUND(F233*$I$9+$J$9,0)</f>
        <v>399</v>
      </c>
      <c r="R233" s="306">
        <f>IF(P233=0,"",Q233/P233-1)</f>
        <v>3.6363636363636376E-2</v>
      </c>
    </row>
    <row r="234" spans="1:18" x14ac:dyDescent="0.25">
      <c r="A234" s="291">
        <v>5005</v>
      </c>
      <c r="B234" s="291" t="s">
        <v>10</v>
      </c>
      <c r="C234" s="291" t="s">
        <v>307</v>
      </c>
      <c r="D234" s="307">
        <v>780</v>
      </c>
      <c r="E234" s="307">
        <v>360</v>
      </c>
      <c r="F234" s="308">
        <f>(D234*E234)/10000</f>
        <v>28.08</v>
      </c>
      <c r="G234" s="307">
        <v>174</v>
      </c>
      <c r="H234" s="307">
        <f>ROUND(F234*$C$9+$D$9,0)</f>
        <v>195</v>
      </c>
      <c r="I234" s="309">
        <f>IF(G234=0,"",H234/G234-1)</f>
        <v>0.1206896551724137</v>
      </c>
      <c r="J234" s="307">
        <v>214</v>
      </c>
      <c r="K234" s="307">
        <f>ROUND(F234*$E$9+$F$9,0)</f>
        <v>254</v>
      </c>
      <c r="L234" s="309">
        <f>IF(J234=0,"",K234/J234-1)</f>
        <v>0.18691588785046731</v>
      </c>
      <c r="M234" s="307">
        <v>227</v>
      </c>
      <c r="N234" s="307">
        <f>ROUND(F234*$G$9+$H$9,0)</f>
        <v>252</v>
      </c>
      <c r="O234" s="309">
        <f>IF(M234=0,"",N234/M234-1)</f>
        <v>0.11013215859030834</v>
      </c>
      <c r="P234" s="307">
        <v>385</v>
      </c>
      <c r="Q234" s="307">
        <f>ROUND(F234*$I$9+$J$9,0)</f>
        <v>429</v>
      </c>
      <c r="R234" s="309">
        <f>IF(P234=0,"",Q234/P234-1)</f>
        <v>0.11428571428571432</v>
      </c>
    </row>
    <row r="235" spans="1:18" x14ac:dyDescent="0.25">
      <c r="A235" s="303">
        <v>5006</v>
      </c>
      <c r="B235" s="303" t="s">
        <v>10</v>
      </c>
      <c r="C235" s="303" t="s">
        <v>308</v>
      </c>
      <c r="D235" s="304">
        <v>980</v>
      </c>
      <c r="E235" s="304">
        <v>180</v>
      </c>
      <c r="F235" s="305">
        <f>(D235*E235)/10000</f>
        <v>17.64</v>
      </c>
      <c r="G235" s="304">
        <v>220</v>
      </c>
      <c r="H235" s="304">
        <f>ROUND(F235*$C$9+$D$9,0)</f>
        <v>173</v>
      </c>
      <c r="I235" s="306">
        <f>IF(G235=0,"",H235/G235-1)</f>
        <v>-0.21363636363636362</v>
      </c>
      <c r="J235" s="304">
        <v>255</v>
      </c>
      <c r="K235" s="304">
        <f>ROUND(F235*$E$9+$F$9,0)</f>
        <v>222</v>
      </c>
      <c r="L235" s="306">
        <f>IF(J235=0,"",K235/J235-1)</f>
        <v>-0.12941176470588234</v>
      </c>
      <c r="M235" s="304">
        <v>279</v>
      </c>
      <c r="N235" s="304">
        <f>ROUND(F235*$G$9+$H$9,0)</f>
        <v>239</v>
      </c>
      <c r="O235" s="306">
        <f>IF(M235=0,"",N235/M235-1)</f>
        <v>-0.14336917562724016</v>
      </c>
      <c r="P235" s="304">
        <v>474</v>
      </c>
      <c r="Q235" s="304">
        <f>ROUND(F235*$I$9+$J$9,0)</f>
        <v>406</v>
      </c>
      <c r="R235" s="306">
        <f>IF(P235=0,"",Q235/P235-1)</f>
        <v>-0.14345991561181437</v>
      </c>
    </row>
    <row r="236" spans="1:18" x14ac:dyDescent="0.25">
      <c r="A236" s="291">
        <v>5007</v>
      </c>
      <c r="B236" s="291" t="s">
        <v>10</v>
      </c>
      <c r="C236" s="291" t="s">
        <v>309</v>
      </c>
      <c r="D236" s="307">
        <v>980</v>
      </c>
      <c r="E236" s="307">
        <v>360</v>
      </c>
      <c r="F236" s="308">
        <f>(D236*E236)/10000</f>
        <v>35.28</v>
      </c>
      <c r="G236" s="307">
        <v>220</v>
      </c>
      <c r="H236" s="307">
        <f>ROUND(F236*$C$9+$D$9,0)</f>
        <v>210</v>
      </c>
      <c r="I236" s="309">
        <f>IF(G236=0,"",H236/G236-1)</f>
        <v>-4.5454545454545414E-2</v>
      </c>
      <c r="J236" s="307">
        <v>255</v>
      </c>
      <c r="K236" s="307">
        <f>ROUND(F236*$E$9+$F$9,0)</f>
        <v>276</v>
      </c>
      <c r="L236" s="309">
        <f>IF(J236=0,"",K236/J236-1)</f>
        <v>8.2352941176470518E-2</v>
      </c>
      <c r="M236" s="307">
        <v>279</v>
      </c>
      <c r="N236" s="307">
        <f>ROUND(F236*$G$9+$H$9,0)</f>
        <v>261</v>
      </c>
      <c r="O236" s="309">
        <f>IF(M236=0,"",N236/M236-1)</f>
        <v>-6.4516129032258118E-2</v>
      </c>
      <c r="P236" s="307">
        <v>474</v>
      </c>
      <c r="Q236" s="307">
        <f>ROUND(F236*$I$9+$J$9,0)</f>
        <v>444</v>
      </c>
      <c r="R236" s="309">
        <f>IF(P236=0,"",Q236/P236-1)</f>
        <v>-6.3291139240506333E-2</v>
      </c>
    </row>
    <row r="237" spans="1:18" x14ac:dyDescent="0.25">
      <c r="A237" s="303">
        <v>5009</v>
      </c>
      <c r="B237" s="303" t="s">
        <v>10</v>
      </c>
      <c r="C237" s="303" t="s">
        <v>310</v>
      </c>
      <c r="D237" s="304">
        <v>360</v>
      </c>
      <c r="E237" s="304">
        <v>180</v>
      </c>
      <c r="F237" s="305">
        <f>(D237*E237)/10000</f>
        <v>6.48</v>
      </c>
      <c r="G237" s="304">
        <v>149</v>
      </c>
      <c r="H237" s="304">
        <f>ROUND(F237*$C$9+$D$9,0)</f>
        <v>149</v>
      </c>
      <c r="I237" s="306">
        <f>IF(G237=0,"",H237/G237-1)</f>
        <v>0</v>
      </c>
      <c r="J237" s="304">
        <v>230</v>
      </c>
      <c r="K237" s="304">
        <f>ROUND(F237*$E$9+$F$9,0)</f>
        <v>187</v>
      </c>
      <c r="L237" s="306">
        <f>IF(J237=0,"",K237/J237-1)</f>
        <v>-0.18695652173913047</v>
      </c>
      <c r="M237" s="304">
        <v>279</v>
      </c>
      <c r="N237" s="304">
        <f>ROUND(F237*$G$9+$H$9,0)</f>
        <v>225</v>
      </c>
      <c r="O237" s="306">
        <f>IF(M237=0,"",N237/M237-1)</f>
        <v>-0.19354838709677424</v>
      </c>
      <c r="P237" s="304">
        <v>474</v>
      </c>
      <c r="Q237" s="304">
        <f>ROUND(F237*$I$9+$J$9,0)</f>
        <v>383</v>
      </c>
      <c r="R237" s="306">
        <f>IF(P237=0,"",Q237/P237-1)</f>
        <v>-0.19198312236286919</v>
      </c>
    </row>
    <row r="238" spans="1:18" x14ac:dyDescent="0.25">
      <c r="A238" s="291">
        <v>5008</v>
      </c>
      <c r="B238" s="291" t="s">
        <v>10</v>
      </c>
      <c r="C238" s="291" t="s">
        <v>311</v>
      </c>
      <c r="D238" s="307">
        <v>360</v>
      </c>
      <c r="E238" s="307">
        <v>360</v>
      </c>
      <c r="F238" s="308">
        <f>(D238*E238)/10000</f>
        <v>12.96</v>
      </c>
      <c r="G238" s="307">
        <v>149</v>
      </c>
      <c r="H238" s="307">
        <f>ROUND(F238*$C$9+$D$9,0)</f>
        <v>163</v>
      </c>
      <c r="I238" s="309">
        <f>IF(G238=0,"",H238/G238-1)</f>
        <v>9.3959731543624248E-2</v>
      </c>
      <c r="J238" s="307">
        <v>230</v>
      </c>
      <c r="K238" s="307">
        <f>ROUND(F238*$E$9+$F$9,0)</f>
        <v>207</v>
      </c>
      <c r="L238" s="309">
        <f>IF(J238=0,"",K238/J238-1)</f>
        <v>-9.9999999999999978E-2</v>
      </c>
      <c r="M238" s="307">
        <v>279</v>
      </c>
      <c r="N238" s="307">
        <f>ROUND(F238*$G$9+$H$9,0)</f>
        <v>234</v>
      </c>
      <c r="O238" s="309">
        <f>IF(M238=0,"",N238/M238-1)</f>
        <v>-0.16129032258064513</v>
      </c>
      <c r="P238" s="307">
        <v>474</v>
      </c>
      <c r="Q238" s="307">
        <f>ROUND(F238*$I$9+$J$9,0)</f>
        <v>396</v>
      </c>
      <c r="R238" s="309">
        <f>IF(P238=0,"",Q238/P238-1)</f>
        <v>-0.16455696202531644</v>
      </c>
    </row>
    <row r="239" spans="1:18" x14ac:dyDescent="0.25">
      <c r="A239" s="303" t="s">
        <v>312</v>
      </c>
      <c r="B239" s="303" t="s">
        <v>10</v>
      </c>
      <c r="C239" s="303" t="s">
        <v>313</v>
      </c>
      <c r="D239" s="304">
        <v>980</v>
      </c>
      <c r="E239" s="304">
        <v>420</v>
      </c>
      <c r="F239" s="305">
        <f>(D239*E239)/10000</f>
        <v>41.16</v>
      </c>
      <c r="G239" s="304">
        <v>224</v>
      </c>
      <c r="H239" s="304">
        <f>ROUND(F239*$C$9+$D$9,0)</f>
        <v>223</v>
      </c>
      <c r="I239" s="306">
        <f>IF(G239=0,"",H239/G239-1)</f>
        <v>-4.4642857142856984E-3</v>
      </c>
      <c r="J239" s="304">
        <v>346</v>
      </c>
      <c r="K239" s="304">
        <f>ROUND(F239*$E$9+$F$9,0)</f>
        <v>294</v>
      </c>
      <c r="L239" s="306">
        <f>IF(J239=0,"",K239/J239-1)</f>
        <v>-0.1502890173410405</v>
      </c>
      <c r="M239" s="304">
        <v>279</v>
      </c>
      <c r="N239" s="304">
        <f>ROUND(F239*$G$9+$H$9,0)</f>
        <v>269</v>
      </c>
      <c r="O239" s="306">
        <f>IF(M239=0,"",N239/M239-1)</f>
        <v>-3.5842293906810041E-2</v>
      </c>
      <c r="P239" s="304">
        <v>474</v>
      </c>
      <c r="Q239" s="304">
        <f>ROUND(F239*$I$9+$J$9,0)</f>
        <v>457</v>
      </c>
      <c r="R239" s="306">
        <f>IF(P239=0,"",Q239/P239-1)</f>
        <v>-3.5864978902953593E-2</v>
      </c>
    </row>
    <row r="240" spans="1:18" x14ac:dyDescent="0.25">
      <c r="A240" s="310" t="s">
        <v>314</v>
      </c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</row>
    <row r="241" spans="1:18" x14ac:dyDescent="0.25">
      <c r="A241" s="303">
        <v>5100</v>
      </c>
      <c r="B241" s="303" t="s">
        <v>314</v>
      </c>
      <c r="C241" s="303" t="s">
        <v>315</v>
      </c>
      <c r="D241" s="304">
        <v>420</v>
      </c>
      <c r="E241" s="304">
        <v>360</v>
      </c>
      <c r="F241" s="305">
        <f>(D241*E241)/10000</f>
        <v>15.12</v>
      </c>
      <c r="G241" s="304">
        <v>120</v>
      </c>
      <c r="H241" s="304">
        <f>ROUND(F241*$C$10+$D$10,0)</f>
        <v>116</v>
      </c>
      <c r="I241" s="306">
        <f>IF(G241=0,"",H241/G241-1)</f>
        <v>-3.3333333333333326E-2</v>
      </c>
      <c r="J241" s="304">
        <v>141</v>
      </c>
      <c r="K241" s="304">
        <f>ROUND(F241*$E$10+$F$10,0)</f>
        <v>138</v>
      </c>
      <c r="L241" s="306">
        <f>IF(J241=0,"",K241/J241-1)</f>
        <v>-2.1276595744680882E-2</v>
      </c>
      <c r="M241" s="304">
        <v>162</v>
      </c>
      <c r="N241" s="304">
        <f>ROUND(F241*$G$10+$H$10,0)</f>
        <v>173</v>
      </c>
      <c r="O241" s="306">
        <f>IF(M241=0,"",N241/M241-1)</f>
        <v>6.7901234567901314E-2</v>
      </c>
      <c r="P241" s="304">
        <v>350</v>
      </c>
      <c r="Q241" s="304">
        <f>ROUND(F241*$I$10+$J$10,0)</f>
        <v>313</v>
      </c>
      <c r="R241" s="306">
        <f>IF(P241=0,"",Q241/P241-1)</f>
        <v>-0.10571428571428576</v>
      </c>
    </row>
    <row r="242" spans="1:18" x14ac:dyDescent="0.25">
      <c r="A242" s="291">
        <v>5101</v>
      </c>
      <c r="B242" s="291" t="s">
        <v>314</v>
      </c>
      <c r="C242" s="291" t="s">
        <v>316</v>
      </c>
      <c r="D242" s="307">
        <v>420</v>
      </c>
      <c r="E242" s="307">
        <v>720</v>
      </c>
      <c r="F242" s="308">
        <f>(D242*E242)/10000</f>
        <v>30.24</v>
      </c>
      <c r="G242" s="307">
        <v>140</v>
      </c>
      <c r="H242" s="307">
        <f>ROUND(F242*$C$10+$D$10,0)</f>
        <v>158</v>
      </c>
      <c r="I242" s="309">
        <f>IF(G242=0,"",H242/G242-1)</f>
        <v>0.12857142857142856</v>
      </c>
      <c r="J242" s="307">
        <v>186</v>
      </c>
      <c r="K242" s="307">
        <f>ROUND(F242*$E$10+$F$10,0)</f>
        <v>204</v>
      </c>
      <c r="L242" s="309">
        <f>IF(J242=0,"",K242/J242-1)</f>
        <v>9.6774193548387011E-2</v>
      </c>
      <c r="M242" s="307">
        <v>205</v>
      </c>
      <c r="N242" s="307">
        <f>ROUND(F242*$G$10+$H$10,0)</f>
        <v>236</v>
      </c>
      <c r="O242" s="309">
        <f>IF(M242=0,"",N242/M242-1)</f>
        <v>0.15121951219512186</v>
      </c>
      <c r="P242" s="307">
        <v>397</v>
      </c>
      <c r="Q242" s="307">
        <f>ROUND(F242*$I$10+$J$10,0)</f>
        <v>394</v>
      </c>
      <c r="R242" s="309">
        <f>IF(P242=0,"",Q242/P242-1)</f>
        <v>-7.5566750629723067E-3</v>
      </c>
    </row>
    <row r="243" spans="1:18" x14ac:dyDescent="0.25">
      <c r="A243" s="303">
        <v>5102</v>
      </c>
      <c r="B243" s="303" t="s">
        <v>314</v>
      </c>
      <c r="C243" s="303" t="s">
        <v>317</v>
      </c>
      <c r="D243" s="304">
        <v>420</v>
      </c>
      <c r="E243" s="304">
        <v>1080</v>
      </c>
      <c r="F243" s="305">
        <f>(D243*E243)/10000</f>
        <v>45.36</v>
      </c>
      <c r="G243" s="304">
        <v>207</v>
      </c>
      <c r="H243" s="304">
        <f>ROUND(F243*$C$10+$D$10,0)</f>
        <v>199</v>
      </c>
      <c r="I243" s="306">
        <f>IF(G243=0,"",H243/G243-1)</f>
        <v>-3.8647342995169032E-2</v>
      </c>
      <c r="J243" s="304">
        <v>257</v>
      </c>
      <c r="K243" s="304">
        <f>ROUND(F243*$E$10+$F$10,0)</f>
        <v>271</v>
      </c>
      <c r="L243" s="306">
        <f>IF(J243=0,"",K243/J243-1)</f>
        <v>5.4474708171206254E-2</v>
      </c>
      <c r="M243" s="304">
        <v>302</v>
      </c>
      <c r="N243" s="304">
        <f>ROUND(F243*$G$10+$H$10,0)</f>
        <v>298</v>
      </c>
      <c r="O243" s="306">
        <f>IF(M243=0,"",N243/M243-1)</f>
        <v>-1.3245033112582738E-2</v>
      </c>
      <c r="P243" s="304">
        <v>469</v>
      </c>
      <c r="Q243" s="304">
        <f>ROUND(F243*$I$10+$J$10,0)</f>
        <v>474</v>
      </c>
      <c r="R243" s="306">
        <f>IF(P243=0,"",Q243/P243-1)</f>
        <v>1.0660980810234477E-2</v>
      </c>
    </row>
    <row r="244" spans="1:18" x14ac:dyDescent="0.25">
      <c r="A244" s="291">
        <v>5103</v>
      </c>
      <c r="B244" s="291" t="s">
        <v>314</v>
      </c>
      <c r="C244" s="291" t="s">
        <v>318</v>
      </c>
      <c r="D244" s="307">
        <v>420</v>
      </c>
      <c r="E244" s="307">
        <v>1440</v>
      </c>
      <c r="F244" s="308">
        <f>(D244*E244)/10000</f>
        <v>60.48</v>
      </c>
      <c r="G244" s="307">
        <v>226</v>
      </c>
      <c r="H244" s="307">
        <f>ROUND(F244*$C$10+$D$10,0)</f>
        <v>241</v>
      </c>
      <c r="I244" s="309">
        <f>IF(G244=0,"",H244/G244-1)</f>
        <v>6.6371681415929196E-2</v>
      </c>
      <c r="J244" s="307">
        <v>326</v>
      </c>
      <c r="K244" s="307">
        <f>ROUND(F244*$E$10+$F$10,0)</f>
        <v>337</v>
      </c>
      <c r="L244" s="309">
        <f>IF(J244=0,"",K244/J244-1)</f>
        <v>3.3742331288343586E-2</v>
      </c>
      <c r="M244" s="307">
        <v>358</v>
      </c>
      <c r="N244" s="307">
        <f>ROUND(F244*$G$10+$H$10,0)</f>
        <v>361</v>
      </c>
      <c r="O244" s="309">
        <f>IF(M244=0,"",N244/M244-1)</f>
        <v>8.379888268156499E-3</v>
      </c>
      <c r="P244" s="307">
        <v>520</v>
      </c>
      <c r="Q244" s="307">
        <f>ROUND(F244*$I$10+$J$10,0)</f>
        <v>555</v>
      </c>
      <c r="R244" s="309">
        <f>IF(P244=0,"",Q244/P244-1)</f>
        <v>6.7307692307692291E-2</v>
      </c>
    </row>
    <row r="245" spans="1:18" x14ac:dyDescent="0.25">
      <c r="A245" s="303">
        <v>5104</v>
      </c>
      <c r="B245" s="303" t="s">
        <v>314</v>
      </c>
      <c r="C245" s="303" t="s">
        <v>319</v>
      </c>
      <c r="D245" s="304">
        <v>420</v>
      </c>
      <c r="E245" s="304">
        <v>1800</v>
      </c>
      <c r="F245" s="305">
        <f>(D245*E245)/10000</f>
        <v>75.599999999999994</v>
      </c>
      <c r="G245" s="304">
        <v>299</v>
      </c>
      <c r="H245" s="304">
        <f>ROUND(F245*$C$10+$D$10,0)</f>
        <v>283</v>
      </c>
      <c r="I245" s="306">
        <f>IF(G245=0,"",H245/G245-1)</f>
        <v>-5.3511705685618693E-2</v>
      </c>
      <c r="J245" s="304">
        <v>462</v>
      </c>
      <c r="K245" s="304">
        <f>ROUND(F245*$E$10+$F$10,0)</f>
        <v>403</v>
      </c>
      <c r="L245" s="306">
        <f>IF(J245=0,"",K245/J245-1)</f>
        <v>-0.12770562770562766</v>
      </c>
      <c r="M245" s="304">
        <v>440</v>
      </c>
      <c r="N245" s="304">
        <f>ROUND(F245*$G$10+$H$10,0)</f>
        <v>424</v>
      </c>
      <c r="O245" s="306">
        <f>IF(M245=0,"",N245/M245-1)</f>
        <v>-3.6363636363636376E-2</v>
      </c>
      <c r="P245" s="304">
        <v>609</v>
      </c>
      <c r="Q245" s="304">
        <f>ROUND(F245*$I$10+$J$10,0)</f>
        <v>635</v>
      </c>
      <c r="R245" s="306">
        <f>IF(P245=0,"",Q245/P245-1)</f>
        <v>4.269293924466333E-2</v>
      </c>
    </row>
    <row r="246" spans="1:18" x14ac:dyDescent="0.25">
      <c r="A246" s="291">
        <v>5105</v>
      </c>
      <c r="B246" s="291" t="s">
        <v>314</v>
      </c>
      <c r="C246" s="291" t="s">
        <v>320</v>
      </c>
      <c r="D246" s="307">
        <v>580</v>
      </c>
      <c r="E246" s="307">
        <v>360</v>
      </c>
      <c r="F246" s="308">
        <f>(D246*E246)/10000</f>
        <v>20.88</v>
      </c>
      <c r="G246" s="307">
        <v>135</v>
      </c>
      <c r="H246" s="307">
        <f>ROUND(F246*$C$10+$D$10,0)</f>
        <v>132</v>
      </c>
      <c r="I246" s="309">
        <f>IF(G246=0,"",H246/G246-1)</f>
        <v>-2.2222222222222254E-2</v>
      </c>
      <c r="J246" s="307">
        <v>157</v>
      </c>
      <c r="K246" s="307">
        <f>ROUND(F246*$E$10+$F$10,0)</f>
        <v>163</v>
      </c>
      <c r="L246" s="309">
        <f>IF(J246=0,"",K246/J246-1)</f>
        <v>3.8216560509554132E-2</v>
      </c>
      <c r="M246" s="307">
        <v>185</v>
      </c>
      <c r="N246" s="307">
        <f>ROUND(F246*$G$10+$H$10,0)</f>
        <v>197</v>
      </c>
      <c r="O246" s="309">
        <f>IF(M246=0,"",N246/M246-1)</f>
        <v>6.4864864864864868E-2</v>
      </c>
      <c r="P246" s="307">
        <v>372</v>
      </c>
      <c r="Q246" s="307">
        <f>ROUND(F246*$I$10+$J$10,0)</f>
        <v>344</v>
      </c>
      <c r="R246" s="309">
        <f>IF(P246=0,"",Q246/P246-1)</f>
        <v>-7.5268817204301119E-2</v>
      </c>
    </row>
    <row r="247" spans="1:18" x14ac:dyDescent="0.25">
      <c r="A247" s="303">
        <v>5106</v>
      </c>
      <c r="B247" s="303" t="s">
        <v>314</v>
      </c>
      <c r="C247" s="303" t="s">
        <v>321</v>
      </c>
      <c r="D247" s="304">
        <v>580</v>
      </c>
      <c r="E247" s="304">
        <v>720</v>
      </c>
      <c r="F247" s="305">
        <f>(D247*E247)/10000</f>
        <v>41.76</v>
      </c>
      <c r="G247" s="304">
        <v>185</v>
      </c>
      <c r="H247" s="304">
        <f>ROUND(F247*$C$10+$D$10,0)</f>
        <v>189</v>
      </c>
      <c r="I247" s="306">
        <f>IF(G247=0,"",H247/G247-1)</f>
        <v>2.1621621621621623E-2</v>
      </c>
      <c r="J247" s="304">
        <v>229</v>
      </c>
      <c r="K247" s="304">
        <f>ROUND(F247*$E$10+$F$10,0)</f>
        <v>255</v>
      </c>
      <c r="L247" s="306">
        <f>IF(J247=0,"",K247/J247-1)</f>
        <v>0.11353711790393017</v>
      </c>
      <c r="M247" s="304">
        <v>272</v>
      </c>
      <c r="N247" s="304">
        <f>ROUND(F247*$G$10+$H$10,0)</f>
        <v>283</v>
      </c>
      <c r="O247" s="306">
        <f>IF(M247=0,"",N247/M247-1)</f>
        <v>4.0441176470588314E-2</v>
      </c>
      <c r="P247" s="304">
        <v>427</v>
      </c>
      <c r="Q247" s="304">
        <f>ROUND(F247*$I$10+$J$10,0)</f>
        <v>455</v>
      </c>
      <c r="R247" s="306">
        <f>IF(P247=0,"",Q247/P247-1)</f>
        <v>6.5573770491803351E-2</v>
      </c>
    </row>
    <row r="248" spans="1:18" x14ac:dyDescent="0.25">
      <c r="A248" s="291">
        <v>5107</v>
      </c>
      <c r="B248" s="291" t="s">
        <v>314</v>
      </c>
      <c r="C248" s="291" t="s">
        <v>322</v>
      </c>
      <c r="D248" s="307">
        <v>580</v>
      </c>
      <c r="E248" s="307">
        <v>1080</v>
      </c>
      <c r="F248" s="308">
        <f>(D248*E248)/10000</f>
        <v>62.64</v>
      </c>
      <c r="G248" s="307">
        <v>245</v>
      </c>
      <c r="H248" s="307">
        <f>ROUND(F248*$C$10+$D$10,0)</f>
        <v>247</v>
      </c>
      <c r="I248" s="309">
        <f>IF(G248=0,"",H248/G248-1)</f>
        <v>8.1632653061225469E-3</v>
      </c>
      <c r="J248" s="307">
        <v>317</v>
      </c>
      <c r="K248" s="307">
        <f>ROUND(F248*$E$10+$F$10,0)</f>
        <v>346</v>
      </c>
      <c r="L248" s="309">
        <f>IF(J248=0,"",K248/J248-1)</f>
        <v>9.1482649842271391E-2</v>
      </c>
      <c r="M248" s="307">
        <v>369</v>
      </c>
      <c r="N248" s="307">
        <f>ROUND(F248*$G$10+$H$10,0)</f>
        <v>370</v>
      </c>
      <c r="O248" s="309">
        <f>IF(M248=0,"",N248/M248-1)</f>
        <v>2.7100271002709064E-3</v>
      </c>
      <c r="P248" s="307">
        <v>518</v>
      </c>
      <c r="Q248" s="307">
        <f>ROUND(F248*$I$10+$J$10,0)</f>
        <v>566</v>
      </c>
      <c r="R248" s="309">
        <f>IF(P248=0,"",Q248/P248-1)</f>
        <v>9.2664092664092701E-2</v>
      </c>
    </row>
    <row r="249" spans="1:18" x14ac:dyDescent="0.25">
      <c r="A249" s="303">
        <v>5108</v>
      </c>
      <c r="B249" s="303" t="s">
        <v>314</v>
      </c>
      <c r="C249" s="303" t="s">
        <v>323</v>
      </c>
      <c r="D249" s="304">
        <v>580</v>
      </c>
      <c r="E249" s="304">
        <v>1440</v>
      </c>
      <c r="F249" s="305">
        <f>(D249*E249)/10000</f>
        <v>83.52</v>
      </c>
      <c r="G249" s="304">
        <v>297</v>
      </c>
      <c r="H249" s="304">
        <f>ROUND(F249*$C$10+$D$10,0)</f>
        <v>305</v>
      </c>
      <c r="I249" s="306">
        <f>IF(G249=0,"",H249/G249-1)</f>
        <v>2.6936026936027035E-2</v>
      </c>
      <c r="J249" s="304">
        <v>386</v>
      </c>
      <c r="K249" s="304">
        <f>ROUND(F249*$E$10+$F$10,0)</f>
        <v>437</v>
      </c>
      <c r="L249" s="306">
        <f>IF(J249=0,"",K249/J249-1)</f>
        <v>0.13212435233160624</v>
      </c>
      <c r="M249" s="304">
        <v>448</v>
      </c>
      <c r="N249" s="304">
        <f>ROUND(F249*$G$10+$H$10,0)</f>
        <v>457</v>
      </c>
      <c r="O249" s="306">
        <f>IF(M249=0,"",N249/M249-1)</f>
        <v>2.0089285714285809E-2</v>
      </c>
      <c r="P249" s="304">
        <v>691</v>
      </c>
      <c r="Q249" s="304">
        <f>ROUND(F249*$I$10+$J$10,0)</f>
        <v>677</v>
      </c>
      <c r="R249" s="306">
        <f>IF(P249=0,"",Q249/P249-1)</f>
        <v>-2.0260492040520939E-2</v>
      </c>
    </row>
    <row r="250" spans="1:18" x14ac:dyDescent="0.25">
      <c r="A250" s="291">
        <v>5109</v>
      </c>
      <c r="B250" s="291" t="s">
        <v>314</v>
      </c>
      <c r="C250" s="291" t="s">
        <v>324</v>
      </c>
      <c r="D250" s="307">
        <v>580</v>
      </c>
      <c r="E250" s="307">
        <v>1800</v>
      </c>
      <c r="F250" s="308">
        <f>(D250*E250)/10000</f>
        <v>104.4</v>
      </c>
      <c r="G250" s="307">
        <v>367</v>
      </c>
      <c r="H250" s="307">
        <f>ROUND(F250*$C$10+$D$10,0)</f>
        <v>362</v>
      </c>
      <c r="I250" s="309">
        <f>IF(G250=0,"",H250/G250-1)</f>
        <v>-1.3623978201634857E-2</v>
      </c>
      <c r="J250" s="307">
        <v>566</v>
      </c>
      <c r="K250" s="307">
        <f>ROUND(F250*$E$10+$F$10,0)</f>
        <v>529</v>
      </c>
      <c r="L250" s="309">
        <f>IF(J250=0,"",K250/J250-1)</f>
        <v>-6.5371024734982353E-2</v>
      </c>
      <c r="M250" s="307">
        <v>551</v>
      </c>
      <c r="N250" s="307">
        <f>ROUND(F250*$G$10+$H$10,0)</f>
        <v>544</v>
      </c>
      <c r="O250" s="309">
        <f>IF(M250=0,"",N250/M250-1)</f>
        <v>-1.2704174228675091E-2</v>
      </c>
      <c r="P250" s="307">
        <v>850</v>
      </c>
      <c r="Q250" s="307">
        <f>ROUND(F250*$I$10+$J$10,0)</f>
        <v>788</v>
      </c>
      <c r="R250" s="309">
        <f>IF(P250=0,"",Q250/P250-1)</f>
        <v>-7.2941176470588287E-2</v>
      </c>
    </row>
    <row r="251" spans="1:18" x14ac:dyDescent="0.25">
      <c r="A251" s="303">
        <v>5110</v>
      </c>
      <c r="B251" s="303" t="s">
        <v>314</v>
      </c>
      <c r="C251" s="303" t="s">
        <v>325</v>
      </c>
      <c r="D251" s="304">
        <v>360</v>
      </c>
      <c r="E251" s="304">
        <v>360</v>
      </c>
      <c r="F251" s="305">
        <f>(D251*E251)/10000</f>
        <v>12.96</v>
      </c>
      <c r="G251" s="304">
        <v>120</v>
      </c>
      <c r="H251" s="304">
        <f>ROUND(F251*$C$10+$D$10,0)</f>
        <v>110</v>
      </c>
      <c r="I251" s="306">
        <f>IF(G251=0,"",H251/G251-1)</f>
        <v>-8.333333333333337E-2</v>
      </c>
      <c r="J251" s="304">
        <v>185</v>
      </c>
      <c r="K251" s="304">
        <f>ROUND(F251*$E$10+$F$10,0)</f>
        <v>129</v>
      </c>
      <c r="L251" s="306">
        <f>IF(J251=0,"",K251/J251-1)</f>
        <v>-0.30270270270270272</v>
      </c>
      <c r="M251" s="304">
        <v>211</v>
      </c>
      <c r="N251" s="304">
        <f>ROUND(F251*$G$10+$H$10,0)</f>
        <v>164</v>
      </c>
      <c r="O251" s="306">
        <f>IF(M251=0,"",N251/M251-1)</f>
        <v>-0.22274881516587675</v>
      </c>
      <c r="P251" s="304">
        <v>326</v>
      </c>
      <c r="Q251" s="304">
        <f>ROUND(F251*$I$10+$J$10,0)</f>
        <v>302</v>
      </c>
      <c r="R251" s="306">
        <f>IF(P251=0,"",Q251/P251-1)</f>
        <v>-7.361963190184051E-2</v>
      </c>
    </row>
    <row r="252" spans="1:18" x14ac:dyDescent="0.25">
      <c r="A252" s="291">
        <v>5111</v>
      </c>
      <c r="B252" s="291" t="s">
        <v>314</v>
      </c>
      <c r="C252" s="291" t="s">
        <v>326</v>
      </c>
      <c r="D252" s="307">
        <v>780</v>
      </c>
      <c r="E252" s="307">
        <v>360</v>
      </c>
      <c r="F252" s="308">
        <f>(D252*E252)/10000</f>
        <v>28.08</v>
      </c>
      <c r="G252" s="307"/>
      <c r="H252" s="307"/>
      <c r="I252" s="309"/>
      <c r="J252" s="307"/>
      <c r="K252" s="307"/>
      <c r="L252" s="309"/>
      <c r="M252" s="307">
        <v>231</v>
      </c>
      <c r="N252" s="307">
        <f>ROUND(F252*$G$10+$H$10,0)</f>
        <v>227</v>
      </c>
      <c r="O252" s="309">
        <f>IF(M252=0,"",N252/M252-1)</f>
        <v>-1.7316017316017285E-2</v>
      </c>
      <c r="P252" s="307">
        <v>356</v>
      </c>
      <c r="Q252" s="307">
        <f>ROUND(F252*$I$10+$J$10,0)</f>
        <v>382</v>
      </c>
      <c r="R252" s="309">
        <f>IF(P252=0,"",Q252/P252-1)</f>
        <v>7.3033707865168607E-2</v>
      </c>
    </row>
    <row r="253" spans="1:18" x14ac:dyDescent="0.25">
      <c r="A253" s="310" t="s">
        <v>327</v>
      </c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</row>
    <row r="254" spans="1:18" x14ac:dyDescent="0.25">
      <c r="A254" s="303">
        <v>5200</v>
      </c>
      <c r="B254" s="303" t="s">
        <v>327</v>
      </c>
      <c r="C254" s="303" t="s">
        <v>328</v>
      </c>
      <c r="D254" s="304">
        <v>780</v>
      </c>
      <c r="E254" s="304">
        <v>360</v>
      </c>
      <c r="F254" s="305">
        <f>(D254*E254)/10000</f>
        <v>28.08</v>
      </c>
      <c r="G254" s="304">
        <v>224</v>
      </c>
      <c r="H254" s="304">
        <f>ROUND(F254*$C$11+$D$11,0)</f>
        <v>209</v>
      </c>
      <c r="I254" s="306">
        <f>IF(G254=0,"",H254/G254-1)</f>
        <v>-6.6964285714285698E-2</v>
      </c>
      <c r="J254" s="304">
        <v>264</v>
      </c>
      <c r="K254" s="304">
        <f>ROUND(F254*$E$11+$F$11,0)</f>
        <v>236</v>
      </c>
      <c r="L254" s="306">
        <f>IF(J254=0,"",K254/J254-1)</f>
        <v>-0.10606060606060608</v>
      </c>
      <c r="M254" s="304">
        <v>301</v>
      </c>
      <c r="N254" s="304">
        <f>ROUND(F254*$G$11+$H$11,0)</f>
        <v>283</v>
      </c>
      <c r="O254" s="306">
        <f>IF(M254=0,"",N254/M254-1)</f>
        <v>-5.980066445182719E-2</v>
      </c>
      <c r="P254" s="304">
        <v>642</v>
      </c>
      <c r="Q254" s="304">
        <f>ROUND(F254*$I$11+$J$11,0)</f>
        <v>533</v>
      </c>
      <c r="R254" s="306">
        <f>IF(P254=0,"",Q254/P254-1)</f>
        <v>-0.16978193146417442</v>
      </c>
    </row>
    <row r="255" spans="1:18" x14ac:dyDescent="0.25">
      <c r="A255" s="291">
        <v>5210</v>
      </c>
      <c r="B255" s="291" t="s">
        <v>327</v>
      </c>
      <c r="C255" s="291" t="s">
        <v>329</v>
      </c>
      <c r="D255" s="307">
        <v>780</v>
      </c>
      <c r="E255" s="307">
        <v>660</v>
      </c>
      <c r="F255" s="308">
        <f>(D255*E255)/10000</f>
        <v>51.48</v>
      </c>
      <c r="G255" s="307">
        <v>276</v>
      </c>
      <c r="H255" s="307">
        <f>ROUND(F255*$C$11+$D$11,0)</f>
        <v>284</v>
      </c>
      <c r="I255" s="309">
        <f>IF(G255=0,"",H255/G255-1)</f>
        <v>2.8985507246376718E-2</v>
      </c>
      <c r="J255" s="307">
        <v>445</v>
      </c>
      <c r="K255" s="307">
        <f>ROUND(F255*$E$11+$F$11,0)</f>
        <v>359</v>
      </c>
      <c r="L255" s="309">
        <f>IF(J255=0,"",K255/J255-1)</f>
        <v>-0.19325842696629214</v>
      </c>
      <c r="M255" s="307">
        <v>381</v>
      </c>
      <c r="N255" s="307">
        <f>ROUND(F255*$G$11+$H$11,0)</f>
        <v>391</v>
      </c>
      <c r="O255" s="309">
        <f>IF(M255=0,"",N255/M255-1)</f>
        <v>2.6246719160105014E-2</v>
      </c>
      <c r="P255" s="307">
        <v>589</v>
      </c>
      <c r="Q255" s="307">
        <f>ROUND(F255*$I$11+$J$11,0)</f>
        <v>667</v>
      </c>
      <c r="R255" s="309">
        <f>IF(P255=0,"",Q255/P255-1)</f>
        <v>0.13242784380305594</v>
      </c>
    </row>
    <row r="256" spans="1:18" x14ac:dyDescent="0.25">
      <c r="A256" s="303">
        <v>5201</v>
      </c>
      <c r="B256" s="303" t="s">
        <v>327</v>
      </c>
      <c r="C256" s="303" t="s">
        <v>330</v>
      </c>
      <c r="D256" s="304">
        <v>780</v>
      </c>
      <c r="E256" s="304">
        <v>720</v>
      </c>
      <c r="F256" s="305">
        <f>(D256*E256)/10000</f>
        <v>56.16</v>
      </c>
      <c r="G256" s="304">
        <v>276</v>
      </c>
      <c r="H256" s="304">
        <f>ROUND(F256*$C$11+$D$11,0)</f>
        <v>299</v>
      </c>
      <c r="I256" s="306">
        <f>IF(G256=0,"",H256/G256-1)</f>
        <v>8.3333333333333259E-2</v>
      </c>
      <c r="J256" s="304">
        <v>348</v>
      </c>
      <c r="K256" s="304">
        <f>ROUND(F256*$E$11+$F$11,0)</f>
        <v>384</v>
      </c>
      <c r="L256" s="306">
        <f>IF(J256=0,"",K256/J256-1)</f>
        <v>0.10344827586206895</v>
      </c>
      <c r="M256" s="304">
        <v>381</v>
      </c>
      <c r="N256" s="304">
        <f>ROUND(F256*$G$11+$H$11,0)</f>
        <v>412</v>
      </c>
      <c r="O256" s="306">
        <f>IF(M256=0,"",N256/M256-1)</f>
        <v>8.1364829396325389E-2</v>
      </c>
      <c r="P256" s="304">
        <v>667</v>
      </c>
      <c r="Q256" s="304">
        <f>ROUND(F256*$I$11+$J$11,0)</f>
        <v>694</v>
      </c>
      <c r="R256" s="306">
        <f>IF(P256=0,"",Q256/P256-1)</f>
        <v>4.0479760119940034E-2</v>
      </c>
    </row>
    <row r="257" spans="1:18" x14ac:dyDescent="0.25">
      <c r="A257" s="291">
        <v>5202</v>
      </c>
      <c r="B257" s="291" t="s">
        <v>327</v>
      </c>
      <c r="C257" s="291" t="s">
        <v>331</v>
      </c>
      <c r="D257" s="307">
        <v>780</v>
      </c>
      <c r="E257" s="307">
        <v>1080</v>
      </c>
      <c r="F257" s="308">
        <f>(D257*E257)/10000</f>
        <v>84.24</v>
      </c>
      <c r="G257" s="307">
        <v>408</v>
      </c>
      <c r="H257" s="307">
        <f>ROUND(F257*$C$11+$D$11,0)</f>
        <v>388</v>
      </c>
      <c r="I257" s="309">
        <f>IF(G257=0,"",H257/G257-1)</f>
        <v>-4.9019607843137303E-2</v>
      </c>
      <c r="J257" s="307">
        <v>516</v>
      </c>
      <c r="K257" s="307">
        <f>ROUND(F257*$E$11+$F$11,0)</f>
        <v>532</v>
      </c>
      <c r="L257" s="309">
        <f>IF(J257=0,"",K257/J257-1)</f>
        <v>3.1007751937984551E-2</v>
      </c>
      <c r="M257" s="307">
        <v>562</v>
      </c>
      <c r="N257" s="307">
        <f>ROUND(F257*$G$11+$H$11,0)</f>
        <v>542</v>
      </c>
      <c r="O257" s="309">
        <f>IF(M257=0,"",N257/M257-1)</f>
        <v>-3.5587188612099641E-2</v>
      </c>
      <c r="P257" s="307">
        <v>843</v>
      </c>
      <c r="Q257" s="307">
        <f>ROUND(F257*$I$11+$J$11,0)</f>
        <v>855</v>
      </c>
      <c r="R257" s="309">
        <f>IF(P257=0,"",Q257/P257-1)</f>
        <v>1.4234875444839812E-2</v>
      </c>
    </row>
    <row r="258" spans="1:18" x14ac:dyDescent="0.25">
      <c r="A258" s="303">
        <v>5203</v>
      </c>
      <c r="B258" s="303" t="s">
        <v>327</v>
      </c>
      <c r="C258" s="303" t="s">
        <v>332</v>
      </c>
      <c r="D258" s="304">
        <v>780</v>
      </c>
      <c r="E258" s="304">
        <v>1440</v>
      </c>
      <c r="F258" s="305">
        <f>(D258*E258)/10000</f>
        <v>112.32</v>
      </c>
      <c r="G258" s="304">
        <v>477</v>
      </c>
      <c r="H258" s="304">
        <f>ROUND(F258*$C$11+$D$11,0)</f>
        <v>477</v>
      </c>
      <c r="I258" s="306">
        <f>IF(G258=0,"",H258/G258-1)</f>
        <v>0</v>
      </c>
      <c r="J258" s="304">
        <v>621</v>
      </c>
      <c r="K258" s="304">
        <f>ROUND(F258*$E$11+$F$11,0)</f>
        <v>681</v>
      </c>
      <c r="L258" s="306">
        <f>IF(J258=0,"",K258/J258-1)</f>
        <v>9.661835748792269E-2</v>
      </c>
      <c r="M258" s="304">
        <v>671</v>
      </c>
      <c r="N258" s="304">
        <f>ROUND(F258*$G$11+$H$11,0)</f>
        <v>671</v>
      </c>
      <c r="O258" s="306">
        <f>IF(M258=0,"",N258/M258-1)</f>
        <v>0</v>
      </c>
      <c r="P258" s="304">
        <v>936</v>
      </c>
      <c r="Q258" s="304">
        <f>ROUND(F258*$I$11+$J$11,0)</f>
        <v>1017</v>
      </c>
      <c r="R258" s="306">
        <f>IF(P258=0,"",Q258/P258-1)</f>
        <v>8.6538461538461453E-2</v>
      </c>
    </row>
    <row r="259" spans="1:18" x14ac:dyDescent="0.25">
      <c r="A259" s="291">
        <v>5204</v>
      </c>
      <c r="B259" s="291" t="s">
        <v>327</v>
      </c>
      <c r="C259" s="291" t="s">
        <v>333</v>
      </c>
      <c r="D259" s="307">
        <v>780</v>
      </c>
      <c r="E259" s="307">
        <v>1800</v>
      </c>
      <c r="F259" s="308">
        <f>(D259*E259)/10000</f>
        <v>140.4</v>
      </c>
      <c r="G259" s="307">
        <v>588</v>
      </c>
      <c r="H259" s="307">
        <f>ROUND(F259*$C$11+$D$11,0)</f>
        <v>566</v>
      </c>
      <c r="I259" s="309">
        <f>IF(G259=0,"",H259/G259-1)</f>
        <v>-3.7414965986394599E-2</v>
      </c>
      <c r="J259" s="307">
        <v>947</v>
      </c>
      <c r="K259" s="307">
        <f>ROUND(F259*$E$11+$F$11,0)</f>
        <v>829</v>
      </c>
      <c r="L259" s="309">
        <f>IF(J259=0,"",K259/J259-1)</f>
        <v>-0.12460401267159449</v>
      </c>
      <c r="M259" s="307">
        <v>825</v>
      </c>
      <c r="N259" s="307">
        <f>ROUND(F259*$G$11+$H$11,0)</f>
        <v>800</v>
      </c>
      <c r="O259" s="309">
        <f>IF(M259=0,"",N259/M259-1)</f>
        <v>-3.0303030303030276E-2</v>
      </c>
      <c r="P259" s="307">
        <v>1107</v>
      </c>
      <c r="Q259" s="307">
        <f>ROUND(F259*$I$11+$J$11,0)</f>
        <v>1178</v>
      </c>
      <c r="R259" s="309">
        <f>IF(P259=0,"",Q259/P259-1)</f>
        <v>6.4137308039747154E-2</v>
      </c>
    </row>
    <row r="260" spans="1:18" x14ac:dyDescent="0.25">
      <c r="A260" s="303">
        <v>5205</v>
      </c>
      <c r="B260" s="303" t="s">
        <v>327</v>
      </c>
      <c r="C260" s="303" t="s">
        <v>334</v>
      </c>
      <c r="D260" s="304">
        <v>980</v>
      </c>
      <c r="E260" s="304">
        <v>360</v>
      </c>
      <c r="F260" s="305">
        <f>(D260*E260)/10000</f>
        <v>35.28</v>
      </c>
      <c r="G260" s="304">
        <v>237</v>
      </c>
      <c r="H260" s="304">
        <f>ROUND(F260*$C$11+$D$11,0)</f>
        <v>232</v>
      </c>
      <c r="I260" s="306">
        <f>IF(G260=0,"",H260/G260-1)</f>
        <v>-2.1097046413502074E-2</v>
      </c>
      <c r="J260" s="304">
        <v>292</v>
      </c>
      <c r="K260" s="304">
        <f>ROUND(F260*$E$11+$F$11,0)</f>
        <v>274</v>
      </c>
      <c r="L260" s="306">
        <f>IF(J260=0,"",K260/J260-1)</f>
        <v>-6.164383561643838E-2</v>
      </c>
      <c r="M260" s="304">
        <v>327</v>
      </c>
      <c r="N260" s="304">
        <f>ROUND(F260*$G$11+$H$11,0)</f>
        <v>316</v>
      </c>
      <c r="O260" s="306">
        <f>IF(M260=0,"",N260/M260-1)</f>
        <v>-3.3639143730886834E-2</v>
      </c>
      <c r="P260" s="304">
        <v>657</v>
      </c>
      <c r="Q260" s="304">
        <f>ROUND(F260*$I$11+$J$11,0)</f>
        <v>574</v>
      </c>
      <c r="R260" s="306">
        <f>IF(P260=0,"",Q260/P260-1)</f>
        <v>-0.12633181126331816</v>
      </c>
    </row>
    <row r="261" spans="1:18" x14ac:dyDescent="0.25">
      <c r="A261" s="291">
        <v>5206</v>
      </c>
      <c r="B261" s="291" t="s">
        <v>327</v>
      </c>
      <c r="C261" s="291" t="s">
        <v>335</v>
      </c>
      <c r="D261" s="307">
        <v>980</v>
      </c>
      <c r="E261" s="307">
        <v>720</v>
      </c>
      <c r="F261" s="308">
        <f>(D261*E261)/10000</f>
        <v>70.56</v>
      </c>
      <c r="G261" s="307">
        <v>330</v>
      </c>
      <c r="H261" s="307">
        <f>ROUND(F261*$C$11+$D$11,0)</f>
        <v>344</v>
      </c>
      <c r="I261" s="309">
        <f>IF(G261=0,"",H261/G261-1)</f>
        <v>4.2424242424242475E-2</v>
      </c>
      <c r="J261" s="307">
        <v>423</v>
      </c>
      <c r="K261" s="307">
        <f>ROUND(F261*$E$11+$F$11,0)</f>
        <v>460</v>
      </c>
      <c r="L261" s="309">
        <f>IF(J261=0,"",K261/J261-1)</f>
        <v>8.7470449172576847E-2</v>
      </c>
      <c r="M261" s="307">
        <v>465</v>
      </c>
      <c r="N261" s="307">
        <f>ROUND(F261*$G$11+$H$11,0)</f>
        <v>479</v>
      </c>
      <c r="O261" s="309">
        <f>IF(M261=0,"",N261/M261-1)</f>
        <v>3.0107526881720359E-2</v>
      </c>
      <c r="P261" s="307">
        <v>699</v>
      </c>
      <c r="Q261" s="307">
        <f>ROUND(F261*$I$11+$J$11,0)</f>
        <v>777</v>
      </c>
      <c r="R261" s="309">
        <f>IF(P261=0,"",Q261/P261-1)</f>
        <v>0.11158798283261806</v>
      </c>
    </row>
    <row r="262" spans="1:18" x14ac:dyDescent="0.25">
      <c r="A262" s="303">
        <v>5207</v>
      </c>
      <c r="B262" s="303" t="s">
        <v>327</v>
      </c>
      <c r="C262" s="303" t="s">
        <v>336</v>
      </c>
      <c r="D262" s="304">
        <v>980</v>
      </c>
      <c r="E262" s="304">
        <v>1080</v>
      </c>
      <c r="F262" s="305">
        <f>(D262*E262)/10000</f>
        <v>105.84</v>
      </c>
      <c r="G262" s="304">
        <v>460</v>
      </c>
      <c r="H262" s="304">
        <f>ROUND(F262*$C$11+$D$11,0)</f>
        <v>456</v>
      </c>
      <c r="I262" s="306">
        <f>IF(G262=0,"",H262/G262-1)</f>
        <v>-8.6956521739129933E-3</v>
      </c>
      <c r="J262" s="304">
        <v>588</v>
      </c>
      <c r="K262" s="304">
        <f>ROUND(F262*$E$11+$F$11,0)</f>
        <v>646</v>
      </c>
      <c r="L262" s="306">
        <f>IF(J262=0,"",K262/J262-1)</f>
        <v>9.8639455782312924E-2</v>
      </c>
      <c r="M262" s="304">
        <v>645</v>
      </c>
      <c r="N262" s="304">
        <f>ROUND(F262*$G$11+$H$11,0)</f>
        <v>641</v>
      </c>
      <c r="O262" s="306">
        <f>IF(M262=0,"",N262/M262-1)</f>
        <v>-6.2015503875969546E-3</v>
      </c>
      <c r="P262" s="304">
        <v>998</v>
      </c>
      <c r="Q262" s="304">
        <f>ROUND(F262*$I$11+$J$11,0)</f>
        <v>979</v>
      </c>
      <c r="R262" s="306">
        <f>IF(P262=0,"",Q262/P262-1)</f>
        <v>-1.9038076152304573E-2</v>
      </c>
    </row>
    <row r="263" spans="1:18" x14ac:dyDescent="0.25">
      <c r="A263" s="291">
        <v>5208</v>
      </c>
      <c r="B263" s="291" t="s">
        <v>327</v>
      </c>
      <c r="C263" s="291" t="s">
        <v>337</v>
      </c>
      <c r="D263" s="307">
        <v>980</v>
      </c>
      <c r="E263" s="307">
        <v>1440</v>
      </c>
      <c r="F263" s="308">
        <f>(D263*E263)/10000</f>
        <v>141.12</v>
      </c>
      <c r="G263" s="307">
        <v>550</v>
      </c>
      <c r="H263" s="307">
        <f>ROUND(F263*$C$11+$D$11,0)</f>
        <v>568</v>
      </c>
      <c r="I263" s="309">
        <f>IF(G263=0,"",H263/G263-1)</f>
        <v>3.2727272727272716E-2</v>
      </c>
      <c r="J263" s="307">
        <v>719</v>
      </c>
      <c r="K263" s="307">
        <f>ROUND(F263*$E$11+$F$11,0)</f>
        <v>833</v>
      </c>
      <c r="L263" s="309">
        <f>IF(J263=0,"",K263/J263-1)</f>
        <v>0.15855354659248966</v>
      </c>
      <c r="M263" s="307">
        <v>782</v>
      </c>
      <c r="N263" s="307">
        <f>ROUND(F263*$G$11+$H$11,0)</f>
        <v>804</v>
      </c>
      <c r="O263" s="309">
        <f>IF(M263=0,"",N263/M263-1)</f>
        <v>2.8132992327365658E-2</v>
      </c>
      <c r="P263" s="307">
        <v>1210</v>
      </c>
      <c r="Q263" s="307">
        <f>ROUND(F263*$I$11+$J$11,0)</f>
        <v>1182</v>
      </c>
      <c r="R263" s="309">
        <f>IF(P263=0,"",Q263/P263-1)</f>
        <v>-2.3140495867768562E-2</v>
      </c>
    </row>
    <row r="264" spans="1:18" x14ac:dyDescent="0.25">
      <c r="A264" s="303">
        <v>5209</v>
      </c>
      <c r="B264" s="303" t="s">
        <v>327</v>
      </c>
      <c r="C264" s="303" t="s">
        <v>338</v>
      </c>
      <c r="D264" s="304">
        <v>980</v>
      </c>
      <c r="E264" s="304">
        <v>1800</v>
      </c>
      <c r="F264" s="305">
        <f>(D264*E264)/10000</f>
        <v>176.4</v>
      </c>
      <c r="G264" s="304">
        <v>677</v>
      </c>
      <c r="H264" s="304">
        <f>ROUND(F264*$C$11+$D$11,0)</f>
        <v>680</v>
      </c>
      <c r="I264" s="306">
        <f>IF(G264=0,"",H264/G264-1)</f>
        <v>4.4313146233383449E-3</v>
      </c>
      <c r="J264" s="304">
        <v>1090</v>
      </c>
      <c r="K264" s="304">
        <f>ROUND(F264*$E$11+$F$11,0)</f>
        <v>1019</v>
      </c>
      <c r="L264" s="306">
        <f>IF(J264=0,"",K264/J264-1)</f>
        <v>-6.5137614678899114E-2</v>
      </c>
      <c r="M264" s="304">
        <v>965</v>
      </c>
      <c r="N264" s="304">
        <f>ROUND(F264*$G$11+$H$11,0)</f>
        <v>966</v>
      </c>
      <c r="O264" s="306">
        <f>IF(M264=0,"",N264/M264-1)</f>
        <v>1.0362694300518616E-3</v>
      </c>
      <c r="P264" s="304">
        <v>1493</v>
      </c>
      <c r="Q264" s="304">
        <f>ROUND(F264*$I$11+$J$11,0)</f>
        <v>1384</v>
      </c>
      <c r="R264" s="306">
        <f>IF(P264=0,"",Q264/P264-1)</f>
        <v>-7.300736771600802E-2</v>
      </c>
    </row>
    <row r="265" spans="1:18" x14ac:dyDescent="0.25">
      <c r="A265" s="310" t="s">
        <v>12</v>
      </c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</row>
    <row r="266" spans="1:18" x14ac:dyDescent="0.25">
      <c r="A266" s="303">
        <v>5300</v>
      </c>
      <c r="B266" s="303" t="s">
        <v>12</v>
      </c>
      <c r="C266" s="303" t="s">
        <v>339</v>
      </c>
      <c r="D266" s="304">
        <v>420</v>
      </c>
      <c r="E266" s="304">
        <v>180</v>
      </c>
      <c r="F266" s="305">
        <f>(D266*E266)/10000</f>
        <v>7.56</v>
      </c>
      <c r="G266" s="304">
        <v>257</v>
      </c>
      <c r="H266" s="304">
        <f>ROUND(F266*$C$12+$D$12,0)</f>
        <v>265</v>
      </c>
      <c r="I266" s="306">
        <f>IF(G266=0,"",H266/G266-1)</f>
        <v>3.112840466926059E-2</v>
      </c>
      <c r="J266" s="304">
        <v>248</v>
      </c>
      <c r="K266" s="304">
        <f>ROUND(F266*$E$12+$F$12,0)</f>
        <v>346</v>
      </c>
      <c r="L266" s="306">
        <f>IF(J266=0,"",K266/J266-1)</f>
        <v>0.39516129032258074</v>
      </c>
      <c r="M266" s="304">
        <v>253</v>
      </c>
      <c r="N266" s="304">
        <f>ROUND(F266*$G$12+$H$12,0)</f>
        <v>263</v>
      </c>
      <c r="O266" s="306">
        <f>IF(M266=0,"",N266/M266-1)</f>
        <v>3.9525691699604737E-2</v>
      </c>
      <c r="P266" s="304">
        <v>464</v>
      </c>
      <c r="Q266" s="304">
        <f>ROUND(F266*$I$12+$J$12,0)</f>
        <v>279</v>
      </c>
      <c r="R266" s="306">
        <f>IF(P266=0,"",Q266/P266-1)</f>
        <v>-0.39870689655172409</v>
      </c>
    </row>
    <row r="267" spans="1:18" x14ac:dyDescent="0.25">
      <c r="A267" s="291">
        <v>5301</v>
      </c>
      <c r="B267" s="291" t="s">
        <v>12</v>
      </c>
      <c r="C267" s="291" t="s">
        <v>340</v>
      </c>
      <c r="D267" s="307">
        <v>420</v>
      </c>
      <c r="E267" s="307">
        <v>360</v>
      </c>
      <c r="F267" s="308">
        <f>(D267*E267)/10000</f>
        <v>15.12</v>
      </c>
      <c r="G267" s="307">
        <v>317</v>
      </c>
      <c r="H267" s="307">
        <f>ROUND(F267*$C$12+$D$12,0)</f>
        <v>295</v>
      </c>
      <c r="I267" s="309">
        <f>IF(G267=0,"",H267/G267-1)</f>
        <v>-6.9400630914826511E-2</v>
      </c>
      <c r="J267" s="307">
        <v>316</v>
      </c>
      <c r="K267" s="307">
        <f>ROUND(F267*$E$12+$F$12,0)</f>
        <v>360</v>
      </c>
      <c r="L267" s="309">
        <f>IF(J267=0,"",K267/J267-1)</f>
        <v>0.139240506329114</v>
      </c>
      <c r="M267" s="307">
        <v>323</v>
      </c>
      <c r="N267" s="307">
        <f>ROUND(F267*$G$12+$H$12,0)</f>
        <v>306</v>
      </c>
      <c r="O267" s="309">
        <f>IF(M267=0,"",N267/M267-1)</f>
        <v>-5.2631578947368474E-2</v>
      </c>
      <c r="P267" s="307">
        <v>322</v>
      </c>
      <c r="Q267" s="307">
        <f>ROUND(F267*$I$12+$J$12,0)</f>
        <v>320</v>
      </c>
      <c r="R267" s="309">
        <f>IF(P267=0,"",Q267/P267-1)</f>
        <v>-6.2111801242236142E-3</v>
      </c>
    </row>
    <row r="268" spans="1:18" x14ac:dyDescent="0.25">
      <c r="A268" s="303">
        <v>5302</v>
      </c>
      <c r="B268" s="303" t="s">
        <v>12</v>
      </c>
      <c r="C268" s="303" t="s">
        <v>341</v>
      </c>
      <c r="D268" s="304">
        <v>580</v>
      </c>
      <c r="E268" s="304">
        <v>180</v>
      </c>
      <c r="F268" s="305">
        <f>(D268*E268)/10000</f>
        <v>10.44</v>
      </c>
      <c r="G268" s="304">
        <v>268</v>
      </c>
      <c r="H268" s="304">
        <f>ROUND(F268*$C$12+$D$12,0)</f>
        <v>276</v>
      </c>
      <c r="I268" s="306">
        <f>IF(G268=0,"",H268/G268-1)</f>
        <v>2.9850746268656803E-2</v>
      </c>
      <c r="J268" s="304">
        <v>265</v>
      </c>
      <c r="K268" s="304">
        <f>ROUND(F268*$E$12+$F$12,0)</f>
        <v>351</v>
      </c>
      <c r="L268" s="306">
        <f>IF(J268=0,"",K268/J268-1)</f>
        <v>0.32452830188679238</v>
      </c>
      <c r="M268" s="304">
        <v>270</v>
      </c>
      <c r="N268" s="304">
        <f>ROUND(F268*$G$12+$H$12,0)</f>
        <v>279</v>
      </c>
      <c r="O268" s="306">
        <f>IF(M268=0,"",N268/M268-1)</f>
        <v>3.3333333333333437E-2</v>
      </c>
      <c r="P268" s="304">
        <v>269</v>
      </c>
      <c r="Q268" s="304">
        <f>ROUND(F268*$I$12+$J$12,0)</f>
        <v>295</v>
      </c>
      <c r="R268" s="306">
        <f>IF(P268=0,"",Q268/P268-1)</f>
        <v>9.6654275092936892E-2</v>
      </c>
    </row>
    <row r="269" spans="1:18" x14ac:dyDescent="0.25">
      <c r="A269" s="291">
        <v>5303</v>
      </c>
      <c r="B269" s="291" t="s">
        <v>12</v>
      </c>
      <c r="C269" s="291" t="s">
        <v>342</v>
      </c>
      <c r="D269" s="307">
        <v>580</v>
      </c>
      <c r="E269" s="307">
        <v>360</v>
      </c>
      <c r="F269" s="308">
        <f>(D269*E269)/10000</f>
        <v>20.88</v>
      </c>
      <c r="G269" s="307">
        <v>318</v>
      </c>
      <c r="H269" s="307">
        <f>ROUND(F269*$C$12+$D$12,0)</f>
        <v>318</v>
      </c>
      <c r="I269" s="309">
        <f>IF(G269=0,"",H269/G269-1)</f>
        <v>0</v>
      </c>
      <c r="J269" s="307">
        <v>338</v>
      </c>
      <c r="K269" s="307">
        <f>ROUND(F269*$E$12+$F$12,0)</f>
        <v>370</v>
      </c>
      <c r="L269" s="309">
        <f>IF(J269=0,"",K269/J269-1)</f>
        <v>9.4674556213017791E-2</v>
      </c>
      <c r="M269" s="307">
        <v>343</v>
      </c>
      <c r="N269" s="307">
        <f>ROUND(F269*$G$12+$H$12,0)</f>
        <v>339</v>
      </c>
      <c r="O269" s="309">
        <f>IF(M269=0,"",N269/M269-1)</f>
        <v>-1.1661807580174877E-2</v>
      </c>
      <c r="P269" s="307">
        <v>345</v>
      </c>
      <c r="Q269" s="307">
        <f>ROUND(F269*$I$12+$J$12,0)</f>
        <v>351</v>
      </c>
      <c r="R269" s="309">
        <f>IF(P269=0,"",Q269/P269-1)</f>
        <v>1.7391304347825987E-2</v>
      </c>
    </row>
    <row r="270" spans="1:18" x14ac:dyDescent="0.25">
      <c r="A270" s="303">
        <v>5304</v>
      </c>
      <c r="B270" s="303" t="s">
        <v>12</v>
      </c>
      <c r="C270" s="303" t="s">
        <v>343</v>
      </c>
      <c r="D270" s="304">
        <v>780</v>
      </c>
      <c r="E270" s="304">
        <v>180</v>
      </c>
      <c r="F270" s="305">
        <f>(D270*E270)/10000</f>
        <v>14.04</v>
      </c>
      <c r="G270" s="304">
        <v>278</v>
      </c>
      <c r="H270" s="304">
        <f>ROUND(F270*$C$12+$D$12,0)</f>
        <v>291</v>
      </c>
      <c r="I270" s="306">
        <f>IF(G270=0,"",H270/G270-1)</f>
        <v>4.6762589928057485E-2</v>
      </c>
      <c r="J270" s="304">
        <v>282</v>
      </c>
      <c r="K270" s="304">
        <f>ROUND(F270*$E$12+$F$12,0)</f>
        <v>358</v>
      </c>
      <c r="L270" s="306">
        <f>IF(J270=0,"",K270/J270-1)</f>
        <v>0.26950354609929073</v>
      </c>
      <c r="M270" s="304">
        <v>286</v>
      </c>
      <c r="N270" s="304">
        <f>ROUND(F270*$G$12+$H$12,0)</f>
        <v>300</v>
      </c>
      <c r="O270" s="306">
        <f>IF(M270=0,"",N270/M270-1)</f>
        <v>4.8951048951048959E-2</v>
      </c>
      <c r="P270" s="304">
        <v>286</v>
      </c>
      <c r="Q270" s="304">
        <f>ROUND(F270*$I$12+$J$12,0)</f>
        <v>314</v>
      </c>
      <c r="R270" s="306">
        <f>IF(P270=0,"",Q270/P270-1)</f>
        <v>9.7902097902097918E-2</v>
      </c>
    </row>
    <row r="271" spans="1:18" x14ac:dyDescent="0.25">
      <c r="A271" s="291">
        <v>5305</v>
      </c>
      <c r="B271" s="291" t="s">
        <v>12</v>
      </c>
      <c r="C271" s="291" t="s">
        <v>344</v>
      </c>
      <c r="D271" s="307">
        <v>780</v>
      </c>
      <c r="E271" s="307">
        <v>360</v>
      </c>
      <c r="F271" s="308">
        <f>(D271*E271)/10000</f>
        <v>28.08</v>
      </c>
      <c r="G271" s="307">
        <v>320</v>
      </c>
      <c r="H271" s="307">
        <f>ROUND(F271*$C$12+$D$12,0)</f>
        <v>346</v>
      </c>
      <c r="I271" s="309">
        <f>IF(G271=0,"",H271/G271-1)</f>
        <v>8.1250000000000044E-2</v>
      </c>
      <c r="J271" s="307">
        <v>361</v>
      </c>
      <c r="K271" s="307">
        <f>ROUND(F271*$E$12+$F$12,0)</f>
        <v>383</v>
      </c>
      <c r="L271" s="309">
        <f>IF(J271=0,"",K271/J271-1)</f>
        <v>6.094182825484773E-2</v>
      </c>
      <c r="M271" s="307">
        <v>363</v>
      </c>
      <c r="N271" s="307">
        <f>ROUND(F271*$G$12+$H$12,0)</f>
        <v>380</v>
      </c>
      <c r="O271" s="309">
        <f>IF(M271=0,"",N271/M271-1)</f>
        <v>4.6831955922864932E-2</v>
      </c>
      <c r="P271" s="307">
        <v>368</v>
      </c>
      <c r="Q271" s="307">
        <f>ROUND(F271*$I$12+$J$12,0)</f>
        <v>389</v>
      </c>
      <c r="R271" s="309">
        <f>IF(P271=0,"",Q271/P271-1)</f>
        <v>5.7065217391304435E-2</v>
      </c>
    </row>
    <row r="272" spans="1:18" x14ac:dyDescent="0.25">
      <c r="A272" s="303">
        <v>5306</v>
      </c>
      <c r="B272" s="303" t="s">
        <v>12</v>
      </c>
      <c r="C272" s="303" t="s">
        <v>345</v>
      </c>
      <c r="D272" s="304">
        <v>980</v>
      </c>
      <c r="E272" s="304">
        <v>180</v>
      </c>
      <c r="F272" s="305">
        <f>(D272*E272)/10000</f>
        <v>17.64</v>
      </c>
      <c r="G272" s="304">
        <v>313</v>
      </c>
      <c r="H272" s="304">
        <f>ROUND(F272*$C$12+$D$12,0)</f>
        <v>305</v>
      </c>
      <c r="I272" s="306">
        <f>IF(G272=0,"",H272/G272-1)</f>
        <v>-2.5559105431309903E-2</v>
      </c>
      <c r="J272" s="304">
        <v>341</v>
      </c>
      <c r="K272" s="304">
        <f>ROUND(F272*$E$12+$F$12,0)</f>
        <v>364</v>
      </c>
      <c r="L272" s="306">
        <f>IF(J272=0,"",K272/J272-1)</f>
        <v>6.7448680351906098E-2</v>
      </c>
      <c r="M272" s="304">
        <v>321</v>
      </c>
      <c r="N272" s="304">
        <f>ROUND(F272*$G$12+$H$12,0)</f>
        <v>320</v>
      </c>
      <c r="O272" s="306">
        <f>IF(M272=0,"",N272/M272-1)</f>
        <v>-3.1152647975077885E-3</v>
      </c>
      <c r="P272" s="304">
        <v>348</v>
      </c>
      <c r="Q272" s="304">
        <f>ROUND(F272*$I$12+$J$12,0)</f>
        <v>333</v>
      </c>
      <c r="R272" s="306">
        <f>IF(P272=0,"",Q272/P272-1)</f>
        <v>-4.31034482758621E-2</v>
      </c>
    </row>
    <row r="273" spans="1:18" x14ac:dyDescent="0.25">
      <c r="A273" s="291">
        <v>5307</v>
      </c>
      <c r="B273" s="291" t="s">
        <v>12</v>
      </c>
      <c r="C273" s="291" t="s">
        <v>346</v>
      </c>
      <c r="D273" s="307">
        <v>980</v>
      </c>
      <c r="E273" s="307">
        <v>360</v>
      </c>
      <c r="F273" s="308">
        <f>(D273*E273)/10000</f>
        <v>35.28</v>
      </c>
      <c r="G273" s="307">
        <v>386</v>
      </c>
      <c r="H273" s="307">
        <f>ROUND(F273*$C$12+$D$12,0)</f>
        <v>375</v>
      </c>
      <c r="I273" s="309">
        <f>IF(G273=0,"",H273/G273-1)</f>
        <v>-2.8497409326424861E-2</v>
      </c>
      <c r="J273" s="307">
        <v>439</v>
      </c>
      <c r="K273" s="307">
        <f>ROUND(F273*$E$12+$F$12,0)</f>
        <v>396</v>
      </c>
      <c r="L273" s="309">
        <f>IF(J273=0,"",K273/J273-1)</f>
        <v>-9.7949886104783612E-2</v>
      </c>
      <c r="M273" s="307">
        <v>426</v>
      </c>
      <c r="N273" s="307">
        <f>ROUND(F273*$G$12+$H$12,0)</f>
        <v>421</v>
      </c>
      <c r="O273" s="309">
        <f>IF(M273=0,"",N273/M273-1)</f>
        <v>-1.1737089201877882E-2</v>
      </c>
      <c r="P273" s="307">
        <v>450</v>
      </c>
      <c r="Q273" s="307">
        <f>ROUND(F273*$I$12+$J$12,0)</f>
        <v>428</v>
      </c>
      <c r="R273" s="309">
        <f>IF(P273=0,"",Q273/P273-1)</f>
        <v>-4.8888888888888871E-2</v>
      </c>
    </row>
    <row r="274" spans="1:18" x14ac:dyDescent="0.25">
      <c r="A274" s="303" t="s">
        <v>347</v>
      </c>
      <c r="B274" s="303" t="s">
        <v>348</v>
      </c>
      <c r="C274" s="303" t="s">
        <v>349</v>
      </c>
      <c r="D274" s="304">
        <v>780</v>
      </c>
      <c r="E274" s="304">
        <v>180</v>
      </c>
      <c r="F274" s="305">
        <f>(D274*E274)/10000</f>
        <v>14.04</v>
      </c>
      <c r="G274" s="304">
        <v>309</v>
      </c>
      <c r="H274" s="304">
        <f>ROUND(F274*$C$12+$D$12,0)</f>
        <v>291</v>
      </c>
      <c r="I274" s="306">
        <f>IF(G274=0,"",H274/G274-1)</f>
        <v>-5.8252427184465994E-2</v>
      </c>
      <c r="J274" s="304">
        <v>608</v>
      </c>
      <c r="K274" s="304">
        <f>ROUND(F274*$E$12+$F$12,0)</f>
        <v>358</v>
      </c>
      <c r="L274" s="306">
        <f>IF(J274=0,"",K274/J274-1)</f>
        <v>-0.41118421052631582</v>
      </c>
      <c r="M274" s="304">
        <v>372</v>
      </c>
      <c r="N274" s="304">
        <f>ROUND(F274*$G$12+$H$12,0)</f>
        <v>300</v>
      </c>
      <c r="O274" s="306">
        <f>IF(M274=0,"",N274/M274-1)</f>
        <v>-0.19354838709677424</v>
      </c>
      <c r="P274" s="304"/>
      <c r="Q274" s="304"/>
      <c r="R274" s="306"/>
    </row>
    <row r="275" spans="1:18" x14ac:dyDescent="0.25">
      <c r="A275" s="291" t="s">
        <v>350</v>
      </c>
      <c r="B275" s="291" t="s">
        <v>12</v>
      </c>
      <c r="C275" s="291" t="s">
        <v>351</v>
      </c>
      <c r="D275" s="307">
        <v>420</v>
      </c>
      <c r="E275" s="307">
        <v>134</v>
      </c>
      <c r="F275" s="308">
        <f>(D275*E275)/10000</f>
        <v>5.6280000000000001</v>
      </c>
      <c r="G275" s="307">
        <v>257</v>
      </c>
      <c r="H275" s="307">
        <f>ROUND(F275*$C$12+$D$12,0)</f>
        <v>257</v>
      </c>
      <c r="I275" s="309">
        <f>IF(G275=0,"",H275/G275-1)</f>
        <v>0</v>
      </c>
      <c r="J275" s="307">
        <v>404</v>
      </c>
      <c r="K275" s="307">
        <f>ROUND(F275*$E$12+$F$12,0)</f>
        <v>342</v>
      </c>
      <c r="L275" s="309">
        <f>IF(J275=0,"",K275/J275-1)</f>
        <v>-0.15346534653465349</v>
      </c>
      <c r="M275" s="307"/>
      <c r="N275" s="307"/>
      <c r="O275" s="309"/>
      <c r="P275" s="307"/>
      <c r="Q275" s="307"/>
      <c r="R275" s="309"/>
    </row>
    <row r="276" spans="1:18" x14ac:dyDescent="0.25">
      <c r="A276" s="303" t="s">
        <v>353</v>
      </c>
      <c r="B276" s="303" t="s">
        <v>12</v>
      </c>
      <c r="C276" s="303" t="s">
        <v>354</v>
      </c>
      <c r="D276" s="304">
        <v>420</v>
      </c>
      <c r="E276" s="304">
        <v>220</v>
      </c>
      <c r="F276" s="305">
        <f>(D276*E276)/10000</f>
        <v>9.24</v>
      </c>
      <c r="G276" s="304">
        <v>257</v>
      </c>
      <c r="H276" s="304">
        <f>ROUND(F276*$C$12+$D$12,0)</f>
        <v>271</v>
      </c>
      <c r="I276" s="306">
        <f>IF(G276=0,"",H276/G276-1)</f>
        <v>5.4474708171206254E-2</v>
      </c>
      <c r="J276" s="304">
        <v>404</v>
      </c>
      <c r="K276" s="304">
        <f>ROUND(F276*$E$12+$F$12,0)</f>
        <v>349</v>
      </c>
      <c r="L276" s="306">
        <f>IF(J276=0,"",K276/J276-1)</f>
        <v>-0.13613861386138615</v>
      </c>
      <c r="M276" s="304"/>
      <c r="N276" s="304"/>
      <c r="O276" s="306"/>
      <c r="P276" s="304"/>
      <c r="Q276" s="304"/>
      <c r="R276" s="306"/>
    </row>
    <row r="277" spans="1:18" x14ac:dyDescent="0.25">
      <c r="A277" s="291" t="s">
        <v>355</v>
      </c>
      <c r="B277" s="291" t="s">
        <v>12</v>
      </c>
      <c r="C277" s="291" t="s">
        <v>356</v>
      </c>
      <c r="D277" s="307">
        <v>412</v>
      </c>
      <c r="E277" s="307">
        <v>121</v>
      </c>
      <c r="F277" s="308">
        <f>(D277*E277)/10000</f>
        <v>4.9851999999999999</v>
      </c>
      <c r="G277" s="307">
        <v>257</v>
      </c>
      <c r="H277" s="307">
        <f>ROUND(F277*$C$12+$D$12,0)</f>
        <v>255</v>
      </c>
      <c r="I277" s="309">
        <f>IF(G277=0,"",H277/G277-1)</f>
        <v>-7.7821011673151474E-3</v>
      </c>
      <c r="J277" s="307">
        <v>404</v>
      </c>
      <c r="K277" s="307">
        <f>ROUND(F277*$E$12+$F$12,0)</f>
        <v>341</v>
      </c>
      <c r="L277" s="309">
        <f>IF(J277=0,"",K277/J277-1)</f>
        <v>-0.15594059405940597</v>
      </c>
      <c r="M277" s="307"/>
      <c r="N277" s="307"/>
      <c r="O277" s="309"/>
      <c r="P277" s="307"/>
      <c r="Q277" s="307"/>
      <c r="R277" s="309"/>
    </row>
    <row r="278" spans="1:18" x14ac:dyDescent="0.25">
      <c r="A278" s="303" t="s">
        <v>357</v>
      </c>
      <c r="B278" s="303" t="s">
        <v>12</v>
      </c>
      <c r="C278" s="303" t="s">
        <v>358</v>
      </c>
      <c r="D278" s="304">
        <v>412</v>
      </c>
      <c r="E278" s="304">
        <v>400</v>
      </c>
      <c r="F278" s="305">
        <f>(D278*E278)/10000</f>
        <v>16.48</v>
      </c>
      <c r="G278" s="304">
        <v>317</v>
      </c>
      <c r="H278" s="304">
        <f>ROUND(F278*$C$12+$D$12,0)</f>
        <v>300</v>
      </c>
      <c r="I278" s="306">
        <f>IF(G278=0,"",H278/G278-1)</f>
        <v>-5.362776025236593E-2</v>
      </c>
      <c r="J278" s="304">
        <v>499</v>
      </c>
      <c r="K278" s="304">
        <f>ROUND(F278*$E$12+$F$12,0)</f>
        <v>362</v>
      </c>
      <c r="L278" s="306">
        <f>IF(J278=0,"",K278/J278-1)</f>
        <v>-0.27454909819639284</v>
      </c>
      <c r="M278" s="304"/>
      <c r="N278" s="304"/>
      <c r="O278" s="306"/>
      <c r="P278" s="304"/>
      <c r="Q278" s="304"/>
      <c r="R278" s="306"/>
    </row>
    <row r="279" spans="1:18" x14ac:dyDescent="0.25">
      <c r="A279" s="291" t="s">
        <v>359</v>
      </c>
      <c r="B279" s="291" t="s">
        <v>12</v>
      </c>
      <c r="C279" s="291" t="s">
        <v>360</v>
      </c>
      <c r="D279" s="307">
        <v>420</v>
      </c>
      <c r="E279" s="307">
        <v>145</v>
      </c>
      <c r="F279" s="308">
        <f>(D279*E279)/10000</f>
        <v>6.09</v>
      </c>
      <c r="G279" s="307">
        <v>257</v>
      </c>
      <c r="H279" s="307">
        <f>ROUND(F279*$C$12+$D$12,0)</f>
        <v>259</v>
      </c>
      <c r="I279" s="309">
        <f>IF(G279=0,"",H279/G279-1)</f>
        <v>7.7821011673151474E-3</v>
      </c>
      <c r="J279" s="307">
        <v>404</v>
      </c>
      <c r="K279" s="307">
        <f>ROUND(F279*$E$12+$F$12,0)</f>
        <v>343</v>
      </c>
      <c r="L279" s="309">
        <f>IF(J279=0,"",K279/J279-1)</f>
        <v>-0.15099009900990101</v>
      </c>
      <c r="M279" s="307"/>
      <c r="N279" s="307"/>
      <c r="O279" s="309"/>
      <c r="P279" s="307"/>
      <c r="Q279" s="307"/>
      <c r="R279" s="309"/>
    </row>
    <row r="280" spans="1:18" x14ac:dyDescent="0.25">
      <c r="A280" s="303" t="s">
        <v>361</v>
      </c>
      <c r="B280" s="303" t="s">
        <v>12</v>
      </c>
      <c r="C280" s="303" t="s">
        <v>362</v>
      </c>
      <c r="D280" s="304">
        <v>420</v>
      </c>
      <c r="E280" s="304">
        <v>293</v>
      </c>
      <c r="F280" s="305">
        <f>(D280*E280)/10000</f>
        <v>12.305999999999999</v>
      </c>
      <c r="G280" s="304">
        <v>317</v>
      </c>
      <c r="H280" s="304">
        <f>ROUND(F280*$C$12+$D$12,0)</f>
        <v>284</v>
      </c>
      <c r="I280" s="306">
        <f>IF(G280=0,"",H280/G280-1)</f>
        <v>-0.10410094637223977</v>
      </c>
      <c r="J280" s="304">
        <v>499</v>
      </c>
      <c r="K280" s="304">
        <f>ROUND(F280*$E$12+$F$12,0)</f>
        <v>354</v>
      </c>
      <c r="L280" s="306">
        <f>IF(J280=0,"",K280/J280-1)</f>
        <v>-0.29058116232464926</v>
      </c>
      <c r="M280" s="304"/>
      <c r="N280" s="304"/>
      <c r="O280" s="306"/>
      <c r="P280" s="304"/>
      <c r="Q280" s="304"/>
      <c r="R280" s="306"/>
    </row>
    <row r="281" spans="1:18" x14ac:dyDescent="0.25">
      <c r="A281" s="291" t="s">
        <v>363</v>
      </c>
      <c r="B281" s="291" t="s">
        <v>12</v>
      </c>
      <c r="C281" s="291" t="s">
        <v>364</v>
      </c>
      <c r="D281" s="307">
        <v>420</v>
      </c>
      <c r="E281" s="307">
        <v>67</v>
      </c>
      <c r="F281" s="308">
        <f>(D281*E281)/10000</f>
        <v>2.8140000000000001</v>
      </c>
      <c r="G281" s="307">
        <v>257</v>
      </c>
      <c r="H281" s="307">
        <f>ROUND(F281*$C$12+$D$12,0)</f>
        <v>246</v>
      </c>
      <c r="I281" s="309">
        <f>IF(G281=0,"",H281/G281-1)</f>
        <v>-4.2801556420233422E-2</v>
      </c>
      <c r="J281" s="307">
        <v>404</v>
      </c>
      <c r="K281" s="307">
        <f>ROUND(F281*$E$12+$F$12,0)</f>
        <v>337</v>
      </c>
      <c r="L281" s="309">
        <f>IF(J281=0,"",K281/J281-1)</f>
        <v>-0.16584158415841588</v>
      </c>
      <c r="M281" s="307"/>
      <c r="N281" s="307"/>
      <c r="O281" s="309"/>
      <c r="P281" s="307"/>
      <c r="Q281" s="307"/>
      <c r="R281" s="309"/>
    </row>
    <row r="282" spans="1:18" x14ac:dyDescent="0.25">
      <c r="A282" s="303" t="s">
        <v>365</v>
      </c>
      <c r="B282" s="303" t="s">
        <v>12</v>
      </c>
      <c r="C282" s="303" t="s">
        <v>366</v>
      </c>
      <c r="D282" s="304">
        <v>420</v>
      </c>
      <c r="E282" s="304">
        <v>142</v>
      </c>
      <c r="F282" s="305">
        <f>(D282*E282)/10000</f>
        <v>5.9640000000000004</v>
      </c>
      <c r="G282" s="304">
        <v>257</v>
      </c>
      <c r="H282" s="304">
        <f>ROUND(F282*$C$12+$D$12,0)</f>
        <v>258</v>
      </c>
      <c r="I282" s="306">
        <f>IF(G282=0,"",H282/G282-1)</f>
        <v>3.8910505836575737E-3</v>
      </c>
      <c r="J282" s="304">
        <v>404</v>
      </c>
      <c r="K282" s="304">
        <f>ROUND(F282*$E$12+$F$12,0)</f>
        <v>343</v>
      </c>
      <c r="L282" s="306">
        <f>IF(J282=0,"",K282/J282-1)</f>
        <v>-0.15099009900990101</v>
      </c>
      <c r="M282" s="304"/>
      <c r="N282" s="304"/>
      <c r="O282" s="306"/>
      <c r="P282" s="304"/>
      <c r="Q282" s="304"/>
      <c r="R282" s="306"/>
    </row>
    <row r="283" spans="1:18" x14ac:dyDescent="0.25">
      <c r="A283" s="291" t="s">
        <v>367</v>
      </c>
      <c r="B283" s="291" t="s">
        <v>12</v>
      </c>
      <c r="C283" s="291" t="s">
        <v>368</v>
      </c>
      <c r="D283" s="307">
        <v>420</v>
      </c>
      <c r="E283" s="307">
        <v>280</v>
      </c>
      <c r="F283" s="308">
        <f>(D283*E283)/10000</f>
        <v>11.76</v>
      </c>
      <c r="G283" s="307">
        <v>257</v>
      </c>
      <c r="H283" s="307">
        <f>ROUND(F283*$C$12+$D$12,0)</f>
        <v>281</v>
      </c>
      <c r="I283" s="309">
        <f>IF(G283=0,"",H283/G283-1)</f>
        <v>9.3385214007781991E-2</v>
      </c>
      <c r="J283" s="307">
        <v>404</v>
      </c>
      <c r="K283" s="307">
        <f>ROUND(F283*$E$12+$F$12,0)</f>
        <v>353</v>
      </c>
      <c r="L283" s="309">
        <f>IF(J283=0,"",K283/J283-1)</f>
        <v>-0.12623762376237624</v>
      </c>
      <c r="M283" s="307"/>
      <c r="N283" s="307"/>
      <c r="O283" s="309"/>
      <c r="P283" s="307"/>
      <c r="Q283" s="307"/>
      <c r="R283" s="309"/>
    </row>
    <row r="284" spans="1:18" x14ac:dyDescent="0.25">
      <c r="A284" s="303" t="s">
        <v>369</v>
      </c>
      <c r="B284" s="303" t="s">
        <v>12</v>
      </c>
      <c r="C284" s="303" t="s">
        <v>370</v>
      </c>
      <c r="D284" s="304">
        <v>420</v>
      </c>
      <c r="E284" s="304">
        <v>141</v>
      </c>
      <c r="F284" s="305">
        <f>(D284*E284)/10000</f>
        <v>5.9219999999999997</v>
      </c>
      <c r="G284" s="304">
        <v>257</v>
      </c>
      <c r="H284" s="304">
        <f>ROUND(F284*$C$12+$D$12,0)</f>
        <v>258</v>
      </c>
      <c r="I284" s="306">
        <f>IF(G284=0,"",H284/G284-1)</f>
        <v>3.8910505836575737E-3</v>
      </c>
      <c r="J284" s="304">
        <v>404</v>
      </c>
      <c r="K284" s="304">
        <f>ROUND(F284*$E$12+$F$12,0)</f>
        <v>343</v>
      </c>
      <c r="L284" s="306">
        <f>IF(J284=0,"",K284/J284-1)</f>
        <v>-0.15099009900990101</v>
      </c>
      <c r="M284" s="304"/>
      <c r="N284" s="304"/>
      <c r="O284" s="306"/>
      <c r="P284" s="304"/>
      <c r="Q284" s="304"/>
      <c r="R284" s="306"/>
    </row>
    <row r="285" spans="1:18" x14ac:dyDescent="0.25">
      <c r="A285" s="310" t="s">
        <v>371</v>
      </c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</row>
    <row r="286" spans="1:18" x14ac:dyDescent="0.25">
      <c r="A286" s="303">
        <v>5400</v>
      </c>
      <c r="B286" s="303" t="s">
        <v>371</v>
      </c>
      <c r="C286" s="303" t="s">
        <v>372</v>
      </c>
      <c r="D286" s="304">
        <v>420</v>
      </c>
      <c r="E286" s="304">
        <v>180</v>
      </c>
      <c r="F286" s="305">
        <f>(D286*E286)/10000</f>
        <v>7.56</v>
      </c>
      <c r="G286" s="304">
        <v>257</v>
      </c>
      <c r="H286" s="304">
        <f>ROUND(F286*$C$12+$D$12,0)</f>
        <v>265</v>
      </c>
      <c r="I286" s="306">
        <f>IF(G286=0,"",H286/G286-1)</f>
        <v>3.112840466926059E-2</v>
      </c>
      <c r="J286" s="304">
        <v>248</v>
      </c>
      <c r="K286" s="304">
        <f>ROUND(F286*$E$12+$F$12,0)</f>
        <v>346</v>
      </c>
      <c r="L286" s="306">
        <f>IF(J286=0,"",K286/J286-1)</f>
        <v>0.39516129032258074</v>
      </c>
      <c r="M286" s="304">
        <v>253</v>
      </c>
      <c r="N286" s="304">
        <f>ROUND(F286*$G$12+$H$12,0)</f>
        <v>263</v>
      </c>
      <c r="O286" s="306">
        <f>IF(M286=0,"",N286/M286-1)</f>
        <v>3.9525691699604737E-2</v>
      </c>
      <c r="P286" s="304">
        <v>251</v>
      </c>
      <c r="Q286" s="304">
        <f>ROUND(F286*$I$12+$J$12,0)</f>
        <v>279</v>
      </c>
      <c r="R286" s="306">
        <f>IF(P286=0,"",Q286/P286-1)</f>
        <v>0.11155378486055767</v>
      </c>
    </row>
    <row r="287" spans="1:18" x14ac:dyDescent="0.25">
      <c r="A287" s="291">
        <v>5401</v>
      </c>
      <c r="B287" s="291" t="s">
        <v>371</v>
      </c>
      <c r="C287" s="291" t="s">
        <v>373</v>
      </c>
      <c r="D287" s="307">
        <v>420</v>
      </c>
      <c r="E287" s="307">
        <v>360</v>
      </c>
      <c r="F287" s="308">
        <f>(D287*E287)/10000</f>
        <v>15.12</v>
      </c>
      <c r="G287" s="307">
        <v>317</v>
      </c>
      <c r="H287" s="307">
        <f>ROUND(F287*$C$12+$D$12,0)</f>
        <v>295</v>
      </c>
      <c r="I287" s="309">
        <f>IF(G287=0,"",H287/G287-1)</f>
        <v>-6.9400630914826511E-2</v>
      </c>
      <c r="J287" s="307">
        <v>316</v>
      </c>
      <c r="K287" s="307">
        <f>ROUND(F287*$E$12+$F$12,0)</f>
        <v>360</v>
      </c>
      <c r="L287" s="309">
        <f>IF(J287=0,"",K287/J287-1)</f>
        <v>0.139240506329114</v>
      </c>
      <c r="M287" s="307">
        <v>323</v>
      </c>
      <c r="N287" s="307">
        <f>ROUND(F287*$G$12+$H$12,0)</f>
        <v>306</v>
      </c>
      <c r="O287" s="309">
        <f>IF(M287=0,"",N287/M287-1)</f>
        <v>-5.2631578947368474E-2</v>
      </c>
      <c r="P287" s="307">
        <v>322</v>
      </c>
      <c r="Q287" s="307">
        <f>ROUND(F287*$I$12+$J$12,0)</f>
        <v>320</v>
      </c>
      <c r="R287" s="309">
        <f>IF(P287=0,"",Q287/P287-1)</f>
        <v>-6.2111801242236142E-3</v>
      </c>
    </row>
    <row r="288" spans="1:18" x14ac:dyDescent="0.25">
      <c r="A288" s="303">
        <v>5402</v>
      </c>
      <c r="B288" s="303" t="s">
        <v>371</v>
      </c>
      <c r="C288" s="303" t="s">
        <v>374</v>
      </c>
      <c r="D288" s="304">
        <v>580</v>
      </c>
      <c r="E288" s="304">
        <v>180</v>
      </c>
      <c r="F288" s="305">
        <f>(D288*E288)/10000</f>
        <v>10.44</v>
      </c>
      <c r="G288" s="304">
        <v>268</v>
      </c>
      <c r="H288" s="304">
        <f>ROUND(F288*$C$12+$D$12,0)</f>
        <v>276</v>
      </c>
      <c r="I288" s="306">
        <f>IF(G288=0,"",H288/G288-1)</f>
        <v>2.9850746268656803E-2</v>
      </c>
      <c r="J288" s="304">
        <v>265</v>
      </c>
      <c r="K288" s="304">
        <f>ROUND(F288*$E$12+$F$12,0)</f>
        <v>351</v>
      </c>
      <c r="L288" s="306">
        <f>IF(J288=0,"",K288/J288-1)</f>
        <v>0.32452830188679238</v>
      </c>
      <c r="M288" s="304">
        <v>270</v>
      </c>
      <c r="N288" s="304">
        <f>ROUND(F288*$G$12+$H$12,0)</f>
        <v>279</v>
      </c>
      <c r="O288" s="306">
        <f>IF(M288=0,"",N288/M288-1)</f>
        <v>3.3333333333333437E-2</v>
      </c>
      <c r="P288" s="304">
        <v>269</v>
      </c>
      <c r="Q288" s="304">
        <f>ROUND(F288*$I$12+$J$12,0)</f>
        <v>295</v>
      </c>
      <c r="R288" s="306">
        <f>IF(P288=0,"",Q288/P288-1)</f>
        <v>9.6654275092936892E-2</v>
      </c>
    </row>
    <row r="289" spans="1:18" x14ac:dyDescent="0.25">
      <c r="A289" s="291">
        <v>5403</v>
      </c>
      <c r="B289" s="291" t="s">
        <v>371</v>
      </c>
      <c r="C289" s="291" t="s">
        <v>375</v>
      </c>
      <c r="D289" s="307">
        <v>580</v>
      </c>
      <c r="E289" s="307">
        <v>360</v>
      </c>
      <c r="F289" s="308">
        <f>(D289*E289)/10000</f>
        <v>20.88</v>
      </c>
      <c r="G289" s="307">
        <v>318</v>
      </c>
      <c r="H289" s="307">
        <f>ROUND(F289*$C$12+$D$12,0)</f>
        <v>318</v>
      </c>
      <c r="I289" s="309">
        <f>IF(G289=0,"",H289/G289-1)</f>
        <v>0</v>
      </c>
      <c r="J289" s="307">
        <v>338</v>
      </c>
      <c r="K289" s="307">
        <f>ROUND(F289*$E$12+$F$12,0)</f>
        <v>370</v>
      </c>
      <c r="L289" s="309">
        <f>IF(J289=0,"",K289/J289-1)</f>
        <v>9.4674556213017791E-2</v>
      </c>
      <c r="M289" s="307">
        <v>343</v>
      </c>
      <c r="N289" s="307">
        <f>ROUND(F289*$G$12+$H$12,0)</f>
        <v>339</v>
      </c>
      <c r="O289" s="309">
        <f>IF(M289=0,"",N289/M289-1)</f>
        <v>-1.1661807580174877E-2</v>
      </c>
      <c r="P289" s="307">
        <v>345</v>
      </c>
      <c r="Q289" s="307">
        <f>ROUND(F289*$I$12+$J$12,0)</f>
        <v>351</v>
      </c>
      <c r="R289" s="309">
        <f>IF(P289=0,"",Q289/P289-1)</f>
        <v>1.7391304347825987E-2</v>
      </c>
    </row>
    <row r="290" spans="1:18" x14ac:dyDescent="0.25">
      <c r="A290" s="303">
        <v>5404</v>
      </c>
      <c r="B290" s="303" t="s">
        <v>371</v>
      </c>
      <c r="C290" s="303" t="s">
        <v>376</v>
      </c>
      <c r="D290" s="304">
        <v>780</v>
      </c>
      <c r="E290" s="304">
        <v>180</v>
      </c>
      <c r="F290" s="305">
        <f>(D290*E290)/10000</f>
        <v>14.04</v>
      </c>
      <c r="G290" s="304">
        <v>278</v>
      </c>
      <c r="H290" s="304">
        <f>ROUND(F290*$C$12+$D$12,0)</f>
        <v>291</v>
      </c>
      <c r="I290" s="306">
        <f>IF(G290=0,"",H290/G290-1)</f>
        <v>4.6762589928057485E-2</v>
      </c>
      <c r="J290" s="304">
        <v>282</v>
      </c>
      <c r="K290" s="304">
        <f>ROUND(F290*$E$12+$F$12,0)</f>
        <v>358</v>
      </c>
      <c r="L290" s="306">
        <f>IF(J290=0,"",K290/J290-1)</f>
        <v>0.26950354609929073</v>
      </c>
      <c r="M290" s="304">
        <v>286</v>
      </c>
      <c r="N290" s="304">
        <f>ROUND(F290*$G$12+$H$12,0)</f>
        <v>300</v>
      </c>
      <c r="O290" s="306">
        <f>IF(M290=0,"",N290/M290-1)</f>
        <v>4.8951048951048959E-2</v>
      </c>
      <c r="P290" s="304">
        <v>286</v>
      </c>
      <c r="Q290" s="304">
        <f>ROUND(F290*$I$12+$J$12,0)</f>
        <v>314</v>
      </c>
      <c r="R290" s="306">
        <f>IF(P290=0,"",Q290/P290-1)</f>
        <v>9.7902097902097918E-2</v>
      </c>
    </row>
    <row r="291" spans="1:18" x14ac:dyDescent="0.25">
      <c r="A291" s="291">
        <v>5405</v>
      </c>
      <c r="B291" s="291" t="s">
        <v>371</v>
      </c>
      <c r="C291" s="291" t="s">
        <v>377</v>
      </c>
      <c r="D291" s="307">
        <v>780</v>
      </c>
      <c r="E291" s="307">
        <v>360</v>
      </c>
      <c r="F291" s="308">
        <f>(D291*E291)/10000</f>
        <v>28.08</v>
      </c>
      <c r="G291" s="307">
        <v>320</v>
      </c>
      <c r="H291" s="307">
        <f>ROUND(F291*$C$12+$D$12,0)</f>
        <v>346</v>
      </c>
      <c r="I291" s="309">
        <f>IF(G291=0,"",H291/G291-1)</f>
        <v>8.1250000000000044E-2</v>
      </c>
      <c r="J291" s="307">
        <v>361</v>
      </c>
      <c r="K291" s="307">
        <f>ROUND(F291*$E$12+$F$12,0)</f>
        <v>383</v>
      </c>
      <c r="L291" s="309">
        <f>IF(J291=0,"",K291/J291-1)</f>
        <v>6.094182825484773E-2</v>
      </c>
      <c r="M291" s="307">
        <v>363</v>
      </c>
      <c r="N291" s="307">
        <f>ROUND(F291*$G$12+$H$12,0)</f>
        <v>380</v>
      </c>
      <c r="O291" s="309">
        <f>IF(M291=0,"",N291/M291-1)</f>
        <v>4.6831955922864932E-2</v>
      </c>
      <c r="P291" s="307">
        <v>368</v>
      </c>
      <c r="Q291" s="307">
        <f>ROUND(F291*$I$12+$J$12,0)</f>
        <v>389</v>
      </c>
      <c r="R291" s="309">
        <f>IF(P291=0,"",Q291/P291-1)</f>
        <v>5.7065217391304435E-2</v>
      </c>
    </row>
    <row r="292" spans="1:18" x14ac:dyDescent="0.25">
      <c r="A292" s="303">
        <v>5406</v>
      </c>
      <c r="B292" s="303" t="s">
        <v>371</v>
      </c>
      <c r="C292" s="303" t="s">
        <v>378</v>
      </c>
      <c r="D292" s="304">
        <v>980</v>
      </c>
      <c r="E292" s="304">
        <v>180</v>
      </c>
      <c r="F292" s="305">
        <f>(D292*E292)/10000</f>
        <v>17.64</v>
      </c>
      <c r="G292" s="304">
        <v>313</v>
      </c>
      <c r="H292" s="304">
        <f>ROUND(F292*$C$12+$D$12,0)</f>
        <v>305</v>
      </c>
      <c r="I292" s="306">
        <f>IF(G292=0,"",H292/G292-1)</f>
        <v>-2.5559105431309903E-2</v>
      </c>
      <c r="J292" s="304">
        <v>341</v>
      </c>
      <c r="K292" s="304">
        <f>ROUND(F292*$E$12+$F$12,0)</f>
        <v>364</v>
      </c>
      <c r="L292" s="306">
        <f>IF(J292=0,"",K292/J292-1)</f>
        <v>6.7448680351906098E-2</v>
      </c>
      <c r="M292" s="304">
        <v>321</v>
      </c>
      <c r="N292" s="304">
        <f>ROUND(F292*$G$12+$H$12,0)</f>
        <v>320</v>
      </c>
      <c r="O292" s="306">
        <f>IF(M292=0,"",N292/M292-1)</f>
        <v>-3.1152647975077885E-3</v>
      </c>
      <c r="P292" s="304">
        <v>348</v>
      </c>
      <c r="Q292" s="304">
        <f>ROUND(F292*$I$12+$J$12,0)</f>
        <v>333</v>
      </c>
      <c r="R292" s="306">
        <f>IF(P292=0,"",Q292/P292-1)</f>
        <v>-4.31034482758621E-2</v>
      </c>
    </row>
    <row r="293" spans="1:18" x14ac:dyDescent="0.25">
      <c r="A293" s="291">
        <v>5407</v>
      </c>
      <c r="B293" s="291" t="s">
        <v>371</v>
      </c>
      <c r="C293" s="291" t="s">
        <v>379</v>
      </c>
      <c r="D293" s="307">
        <v>980</v>
      </c>
      <c r="E293" s="307">
        <v>360</v>
      </c>
      <c r="F293" s="308">
        <f>(D293*E293)/10000</f>
        <v>35.28</v>
      </c>
      <c r="G293" s="307">
        <v>386</v>
      </c>
      <c r="H293" s="307">
        <f>ROUND(F293*$C$12+$D$12,0)</f>
        <v>375</v>
      </c>
      <c r="I293" s="309">
        <f>IF(G293=0,"",H293/G293-1)</f>
        <v>-2.8497409326424861E-2</v>
      </c>
      <c r="J293" s="307">
        <v>439</v>
      </c>
      <c r="K293" s="307">
        <f>ROUND(F293*$E$12+$F$12,0)</f>
        <v>396</v>
      </c>
      <c r="L293" s="309">
        <f>IF(J293=0,"",K293/J293-1)</f>
        <v>-9.7949886104783612E-2</v>
      </c>
      <c r="M293" s="307">
        <v>426</v>
      </c>
      <c r="N293" s="307">
        <f>ROUND(F293*$G$12+$H$12,0)</f>
        <v>421</v>
      </c>
      <c r="O293" s="309">
        <f>IF(M293=0,"",N293/M293-1)</f>
        <v>-1.1737089201877882E-2</v>
      </c>
      <c r="P293" s="307">
        <v>450</v>
      </c>
      <c r="Q293" s="307">
        <f>ROUND(F293*$I$12+$J$12,0)</f>
        <v>428</v>
      </c>
      <c r="R293" s="309">
        <f>IF(P293=0,"",Q293/P293-1)</f>
        <v>-4.8888888888888871E-2</v>
      </c>
    </row>
    <row r="294" spans="1:18" x14ac:dyDescent="0.25">
      <c r="A294" s="310" t="s">
        <v>380</v>
      </c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</row>
    <row r="295" spans="1:18" x14ac:dyDescent="0.25">
      <c r="A295" s="303">
        <v>5500</v>
      </c>
      <c r="B295" s="303" t="s">
        <v>380</v>
      </c>
      <c r="C295" s="303" t="s">
        <v>381</v>
      </c>
      <c r="D295" s="304">
        <v>420</v>
      </c>
      <c r="E295" s="304">
        <v>180</v>
      </c>
      <c r="F295" s="305">
        <f>(D295*E295)/10000</f>
        <v>7.56</v>
      </c>
      <c r="G295" s="304">
        <v>257</v>
      </c>
      <c r="H295" s="304">
        <f>ROUND(F295*$C$12+$D$12,0)</f>
        <v>265</v>
      </c>
      <c r="I295" s="306">
        <f>IF(G295=0,"",H295/G295-1)</f>
        <v>3.112840466926059E-2</v>
      </c>
      <c r="J295" s="304">
        <v>248</v>
      </c>
      <c r="K295" s="304">
        <f>ROUND(F295*$E$12+$F$12,0)</f>
        <v>346</v>
      </c>
      <c r="L295" s="306">
        <f>IF(J295=0,"",K295/J295-1)</f>
        <v>0.39516129032258074</v>
      </c>
      <c r="M295" s="304">
        <v>253</v>
      </c>
      <c r="N295" s="304">
        <f>ROUND(F295*$G$12+$H$12,0)</f>
        <v>263</v>
      </c>
      <c r="O295" s="306">
        <f>IF(M295=0,"",N295/M295-1)</f>
        <v>3.9525691699604737E-2</v>
      </c>
      <c r="P295" s="304">
        <v>251</v>
      </c>
      <c r="Q295" s="304">
        <f>ROUND(F295*$I$12+$J$12,0)</f>
        <v>279</v>
      </c>
      <c r="R295" s="306">
        <f>IF(P295=0,"",Q295/P295-1)</f>
        <v>0.11155378486055767</v>
      </c>
    </row>
    <row r="296" spans="1:18" x14ac:dyDescent="0.25">
      <c r="A296" s="291">
        <v>5501</v>
      </c>
      <c r="B296" s="291" t="s">
        <v>380</v>
      </c>
      <c r="C296" s="291" t="s">
        <v>382</v>
      </c>
      <c r="D296" s="307">
        <v>420</v>
      </c>
      <c r="E296" s="307">
        <v>360</v>
      </c>
      <c r="F296" s="308">
        <f>(D296*E296)/10000</f>
        <v>15.12</v>
      </c>
      <c r="G296" s="307">
        <v>317</v>
      </c>
      <c r="H296" s="307">
        <f>ROUND(F296*$C$12+$D$12,0)</f>
        <v>295</v>
      </c>
      <c r="I296" s="309">
        <f>IF(G296=0,"",H296/G296-1)</f>
        <v>-6.9400630914826511E-2</v>
      </c>
      <c r="J296" s="307">
        <v>316</v>
      </c>
      <c r="K296" s="307">
        <f>ROUND(F296*$E$12+$F$12,0)</f>
        <v>360</v>
      </c>
      <c r="L296" s="309">
        <f>IF(J296=0,"",K296/J296-1)</f>
        <v>0.139240506329114</v>
      </c>
      <c r="M296" s="307">
        <v>323</v>
      </c>
      <c r="N296" s="307">
        <f>ROUND(F296*$G$12+$H$12,0)</f>
        <v>306</v>
      </c>
      <c r="O296" s="309">
        <f>IF(M296=0,"",N296/M296-1)</f>
        <v>-5.2631578947368474E-2</v>
      </c>
      <c r="P296" s="307">
        <v>322</v>
      </c>
      <c r="Q296" s="307">
        <f>ROUND(F296*$I$12+$J$12,0)</f>
        <v>320</v>
      </c>
      <c r="R296" s="309">
        <f>IF(P296=0,"",Q296/P296-1)</f>
        <v>-6.2111801242236142E-3</v>
      </c>
    </row>
    <row r="297" spans="1:18" x14ac:dyDescent="0.25">
      <c r="A297" s="303">
        <v>5502</v>
      </c>
      <c r="B297" s="303" t="s">
        <v>380</v>
      </c>
      <c r="C297" s="303" t="s">
        <v>383</v>
      </c>
      <c r="D297" s="304">
        <v>580</v>
      </c>
      <c r="E297" s="304">
        <v>180</v>
      </c>
      <c r="F297" s="305">
        <f>(D297*E297)/10000</f>
        <v>10.44</v>
      </c>
      <c r="G297" s="304">
        <v>268</v>
      </c>
      <c r="H297" s="304">
        <f>ROUND(F297*$C$12+$D$12,0)</f>
        <v>276</v>
      </c>
      <c r="I297" s="306">
        <f>IF(G297=0,"",H297/G297-1)</f>
        <v>2.9850746268656803E-2</v>
      </c>
      <c r="J297" s="304">
        <v>265</v>
      </c>
      <c r="K297" s="304">
        <f>ROUND(F297*$E$12+$F$12,0)</f>
        <v>351</v>
      </c>
      <c r="L297" s="306">
        <f>IF(J297=0,"",K297/J297-1)</f>
        <v>0.32452830188679238</v>
      </c>
      <c r="M297" s="304">
        <v>270</v>
      </c>
      <c r="N297" s="304">
        <f>ROUND(F297*$G$12+$H$12,0)</f>
        <v>279</v>
      </c>
      <c r="O297" s="306">
        <f>IF(M297=0,"",N297/M297-1)</f>
        <v>3.3333333333333437E-2</v>
      </c>
      <c r="P297" s="304">
        <v>269</v>
      </c>
      <c r="Q297" s="304">
        <f>ROUND(F297*$I$12+$J$12,0)</f>
        <v>295</v>
      </c>
      <c r="R297" s="306">
        <f>IF(P297=0,"",Q297/P297-1)</f>
        <v>9.6654275092936892E-2</v>
      </c>
    </row>
    <row r="298" spans="1:18" x14ac:dyDescent="0.25">
      <c r="A298" s="291">
        <v>5503</v>
      </c>
      <c r="B298" s="291" t="s">
        <v>380</v>
      </c>
      <c r="C298" s="291" t="s">
        <v>384</v>
      </c>
      <c r="D298" s="307">
        <v>580</v>
      </c>
      <c r="E298" s="307">
        <v>360</v>
      </c>
      <c r="F298" s="308">
        <f>(D298*E298)/10000</f>
        <v>20.88</v>
      </c>
      <c r="G298" s="307">
        <v>318</v>
      </c>
      <c r="H298" s="307">
        <f>ROUND(F298*$C$12+$D$12,0)</f>
        <v>318</v>
      </c>
      <c r="I298" s="309">
        <f>IF(G298=0,"",H298/G298-1)</f>
        <v>0</v>
      </c>
      <c r="J298" s="307">
        <v>338</v>
      </c>
      <c r="K298" s="307">
        <f>ROUND(F298*$E$12+$F$12,0)</f>
        <v>370</v>
      </c>
      <c r="L298" s="309">
        <f>IF(J298=0,"",K298/J298-1)</f>
        <v>9.4674556213017791E-2</v>
      </c>
      <c r="M298" s="307">
        <v>343</v>
      </c>
      <c r="N298" s="307">
        <f>ROUND(F298*$G$12+$H$12,0)</f>
        <v>339</v>
      </c>
      <c r="O298" s="309">
        <f>IF(M298=0,"",N298/M298-1)</f>
        <v>-1.1661807580174877E-2</v>
      </c>
      <c r="P298" s="307">
        <v>345</v>
      </c>
      <c r="Q298" s="307">
        <f>ROUND(F298*$I$12+$J$12,0)</f>
        <v>351</v>
      </c>
      <c r="R298" s="309">
        <f>IF(P298=0,"",Q298/P298-1)</f>
        <v>1.7391304347825987E-2</v>
      </c>
    </row>
    <row r="299" spans="1:18" x14ac:dyDescent="0.25">
      <c r="A299" s="303">
        <v>5504</v>
      </c>
      <c r="B299" s="303" t="s">
        <v>380</v>
      </c>
      <c r="C299" s="303" t="s">
        <v>385</v>
      </c>
      <c r="D299" s="304">
        <v>780</v>
      </c>
      <c r="E299" s="304">
        <v>180</v>
      </c>
      <c r="F299" s="305">
        <f>(D299*E299)/10000</f>
        <v>14.04</v>
      </c>
      <c r="G299" s="304">
        <v>278</v>
      </c>
      <c r="H299" s="304">
        <f>ROUND(F299*$C$12+$D$12,0)</f>
        <v>291</v>
      </c>
      <c r="I299" s="306">
        <f>IF(G299=0,"",H299/G299-1)</f>
        <v>4.6762589928057485E-2</v>
      </c>
      <c r="J299" s="304">
        <v>282</v>
      </c>
      <c r="K299" s="304">
        <f>ROUND(F299*$E$12+$F$12,0)</f>
        <v>358</v>
      </c>
      <c r="L299" s="306">
        <f>IF(J299=0,"",K299/J299-1)</f>
        <v>0.26950354609929073</v>
      </c>
      <c r="M299" s="304">
        <v>286</v>
      </c>
      <c r="N299" s="304">
        <f>ROUND(F299*$G$12+$H$12,0)</f>
        <v>300</v>
      </c>
      <c r="O299" s="306">
        <f>IF(M299=0,"",N299/M299-1)</f>
        <v>4.8951048951048959E-2</v>
      </c>
      <c r="P299" s="304">
        <v>286</v>
      </c>
      <c r="Q299" s="304">
        <f>ROUND(F299*$I$12+$J$12,0)</f>
        <v>314</v>
      </c>
      <c r="R299" s="306">
        <f>IF(P299=0,"",Q299/P299-1)</f>
        <v>9.7902097902097918E-2</v>
      </c>
    </row>
    <row r="300" spans="1:18" x14ac:dyDescent="0.25">
      <c r="A300" s="291">
        <v>5505</v>
      </c>
      <c r="B300" s="291" t="s">
        <v>380</v>
      </c>
      <c r="C300" s="291" t="s">
        <v>386</v>
      </c>
      <c r="D300" s="307">
        <v>780</v>
      </c>
      <c r="E300" s="307">
        <v>360</v>
      </c>
      <c r="F300" s="308">
        <f>(D300*E300)/10000</f>
        <v>28.08</v>
      </c>
      <c r="G300" s="307">
        <v>320</v>
      </c>
      <c r="H300" s="307">
        <f>ROUND(F300*$C$12+$D$12,0)</f>
        <v>346</v>
      </c>
      <c r="I300" s="309">
        <f>IF(G300=0,"",H300/G300-1)</f>
        <v>8.1250000000000044E-2</v>
      </c>
      <c r="J300" s="307">
        <v>361</v>
      </c>
      <c r="K300" s="307">
        <f>ROUND(F300*$E$12+$F$12,0)</f>
        <v>383</v>
      </c>
      <c r="L300" s="309">
        <f>IF(J300=0,"",K300/J300-1)</f>
        <v>6.094182825484773E-2</v>
      </c>
      <c r="M300" s="307">
        <v>363</v>
      </c>
      <c r="N300" s="307">
        <f>ROUND(F300*$G$12+$H$12,0)</f>
        <v>380</v>
      </c>
      <c r="O300" s="309">
        <f>IF(M300=0,"",N300/M300-1)</f>
        <v>4.6831955922864932E-2</v>
      </c>
      <c r="P300" s="307">
        <v>368</v>
      </c>
      <c r="Q300" s="307">
        <f>ROUND(F300*$I$12+$J$12,0)</f>
        <v>389</v>
      </c>
      <c r="R300" s="309">
        <f>IF(P300=0,"",Q300/P300-1)</f>
        <v>5.7065217391304435E-2</v>
      </c>
    </row>
    <row r="301" spans="1:18" x14ac:dyDescent="0.25">
      <c r="A301" s="303">
        <v>5506</v>
      </c>
      <c r="B301" s="303" t="s">
        <v>380</v>
      </c>
      <c r="C301" s="303" t="s">
        <v>387</v>
      </c>
      <c r="D301" s="304">
        <v>980</v>
      </c>
      <c r="E301" s="304">
        <v>180</v>
      </c>
      <c r="F301" s="305">
        <f>(D301*E301)/10000</f>
        <v>17.64</v>
      </c>
      <c r="G301" s="304">
        <v>313</v>
      </c>
      <c r="H301" s="304">
        <f>ROUND(F301*$C$12+$D$12,0)</f>
        <v>305</v>
      </c>
      <c r="I301" s="306">
        <f>IF(G301=0,"",H301/G301-1)</f>
        <v>-2.5559105431309903E-2</v>
      </c>
      <c r="J301" s="304">
        <v>341</v>
      </c>
      <c r="K301" s="304">
        <f>ROUND(F301*$E$12+$F$12,0)</f>
        <v>364</v>
      </c>
      <c r="L301" s="306">
        <f>IF(J301=0,"",K301/J301-1)</f>
        <v>6.7448680351906098E-2</v>
      </c>
      <c r="M301" s="304">
        <v>321</v>
      </c>
      <c r="N301" s="304">
        <f>ROUND(F301*$G$12+$H$12,0)</f>
        <v>320</v>
      </c>
      <c r="O301" s="306">
        <f>IF(M301=0,"",N301/M301-1)</f>
        <v>-3.1152647975077885E-3</v>
      </c>
      <c r="P301" s="304">
        <v>348</v>
      </c>
      <c r="Q301" s="304">
        <f>ROUND(F301*$I$12+$J$12,0)</f>
        <v>333</v>
      </c>
      <c r="R301" s="306">
        <f>IF(P301=0,"",Q301/P301-1)</f>
        <v>-4.31034482758621E-2</v>
      </c>
    </row>
    <row r="302" spans="1:18" x14ac:dyDescent="0.25">
      <c r="A302" s="291">
        <v>5507</v>
      </c>
      <c r="B302" s="291" t="s">
        <v>380</v>
      </c>
      <c r="C302" s="291" t="s">
        <v>388</v>
      </c>
      <c r="D302" s="307">
        <v>980</v>
      </c>
      <c r="E302" s="307">
        <v>360</v>
      </c>
      <c r="F302" s="308">
        <f>(D302*E302)/10000</f>
        <v>35.28</v>
      </c>
      <c r="G302" s="307">
        <v>386</v>
      </c>
      <c r="H302" s="307">
        <f>ROUND(F302*$C$12+$D$12,0)</f>
        <v>375</v>
      </c>
      <c r="I302" s="309">
        <f>IF(G302=0,"",H302/G302-1)</f>
        <v>-2.8497409326424861E-2</v>
      </c>
      <c r="J302" s="307">
        <v>439</v>
      </c>
      <c r="K302" s="307">
        <f>ROUND(F302*$E$12+$F$12,0)</f>
        <v>396</v>
      </c>
      <c r="L302" s="309">
        <f>IF(J302=0,"",K302/J302-1)</f>
        <v>-9.7949886104783612E-2</v>
      </c>
      <c r="M302" s="307">
        <v>426</v>
      </c>
      <c r="N302" s="307">
        <f>ROUND(F302*$G$12+$H$12,0)</f>
        <v>421</v>
      </c>
      <c r="O302" s="309">
        <f>IF(M302=0,"",N302/M302-1)</f>
        <v>-1.1737089201877882E-2</v>
      </c>
      <c r="P302" s="307">
        <v>450</v>
      </c>
      <c r="Q302" s="307">
        <f>ROUND(F302*$I$12+$J$12,0)</f>
        <v>428</v>
      </c>
      <c r="R302" s="309">
        <f>IF(P302=0,"",Q302/P302-1)</f>
        <v>-4.8888888888888871E-2</v>
      </c>
    </row>
    <row r="303" spans="1:18" x14ac:dyDescent="0.25">
      <c r="A303" s="311" t="s">
        <v>391</v>
      </c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  <c r="R303" s="311"/>
    </row>
    <row r="306" spans="1:18" x14ac:dyDescent="0.25">
      <c r="A306" s="295" t="s">
        <v>767</v>
      </c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</row>
    <row r="307" spans="1:18" x14ac:dyDescent="0.25">
      <c r="A307" s="292" t="s">
        <v>768</v>
      </c>
      <c r="B307" s="293" t="s">
        <v>749</v>
      </c>
      <c r="C307" s="293" t="s">
        <v>750</v>
      </c>
      <c r="D307" s="293" t="s">
        <v>751</v>
      </c>
      <c r="E307" s="294" t="s">
        <v>752</v>
      </c>
      <c r="F307" s="205"/>
    </row>
    <row r="308" spans="1:18" x14ac:dyDescent="0.25">
      <c r="A308" s="312" t="s">
        <v>769</v>
      </c>
      <c r="B308" s="313">
        <f>MEDIAN(I29:I303)</f>
        <v>1.980198019801982E-2</v>
      </c>
      <c r="C308" s="313">
        <f>MEDIAN(L29:L303)</f>
        <v>1.2738853503184711E-2</v>
      </c>
      <c r="D308" s="313">
        <f>MEDIAN(O29:O303)</f>
        <v>4.0268456375838202E-3</v>
      </c>
      <c r="E308" s="314">
        <f>MEDIAN(R29:R303)</f>
        <v>-1.6415589800290231E-2</v>
      </c>
      <c r="F308" s="203"/>
    </row>
    <row r="309" spans="1:18" x14ac:dyDescent="0.25">
      <c r="A309" s="312" t="s">
        <v>770</v>
      </c>
      <c r="B309" s="313" cm="1">
        <f t="array" ref="B309">SUMPRODUCT(ABS(I29:I303)*ISNUMBER(I29:I303))/SUMPRODUCT(ISNUMBER(I29:I303)*1)</f>
        <v>6.5404601234702944E-2</v>
      </c>
      <c r="C309" s="313" cm="1">
        <f t="array" ref="C309">SUMPRODUCT(ABS(L29:L303)*ISNUMBER(L29:L303))/SUMPRODUCT(ISNUMBER(L29:L303)*1)</f>
        <v>0.16648428476880442</v>
      </c>
      <c r="D309" s="313" cm="1">
        <f t="array" ref="D309">SUMPRODUCT(ABS(O29:O303)*ISNUMBER(O29:O303))/SUMPRODUCT(ISNUMBER(O29:O303)*1)</f>
        <v>8.0312663327422235E-2</v>
      </c>
      <c r="E309" s="314" cm="1">
        <f t="array" ref="E309">SUMPRODUCT(ABS(R29:R303)*ISNUMBER(R29:R303))/SUMPRODUCT(ISNUMBER(R29:R303)*1)</f>
        <v>0.20881422513898992</v>
      </c>
      <c r="F309" s="203"/>
    </row>
    <row r="310" spans="1:18" x14ac:dyDescent="0.25">
      <c r="A310" s="312" t="s">
        <v>771</v>
      </c>
      <c r="B310" s="313" cm="1">
        <f t="array" ref="B310">SUMPRODUCT((ABS(I29:I303)&lt;=0.05)*ISNUMBER(I29:I303))/SUMPRODUCT(ISNUMBER(I29:I303)*1)</f>
        <v>0.55642023346303504</v>
      </c>
      <c r="C310" s="313" cm="1">
        <f t="array" ref="C310">SUMPRODUCT((ABS(L29:L303)&lt;=0.05)*ISNUMBER(L29:L303))/SUMPRODUCT(ISNUMBER(L29:L303)*1)</f>
        <v>0.14785992217898833</v>
      </c>
      <c r="D310" s="313" cm="1">
        <f t="array" ref="D310">SUMPRODUCT((ABS(O29:O303)&lt;=0.05)*ISNUMBER(O29:O303))/SUMPRODUCT(ISNUMBER(O29:O303)*1)</f>
        <v>0.54393305439330542</v>
      </c>
      <c r="E310" s="314" cm="1">
        <f t="array" ref="E310">SUMPRODUCT((ABS(R29:R303)&lt;=0.05)*ISNUMBER(R29:R303))/SUMPRODUCT(ISNUMBER(R29:R303)*1)</f>
        <v>0.18487394957983194</v>
      </c>
      <c r="F310" s="203"/>
    </row>
    <row r="311" spans="1:18" x14ac:dyDescent="0.25">
      <c r="A311" s="312" t="s">
        <v>772</v>
      </c>
      <c r="B311" s="313" cm="1">
        <f t="array" ref="B311">SUMPRODUCT((ABS(I29:I303)&lt;=0.1)*ISNUMBER(I29:I303))/SUMPRODUCT(ISNUMBER(I29:I303)*1)</f>
        <v>0.84046692607003892</v>
      </c>
      <c r="C311" s="313" cm="1">
        <f t="array" ref="C311">SUMPRODUCT((ABS(L29:L303)&lt;=0.1)*ISNUMBER(L29:L303))/SUMPRODUCT(ISNUMBER(L29:L303)*1)</f>
        <v>0.36186770428015563</v>
      </c>
      <c r="D311" s="313" cm="1">
        <f t="array" ref="D311">SUMPRODUCT((ABS(O29:O303)&lt;=0.1)*ISNUMBER(O29:O303))/SUMPRODUCT(ISNUMBER(O29:O303)*1)</f>
        <v>0.72803347280334729</v>
      </c>
      <c r="E311" s="314" cm="1">
        <f t="array" ref="E311">SUMPRODUCT((ABS(R29:R303)&lt;=0.1)*ISNUMBER(R29:R303))/SUMPRODUCT(ISNUMBER(R29:R303)*1)</f>
        <v>0.4327731092436975</v>
      </c>
      <c r="F311" s="203"/>
    </row>
    <row r="312" spans="1:18" x14ac:dyDescent="0.25">
      <c r="A312" s="312" t="s">
        <v>773</v>
      </c>
      <c r="B312" s="313" cm="1">
        <f t="array" ref="B312">SUMPRODUCT((ABS(I29:I303)&lt;=0.2)*ISNUMBER(I29:I303))/SUMPRODUCT(ISNUMBER(I29:I303)*1)</f>
        <v>0.93385214007782102</v>
      </c>
      <c r="C312" s="313" cm="1">
        <f t="array" ref="C312">SUMPRODUCT((ABS(L29:L303)&lt;=0.2)*ISNUMBER(L29:L303))/SUMPRODUCT(ISNUMBER(L29:L303)*1)</f>
        <v>0.77821011673151752</v>
      </c>
      <c r="D312" s="313" cm="1">
        <f t="array" ref="D312">SUMPRODUCT((ABS(O29:O303)&lt;=0.2)*ISNUMBER(O29:O303))/SUMPRODUCT(ISNUMBER(O29:O303)*1)</f>
        <v>0.89121338912133896</v>
      </c>
      <c r="E312" s="314" cm="1">
        <f t="array" ref="E312">SUMPRODUCT((ABS(R29:R303)&lt;=0.2)*ISNUMBER(R29:R303))/SUMPRODUCT(ISNUMBER(R29:R303)*1)</f>
        <v>0.65126050420168069</v>
      </c>
      <c r="F312" s="203"/>
    </row>
    <row r="313" spans="1:18" x14ac:dyDescent="0.25">
      <c r="A313" s="312" t="s">
        <v>774</v>
      </c>
      <c r="B313" s="313" cm="1">
        <f t="array" ref="B313">MAX(ABS(I29:I303))</f>
        <v>0.65573770491803285</v>
      </c>
      <c r="C313" s="313" cm="1">
        <f t="array" ref="C313">MAX(ABS(L29:L303))</f>
        <v>1.2826086956521738</v>
      </c>
      <c r="D313" s="313" cm="1">
        <f t="array" ref="D313">MAX(ABS(O29:O303))</f>
        <v>0.66666666666666674</v>
      </c>
      <c r="E313" s="314" cm="1">
        <f t="array" ref="E313">MAX(ABS(R29:R303))</f>
        <v>0.84927536231884049</v>
      </c>
      <c r="F313" s="203"/>
    </row>
    <row r="314" spans="1:18" x14ac:dyDescent="0.25">
      <c r="A314" s="312" t="s">
        <v>716</v>
      </c>
      <c r="B314" s="315" cm="1">
        <f t="array" ref="B314">SUMPRODUCT(ISNUMBER(I29:I303)*1)</f>
        <v>257</v>
      </c>
      <c r="C314" s="315" cm="1">
        <f t="array" ref="C314">SUMPRODUCT(ISNUMBER(L29:L303)*1)</f>
        <v>257</v>
      </c>
      <c r="D314" s="315" cm="1">
        <f t="array" ref="D314">SUMPRODUCT(ISNUMBER(O29:O303)*1)</f>
        <v>239</v>
      </c>
      <c r="E314" s="316" cm="1">
        <f t="array" ref="E314">SUMPRODUCT(ISNUMBER(R29:R303)*1)</f>
        <v>238</v>
      </c>
      <c r="F314" s="203"/>
    </row>
    <row r="317" spans="1:18" x14ac:dyDescent="0.25">
      <c r="A317" t="s">
        <v>800</v>
      </c>
      <c r="B317" t="s">
        <v>749</v>
      </c>
      <c r="C317" t="s">
        <v>750</v>
      </c>
      <c r="D317" t="s">
        <v>751</v>
      </c>
      <c r="E317" t="s">
        <v>752</v>
      </c>
    </row>
    <row r="318" spans="1:18" x14ac:dyDescent="0.25">
      <c r="A318" t="s">
        <v>771</v>
      </c>
      <c r="B318" s="301">
        <f>B310</f>
        <v>0.55642023346303504</v>
      </c>
      <c r="C318" s="301">
        <f>C310</f>
        <v>0.14785992217898833</v>
      </c>
      <c r="D318" s="301">
        <f>D310</f>
        <v>0.54393305439330542</v>
      </c>
      <c r="E318" s="301">
        <f>E310</f>
        <v>0.18487394957983194</v>
      </c>
    </row>
    <row r="319" spans="1:18" x14ac:dyDescent="0.25">
      <c r="A319" t="s">
        <v>772</v>
      </c>
      <c r="B319" s="301">
        <f>B311</f>
        <v>0.84046692607003892</v>
      </c>
      <c r="C319" s="301">
        <f>C311</f>
        <v>0.36186770428015563</v>
      </c>
      <c r="D319" s="301">
        <f>D311</f>
        <v>0.72803347280334729</v>
      </c>
      <c r="E319" s="301">
        <f>E311</f>
        <v>0.4327731092436975</v>
      </c>
    </row>
    <row r="320" spans="1:18" x14ac:dyDescent="0.25">
      <c r="A320" t="s">
        <v>773</v>
      </c>
      <c r="B320" s="301">
        <f>B312</f>
        <v>0.93385214007782102</v>
      </c>
      <c r="C320" s="301">
        <f>C312</f>
        <v>0.77821011673151752</v>
      </c>
      <c r="D320" s="301">
        <f>D312</f>
        <v>0.89121338912133896</v>
      </c>
      <c r="E320" s="301">
        <f>E312</f>
        <v>0.65126050420168069</v>
      </c>
    </row>
    <row r="322" spans="1:6" x14ac:dyDescent="0.25">
      <c r="A322" s="295" t="s">
        <v>801</v>
      </c>
      <c r="B322" s="195"/>
      <c r="C322" s="195"/>
      <c r="D322" s="195"/>
      <c r="E322" s="195"/>
      <c r="F322" s="195"/>
    </row>
    <row r="323" spans="1:6" x14ac:dyDescent="0.25">
      <c r="A323" s="318" t="s">
        <v>802</v>
      </c>
      <c r="B323" s="161"/>
      <c r="C323" s="161"/>
      <c r="D323" s="161"/>
      <c r="E323" s="161"/>
      <c r="F323" s="161"/>
    </row>
    <row r="324" spans="1:6" x14ac:dyDescent="0.25">
      <c r="A324" s="318" t="s">
        <v>803</v>
      </c>
      <c r="B324" s="161"/>
      <c r="C324" s="161"/>
      <c r="D324" s="161"/>
      <c r="E324" s="161"/>
      <c r="F324" s="161"/>
    </row>
    <row r="325" spans="1:6" x14ac:dyDescent="0.25">
      <c r="A325" s="318" t="s">
        <v>804</v>
      </c>
      <c r="B325" s="161"/>
      <c r="C325" s="161"/>
      <c r="D325" s="161"/>
      <c r="E325" s="161"/>
      <c r="F325" s="161"/>
    </row>
    <row r="326" spans="1:6" x14ac:dyDescent="0.25">
      <c r="A326" s="318" t="s">
        <v>805</v>
      </c>
      <c r="B326" s="161"/>
      <c r="C326" s="161"/>
      <c r="D326" s="161"/>
      <c r="E326" s="161"/>
      <c r="F326" s="161"/>
    </row>
    <row r="327" spans="1:6" x14ac:dyDescent="0.25">
      <c r="A327" s="161"/>
      <c r="B327" s="161"/>
      <c r="C327" s="161"/>
      <c r="D327" s="161"/>
      <c r="E327" s="161"/>
      <c r="F327" s="161"/>
    </row>
    <row r="328" spans="1:6" x14ac:dyDescent="0.25">
      <c r="A328" s="319" t="s">
        <v>806</v>
      </c>
      <c r="B328" s="161"/>
      <c r="C328" s="161"/>
      <c r="D328" s="161"/>
      <c r="E328" s="161"/>
      <c r="F328" s="161"/>
    </row>
    <row r="329" spans="1:6" x14ac:dyDescent="0.25">
      <c r="A329" s="318" t="s">
        <v>807</v>
      </c>
      <c r="B329" s="161"/>
      <c r="C329" s="161"/>
      <c r="D329" s="161"/>
      <c r="E329" s="161"/>
      <c r="F329" s="161"/>
    </row>
    <row r="330" spans="1:6" x14ac:dyDescent="0.25">
      <c r="A330" s="318" t="s">
        <v>808</v>
      </c>
      <c r="B330" s="161"/>
      <c r="C330" s="161"/>
      <c r="D330" s="161"/>
      <c r="E330" s="161"/>
      <c r="F330" s="161"/>
    </row>
    <row r="331" spans="1:6" x14ac:dyDescent="0.25">
      <c r="A331" s="318" t="s">
        <v>809</v>
      </c>
      <c r="B331" s="161"/>
      <c r="C331" s="161"/>
      <c r="D331" s="161"/>
      <c r="E331" s="161"/>
      <c r="F331" s="161"/>
    </row>
    <row r="332" spans="1:6" x14ac:dyDescent="0.25">
      <c r="A332" s="318" t="s">
        <v>810</v>
      </c>
      <c r="B332" s="161"/>
      <c r="C332" s="161"/>
      <c r="D332" s="161"/>
      <c r="E332" s="161"/>
      <c r="F332" s="161"/>
    </row>
    <row r="333" spans="1:6" x14ac:dyDescent="0.25">
      <c r="A333" s="318" t="s">
        <v>811</v>
      </c>
      <c r="B333" s="161"/>
      <c r="C333" s="161"/>
      <c r="D333" s="161"/>
      <c r="E333" s="161"/>
      <c r="F333" s="161"/>
    </row>
  </sheetData>
  <mergeCells count="40">
    <mergeCell ref="A328:F328"/>
    <mergeCell ref="A329:F329"/>
    <mergeCell ref="A330:F330"/>
    <mergeCell ref="A331:F331"/>
    <mergeCell ref="A332:F332"/>
    <mergeCell ref="A333:F333"/>
    <mergeCell ref="A322:F322"/>
    <mergeCell ref="A323:F323"/>
    <mergeCell ref="A324:F324"/>
    <mergeCell ref="A325:F325"/>
    <mergeCell ref="A326:F326"/>
    <mergeCell ref="A327:F327"/>
    <mergeCell ref="A306:R306"/>
    <mergeCell ref="A4:J4"/>
    <mergeCell ref="A14:J14"/>
    <mergeCell ref="A17:J17"/>
    <mergeCell ref="A18:J18"/>
    <mergeCell ref="A19:J19"/>
    <mergeCell ref="A20:J20"/>
    <mergeCell ref="A22:J22"/>
    <mergeCell ref="A240:R240"/>
    <mergeCell ref="A253:R253"/>
    <mergeCell ref="A265:R265"/>
    <mergeCell ref="A285:R285"/>
    <mergeCell ref="A294:R294"/>
    <mergeCell ref="A303:R303"/>
    <mergeCell ref="A153:R153"/>
    <mergeCell ref="A172:R172"/>
    <mergeCell ref="A183:R183"/>
    <mergeCell ref="A197:R197"/>
    <mergeCell ref="A211:R211"/>
    <mergeCell ref="A228:R228"/>
    <mergeCell ref="A27:N27"/>
    <mergeCell ref="A29:R29"/>
    <mergeCell ref="A46:R46"/>
    <mergeCell ref="A73:R73"/>
    <mergeCell ref="A96:R96"/>
    <mergeCell ref="A127:R127"/>
    <mergeCell ref="A1:N1"/>
    <mergeCell ref="A2:N2"/>
  </mergeCells>
  <conditionalFormatting sqref="I29:I303">
    <cfRule type="expression" dxfId="11" priority="1">
      <formula>AND(ABS(I29)&lt;0.05,I29&lt;&gt;"")</formula>
    </cfRule>
  </conditionalFormatting>
  <conditionalFormatting sqref="I29:I303">
    <cfRule type="expression" dxfId="10" priority="2">
      <formula>AND(ABS(I29)&gt;0.2,I29&lt;&gt;"")</formula>
    </cfRule>
  </conditionalFormatting>
  <conditionalFormatting sqref="I29:I303">
    <cfRule type="expression" dxfId="9" priority="3">
      <formula>AND(ABS(I29)&gt;=0.05,ABS(I29)&lt;=0.2,I29&lt;&gt;"")</formula>
    </cfRule>
  </conditionalFormatting>
  <conditionalFormatting sqref="L29:L303">
    <cfRule type="expression" dxfId="8" priority="4">
      <formula>AND(ABS(L29)&lt;0.05,L29&lt;&gt;"")</formula>
    </cfRule>
  </conditionalFormatting>
  <conditionalFormatting sqref="L29:L303">
    <cfRule type="expression" dxfId="7" priority="5">
      <formula>AND(ABS(L29)&gt;0.2,L29&lt;&gt;"")</formula>
    </cfRule>
  </conditionalFormatting>
  <conditionalFormatting sqref="L29:L303">
    <cfRule type="expression" dxfId="6" priority="6">
      <formula>AND(ABS(L29)&gt;=0.05,ABS(L29)&lt;=0.2,L29&lt;&gt;"")</formula>
    </cfRule>
  </conditionalFormatting>
  <conditionalFormatting sqref="O29:O303">
    <cfRule type="expression" dxfId="5" priority="7">
      <formula>AND(ABS(O29)&lt;0.05,O29&lt;&gt;"")</formula>
    </cfRule>
  </conditionalFormatting>
  <conditionalFormatting sqref="O29:O303">
    <cfRule type="expression" dxfId="4" priority="8">
      <formula>AND(ABS(O29)&gt;0.2,O29&lt;&gt;"")</formula>
    </cfRule>
  </conditionalFormatting>
  <conditionalFormatting sqref="O29:O303">
    <cfRule type="expression" dxfId="3" priority="9">
      <formula>AND(ABS(O29)&gt;=0.05,ABS(O29)&lt;=0.2,O29&lt;&gt;"")</formula>
    </cfRule>
  </conditionalFormatting>
  <conditionalFormatting sqref="R29:R303">
    <cfRule type="expression" dxfId="2" priority="10">
      <formula>AND(ABS(R29)&lt;0.05,R29&lt;&gt;"")</formula>
    </cfRule>
  </conditionalFormatting>
  <conditionalFormatting sqref="R29:R303">
    <cfRule type="expression" dxfId="1" priority="11">
      <formula>AND(ABS(R29)&gt;0.2,R29&lt;&gt;"")</formula>
    </cfRule>
  </conditionalFormatting>
  <conditionalFormatting sqref="R29:R303">
    <cfRule type="expression" dxfId="0" priority="12">
      <formula>AND(ABS(R29)&gt;=0.05,ABS(R29)&lt;=0.2,R29&lt;&gt;"")</formula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Annahmen &amp; Aufschläge</vt:lpstr>
      <vt:lpstr>Brutto-Übersicht (T=350)</vt:lpstr>
      <vt:lpstr>Preismodell_Artmodul_alt</vt:lpstr>
      <vt:lpstr>Artmodul_Einzelteilpreise_alt</vt:lpstr>
      <vt:lpstr>Größentabelle</vt:lpstr>
      <vt:lpstr>Steuerungsdaten</vt:lpstr>
      <vt:lpstr>Aktiv</vt:lpstr>
      <vt:lpstr>Archiv</vt:lpstr>
      <vt:lpstr>Preisliste 2012</vt:lpstr>
      <vt:lpstr>Vergleich Preislogik</vt:lpstr>
      <vt:lpstr>Preismodell NEU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Hachtel</cp:lastModifiedBy>
  <cp:revision>0</cp:revision>
  <dcterms:created xsi:type="dcterms:W3CDTF">2026-03-18T17:43:55Z</dcterms:created>
  <dcterms:modified xsi:type="dcterms:W3CDTF">2026-03-30T13:57:18Z</dcterms:modified>
  <dc:language>en-US</dc:language>
</cp:coreProperties>
</file>